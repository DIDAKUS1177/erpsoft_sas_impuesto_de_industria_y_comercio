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velasquez\Downloads\"/>
    </mc:Choice>
  </mc:AlternateContent>
  <xr:revisionPtr revIDLastSave="0" documentId="13_ncr:1_{63CF1829-1C97-499A-8EC3-A6A2E0546ABF}" xr6:coauthVersionLast="36" xr6:coauthVersionMax="47" xr10:uidLastSave="{00000000-0000-0000-0000-000000000000}"/>
  <bookViews>
    <workbookView xWindow="0" yWindow="0" windowWidth="28800" windowHeight="12105" tabRatio="601" xr2:uid="{00000000-000D-0000-FFFF-FFFF00000000}"/>
  </bookViews>
  <sheets>
    <sheet name="PFE5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4" i="1" l="1"/>
  <c r="I84" i="1"/>
  <c r="J81" i="1"/>
  <c r="I81" i="1"/>
  <c r="J80" i="1"/>
  <c r="I80" i="1"/>
  <c r="J77" i="1"/>
  <c r="I77" i="1"/>
  <c r="J76" i="1"/>
  <c r="I76" i="1"/>
  <c r="J71" i="1"/>
  <c r="I71" i="1"/>
  <c r="J70" i="1"/>
  <c r="I70" i="1"/>
  <c r="J69" i="1"/>
  <c r="I69" i="1"/>
  <c r="J61" i="1"/>
  <c r="I61" i="1"/>
  <c r="J56" i="1"/>
  <c r="I56" i="1"/>
  <c r="J54" i="1"/>
  <c r="I54" i="1"/>
  <c r="E52" i="1"/>
  <c r="J46" i="1"/>
  <c r="I46" i="1"/>
  <c r="J45" i="1"/>
  <c r="I45" i="1"/>
  <c r="J44" i="1"/>
  <c r="I44" i="1"/>
  <c r="J43" i="1"/>
  <c r="I43" i="1"/>
  <c r="I40" i="1"/>
  <c r="I39" i="1"/>
  <c r="J38" i="1"/>
  <c r="I38" i="1"/>
  <c r="I37" i="1"/>
  <c r="J30" i="1"/>
  <c r="I30" i="1"/>
  <c r="J29" i="1"/>
  <c r="I29" i="1"/>
  <c r="J27" i="1"/>
  <c r="I27" i="1"/>
  <c r="J20" i="1"/>
  <c r="I20" i="1"/>
  <c r="J9" i="1"/>
  <c r="I9" i="1"/>
</calcChain>
</file>

<file path=xl/sharedStrings.xml><?xml version="1.0" encoding="utf-8"?>
<sst xmlns="http://schemas.openxmlformats.org/spreadsheetml/2006/main" count="2688" uniqueCount="2587">
  <si>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</si>
  <si>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</si>
  <si>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</si>
  <si>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</si>
  <si>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</si>
  <si>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</si>
  <si>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</si>
  <si>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</si>
  <si>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</si>
  <si>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</si>
  <si>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</si>
  <si>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</si>
  <si>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</si>
  <si>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</si>
  <si>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</si>
  <si>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</si>
  <si>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</si>
  <si>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</si>
  <si>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</si>
  <si>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</si>
  <si>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</si>
  <si>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</si>
  <si>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</si>
  <si>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</si>
  <si>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</si>
  <si>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</si>
  <si>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</si>
  <si>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</si>
  <si>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</si>
  <si>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</si>
  <si>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</si>
  <si>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</si>
  <si>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</si>
  <si>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</si>
  <si>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</si>
  <si>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</si>
  <si>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</si>
  <si>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</si>
  <si>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</si>
  <si>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</si>
  <si>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</si>
  <si>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</si>
  <si>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</si>
  <si>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</si>
  <si>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</si>
  <si>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</si>
  <si>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</si>
  <si>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</si>
  <si>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</si>
  <si>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</si>
  <si>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</si>
  <si>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</si>
  <si>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</si>
  <si>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</si>
  <si>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</si>
  <si>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</si>
  <si>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</si>
  <si>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</si>
  <si>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</si>
  <si>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</si>
  <si>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</si>
  <si>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</si>
  <si>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</si>
  <si>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</si>
  <si>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</si>
  <si>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</si>
  <si>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</si>
  <si>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</si>
  <si>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</si>
  <si>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</si>
  <si>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</si>
  <si>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</si>
  <si>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</si>
  <si>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</si>
  <si>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</si>
  <si>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</si>
  <si>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</si>
  <si>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</si>
  <si>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</si>
  <si>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</si>
  <si>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</si>
  <si>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</si>
  <si>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</si>
  <si>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</si>
  <si>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</si>
  <si>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</si>
  <si>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</si>
  <si>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</si>
  <si>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</si>
  <si>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</si>
  <si>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</si>
  <si>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</si>
  <si>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</si>
  <si>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</si>
  <si>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</si>
  <si>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</si>
  <si>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</si>
  <si>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</si>
  <si>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</si>
  <si>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</si>
  <si>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</si>
  <si>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</si>
  <si>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</si>
  <si>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</si>
  <si>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</si>
  <si>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</si>
  <si>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</si>
  <si>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</si>
  <si>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</si>
  <si>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</si>
  <si>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</si>
  <si>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</si>
  <si>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</si>
  <si>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</si>
  <si>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</si>
  <si>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</si>
  <si>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</si>
  <si>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</si>
  <si>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</si>
  <si>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</si>
  <si>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</si>
  <si>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</si>
  <si>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</si>
  <si>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</si>
  <si>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</si>
  <si>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</si>
  <si>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</si>
  <si>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</si>
  <si>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</si>
  <si>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</si>
  <si>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</si>
  <si>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</si>
  <si>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</si>
  <si>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</si>
  <si>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</si>
  <si>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</si>
  <si>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</si>
  <si>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</si>
  <si>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</si>
  <si>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</si>
  <si>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</si>
  <si>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</si>
  <si>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</si>
  <si>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</si>
  <si>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</si>
  <si>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</si>
  <si>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</si>
  <si>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</si>
  <si>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</si>
  <si>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</si>
  <si>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</si>
  <si>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</si>
  <si>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</si>
  <si>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</si>
  <si>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</si>
  <si>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</si>
  <si>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</si>
  <si>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</si>
  <si>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</si>
  <si>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</si>
  <si>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</si>
  <si>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</si>
  <si>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</si>
  <si>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</si>
  <si>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</si>
  <si>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</si>
  <si>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</si>
  <si>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</si>
  <si>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</si>
  <si>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</si>
  <si>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</si>
  <si>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</si>
  <si>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</si>
  <si>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</si>
  <si>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</si>
  <si>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</si>
  <si>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</si>
  <si>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</si>
  <si>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</si>
  <si>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</si>
  <si>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</si>
  <si>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</si>
  <si>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</si>
  <si>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</si>
  <si>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</si>
  <si>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</si>
  <si>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</si>
  <si>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</si>
  <si>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</si>
  <si>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</si>
  <si>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</si>
  <si>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</si>
  <si>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</si>
  <si>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</si>
  <si>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</si>
  <si>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</si>
  <si>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</si>
  <si>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</si>
  <si>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</si>
  <si>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</si>
  <si>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</si>
  <si>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</si>
  <si>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</si>
  <si>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</si>
  <si>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</si>
  <si>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</si>
  <si>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</si>
  <si>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</si>
  <si>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</si>
  <si>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</si>
  <si>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</si>
  <si>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</si>
  <si>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</si>
  <si>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</si>
  <si>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</si>
  <si>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</si>
  <si>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</si>
  <si>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</si>
  <si>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</si>
  <si>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</si>
  <si>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</si>
  <si>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</si>
  <si>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</si>
  <si>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</si>
  <si>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</si>
  <si>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</si>
  <si>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</si>
  <si>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</si>
  <si>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</si>
  <si>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</si>
  <si>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</si>
  <si>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</si>
  <si>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</si>
  <si>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</si>
  <si>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</si>
  <si>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</si>
  <si>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</si>
  <si>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</si>
  <si>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</si>
  <si>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</si>
  <si>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</si>
  <si>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</si>
  <si>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</si>
  <si>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</si>
  <si>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</si>
  <si>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</si>
  <si>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</si>
  <si>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</si>
  <si>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</si>
  <si>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</si>
  <si>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</si>
  <si>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</si>
  <si>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</si>
  <si>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</si>
  <si>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</si>
  <si>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</si>
  <si>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</si>
  <si>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</si>
  <si>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</si>
  <si>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</si>
  <si>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</si>
  <si>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</si>
  <si>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</si>
  <si>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</si>
  <si>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</si>
  <si>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</si>
  <si>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</si>
  <si>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</si>
  <si>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</si>
  <si>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</si>
  <si>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</si>
  <si>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</si>
  <si>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</si>
  <si>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</si>
  <si>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</si>
  <si>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</si>
  <si>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</si>
  <si>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</si>
  <si>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</si>
  <si>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</si>
  <si>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</si>
  <si>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</si>
  <si>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</si>
  <si>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</si>
  <si>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</si>
  <si>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</si>
  <si>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</si>
  <si>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</si>
  <si>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</si>
  <si>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</si>
  <si>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</si>
  <si>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</si>
  <si>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</si>
  <si>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</si>
  <si>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</si>
  <si>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</si>
  <si>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</si>
  <si>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</si>
  <si>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</si>
  <si>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</si>
  <si>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</si>
  <si>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</si>
  <si>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</si>
  <si>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</si>
  <si>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</si>
  <si>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</si>
  <si>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</si>
  <si>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</si>
  <si>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</si>
  <si>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</si>
  <si>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</si>
  <si>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</si>
  <si>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</si>
  <si>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</si>
  <si>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</si>
  <si>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</si>
  <si>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</si>
  <si>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</si>
  <si>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</si>
  <si>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</si>
  <si>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</si>
  <si>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</si>
  <si>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</si>
  <si>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</si>
  <si>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</si>
  <si>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</si>
  <si>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</si>
  <si>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</si>
  <si>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</si>
  <si>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</si>
  <si>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</si>
  <si>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</si>
  <si>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</si>
  <si>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</si>
  <si>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</si>
  <si>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</si>
  <si>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</si>
  <si>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</si>
  <si>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</si>
  <si>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</si>
  <si>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</si>
  <si>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</si>
  <si>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</si>
  <si>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</si>
  <si>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</si>
  <si>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</si>
  <si>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</si>
  <si>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</si>
  <si>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</si>
  <si>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</si>
  <si>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</si>
  <si>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</si>
  <si>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</si>
  <si>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</si>
  <si>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</si>
  <si>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</si>
  <si>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</si>
  <si>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</si>
  <si>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</si>
  <si>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</si>
  <si>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</si>
  <si>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</si>
  <si>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</si>
  <si>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</si>
  <si>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</si>
  <si>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</si>
  <si>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</si>
  <si>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</si>
  <si>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</si>
  <si>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</si>
  <si>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</si>
  <si>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</si>
  <si>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</si>
  <si>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</si>
  <si>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</si>
  <si>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</si>
  <si>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</si>
  <si>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</si>
  <si>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</si>
  <si>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</si>
  <si>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</si>
  <si>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</si>
  <si>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</si>
  <si>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</si>
  <si>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</si>
  <si>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</si>
  <si>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</si>
  <si>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</si>
  <si>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</si>
  <si>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</si>
  <si>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</si>
  <si>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</si>
  <si>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</si>
  <si>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</si>
  <si>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</si>
  <si>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</si>
  <si>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</si>
  <si>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</si>
  <si>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</si>
  <si>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</si>
  <si>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</si>
  <si>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</si>
  <si>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</si>
  <si>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</si>
  <si>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</si>
  <si>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</si>
  <si>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</si>
  <si>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</si>
  <si>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</si>
  <si>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</si>
  <si>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</si>
  <si>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</si>
  <si>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</si>
  <si>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</si>
  <si>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</si>
  <si>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</si>
  <si>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</si>
  <si>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</si>
  <si>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</si>
  <si>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</si>
  <si>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</si>
  <si>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</si>
  <si>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</si>
  <si>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</si>
  <si>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</si>
  <si>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</si>
  <si>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</si>
  <si>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</si>
  <si>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</si>
  <si>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</si>
  <si>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</si>
  <si>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</si>
  <si>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</si>
  <si>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</si>
  <si>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</si>
  <si>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</si>
  <si>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</si>
  <si>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</si>
  <si>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</si>
  <si>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</si>
  <si>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</si>
  <si>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</si>
  <si>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</si>
  <si>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</si>
  <si>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</si>
  <si>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</si>
  <si>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</si>
  <si>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</si>
  <si>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</si>
  <si>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</si>
  <si>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</si>
  <si>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</si>
  <si>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</si>
  <si>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</si>
  <si>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</si>
  <si>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</si>
  <si>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</si>
  <si>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</si>
  <si>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</si>
  <si>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</si>
  <si>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</si>
  <si>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</si>
  <si>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</si>
  <si>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</si>
  <si>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</si>
  <si>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</si>
  <si>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</si>
  <si>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</si>
  <si>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</si>
  <si>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</si>
  <si>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</si>
  <si>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</si>
  <si>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</si>
  <si>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</si>
  <si>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</si>
  <si>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</si>
  <si>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</si>
  <si>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</si>
  <si>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</si>
  <si>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</si>
  <si>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</si>
  <si>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</si>
  <si>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</si>
  <si>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</si>
  <si>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</si>
  <si>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</si>
  <si>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</si>
  <si>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</si>
  <si>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</si>
  <si>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</si>
  <si>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</si>
  <si>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</si>
  <si>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</si>
  <si>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</si>
  <si>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</si>
  <si>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</si>
  <si>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</si>
  <si>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</si>
  <si>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</si>
  <si>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</si>
  <si>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</si>
  <si>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</si>
  <si>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</si>
  <si>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</si>
  <si>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</si>
  <si>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</si>
  <si>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</si>
  <si>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</si>
  <si>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</si>
  <si>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</si>
  <si>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</si>
  <si>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</si>
  <si>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</si>
  <si>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</si>
  <si>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</si>
  <si>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</si>
  <si>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</si>
  <si>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</si>
  <si>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</si>
  <si>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</si>
  <si>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</si>
  <si>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</si>
  <si>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</si>
  <si>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</si>
  <si>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</si>
  <si>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</si>
  <si>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</si>
  <si>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</si>
  <si>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</si>
  <si>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</si>
  <si>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</si>
  <si>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</si>
  <si>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</si>
  <si>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</si>
  <si>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</si>
  <si>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</si>
  <si>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</si>
  <si>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</si>
  <si>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</si>
  <si>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</si>
  <si>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</si>
  <si>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</si>
  <si>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</si>
  <si>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</si>
  <si>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</si>
  <si>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</si>
  <si>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</si>
  <si>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</si>
  <si>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</si>
  <si>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</si>
  <si>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</si>
  <si>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</si>
  <si>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</si>
  <si>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</si>
  <si>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</si>
  <si>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</si>
  <si>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</si>
  <si>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</si>
  <si>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</si>
  <si>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</si>
  <si>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</si>
  <si>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</si>
  <si>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</si>
  <si>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</si>
  <si>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</si>
  <si>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</si>
  <si>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</si>
  <si>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</si>
  <si>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</si>
  <si>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</si>
  <si>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</si>
  <si>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</si>
  <si>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</si>
  <si>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</si>
  <si>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</si>
  <si>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</si>
  <si>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</si>
  <si>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</si>
  <si>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</si>
  <si>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</si>
  <si>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</si>
  <si>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</si>
  <si>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</si>
  <si>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</si>
  <si>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</si>
  <si>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</si>
  <si>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</si>
  <si>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</si>
  <si>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</si>
  <si>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</si>
  <si>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</si>
  <si>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</si>
  <si>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</si>
  <si>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</si>
  <si>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</si>
  <si>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</si>
  <si>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</si>
  <si>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</si>
  <si>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</si>
  <si>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</si>
  <si>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</si>
  <si>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</si>
  <si>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</si>
  <si>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</si>
  <si>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</si>
  <si>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</si>
  <si>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</si>
  <si>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</si>
  <si>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</si>
  <si>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</si>
  <si>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</si>
  <si>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</si>
  <si>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</si>
  <si>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</si>
  <si>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</si>
  <si>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</si>
  <si>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</si>
  <si>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</si>
  <si>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</si>
  <si>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</si>
  <si>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</si>
  <si>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</si>
  <si>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</si>
  <si>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</si>
  <si>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</si>
  <si>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</si>
  <si>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</si>
  <si>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</si>
  <si>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</si>
  <si>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</si>
  <si>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</si>
  <si>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</si>
  <si>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</si>
  <si>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</si>
  <si>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</si>
  <si>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</si>
  <si>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</si>
  <si>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</si>
  <si>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</si>
  <si>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</si>
  <si>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</si>
  <si>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</si>
  <si>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</si>
  <si>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</si>
  <si>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</si>
  <si>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</si>
  <si>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</si>
  <si>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</si>
  <si>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</si>
  <si>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</si>
  <si>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</si>
  <si>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</si>
  <si>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</si>
  <si>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</si>
  <si>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</si>
  <si>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</si>
  <si>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</si>
  <si>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</si>
  <si>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</si>
  <si>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</si>
  <si>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</si>
  <si>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</si>
  <si>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</si>
  <si>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</si>
  <si>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</si>
  <si>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</si>
  <si>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</si>
  <si>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</si>
  <si>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</si>
  <si>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</si>
  <si>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</si>
  <si>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</si>
  <si>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</si>
  <si>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</si>
  <si>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</si>
  <si>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</si>
  <si>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</si>
  <si>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</si>
  <si>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</si>
  <si>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</si>
  <si>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</si>
  <si>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</si>
  <si>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</si>
  <si>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</si>
  <si>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</si>
  <si>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</si>
  <si>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</si>
  <si>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</si>
  <si>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</si>
  <si>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</si>
  <si>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</si>
  <si>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</si>
  <si>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</si>
  <si>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</si>
  <si>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</si>
  <si>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</si>
  <si>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</si>
  <si>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</si>
  <si>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</si>
  <si>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</si>
  <si>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</si>
  <si>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</si>
  <si>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</si>
  <si>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</si>
  <si>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</si>
  <si>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</si>
  <si>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</si>
  <si>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</si>
  <si>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</si>
  <si>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</si>
  <si>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</si>
  <si>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</si>
  <si>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</si>
  <si>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</si>
  <si>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</si>
  <si>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</si>
  <si>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</si>
  <si>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</si>
  <si>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</si>
  <si>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</si>
  <si>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</si>
  <si>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</si>
  <si>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</si>
  <si>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</si>
  <si>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</si>
  <si>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</si>
  <si>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</si>
  <si>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</si>
  <si>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</si>
  <si>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</si>
  <si>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</si>
  <si>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</si>
  <si>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</si>
  <si>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</si>
  <si>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</si>
  <si>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</si>
  <si>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</si>
  <si>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</si>
  <si>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</si>
  <si>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</si>
  <si>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</si>
  <si>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</si>
  <si>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</si>
  <si>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</si>
  <si>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</si>
  <si>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</si>
  <si>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</si>
  <si>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</si>
  <si>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</si>
  <si>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</si>
  <si>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</si>
  <si>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</si>
  <si>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</si>
  <si>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</si>
  <si>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</si>
  <si>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</si>
  <si>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</si>
  <si>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</si>
  <si>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</si>
  <si>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</si>
  <si>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</si>
  <si>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</si>
  <si>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</si>
  <si>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</si>
  <si>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</si>
  <si>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</si>
  <si>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</si>
  <si>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</si>
  <si>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</si>
  <si>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</si>
  <si>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</si>
  <si>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</si>
  <si>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</si>
  <si>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</si>
  <si>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</si>
  <si>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</si>
  <si>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</si>
  <si>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</si>
  <si>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</si>
  <si>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</si>
  <si>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</si>
  <si>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</si>
  <si>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</si>
  <si>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</si>
  <si>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</si>
  <si>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</si>
  <si>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</si>
  <si>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</si>
  <si>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</si>
  <si>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</si>
  <si>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</si>
  <si>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</si>
  <si>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</si>
  <si>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</si>
  <si>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</si>
  <si>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</si>
  <si>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</si>
  <si>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</si>
  <si>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</si>
  <si>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</si>
  <si>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</si>
  <si>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</si>
  <si>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</si>
  <si>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</si>
  <si>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</si>
  <si>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</si>
  <si>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</si>
  <si>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</si>
  <si>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</si>
  <si>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</si>
  <si>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</si>
  <si>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</si>
  <si>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</si>
  <si>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</si>
  <si>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</si>
  <si>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</si>
  <si>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</si>
  <si>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</si>
  <si>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</si>
  <si>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</si>
  <si>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</si>
  <si>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</si>
  <si>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</si>
  <si>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</si>
  <si>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</si>
  <si>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</si>
  <si>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</si>
  <si>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</si>
  <si>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</si>
  <si>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</si>
  <si>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</si>
  <si>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</si>
  <si>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</si>
  <si>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</si>
  <si>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</si>
  <si>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</si>
  <si>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</si>
  <si>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</si>
  <si>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</si>
  <si>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</si>
  <si>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</si>
  <si>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</si>
  <si>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</si>
  <si>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</si>
  <si>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</si>
  <si>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</si>
  <si>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</si>
  <si>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</si>
  <si>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</si>
  <si>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</si>
  <si>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</si>
  <si>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</si>
  <si>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</si>
  <si>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</si>
  <si>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</si>
  <si>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</si>
  <si>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</si>
  <si>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</si>
  <si>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</si>
  <si>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</si>
  <si>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</si>
  <si>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</si>
  <si>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</si>
  <si>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</si>
  <si>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</si>
  <si>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</si>
  <si>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</si>
  <si>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</si>
  <si>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</si>
  <si>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</si>
  <si>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</si>
  <si>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</si>
  <si>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</si>
  <si>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</si>
  <si>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</si>
  <si>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</si>
  <si>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</si>
  <si>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</si>
  <si>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</si>
  <si>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</si>
  <si>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</si>
  <si>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</si>
  <si>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</si>
  <si>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</si>
  <si>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</si>
  <si>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</si>
  <si>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</si>
  <si>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</si>
  <si>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</si>
  <si>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</si>
  <si>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</si>
  <si>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</si>
  <si>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</si>
  <si>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</si>
  <si>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</si>
  <si>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</si>
  <si>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</si>
  <si>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</si>
  <si>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</si>
  <si>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</si>
  <si>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</si>
  <si>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</si>
  <si>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</si>
  <si>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</si>
  <si>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</si>
  <si>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</si>
  <si>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</si>
  <si>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</si>
  <si>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</si>
  <si>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</si>
  <si>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</si>
  <si>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</si>
  <si>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</si>
  <si>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</si>
  <si>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</si>
  <si>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</si>
  <si>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</si>
  <si>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</si>
  <si>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</si>
  <si>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</si>
  <si>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</si>
  <si>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</si>
  <si>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</si>
  <si>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</si>
  <si>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</si>
  <si>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</si>
  <si>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</si>
  <si>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</si>
  <si>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</si>
  <si>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</si>
  <si>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</si>
  <si>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</si>
  <si>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</si>
  <si>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</si>
  <si>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</si>
  <si>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</si>
  <si>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</si>
  <si>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</si>
  <si>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</si>
  <si>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</si>
  <si>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</si>
  <si>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</si>
  <si>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</si>
  <si>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</si>
  <si>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</si>
  <si>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</si>
  <si>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</si>
  <si>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</si>
  <si>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</si>
  <si>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</si>
  <si>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</si>
  <si>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</si>
  <si>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</si>
  <si>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</si>
  <si>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</si>
  <si>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</si>
  <si>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</si>
  <si>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</si>
  <si>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</si>
  <si>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</si>
  <si>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</si>
  <si>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</si>
  <si>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</si>
  <si>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</si>
  <si>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</si>
  <si>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</si>
  <si>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</si>
  <si>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</si>
  <si>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</si>
  <si>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</si>
  <si>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</si>
  <si>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</si>
  <si>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</si>
  <si>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</si>
  <si>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</si>
  <si>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</si>
  <si>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</si>
  <si>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</si>
  <si>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</si>
  <si>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</si>
  <si>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</si>
  <si>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</si>
  <si>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</si>
  <si>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</si>
  <si>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</si>
  <si>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</si>
  <si>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</si>
  <si>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</si>
  <si>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</si>
  <si>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</si>
  <si>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</si>
  <si>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</si>
  <si>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</si>
  <si>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</si>
  <si>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</si>
  <si>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</si>
  <si>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</si>
  <si>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</si>
  <si>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</si>
  <si>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</si>
  <si>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</si>
  <si>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</si>
  <si>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</si>
  <si>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</si>
  <si>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</si>
  <si>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</si>
  <si>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</si>
  <si>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</si>
  <si>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</si>
  <si>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</si>
  <si>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</si>
  <si>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</si>
  <si>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</si>
  <si>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</si>
  <si>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</si>
  <si>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</si>
  <si>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</si>
  <si>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</si>
  <si>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</si>
  <si>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</si>
  <si>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</si>
  <si>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</si>
  <si>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</si>
  <si>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</si>
  <si>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</si>
  <si>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</si>
  <si>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</si>
  <si>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</si>
  <si>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</si>
  <si>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</si>
  <si>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</si>
  <si>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</si>
  <si>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</si>
  <si>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</si>
  <si>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</si>
  <si>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</si>
  <si>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</si>
  <si>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</si>
  <si>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</si>
  <si>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</si>
  <si>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</si>
  <si>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</si>
  <si>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</si>
  <si>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</si>
  <si>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</si>
  <si>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</si>
  <si>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</si>
  <si>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</si>
  <si>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</si>
  <si>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</si>
  <si>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</si>
  <si>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</si>
  <si>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</si>
  <si>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</si>
  <si>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</si>
  <si>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</si>
  <si>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</si>
  <si>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</si>
  <si>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</si>
  <si>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</si>
  <si>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</si>
  <si>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</si>
  <si>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</si>
  <si>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</si>
  <si>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</si>
  <si>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</si>
  <si>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</si>
  <si>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</si>
  <si>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</si>
  <si>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</si>
  <si>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</si>
  <si>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</si>
  <si>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</si>
  <si>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</si>
  <si>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</si>
  <si>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</si>
  <si>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</si>
  <si>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</si>
  <si>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</si>
  <si>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</si>
  <si>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</si>
  <si>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</si>
  <si>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</si>
  <si>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</si>
  <si>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</si>
  <si>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</si>
  <si>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</si>
  <si>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</si>
  <si>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</si>
  <si>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</si>
  <si>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</si>
  <si>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</si>
  <si>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</si>
  <si>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</si>
  <si>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</si>
  <si>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</si>
  <si>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</si>
  <si>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</si>
  <si>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</si>
  <si>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</si>
  <si>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</si>
  <si>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</si>
  <si>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</si>
  <si>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</si>
  <si>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</si>
  <si>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</si>
  <si>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</si>
  <si>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</si>
  <si>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</si>
  <si>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</si>
  <si>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</si>
  <si>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</si>
  <si>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</si>
  <si>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</si>
  <si>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</si>
  <si>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</si>
  <si>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</si>
  <si>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</si>
  <si>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</si>
  <si>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</si>
  <si>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</si>
  <si>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</si>
  <si>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</si>
  <si>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</si>
  <si>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</si>
  <si>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</si>
  <si>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</si>
  <si>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</si>
  <si>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</si>
  <si>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</si>
  <si>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</si>
  <si>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</si>
  <si>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</si>
  <si>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</si>
  <si>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</si>
  <si>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</si>
  <si>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</si>
  <si>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</si>
  <si>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</si>
  <si>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</si>
  <si>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</si>
  <si>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</si>
  <si>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</si>
  <si>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</si>
  <si>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</si>
  <si>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</si>
  <si>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</si>
  <si>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</si>
  <si>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</si>
  <si>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</si>
  <si>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</si>
  <si>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</si>
  <si>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</si>
  <si>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</si>
  <si>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</si>
  <si>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</si>
  <si>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</si>
  <si>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</si>
  <si>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</si>
  <si>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</si>
  <si>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</si>
  <si>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</si>
  <si>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</si>
  <si>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</si>
  <si>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</si>
  <si>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</si>
  <si>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</si>
  <si>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</si>
  <si>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</si>
  <si>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</si>
  <si>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</si>
  <si>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</si>
  <si>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</si>
  <si>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</si>
  <si>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</si>
  <si>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</si>
  <si>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</si>
  <si>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</si>
  <si>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</si>
  <si>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</si>
  <si>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</si>
  <si>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</si>
  <si>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</si>
  <si>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</si>
  <si>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</si>
  <si>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</si>
  <si>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</si>
  <si>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</si>
  <si>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</si>
  <si>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</si>
  <si>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</si>
  <si>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</si>
  <si>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</si>
  <si>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</si>
  <si>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</si>
  <si>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</si>
  <si>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</si>
  <si>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</si>
  <si>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</si>
  <si>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</si>
  <si>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</si>
  <si>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</si>
  <si>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</si>
  <si>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</si>
  <si>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</si>
  <si>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</si>
  <si>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</si>
  <si>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</si>
  <si>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</si>
  <si>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</si>
  <si>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</si>
  <si>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</si>
  <si>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</si>
  <si>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</si>
  <si>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</si>
  <si>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</si>
  <si>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</si>
  <si>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</si>
  <si>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</si>
  <si>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</si>
  <si>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</si>
  <si>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</si>
  <si>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</si>
  <si>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</si>
  <si>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</si>
  <si>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</si>
  <si>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</si>
  <si>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</si>
  <si>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</si>
  <si>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</si>
  <si>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</si>
  <si>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</si>
  <si>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</si>
  <si>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</si>
  <si>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</si>
  <si>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</si>
  <si>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</si>
  <si>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</si>
  <si>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</si>
  <si>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</si>
  <si>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</si>
  <si>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</si>
  <si>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</si>
  <si>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</si>
  <si>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</si>
  <si>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</si>
  <si>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</si>
  <si>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</si>
  <si>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</si>
  <si>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</si>
  <si>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</si>
  <si>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</si>
  <si>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</si>
  <si>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</si>
  <si>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</si>
  <si>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</si>
  <si>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</si>
  <si>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</si>
  <si>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</si>
  <si>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</si>
  <si>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</si>
  <si>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</si>
  <si>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</si>
  <si>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</si>
  <si>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</si>
  <si>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</si>
  <si>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</si>
  <si>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</si>
  <si>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</si>
  <si>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</si>
  <si>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</si>
  <si>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</si>
  <si>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</si>
  <si>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</si>
  <si>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</si>
  <si>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</si>
  <si>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</si>
  <si>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</si>
  <si>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</si>
  <si>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</si>
  <si>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</si>
  <si>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</si>
  <si>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</si>
  <si>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</si>
  <si>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</si>
  <si>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</si>
  <si>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</si>
  <si>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</si>
  <si>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</si>
  <si>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</si>
  <si>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</si>
  <si>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</si>
  <si>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</si>
  <si>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</si>
  <si>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</si>
  <si>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</si>
  <si>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</si>
  <si>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</si>
  <si>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</si>
  <si>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</si>
  <si>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</si>
  <si>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</si>
  <si>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</si>
  <si>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</si>
  <si>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</si>
  <si>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</si>
  <si>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</si>
  <si>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</si>
  <si>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</si>
  <si>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</si>
  <si>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</si>
  <si>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</si>
  <si>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</si>
  <si>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</si>
  <si>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</si>
  <si>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</si>
  <si>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</si>
  <si>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</si>
  <si>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</si>
  <si>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</si>
  <si>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</si>
  <si>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</si>
  <si>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</si>
  <si>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</si>
  <si>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</si>
  <si>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</si>
  <si>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</si>
  <si>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</si>
  <si>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</si>
  <si>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</si>
  <si>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</si>
  <si>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</si>
  <si>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</si>
  <si>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</si>
  <si>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</si>
  <si>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</si>
  <si>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</si>
  <si>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</si>
  <si>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</si>
  <si>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</si>
  <si>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</si>
  <si>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</si>
  <si>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</si>
  <si>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</si>
  <si>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</si>
  <si>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</si>
  <si>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</si>
  <si>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</si>
  <si>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</si>
  <si>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</si>
  <si>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</si>
  <si>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</si>
  <si>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</si>
  <si>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</si>
  <si>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</si>
  <si>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</si>
  <si>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</si>
  <si>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</si>
  <si>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</si>
  <si>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</si>
  <si>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</si>
  <si>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</si>
  <si>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</si>
  <si>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</si>
  <si>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</si>
  <si>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</si>
  <si>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</si>
  <si>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</si>
  <si>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</si>
  <si>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</si>
  <si>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</si>
  <si>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</si>
  <si>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</si>
  <si>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</si>
  <si>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</si>
  <si>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</si>
  <si>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</si>
  <si>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</si>
  <si>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</si>
  <si>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</si>
  <si>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</si>
  <si>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</si>
  <si>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</si>
  <si>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</si>
  <si>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</si>
  <si>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</si>
  <si>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</si>
  <si>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</si>
  <si>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</si>
  <si>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</si>
  <si>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</si>
  <si>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</si>
  <si>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</si>
  <si>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</si>
  <si>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</si>
  <si>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</si>
  <si>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</si>
  <si>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</si>
  <si>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</si>
  <si>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</si>
  <si>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</si>
  <si>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</si>
  <si>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</si>
  <si>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</si>
  <si>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</si>
  <si>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</si>
  <si>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</si>
  <si>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</si>
  <si>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</si>
  <si>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</si>
  <si>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</si>
  <si>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</si>
  <si>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</si>
  <si>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</si>
  <si>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</si>
  <si>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</si>
  <si>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</si>
  <si>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</si>
  <si>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</si>
  <si>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</si>
  <si>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</si>
  <si>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</si>
  <si>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</si>
  <si>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</si>
  <si>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</si>
  <si>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</si>
  <si>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</si>
  <si>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</si>
  <si>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</si>
  <si>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</si>
  <si>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</si>
  <si>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</si>
  <si>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</si>
  <si>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</si>
  <si>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</si>
  <si>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</si>
  <si>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</si>
  <si>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</si>
  <si>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</si>
  <si>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</si>
  <si>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</si>
  <si>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</si>
  <si>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</si>
  <si>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</si>
  <si>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</si>
  <si>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</si>
  <si>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</si>
  <si>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</si>
  <si>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</si>
  <si>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</si>
  <si>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</si>
  <si>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</si>
  <si>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</si>
  <si>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</si>
  <si>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</si>
  <si>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</si>
  <si>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</si>
  <si>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</si>
  <si>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</si>
  <si>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</si>
  <si>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</si>
  <si>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</si>
  <si>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</si>
  <si>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</si>
  <si>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</si>
  <si>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</si>
  <si>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</si>
  <si>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</si>
  <si>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</si>
  <si>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</si>
  <si>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</si>
  <si>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</si>
  <si>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</si>
  <si>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</si>
  <si>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</si>
  <si>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</si>
  <si>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</si>
  <si>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</si>
  <si>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</si>
  <si>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</si>
  <si>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</si>
  <si>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</si>
  <si>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</si>
  <si>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</si>
  <si>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</si>
  <si>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</si>
  <si>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</si>
  <si>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</si>
  <si>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</si>
  <si>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</si>
  <si>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</si>
  <si>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</si>
  <si>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</si>
  <si>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</si>
  <si>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</si>
  <si>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</si>
  <si>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</si>
  <si>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</si>
  <si>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</si>
  <si>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</si>
  <si>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</si>
  <si>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</si>
  <si>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</si>
  <si>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</si>
  <si>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</si>
  <si>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</si>
  <si>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</si>
  <si>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</si>
  <si>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</si>
  <si>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</si>
  <si>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</si>
  <si>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</si>
  <si>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</si>
  <si>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</si>
  <si>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</si>
  <si>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</si>
  <si>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</si>
  <si>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</si>
  <si>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</si>
  <si>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</si>
  <si>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</si>
  <si>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</si>
  <si>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</si>
  <si>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</si>
  <si>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</si>
  <si>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</si>
  <si>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</si>
  <si>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</si>
  <si>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</si>
  <si>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</si>
  <si>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</si>
  <si>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</si>
  <si>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</si>
  <si>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</si>
  <si>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</si>
  <si>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</si>
  <si>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</si>
  <si>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</si>
  <si>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</si>
  <si>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</si>
  <si>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</si>
  <si>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</si>
  <si>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</si>
  <si>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</si>
  <si>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</si>
  <si>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</si>
  <si>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</si>
  <si>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</si>
  <si>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</si>
  <si>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</si>
  <si>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</si>
  <si>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</si>
  <si>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</si>
  <si>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</si>
  <si>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</si>
  <si>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</si>
  <si>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</si>
  <si>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</si>
  <si>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</si>
  <si>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</si>
  <si>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</si>
  <si>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</si>
  <si>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</si>
  <si>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</si>
  <si>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</si>
  <si>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</si>
  <si>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</si>
  <si>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</si>
  <si>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</si>
  <si>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</si>
  <si>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</si>
  <si>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</si>
  <si>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</si>
  <si>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</si>
  <si>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</si>
  <si>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</si>
  <si>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</si>
  <si>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</si>
  <si>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</si>
  <si>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</si>
  <si>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</si>
  <si>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</si>
  <si>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</si>
  <si>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</si>
  <si>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</si>
  <si>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</si>
  <si>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</si>
  <si>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</si>
  <si>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</si>
  <si>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</si>
  <si>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</si>
  <si>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</si>
  <si>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</si>
  <si>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</si>
  <si>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</si>
  <si>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</si>
  <si>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</si>
  <si>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</si>
  <si>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</si>
  <si>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</si>
  <si>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</si>
  <si>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</si>
  <si>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</si>
  <si>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</si>
  <si>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</si>
  <si>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</si>
  <si>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</si>
  <si>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</si>
  <si>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</si>
  <si>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</si>
  <si>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</si>
  <si>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</si>
  <si>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</si>
  <si>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</si>
  <si>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</si>
  <si>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</si>
  <si>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</si>
  <si>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</si>
  <si>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</si>
  <si>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</si>
  <si>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</si>
  <si>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</si>
  <si>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</si>
  <si>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</si>
  <si>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</si>
  <si>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</si>
  <si>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</si>
  <si>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</si>
  <si>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</si>
  <si>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</si>
  <si>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</si>
  <si>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</si>
  <si>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</si>
  <si>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</si>
  <si>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</si>
  <si>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</si>
  <si>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</si>
  <si>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</si>
  <si>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</si>
  <si>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</si>
  <si>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</si>
  <si>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</si>
  <si>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</si>
  <si>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</si>
  <si>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</si>
  <si>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</si>
  <si>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</si>
  <si>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</si>
  <si>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</si>
  <si>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</si>
  <si>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</si>
  <si>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</si>
  <si>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</si>
  <si>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</si>
  <si>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</si>
  <si>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</si>
  <si>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</si>
  <si>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</si>
  <si>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</si>
  <si>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</si>
  <si>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</si>
  <si>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</si>
  <si>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</si>
  <si>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</si>
  <si>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</si>
  <si>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</si>
  <si>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</si>
  <si>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</si>
  <si>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</si>
  <si>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</si>
  <si>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</si>
  <si>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</si>
  <si>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</si>
  <si>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</si>
  <si>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</si>
  <si>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</si>
  <si>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</si>
  <si>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</si>
  <si>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</si>
  <si>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</si>
  <si>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</si>
  <si>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</si>
  <si>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</si>
  <si>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</si>
  <si>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</si>
  <si>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</si>
  <si>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</si>
  <si>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</si>
  <si>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</si>
  <si>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</si>
  <si>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</si>
  <si>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</si>
  <si>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</si>
  <si>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</si>
  <si>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</si>
  <si>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</si>
  <si>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</si>
  <si>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</si>
  <si>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</si>
  <si>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</si>
  <si>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</si>
  <si>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</si>
  <si>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</si>
  <si>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</si>
  <si>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</si>
  <si>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</si>
  <si>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</si>
  <si>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</si>
  <si>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</si>
  <si>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</si>
  <si>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</si>
  <si>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</si>
  <si>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</si>
  <si>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</si>
  <si>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</si>
  <si>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</si>
  <si>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</si>
  <si>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</si>
  <si>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</si>
  <si>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</si>
  <si>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</si>
  <si>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</si>
  <si>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</si>
  <si>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</si>
  <si>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</si>
  <si>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</si>
  <si>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</si>
  <si>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</si>
  <si>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</si>
  <si>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</si>
  <si>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</si>
  <si>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</si>
  <si>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</si>
  <si>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</si>
  <si>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</si>
  <si>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</si>
  <si>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</si>
  <si>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</si>
  <si>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</si>
  <si>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</si>
  <si>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</si>
  <si>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</si>
  <si>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</si>
  <si>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</si>
  <si>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</si>
  <si>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</si>
  <si>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</si>
  <si>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</si>
  <si>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</si>
  <si>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</si>
  <si>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</si>
  <si>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</si>
  <si>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</si>
  <si>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</si>
  <si>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</si>
  <si>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</si>
  <si>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</si>
  <si>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</si>
  <si>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</si>
  <si>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</si>
  <si>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</si>
  <si>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</si>
  <si>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</si>
  <si>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</si>
  <si>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</si>
  <si>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</si>
  <si>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</si>
  <si>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</si>
  <si>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</si>
  <si>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</si>
  <si>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</si>
  <si>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</si>
  <si>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</si>
  <si>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</si>
  <si>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</si>
  <si>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</si>
  <si>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</si>
  <si>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</si>
  <si>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</si>
  <si>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</si>
  <si>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</si>
  <si>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</si>
  <si>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</si>
  <si>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</si>
  <si>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</si>
  <si>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</si>
  <si>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</si>
  <si>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</si>
  <si>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</si>
  <si>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</si>
  <si>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</si>
  <si>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</si>
  <si>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</si>
  <si>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</si>
  <si>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</si>
  <si>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</si>
  <si>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</si>
  <si>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</si>
  <si>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</si>
  <si>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</si>
  <si>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</si>
  <si>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</si>
  <si>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</si>
  <si>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</si>
  <si>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</si>
  <si>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</si>
  <si>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</si>
  <si>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</si>
  <si>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</si>
  <si>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</si>
  <si>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</si>
  <si>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</si>
  <si>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</si>
  <si>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</si>
  <si>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</si>
  <si>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</si>
  <si>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</si>
  <si>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</si>
  <si>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</si>
  <si>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</si>
  <si>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</si>
  <si>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</si>
  <si>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</si>
  <si>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</si>
  <si>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</si>
  <si>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</si>
  <si>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</si>
  <si>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</si>
  <si>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</si>
  <si>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</si>
  <si>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</si>
  <si>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</si>
  <si>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</si>
  <si>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</si>
  <si>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</si>
  <si>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</si>
  <si>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</si>
  <si>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</si>
  <si>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</si>
  <si>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</si>
  <si>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</si>
  <si>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</si>
  <si>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</si>
  <si>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</si>
  <si>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</si>
  <si>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</si>
  <si>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</si>
  <si>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</si>
  <si>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</si>
  <si>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</si>
  <si>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</si>
  <si>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</si>
  <si>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</si>
  <si>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</si>
  <si>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</si>
  <si>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</si>
  <si>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</si>
  <si>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</si>
  <si>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</si>
  <si>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</si>
  <si>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</si>
  <si>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</si>
  <si>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</si>
  <si>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</si>
  <si>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</si>
  <si>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</si>
  <si>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</si>
  <si>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</si>
  <si>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</si>
  <si>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</si>
  <si>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</si>
  <si>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</si>
  <si>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</si>
  <si>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</si>
  <si>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</si>
  <si>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</si>
  <si>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</si>
  <si>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</si>
  <si>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</si>
  <si>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</si>
  <si>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</si>
  <si>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</si>
  <si>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</si>
  <si>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</si>
  <si>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</si>
  <si>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</si>
  <si>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</si>
  <si>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</si>
  <si>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</si>
  <si>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</si>
  <si>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</si>
  <si>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</si>
  <si>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</si>
  <si>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</si>
  <si>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</si>
  <si>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</si>
  <si>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</si>
  <si>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</si>
  <si>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</si>
  <si>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</si>
  <si>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</si>
  <si>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</si>
  <si>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</si>
  <si>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</si>
  <si>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</si>
  <si>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</si>
  <si>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</si>
  <si>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</si>
  <si>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</si>
  <si>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</si>
  <si>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</si>
  <si>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</si>
  <si>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</si>
  <si>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</si>
  <si>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</si>
  <si>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</si>
  <si>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</si>
  <si>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</si>
  <si>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</si>
  <si>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</si>
  <si>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</si>
  <si>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</si>
  <si>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</si>
  <si>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</si>
  <si>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</si>
  <si>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</si>
  <si>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</si>
  <si>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</si>
  <si>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</si>
  <si>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</si>
  <si>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</si>
  <si>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</si>
  <si>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</si>
  <si>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</si>
  <si>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</si>
  <si>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</si>
  <si>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</si>
  <si>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</si>
  <si>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</si>
  <si>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</si>
  <si>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</si>
  <si>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</si>
  <si>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</si>
  <si>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</si>
  <si>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</si>
  <si>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</si>
  <si>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</si>
  <si>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</si>
  <si>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</si>
  <si>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</si>
  <si>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</si>
  <si>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</si>
  <si>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</si>
  <si>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</si>
  <si>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</si>
  <si>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</si>
  <si>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</si>
  <si>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</si>
  <si>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</si>
  <si>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</si>
  <si>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</si>
  <si>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</si>
  <si>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</si>
  <si>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</si>
  <si>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</si>
  <si>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</si>
  <si>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</si>
  <si>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</si>
  <si>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</si>
  <si>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</si>
  <si>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</si>
  <si>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</si>
  <si>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</si>
  <si>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</si>
  <si>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</si>
  <si>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</si>
  <si>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</si>
  <si>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</si>
  <si>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</si>
  <si>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</si>
  <si>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</si>
  <si>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</si>
  <si>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</si>
  <si>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</si>
  <si>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</si>
  <si>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</si>
  <si>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</si>
  <si>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</si>
  <si>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</si>
  <si>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</si>
  <si>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</si>
  <si>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</si>
  <si>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</si>
  <si>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</si>
  <si>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</si>
  <si>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</si>
  <si>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</si>
  <si>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</si>
  <si>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</si>
  <si>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</si>
  <si>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</si>
  <si>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</si>
  <si>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</si>
  <si>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</si>
  <si>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</si>
  <si>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</si>
  <si>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</si>
  <si>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</si>
  <si>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</si>
  <si>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</si>
  <si>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</si>
  <si>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</si>
  <si>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</si>
  <si>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</si>
  <si>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</si>
  <si>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</si>
  <si>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</si>
  <si>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</si>
  <si>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</si>
  <si>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</si>
  <si>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</si>
  <si>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</si>
  <si>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</si>
  <si>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</si>
  <si>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</si>
  <si>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</si>
  <si>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</si>
  <si>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</si>
  <si>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</si>
  <si>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</si>
  <si>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</si>
  <si>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</si>
  <si>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</si>
  <si>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</si>
  <si>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</si>
  <si>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</si>
  <si>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</si>
  <si>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</si>
  <si>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</si>
  <si>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</si>
  <si>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</si>
  <si>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</si>
  <si>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</si>
  <si>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</si>
  <si>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</si>
  <si>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</si>
  <si>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</si>
  <si>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</si>
  <si>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</si>
  <si>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</si>
  <si>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</si>
  <si>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</si>
  <si>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</si>
  <si>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</si>
  <si>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</si>
  <si>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</si>
  <si>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</si>
  <si>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</si>
  <si>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</si>
  <si>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</si>
  <si>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</si>
  <si>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</si>
  <si>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</si>
  <si>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</si>
  <si>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</si>
  <si>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</si>
  <si>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</si>
  <si>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</si>
  <si>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</si>
  <si>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</si>
  <si>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</si>
  <si>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</si>
  <si>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</si>
  <si>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</si>
  <si>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</si>
  <si>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</si>
  <si>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</si>
  <si>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</si>
  <si>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</si>
  <si>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</si>
  <si>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</si>
  <si>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</si>
  <si>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</si>
  <si>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</si>
  <si>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</si>
  <si>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</si>
  <si>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</si>
  <si>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</si>
  <si>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</si>
  <si>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</si>
  <si>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</si>
  <si>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</si>
  <si>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</si>
  <si>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</si>
  <si>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</si>
  <si>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</si>
  <si>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</si>
  <si>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</si>
  <si>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</si>
  <si>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</si>
  <si>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</si>
  <si>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</si>
  <si>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</si>
  <si>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</si>
  <si>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</si>
  <si>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</si>
  <si>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</si>
  <si>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</si>
  <si>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</si>
  <si>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</si>
  <si>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</si>
  <si>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</si>
  <si>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</si>
  <si>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</si>
  <si>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</si>
  <si>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</si>
  <si>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</si>
  <si>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</si>
  <si>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</si>
  <si>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</si>
  <si>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</si>
  <si>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</si>
  <si>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</si>
  <si>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</si>
  <si>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</si>
  <si>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</si>
  <si>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</si>
  <si>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</si>
  <si>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</si>
  <si>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</si>
  <si>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</si>
  <si>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</si>
  <si>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</si>
  <si>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</si>
  <si>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</si>
  <si>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</si>
  <si>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</si>
  <si>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</si>
  <si>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</si>
  <si>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</si>
  <si>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</si>
  <si>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</si>
  <si>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</si>
  <si>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</si>
  <si>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</si>
  <si>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</si>
  <si>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</si>
  <si>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</si>
  <si>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</si>
  <si>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</si>
  <si>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</si>
  <si>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</si>
  <si>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</si>
  <si>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</si>
  <si>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</si>
  <si>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</si>
  <si>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</si>
  <si>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</si>
  <si>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</si>
  <si>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</si>
  <si>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</si>
  <si>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</si>
  <si>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</si>
  <si>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</si>
  <si>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</si>
  <si>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</si>
  <si>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</si>
  <si>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</si>
  <si>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</si>
  <si>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</si>
  <si>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</si>
  <si>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</si>
  <si>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</si>
  <si>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</si>
  <si>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</si>
  <si>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</si>
  <si>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</si>
  <si>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</si>
  <si>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</si>
  <si>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</si>
  <si>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</si>
  <si>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</si>
  <si>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</si>
  <si>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</si>
  <si>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</si>
  <si>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</si>
  <si>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</si>
  <si>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</si>
  <si>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</si>
  <si>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</si>
  <si>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</si>
  <si>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</si>
  <si>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</si>
  <si>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</si>
  <si>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</si>
  <si>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</si>
  <si>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</si>
  <si>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</si>
  <si>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</si>
  <si>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</si>
  <si>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</si>
  <si>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</si>
  <si>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</si>
  <si>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</si>
  <si>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</si>
  <si>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</si>
  <si>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</si>
  <si>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</si>
  <si>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</si>
  <si>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</si>
  <si>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</si>
  <si>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</si>
  <si>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</si>
  <si>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</si>
  <si>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</si>
  <si>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</si>
  <si>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</si>
  <si>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</si>
  <si>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</si>
  <si>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</si>
  <si>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</si>
  <si>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</si>
  <si>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</si>
  <si>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</si>
  <si>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</si>
  <si>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</si>
  <si>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</si>
  <si>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</si>
  <si>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</si>
  <si>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</si>
  <si>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</si>
  <si>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</si>
  <si>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</si>
  <si>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</si>
  <si>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</si>
  <si>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</si>
  <si>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</si>
  <si>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</si>
  <si>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</si>
  <si>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</si>
  <si>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</si>
  <si>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</si>
  <si>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</si>
  <si>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</si>
  <si>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</si>
  <si>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</si>
  <si>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</si>
  <si>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</si>
  <si>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900694796</t>
  </si>
  <si>
    <t>SOGATRANS SOLUCIONES Y SERVICIOS EMPRESA</t>
  </si>
  <si>
    <t>Sogatransas@hotmail.com</t>
  </si>
  <si>
    <t>CR 28 2 28</t>
  </si>
  <si>
    <t>901544212</t>
  </si>
  <si>
    <t>CONSORCIO PROCTEK GROUP</t>
  </si>
  <si>
    <t>adrian.mojica@proctek.com</t>
  </si>
  <si>
    <t xml:space="preserve"> CR 50  134  66</t>
  </si>
  <si>
    <t>800030235</t>
  </si>
  <si>
    <t>TRANSEQUIPOS S.A</t>
  </si>
  <si>
    <t>lgalindo@transequipos.com</t>
  </si>
  <si>
    <t>KM 2 5 AUT MEDELLIN PAR INDUSTRIAL PORTOS SABANA 80 BG 6</t>
  </si>
  <si>
    <t>800226784</t>
  </si>
  <si>
    <t>COMPUTAR SAS</t>
  </si>
  <si>
    <t>facturacion.electronica@computar.co</t>
  </si>
  <si>
    <t>KM 4 BG 9 A PAR PARQUE CENTRO</t>
  </si>
  <si>
    <t>901039927</t>
  </si>
  <si>
    <t>GTI-ALBERTO ALVAREZ LOPEZ SAS</t>
  </si>
  <si>
    <t>alberto.alvarez@gti.net.co</t>
  </si>
  <si>
    <t>CL 64 A 21 10 LC 18 ED PORTAL DEL CABLE</t>
  </si>
  <si>
    <t>901368459</t>
  </si>
  <si>
    <t>NETWORKS INTERCONNETED BY EXPERTS COMUNI</t>
  </si>
  <si>
    <t>info@nicecomunicaciones.com</t>
  </si>
  <si>
    <t>CR 17 14 29 OF 201</t>
  </si>
  <si>
    <t>900096912</t>
  </si>
  <si>
    <t>DURANGAR S.A.S. SERVICIOS INTEGRALES</t>
  </si>
  <si>
    <t>gerencia@durangar.com.co</t>
  </si>
  <si>
    <t>CR 24 12 72 OF 201 BRR LA CAMPIÑA</t>
  </si>
  <si>
    <t>900412098</t>
  </si>
  <si>
    <t xml:space="preserve">ORGANIZACIÓN DE AGENCIAS, TRANSPORTES Y </t>
  </si>
  <si>
    <t>servicioalclienteoratranse@gmail.com</t>
  </si>
  <si>
    <t>DG 2  1  40</t>
  </si>
  <si>
    <t>900558491</t>
  </si>
  <si>
    <t xml:space="preserve">SERVICIOS AUXILIARES DE MANTENIMIENTO Y </t>
  </si>
  <si>
    <t>contabilidad@samyl.com.co</t>
  </si>
  <si>
    <t>CR 20 B CL 65 A 57</t>
  </si>
  <si>
    <t>901195663</t>
  </si>
  <si>
    <t>EMPRESA DE SERVICIOS TEMPORALES TEMPOLAB</t>
  </si>
  <si>
    <t>contabilidad@tempolab.co</t>
  </si>
  <si>
    <t>CR 35 A 57 91 IN 1 AP 212</t>
  </si>
  <si>
    <t>800091162</t>
  </si>
  <si>
    <t>SOPORTE Y CIA. S . A . S</t>
  </si>
  <si>
    <t>contacto.soporte@soporteycia.com</t>
  </si>
  <si>
    <t xml:space="preserve"> CL 4 SUR 43 A A 30 OF 604</t>
  </si>
  <si>
    <t>811021654</t>
  </si>
  <si>
    <t>INTERNEXA S.A</t>
  </si>
  <si>
    <t>cmalfaro@internexa.com.co</t>
  </si>
  <si>
    <t>CL 12 SUR  18 168 IN 5 BL 5</t>
  </si>
  <si>
    <t>900161104</t>
  </si>
  <si>
    <t>HONEYWELL COLOMBIA S.A.S</t>
  </si>
  <si>
    <t>alejandra.barajas@honeywell.com</t>
  </si>
  <si>
    <t>CR 11 A 98 50 P 7</t>
  </si>
  <si>
    <t>900259348</t>
  </si>
  <si>
    <t>RED VITAL PAIPA S.A E.S.P</t>
  </si>
  <si>
    <t>redvital@paipa-boyaca.gov.co</t>
  </si>
  <si>
    <t>CR 22 25 14</t>
  </si>
  <si>
    <t>900387475</t>
  </si>
  <si>
    <t>LUBRICANTES EL SOL SOCIEDAD POR ACCIONES</t>
  </si>
  <si>
    <t>financiera@lubesolsas.com</t>
  </si>
  <si>
    <t>MZ J LT J 5 ET SEGUNDA CD INDUSTRIAL</t>
  </si>
  <si>
    <t>900702974</t>
  </si>
  <si>
    <t>COLOMBIANA DE SERVICIOS E INGENIERIA CSI</t>
  </si>
  <si>
    <t>colsering@gmail.com</t>
  </si>
  <si>
    <t>CL  17  53  46</t>
  </si>
  <si>
    <t>900898982</t>
  </si>
  <si>
    <t>SOLUCIONES ENERGÉTICAS Y CONSTRUCTIVAS L</t>
  </si>
  <si>
    <t>operaciones@solucionesenergeticaslass.com.co</t>
  </si>
  <si>
    <t>CL 5 A 71 G 30 LC 4</t>
  </si>
  <si>
    <t>901124125</t>
  </si>
  <si>
    <t>CM COGNITIVA S.A.S</t>
  </si>
  <si>
    <t>crismao@gmail.com</t>
  </si>
  <si>
    <t>CL 12 2 D 21 ED SANTA MONICA BLOQUE 5 AP 203</t>
  </si>
  <si>
    <t>860523408</t>
  </si>
  <si>
    <t>SEGURIDAD NAPOLES LIMITADA</t>
  </si>
  <si>
    <t>gerente@seguridadnapolesltda.com</t>
  </si>
  <si>
    <t>CL 98 13 10</t>
  </si>
  <si>
    <t>900236200</t>
  </si>
  <si>
    <t>ABSOLUTE ENGINEERING COLOMBIA LTDA</t>
  </si>
  <si>
    <t>contacto@absencol.com</t>
  </si>
  <si>
    <t>C L 26 19 21</t>
  </si>
  <si>
    <t>900233698</t>
  </si>
  <si>
    <t>LYDCO INGENIERIA S.A.S.</t>
  </si>
  <si>
    <t>direccioncontable@lydcoingenieria.com</t>
  </si>
  <si>
    <t>CR 49 A 94 76</t>
  </si>
  <si>
    <t>46355995</t>
  </si>
  <si>
    <t>ESPITIA RODRIGUEZ NANCY</t>
  </si>
  <si>
    <t>espitianancy584@gmail.com</t>
  </si>
  <si>
    <t>CL 13 16 A 38</t>
  </si>
  <si>
    <t>826001482</t>
  </si>
  <si>
    <t>TRANSPORTES H &amp; A S.A.S.</t>
  </si>
  <si>
    <t>servicioalcliente@transporteshya.com</t>
  </si>
  <si>
    <t>CL 52  11 E  29 PAR INDUSTRIAL</t>
  </si>
  <si>
    <t>860052601</t>
  </si>
  <si>
    <t>EXRO SAS</t>
  </si>
  <si>
    <t>jorgequintero@exro.com.co</t>
  </si>
  <si>
    <t>CR 21 169 01</t>
  </si>
  <si>
    <t>900448366</t>
  </si>
  <si>
    <t>INGENIERIA Y DISEÑO IYD S.A.S</t>
  </si>
  <si>
    <t>abedoya@idoccidente.com</t>
  </si>
  <si>
    <t>CL 63  22 10 RAMBLA</t>
  </si>
  <si>
    <t>900844069</t>
  </si>
  <si>
    <t>FUNDACION SOCIAL VOCES UNIDAS</t>
  </si>
  <si>
    <t>fundacionsocialvocesunidas@gmail.com</t>
  </si>
  <si>
    <t>KM 1 VIA CLUB MILITAR VEREDA MIRABAL</t>
  </si>
  <si>
    <t>901030930</t>
  </si>
  <si>
    <t>LABORATORIO DEL MEDIO AMBIENTE Y CALIBRA</t>
  </si>
  <si>
    <t>recepcionfacturas@labwr.com</t>
  </si>
  <si>
    <t>CL 23  116  31  P 5</t>
  </si>
  <si>
    <t>901067360</t>
  </si>
  <si>
    <t>ENERFYS SAS</t>
  </si>
  <si>
    <t>enerfyss@gmail.com</t>
  </si>
  <si>
    <t>CL 140 19 29 IN 501</t>
  </si>
  <si>
    <t>901073049</t>
  </si>
  <si>
    <t>SOLLIVAN SMART SOLUTIONS S.A.S.</t>
  </si>
  <si>
    <t>contabilidad@sollivan.com</t>
  </si>
  <si>
    <t>CR 25 22 C 34</t>
  </si>
  <si>
    <t>1053608085</t>
  </si>
  <si>
    <t>GIRATA BAEZ ALVARO ANTONIO</t>
  </si>
  <si>
    <t>radiolapaz710am@hotmail.com</t>
  </si>
  <si>
    <t>CR 22 25 61 P 4</t>
  </si>
  <si>
    <t>800141903</t>
  </si>
  <si>
    <t>QUIMICOS INDUSTRIALES ASOCIADOS S.A.S</t>
  </si>
  <si>
    <t>recepcionfacturas@quiminsa.com</t>
  </si>
  <si>
    <t>KM 2 VIA PAIPA DUITAMA</t>
  </si>
  <si>
    <t>CIVILES Y ELECTROMECANICOS INGENIEROS CO</t>
  </si>
  <si>
    <t>civelmecltda@hotmail.com</t>
  </si>
  <si>
    <t>CR 30 5 81</t>
  </si>
  <si>
    <t>ELECMER SOCIEDAD POR ACCIONES SIMPLIFICA</t>
  </si>
  <si>
    <t>contabilidad@elecmer.com</t>
  </si>
  <si>
    <t>CL 20 33 147 BRR CAMILO TORRES</t>
  </si>
  <si>
    <t>JPA INGENIERIA S.A.S</t>
  </si>
  <si>
    <t>jpaingenieria@gmail.com</t>
  </si>
  <si>
    <t>DG 182 20 91 OF 220 C</t>
  </si>
  <si>
    <t>AP INGENIEROS SAS</t>
  </si>
  <si>
    <t>ciliag@apingenieros.com</t>
  </si>
  <si>
    <t>CL 56 7 85 OF 202</t>
  </si>
  <si>
    <t>UNION TEMPORAL CONFEYMA 2021</t>
  </si>
  <si>
    <t>GERENCIA@CONFEYMA.COM</t>
  </si>
  <si>
    <t>CR 10 17 66 OF 401</t>
  </si>
  <si>
    <t>ASOCIACION GLOBAL GREEN</t>
  </si>
  <si>
    <t>globalgreen025@gmail.com</t>
  </si>
  <si>
    <t>CR  23 C 62 72</t>
  </si>
  <si>
    <t>804007055</t>
  </si>
  <si>
    <t>K-2 INGENIERIA S.A.S</t>
  </si>
  <si>
    <t>info@k2ingeniera.com</t>
  </si>
  <si>
    <t>CR 36 36 26 BRR EL PRADO</t>
  </si>
  <si>
    <t>830085250</t>
  </si>
  <si>
    <t>PROYETEC COLOMBIA S.A.S.</t>
  </si>
  <si>
    <t>servicioalcliente@proyetec.com.co</t>
  </si>
  <si>
    <t>3102889971</t>
  </si>
  <si>
    <t>CR 54 176 20</t>
  </si>
  <si>
    <t>860400538</t>
  </si>
  <si>
    <t>RAYCO S.A. RODRIGO ARISTIZABAL &amp; CIA S.A</t>
  </si>
  <si>
    <t>aleyda@rayco.com.co</t>
  </si>
  <si>
    <t>CL 127 B  BIS  45 53</t>
  </si>
  <si>
    <t>900584973</t>
  </si>
  <si>
    <t>SGC CRANES SAS</t>
  </si>
  <si>
    <t>viviana.diaz@certificaciongruas.com</t>
  </si>
  <si>
    <t xml:space="preserve"> AUT MEDELLIN KM 3 5 VIA SIBERIA - COTA CEN EMP DE NEG P H OF B</t>
  </si>
  <si>
    <t>900723406</t>
  </si>
  <si>
    <t>SERVICIOS PREDICTIVOS S.A.S.</t>
  </si>
  <si>
    <t>servicios.predictivos@gmail.com</t>
  </si>
  <si>
    <t>CR 38 27 B 28 SUR</t>
  </si>
  <si>
    <t>INGENIERIA Y SOLUCIONES TECNOLOGICAS - I</t>
  </si>
  <si>
    <t>contacto@insoltec.com.co</t>
  </si>
  <si>
    <t>6464128</t>
  </si>
  <si>
    <t>CR 23  31 A  04 OF 1  CON LA MURALLA I ETAPA</t>
  </si>
  <si>
    <t>COPOWER LTDA</t>
  </si>
  <si>
    <t>facturacionelectronica@copower.com.co</t>
  </si>
  <si>
    <t>6960767</t>
  </si>
  <si>
    <t>CR 21 8 10 BRR COMUNEROS</t>
  </si>
  <si>
    <t>A T I ASISTENCIA TECNICA INDUSTRIAL S.A.</t>
  </si>
  <si>
    <t>gerencia@ati.net.co</t>
  </si>
  <si>
    <t>7626820</t>
  </si>
  <si>
    <t xml:space="preserve"> CL 16 #14-41 OF 1107</t>
  </si>
  <si>
    <t>BET INGENIERIA S.A.S</t>
  </si>
  <si>
    <t>diradministrativa@betingenieria.com.co</t>
  </si>
  <si>
    <t>3114401273</t>
  </si>
  <si>
    <t>CR 7 C 182 B 20</t>
  </si>
  <si>
    <t>COOPERATIVA MULTIACTIVA SENDEROS</t>
  </si>
  <si>
    <t>cooperativasenderos@yahoo.es</t>
  </si>
  <si>
    <t>3143750287</t>
  </si>
  <si>
    <t>CR 21  21 16</t>
  </si>
  <si>
    <t>ELECTRIC MACHINES TESTS  LTDA</t>
  </si>
  <si>
    <t>cpinzon@emtltda.com</t>
  </si>
  <si>
    <t>3137466103</t>
  </si>
  <si>
    <t>CR 7 180 30 TO A OF 704</t>
  </si>
  <si>
    <t>SBV DISTRIBUCIONES Y SERVICIOS S.A.S</t>
  </si>
  <si>
    <t>sbvds2020@gmail.com</t>
  </si>
  <si>
    <t>3204520702</t>
  </si>
  <si>
    <t>CR 32   8  98</t>
  </si>
  <si>
    <t>900271160</t>
  </si>
  <si>
    <t>AGWA S.A.S</t>
  </si>
  <si>
    <t>agwa.e.u@outlook.com</t>
  </si>
  <si>
    <t>CR 59 A 131A 20</t>
  </si>
  <si>
    <t>901246252</t>
  </si>
  <si>
    <t>CMS INGENIERIA Y PROYECTOS SAS</t>
  </si>
  <si>
    <t>administracion@cmsingenieria.com.co</t>
  </si>
  <si>
    <t>CR 84   68 A 70</t>
  </si>
  <si>
    <t>901725422</t>
  </si>
  <si>
    <t>CONSORCIO GENSA 2023</t>
  </si>
  <si>
    <t>intecpys@gmail.com</t>
  </si>
  <si>
    <t>CR 12 93 78</t>
  </si>
  <si>
    <t>860003168</t>
  </si>
  <si>
    <t>IMOCOM SAS</t>
  </si>
  <si>
    <t>pmartinez@imocom.com.co</t>
  </si>
  <si>
    <t>CL 17 50 24</t>
  </si>
  <si>
    <t>826003171</t>
  </si>
  <si>
    <t>INVERSIONES SOCHAGOTA SAS</t>
  </si>
  <si>
    <t>gerencia@hotelsochagota.com</t>
  </si>
  <si>
    <t>KM 2 VIA PISCINAS MUNICIPALES</t>
  </si>
  <si>
    <t>830072436</t>
  </si>
  <si>
    <t>LABORATORIOS DE METROLOGIA SIGMA LTDA</t>
  </si>
  <si>
    <t>brisceida.anzola@pesaje.com</t>
  </si>
  <si>
    <t>AV DORADO 85 D  55 OF EX 34 A</t>
  </si>
  <si>
    <t>52773362</t>
  </si>
  <si>
    <t>PICO VILLAMIZAR EDY MILENA</t>
  </si>
  <si>
    <t>dymsinsumos@gmail.com</t>
  </si>
  <si>
    <t>CL 22 A 22 65 BRR CENTRO</t>
  </si>
  <si>
    <t>901160262</t>
  </si>
  <si>
    <t>SERVIBANDAS JMG S.A.S.</t>
  </si>
  <si>
    <t>servibandas.jmg@gmail.com</t>
  </si>
  <si>
    <t xml:space="preserve"> CR 34 A  16 30</t>
  </si>
  <si>
    <t>800204305</t>
  </si>
  <si>
    <t>SERVICIOS GENERALES MANTENIMIENTO Y CONS</t>
  </si>
  <si>
    <t>sergemco@gmail.com</t>
  </si>
  <si>
    <t>PAR INDUSTRIAL Y ARTESANAL DE PAIPA KM 5 VIA PAIPA</t>
  </si>
  <si>
    <t>900488134</t>
  </si>
  <si>
    <t>SINDULY SAS</t>
  </si>
  <si>
    <t>gerencia@sinduly.com</t>
  </si>
  <si>
    <t>AV CR 19 125 65 OF 402</t>
  </si>
  <si>
    <t>800231399</t>
  </si>
  <si>
    <t>DISINGMEC SAS</t>
  </si>
  <si>
    <t>jaimervpr@yahoo.com</t>
  </si>
  <si>
    <t>CL 92  10  21  AP   1001</t>
  </si>
  <si>
    <t>901098824</t>
  </si>
  <si>
    <t>F Y V AUTOMATIZACIÓN VARIADORES S.A.S.</t>
  </si>
  <si>
    <t>ventas@fyvautomatizacion.com</t>
  </si>
  <si>
    <t>CR 82 47 112</t>
  </si>
  <si>
    <t>900779365</t>
  </si>
  <si>
    <t>INGENIERIA SEGURIDAD SALUD Y AMBIENTE SA</t>
  </si>
  <si>
    <t>issagroupsas@gmail.com</t>
  </si>
  <si>
    <t>CR 10 15 36</t>
  </si>
  <si>
    <t>7216634</t>
  </si>
  <si>
    <t>CARLOS EDUARDO TORRES CRUZ</t>
  </si>
  <si>
    <t>ctorrescruz@yahoo.com</t>
  </si>
  <si>
    <t>CALLE 13 N 27 60 AP 612 DUITAMA</t>
  </si>
  <si>
    <t>900521451</t>
  </si>
  <si>
    <t>CODIMSA SAS</t>
  </si>
  <si>
    <t>gerenciacodimsa@hotmail.com</t>
  </si>
  <si>
    <t>CR 14 14 A 62 OF 203</t>
  </si>
  <si>
    <t>900604334</t>
  </si>
  <si>
    <t>INGELPARRA SOCIEDAD POR ACCIONES SIMPLIF</t>
  </si>
  <si>
    <t>ingelparrasas@gmail.com</t>
  </si>
  <si>
    <t xml:space="preserve"> CL 5  18 53 BRR CANDIDO QUINTERO</t>
  </si>
  <si>
    <t>900646412</t>
  </si>
  <si>
    <t>ONG FUNDACION BIENESTAR PARA COLOMBIA</t>
  </si>
  <si>
    <t>ong.fbienestarparacolombia@gmail.com</t>
  </si>
  <si>
    <t>CR 11 14 14 OF 127</t>
  </si>
  <si>
    <t>900732786</t>
  </si>
  <si>
    <t>MAS ENERGIA S.A.S</t>
  </si>
  <si>
    <t>contabilidad@masenergia.com.co</t>
  </si>
  <si>
    <t>CR 16 A 14 17</t>
  </si>
  <si>
    <t>901446886</t>
  </si>
  <si>
    <t>SERVI-PLOT S.A.S.</t>
  </si>
  <si>
    <t>gerencia@serviplot.com.co</t>
  </si>
  <si>
    <t>L 11 15 52 I N 113</t>
  </si>
  <si>
    <t>901665856</t>
  </si>
  <si>
    <t>CONSORCIO TUBERIAS 2022</t>
  </si>
  <si>
    <t>cesar.barrera@baringingenieria.com</t>
  </si>
  <si>
    <t>CR 45 B 94 45</t>
  </si>
  <si>
    <t>800234328</t>
  </si>
  <si>
    <t>CONTROLFLUID SAS</t>
  </si>
  <si>
    <t>cfo@controlfluid.co</t>
  </si>
  <si>
    <t>CR 21 CLL 166 43</t>
  </si>
  <si>
    <t>805023390</t>
  </si>
  <si>
    <t>HADA SERVICIOS ELECTRICOS LIMITADA</t>
  </si>
  <si>
    <t>hadaltda@claro.net.co</t>
  </si>
  <si>
    <t>CL 68 A 7 C 10 BRR FEPICOL</t>
  </si>
  <si>
    <t>811033997</t>
  </si>
  <si>
    <t>CDEM &amp; CDEB SA</t>
  </si>
  <si>
    <t>contabilidad@cdemycdebsa.com.co</t>
  </si>
  <si>
    <t>CR 52  CL 34 09</t>
  </si>
  <si>
    <t>900232417</t>
  </si>
  <si>
    <t>POLSERMIN &amp; CIA LTDA</t>
  </si>
  <si>
    <t>polsermin@hotmail.com</t>
  </si>
  <si>
    <t>CL 15 16 A 95</t>
  </si>
  <si>
    <t>901189046</t>
  </si>
  <si>
    <t>HMH GESTION INTEGRAL S.A.S</t>
  </si>
  <si>
    <t>contacto@hmhgestionintegral.com</t>
  </si>
  <si>
    <t>TV 77 51 A 18</t>
  </si>
  <si>
    <t>901451816</t>
  </si>
  <si>
    <t>BOOSTING SAS</t>
  </si>
  <si>
    <t>boostingsas@gmail.com</t>
  </si>
  <si>
    <t>CR 100 5 169 OF 716 ED OASIS CENTRAL COMERCIAL UNICENTRO</t>
  </si>
  <si>
    <t>900572661</t>
  </si>
  <si>
    <t>IMPORTADORA DISTRIBUIDORA COMERCIALIZADO</t>
  </si>
  <si>
    <t>importar1a.sas@gmail.com</t>
  </si>
  <si>
    <t>CR 15 B 29 45</t>
  </si>
  <si>
    <t>900624919</t>
  </si>
  <si>
    <t>INVERSIONES PALUAN SAS</t>
  </si>
  <si>
    <t>masdescuentosdrogueria@hotmail.com</t>
  </si>
  <si>
    <t>CR 22  25  05</t>
  </si>
  <si>
    <t>900542455</t>
  </si>
  <si>
    <t>BC INGENIERIA SAS</t>
  </si>
  <si>
    <t>bcingenieriasas@gmail.com</t>
  </si>
  <si>
    <t>CR 1 F 40 195 OFC  402  ED ENTERPRISE TOWERS</t>
  </si>
  <si>
    <t>804002433</t>
  </si>
  <si>
    <t>DESCONT S.A E.S.P</t>
  </si>
  <si>
    <t>descont.notificacionesoficiales@urbaser.co</t>
  </si>
  <si>
    <t>CL 30A  23 10</t>
  </si>
  <si>
    <t>860402221</t>
  </si>
  <si>
    <t>VIBRAN SOCIEDAD POR ACCIONES SIMPLIFICAD</t>
  </si>
  <si>
    <t>mcpaz@vibran.com.co</t>
  </si>
  <si>
    <t xml:space="preserve"> CR 45 A  101 47 BRR STA MARGARITA</t>
  </si>
  <si>
    <t>860513276</t>
  </si>
  <si>
    <t>ELECTRO HIDRÁULICA S.A. REPRESENTACIONES</t>
  </si>
  <si>
    <t>info@electrohidraulica.com.co</t>
  </si>
  <si>
    <t xml:space="preserve"> AK 40   24 A 35</t>
  </si>
  <si>
    <t>900018666</t>
  </si>
  <si>
    <t>KRESKY S.A.S</t>
  </si>
  <si>
    <t>kresky@gmail.com</t>
  </si>
  <si>
    <t>CR 22 A 151 81</t>
  </si>
  <si>
    <t>900048371</t>
  </si>
  <si>
    <t>AI INDUSTRIAL S.A.S</t>
  </si>
  <si>
    <t>claudiaestupinan@aiindustrial.com</t>
  </si>
  <si>
    <t>CR 12 14 105 OF 205</t>
  </si>
  <si>
    <t>901117673</t>
  </si>
  <si>
    <t>WEGHAUX ENERGY DE COLOMBIA SAS</t>
  </si>
  <si>
    <t>adm.co@weghaux.com</t>
  </si>
  <si>
    <t>CR 8  30 22</t>
  </si>
  <si>
    <t>901167257</t>
  </si>
  <si>
    <t>CERTI-CONTROL ORGANISMO DE EVALUACION DE</t>
  </si>
  <si>
    <t>reprelegalcerticontrol@gmail.com</t>
  </si>
  <si>
    <t>CL 49   11 56 P 2 BRR LEON XIII</t>
  </si>
  <si>
    <t>901408705</t>
  </si>
  <si>
    <t>CARBONIA GEOAMBIENTAL S.A.S</t>
  </si>
  <si>
    <t>carboniageoambientalsas@gmail.com</t>
  </si>
  <si>
    <t>CR 5 14 46 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</si>
</sst>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0" xfId="0" quotePrefix="1" applyNumberFormat="1" applyFont="1" applyFill="1" applyBorder="1" applyProtection="1">
      <protection locked="0"/>
    </xf>
    <xf numFmtId="41" fontId="0" fillId="0" borderId="0" xfId="1" applyFont="1" applyFill="1" applyBorder="1" applyProtection="1">
      <protection locked="0"/>
    </xf>
    <xf numFmtId="0" fontId="0" fillId="0" borderId="0" xfId="1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horizontal="center"/>
      <protection locked="0"/>
    </xf>
    <xf numFmtId="1" fontId="0" fillId="0" borderId="0" xfId="1" applyNumberFormat="1" applyFont="1" applyFill="1" applyBorder="1" applyProtection="1">
      <protection locked="0"/>
    </xf>
    <xf numFmtId="49" fontId="0" fillId="0" borderId="0" xfId="0" quotePrefix="1" applyNumberFormat="1" applyFont="1" applyFill="1" applyBorder="1" applyAlignment="1" applyProtection="1">
      <alignment horizontal="left"/>
      <protection locked="0"/>
    </xf>
    <xf numFmtId="41" fontId="0" fillId="0" borderId="0" xfId="1" applyFont="1" applyFill="1" applyBorder="1" applyAlignmen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1" fontId="3" fillId="0" borderId="0" xfId="1" applyNumberFormat="1" applyFont="1" applyAlignment="1" applyProtection="1">
      <alignment horizontal="center"/>
      <protection locked="0"/>
    </xf>
    <xf numFmtId="41" fontId="3" fillId="0" borderId="0" xfId="1" applyFont="1" applyAlignment="1" applyProtection="1"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41" fontId="0" fillId="0" borderId="0" xfId="2" applyFont="1" applyFill="1" applyBorder="1" applyAlignment="1" applyProtection="1">
      <protection locked="0"/>
    </xf>
    <xf numFmtId="1" fontId="0" fillId="0" borderId="0" xfId="2" applyNumberFormat="1" applyFont="1" applyFill="1" applyBorder="1" applyProtection="1">
      <protection locked="0"/>
    </xf>
    <xf numFmtId="1" fontId="0" fillId="0" borderId="0" xfId="1" applyNumberFormat="1" applyFont="1" applyFill="1" applyBorder="1" applyAlignment="1" applyProtection="1">
      <alignment horizontal="center"/>
      <protection locked="0"/>
    </xf>
    <xf numFmtId="0" fontId="0" fillId="0" borderId="0" xfId="0" quotePrefix="1" applyNumberFormat="1" applyFont="1" applyFill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protection locked="0"/>
    </xf>
    <xf numFmtId="1" fontId="0" fillId="0" borderId="0" xfId="1" quotePrefix="1" applyNumberFormat="1" applyFont="1" applyFill="1" applyBorder="1" applyAlignment="1" applyProtection="1">
      <alignment horizontal="left"/>
      <protection locked="0"/>
    </xf>
    <xf numFmtId="1" fontId="0" fillId="0" borderId="0" xfId="0" quotePrefix="1" applyNumberFormat="1" applyFont="1" applyFill="1" applyBorder="1" applyAlignment="1" applyProtection="1">
      <alignment horizontal="left"/>
      <protection locked="0"/>
    </xf>
    <xf numFmtId="49" fontId="3" fillId="0" borderId="0" xfId="0" quotePrefix="1" applyNumberFormat="1" applyFont="1" applyFill="1" applyBorder="1" applyAlignment="1" applyProtection="1">
      <alignment horizontal="left"/>
      <protection locked="0"/>
    </xf>
    <xf numFmtId="49" fontId="3" fillId="0" borderId="0" xfId="0" quotePrefix="1" applyNumberFormat="1" applyFont="1" applyFill="1" applyBorder="1" applyProtection="1">
      <protection locked="0"/>
    </xf>
    <xf numFmtId="1" fontId="3" fillId="0" borderId="0" xfId="1" applyNumberFormat="1" applyFont="1" applyFill="1" applyBorder="1" applyProtection="1">
      <protection locked="0"/>
    </xf>
  </cellXfs>
  <cellStyles count="3">
    <cellStyle name="Millares [0]" xfId="1" builtinId="6"/>
    <cellStyle name="Millares [0] 3" xfId="2" xr:uid="{244D786A-C17C-498D-8DCA-33DDB29EAA4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murillo\Desktop\EXOGENA%202023-2024\TERCEROS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CEROS 2023"/>
    </sheetNames>
    <sheetDataSet>
      <sheetData sheetId="0" refreshError="1">
        <row r="1">
          <cell r="A1" t="str">
            <v>TERCERO</v>
          </cell>
          <cell r="B1" t="str">
            <v>DV</v>
          </cell>
          <cell r="C1" t="str">
            <v>TERCER_CODIINST__B</v>
          </cell>
          <cell r="D1" t="str">
            <v>TIPO_ID</v>
          </cell>
          <cell r="E1" t="str">
            <v>NOMBRES</v>
          </cell>
          <cell r="F1" t="str">
            <v>APELLIDOS</v>
          </cell>
          <cell r="G1" t="str">
            <v>NOMBRE_EXTENSO</v>
          </cell>
          <cell r="H1" t="str">
            <v>TIP_TERC</v>
          </cell>
          <cell r="I1" t="str">
            <v>TIPO_TERCERO</v>
          </cell>
          <cell r="J1" t="str">
            <v>DIRECCION</v>
          </cell>
          <cell r="K1" t="str">
            <v>COD_CIUDAD</v>
          </cell>
          <cell r="L1" t="str">
            <v>NOMBRE_CIUDAD</v>
          </cell>
          <cell r="M1" t="str">
            <v>TELEFONO_1</v>
          </cell>
        </row>
        <row r="2">
          <cell r="A2">
            <v>44</v>
          </cell>
          <cell r="B2" t="str">
            <v/>
          </cell>
          <cell r="C2" t="str">
            <v/>
          </cell>
          <cell r="D2" t="str">
            <v>CC</v>
          </cell>
          <cell r="E2" t="str">
            <v>CTR 044-SGS</v>
          </cell>
          <cell r="F2" t="str">
            <v>SGS</v>
          </cell>
          <cell r="G2" t="str">
            <v>SGS CTR 044-SGS</v>
          </cell>
          <cell r="H2" t="str">
            <v>FUNC</v>
          </cell>
          <cell r="I2" t="str">
            <v>FUNCIONARIO</v>
          </cell>
          <cell r="J2" t="str">
            <v>TERMOPAIPA</v>
          </cell>
          <cell r="K2" t="str">
            <v>15516</v>
          </cell>
          <cell r="L2" t="str">
            <v>PAIPA</v>
          </cell>
          <cell r="M2" t="str">
            <v>6359252</v>
          </cell>
        </row>
        <row r="3">
          <cell r="A3">
            <v>313</v>
          </cell>
          <cell r="B3" t="str">
            <v/>
          </cell>
          <cell r="C3" t="str">
            <v/>
          </cell>
          <cell r="D3" t="str">
            <v>CC</v>
          </cell>
          <cell r="E3" t="str">
            <v>OC -0313 GERARDO RODRIGUEZ</v>
          </cell>
          <cell r="F3" t="str">
            <v>RODRIGUEZ</v>
          </cell>
          <cell r="G3" t="str">
            <v>RODRIGUEZ OC -0313 GERARDO RODRIGUEZ</v>
          </cell>
          <cell r="H3" t="str">
            <v>FUNC</v>
          </cell>
          <cell r="I3" t="str">
            <v>FUNCIONARIO</v>
          </cell>
          <cell r="J3" t="str">
            <v>OC -0313</v>
          </cell>
          <cell r="K3" t="str">
            <v>15516</v>
          </cell>
          <cell r="L3" t="str">
            <v>PAIPA</v>
          </cell>
          <cell r="M3" t="str">
            <v>3108163015</v>
          </cell>
        </row>
        <row r="4">
          <cell r="A4">
            <v>333</v>
          </cell>
          <cell r="B4" t="str">
            <v/>
          </cell>
          <cell r="C4" t="str">
            <v/>
          </cell>
          <cell r="D4" t="str">
            <v>CC</v>
          </cell>
          <cell r="E4" t="str">
            <v>TESORERIA - EMBARGOS</v>
          </cell>
          <cell r="F4" t="str">
            <v>DFIN</v>
          </cell>
          <cell r="G4" t="str">
            <v>DFIN TESORERIA - EMBARGOS</v>
          </cell>
          <cell r="H4" t="str">
            <v>FUNC</v>
          </cell>
          <cell r="I4" t="str">
            <v>FUNCIONARIO</v>
          </cell>
          <cell r="J4" t="str">
            <v>CRA 23 NO 64B 33</v>
          </cell>
          <cell r="K4" t="str">
            <v>17001</v>
          </cell>
          <cell r="L4" t="str">
            <v>MANIZALES</v>
          </cell>
          <cell r="M4" t="str">
            <v>33333</v>
          </cell>
        </row>
        <row r="5">
          <cell r="A5">
            <v>999</v>
          </cell>
          <cell r="B5" t="str">
            <v/>
          </cell>
          <cell r="C5" t="str">
            <v/>
          </cell>
          <cell r="D5" t="str">
            <v>CC</v>
          </cell>
          <cell r="E5" t="str">
            <v>APOTEOSYS</v>
          </cell>
          <cell r="F5" t="str">
            <v>APT</v>
          </cell>
          <cell r="G5" t="str">
            <v>APT APOTEOSYS</v>
          </cell>
          <cell r="H5" t="str">
            <v>FUNC</v>
          </cell>
          <cell r="I5" t="str">
            <v>FUNCIONARIO</v>
          </cell>
          <cell r="J5" t="str">
            <v>C</v>
          </cell>
          <cell r="K5" t="str">
            <v>17001</v>
          </cell>
          <cell r="L5" t="str">
            <v>MANIZALES</v>
          </cell>
          <cell r="M5" t="str">
            <v>1</v>
          </cell>
        </row>
        <row r="6">
          <cell r="A6">
            <v>1998</v>
          </cell>
          <cell r="B6" t="str">
            <v/>
          </cell>
          <cell r="C6" t="str">
            <v/>
          </cell>
          <cell r="D6" t="str">
            <v>CC</v>
          </cell>
          <cell r="E6" t="str">
            <v>MARTHA LUCIA</v>
          </cell>
          <cell r="F6" t="str">
            <v>DIAZ</v>
          </cell>
          <cell r="G6" t="str">
            <v>DIAZ MARTHA LUCIA</v>
          </cell>
          <cell r="H6" t="str">
            <v>RESI</v>
          </cell>
          <cell r="I6" t="str">
            <v>REGIMEN SIMPLIFICADO</v>
          </cell>
          <cell r="J6" t="str">
            <v>POR REVISAR</v>
          </cell>
          <cell r="K6" t="str">
            <v>17001</v>
          </cell>
          <cell r="L6" t="str">
            <v>MANIZALES</v>
          </cell>
          <cell r="M6" t="str">
            <v>POR REVISAR</v>
          </cell>
        </row>
        <row r="7">
          <cell r="A7">
            <v>2000</v>
          </cell>
          <cell r="B7" t="str">
            <v/>
          </cell>
          <cell r="C7" t="str">
            <v/>
          </cell>
          <cell r="D7" t="str">
            <v>CC</v>
          </cell>
          <cell r="E7" t="str">
            <v>JUAN CARLOS</v>
          </cell>
          <cell r="F7" t="str">
            <v>JARAMILLO</v>
          </cell>
          <cell r="G7" t="str">
            <v>JARAMILLO JUAN CARLOS</v>
          </cell>
          <cell r="H7" t="str">
            <v>RESI</v>
          </cell>
          <cell r="I7" t="str">
            <v>REGIMEN SIMPLIFICADO</v>
          </cell>
          <cell r="J7" t="str">
            <v>POR REVISAR</v>
          </cell>
          <cell r="K7" t="str">
            <v>17001</v>
          </cell>
          <cell r="L7" t="str">
            <v>MANIZALES</v>
          </cell>
          <cell r="M7" t="str">
            <v>POR REVISAR</v>
          </cell>
        </row>
        <row r="8">
          <cell r="A8">
            <v>385218</v>
          </cell>
          <cell r="B8" t="str">
            <v>0</v>
          </cell>
          <cell r="C8" t="str">
            <v/>
          </cell>
          <cell r="D8" t="str">
            <v>NP</v>
          </cell>
          <cell r="E8" t="str">
            <v>JAIME ALBERTO</v>
          </cell>
          <cell r="F8" t="str">
            <v>ARIAS PULGARIN</v>
          </cell>
          <cell r="G8" t="str">
            <v>ARIAS PULGARIN JAIME ALBERTO</v>
          </cell>
          <cell r="H8" t="str">
            <v>IMVE</v>
          </cell>
          <cell r="I8" t="str">
            <v>IMPUESTO SOBRE LAS VENTAS</v>
          </cell>
          <cell r="J8" t="str">
            <v xml:space="preserve"> CL  128 B 58 C 50 IN 8 OF 403</v>
          </cell>
          <cell r="K8" t="str">
            <v>11001</v>
          </cell>
          <cell r="L8" t="str">
            <v>BOGOTA DC</v>
          </cell>
          <cell r="M8" t="str">
            <v>8722525</v>
          </cell>
        </row>
        <row r="9">
          <cell r="A9">
            <v>386047</v>
          </cell>
          <cell r="B9" t="str">
            <v>2</v>
          </cell>
          <cell r="C9" t="str">
            <v/>
          </cell>
          <cell r="D9" t="str">
            <v>NP</v>
          </cell>
          <cell r="E9" t="str">
            <v>JEREMIAS</v>
          </cell>
          <cell r="F9" t="str">
            <v>QUEVEDO CASTILLO</v>
          </cell>
          <cell r="G9" t="str">
            <v>QUEVEDO CASTILLO JEREMIAS</v>
          </cell>
          <cell r="H9" t="str">
            <v>IMVE</v>
          </cell>
          <cell r="I9" t="str">
            <v>IMPUESTO SOBRE LAS VENTAS</v>
          </cell>
          <cell r="J9" t="str">
            <v>CR 12 15 61</v>
          </cell>
          <cell r="K9" t="str">
            <v>11001</v>
          </cell>
          <cell r="L9" t="str">
            <v>BOGOTA DC</v>
          </cell>
          <cell r="M9" t="str">
            <v>7454352</v>
          </cell>
        </row>
        <row r="10">
          <cell r="A10">
            <v>406738</v>
          </cell>
          <cell r="B10" t="str">
            <v>0</v>
          </cell>
          <cell r="C10" t="str">
            <v/>
          </cell>
          <cell r="D10" t="str">
            <v>NP</v>
          </cell>
          <cell r="E10" t="str">
            <v>ANGEL MARIA COUSTOIDIO</v>
          </cell>
          <cell r="F10" t="str">
            <v>VELA GAMBA</v>
          </cell>
          <cell r="G10" t="str">
            <v>VELA GAMBA ANGEL MARIA COUSTOIDIO</v>
          </cell>
          <cell r="H10" t="str">
            <v>NORE</v>
          </cell>
          <cell r="I10" t="str">
            <v>NO RESPONSABLE DE IVA</v>
          </cell>
          <cell r="J10" t="str">
            <v>CR 1 A 33 A 30 CA 43</v>
          </cell>
          <cell r="K10" t="str">
            <v>25781</v>
          </cell>
          <cell r="L10" t="str">
            <v>SUTATAUSA</v>
          </cell>
          <cell r="M10" t="str">
            <v>3107998583</v>
          </cell>
        </row>
        <row r="11">
          <cell r="A11">
            <v>997114</v>
          </cell>
          <cell r="B11" t="str">
            <v>1</v>
          </cell>
          <cell r="C11" t="str">
            <v/>
          </cell>
          <cell r="D11" t="str">
            <v>NP</v>
          </cell>
          <cell r="E11" t="str">
            <v>JOSE CAROLIPO</v>
          </cell>
          <cell r="F11" t="str">
            <v>ABAUNZA JIMENEZ</v>
          </cell>
          <cell r="G11" t="str">
            <v>ABAUNZA JIMENEZ JOSE CAROLIPO</v>
          </cell>
          <cell r="H11" t="str">
            <v>RESI</v>
          </cell>
          <cell r="I11" t="str">
            <v>REGIMEN SIMPLIFICADO</v>
          </cell>
          <cell r="J11" t="str">
            <v>CL 85   9   52 AP 301</v>
          </cell>
          <cell r="K11" t="str">
            <v>11001</v>
          </cell>
          <cell r="L11" t="str">
            <v>BOGOTA DC</v>
          </cell>
          <cell r="M11" t="str">
            <v>2189164</v>
          </cell>
        </row>
        <row r="12">
          <cell r="A12">
            <v>1004394</v>
          </cell>
          <cell r="B12" t="str">
            <v>9</v>
          </cell>
          <cell r="C12" t="str">
            <v/>
          </cell>
          <cell r="D12" t="str">
            <v>NP</v>
          </cell>
          <cell r="E12" t="str">
            <v>WILSON</v>
          </cell>
          <cell r="F12" t="str">
            <v>GALLO PEREZ</v>
          </cell>
          <cell r="G12" t="str">
            <v>WILSON GALLO PEREZ</v>
          </cell>
          <cell r="H12" t="str">
            <v>NORE</v>
          </cell>
          <cell r="I12" t="str">
            <v>NO RESPONSABLE DE IVA</v>
          </cell>
          <cell r="J12" t="str">
            <v>VRD CARICHANA</v>
          </cell>
          <cell r="K12" t="str">
            <v>15537</v>
          </cell>
          <cell r="L12" t="str">
            <v>PAZ DE RÍO</v>
          </cell>
          <cell r="M12" t="str">
            <v>3124491728</v>
          </cell>
        </row>
        <row r="13">
          <cell r="A13">
            <v>1075319</v>
          </cell>
          <cell r="B13" t="str">
            <v>1</v>
          </cell>
          <cell r="C13" t="str">
            <v/>
          </cell>
          <cell r="D13" t="str">
            <v>NP</v>
          </cell>
          <cell r="E13" t="str">
            <v>CALIXTO</v>
          </cell>
          <cell r="F13" t="str">
            <v>VALBUENA CARREÑO</v>
          </cell>
          <cell r="G13" t="str">
            <v>VALBUENA CARREÑO CALIXTO</v>
          </cell>
          <cell r="H13" t="str">
            <v>REOR</v>
          </cell>
          <cell r="I13" t="str">
            <v>RENTA REGIMEN ORDINARIO</v>
          </cell>
          <cell r="J13" t="str">
            <v>CL 30 15 40</v>
          </cell>
          <cell r="K13" t="str">
            <v>15238</v>
          </cell>
          <cell r="L13" t="str">
            <v>DUITAMA</v>
          </cell>
          <cell r="M13" t="str">
            <v>7852511</v>
          </cell>
        </row>
        <row r="14">
          <cell r="A14">
            <v>1095676</v>
          </cell>
          <cell r="B14" t="str">
            <v>1</v>
          </cell>
          <cell r="C14" t="str">
            <v/>
          </cell>
          <cell r="D14" t="str">
            <v>NP</v>
          </cell>
          <cell r="E14" t="str">
            <v>FELIX MARIA</v>
          </cell>
          <cell r="F14" t="str">
            <v>CUERVO COY</v>
          </cell>
          <cell r="G14" t="str">
            <v>CUERVO COY FELIX MARIA</v>
          </cell>
          <cell r="H14" t="str">
            <v>REOR</v>
          </cell>
          <cell r="I14" t="str">
            <v>RENTA REGIMEN ORDINARIO</v>
          </cell>
          <cell r="J14" t="str">
            <v>TV 16  47 14</v>
          </cell>
          <cell r="K14" t="str">
            <v>15001</v>
          </cell>
          <cell r="L14" t="str">
            <v>TUNJA</v>
          </cell>
          <cell r="M14" t="str">
            <v>3105698204</v>
          </cell>
        </row>
        <row r="15">
          <cell r="A15">
            <v>1098482</v>
          </cell>
          <cell r="B15" t="str">
            <v>1</v>
          </cell>
          <cell r="C15" t="str">
            <v/>
          </cell>
          <cell r="D15" t="str">
            <v>NP</v>
          </cell>
          <cell r="E15" t="str">
            <v>JOSE EUCLIDES</v>
          </cell>
          <cell r="F15" t="str">
            <v xml:space="preserve">RINCON   </v>
          </cell>
          <cell r="G15" t="str">
            <v>JOSE EUCLIDES RINCON</v>
          </cell>
          <cell r="H15" t="str">
            <v>REOR</v>
          </cell>
          <cell r="I15" t="str">
            <v>RENTA REGIMEN ORDINARIO</v>
          </cell>
          <cell r="J15" t="str">
            <v xml:space="preserve"> VRD EL VOLCAN SECTOR EL TINTAL  - CUARTA UNIDAD TERMOPAIPA</v>
          </cell>
          <cell r="K15" t="str">
            <v>15516</v>
          </cell>
          <cell r="L15" t="str">
            <v>PAIPA</v>
          </cell>
          <cell r="M15" t="str">
            <v>3108662472</v>
          </cell>
        </row>
        <row r="16">
          <cell r="A16">
            <v>1113654</v>
          </cell>
          <cell r="B16" t="str">
            <v>6</v>
          </cell>
          <cell r="C16" t="str">
            <v/>
          </cell>
          <cell r="D16" t="str">
            <v>NP</v>
          </cell>
          <cell r="E16" t="str">
            <v>PEDRO JOSUE</v>
          </cell>
          <cell r="F16" t="str">
            <v>NOVA GONZALEZ</v>
          </cell>
          <cell r="G16" t="str">
            <v>PEDRO JOSUE NOVA GONZALEZ</v>
          </cell>
          <cell r="H16" t="str">
            <v>RECO</v>
          </cell>
          <cell r="I16" t="str">
            <v>REGIMEN COMUN</v>
          </cell>
          <cell r="J16" t="str">
            <v>CL 20 21 64</v>
          </cell>
          <cell r="K16" t="str">
            <v>15238</v>
          </cell>
          <cell r="L16" t="str">
            <v>DUITAMA</v>
          </cell>
          <cell r="M16" t="str">
            <v>7603841</v>
          </cell>
        </row>
        <row r="17">
          <cell r="A17">
            <v>1113764</v>
          </cell>
          <cell r="B17" t="str">
            <v>8</v>
          </cell>
          <cell r="C17" t="str">
            <v/>
          </cell>
          <cell r="D17" t="str">
            <v>NP</v>
          </cell>
          <cell r="E17" t="str">
            <v xml:space="preserve">POMPILIO </v>
          </cell>
          <cell r="F17" t="str">
            <v xml:space="preserve"> ARAQUE GARCIA</v>
          </cell>
          <cell r="G17" t="str">
            <v>POMPILIO  ARAQUE GARCIA</v>
          </cell>
          <cell r="H17" t="str">
            <v>RESI</v>
          </cell>
          <cell r="I17" t="str">
            <v>REGIMEN SIMPLIFICADO</v>
          </cell>
          <cell r="J17" t="str">
            <v>PENDIENTE POR CREAR GENERACIÓN</v>
          </cell>
          <cell r="K17" t="str">
            <v>15516</v>
          </cell>
          <cell r="L17" t="str">
            <v>PAIPA</v>
          </cell>
          <cell r="M17" t="str">
            <v>8756262</v>
          </cell>
        </row>
        <row r="18">
          <cell r="A18">
            <v>1124809</v>
          </cell>
          <cell r="B18" t="str">
            <v/>
          </cell>
          <cell r="C18" t="str">
            <v/>
          </cell>
          <cell r="D18" t="str">
            <v>CC</v>
          </cell>
          <cell r="E18" t="str">
            <v>JOSE MAURICIO</v>
          </cell>
          <cell r="F18" t="str">
            <v>ROA ISAIRIAS</v>
          </cell>
          <cell r="G18" t="str">
            <v>ROA ISAIRIAS JOSE MAURICIO</v>
          </cell>
          <cell r="H18" t="str">
            <v>RESI</v>
          </cell>
          <cell r="I18" t="str">
            <v>REGIMEN SIMPLIFICADO</v>
          </cell>
          <cell r="J18" t="str">
            <v>VRD LA YOPALOSA FCA GUARDIA</v>
          </cell>
          <cell r="K18" t="str">
            <v>85225</v>
          </cell>
          <cell r="L18" t="str">
            <v>NUNCHÍA</v>
          </cell>
          <cell r="M18" t="str">
            <v>3124740279</v>
          </cell>
        </row>
        <row r="19">
          <cell r="A19">
            <v>1173939</v>
          </cell>
          <cell r="B19" t="str">
            <v>6</v>
          </cell>
          <cell r="C19" t="str">
            <v/>
          </cell>
          <cell r="D19" t="str">
            <v>NP</v>
          </cell>
          <cell r="E19" t="str">
            <v>PEDRO ESAU</v>
          </cell>
          <cell r="F19" t="str">
            <v>MENDIETA PALACIOS</v>
          </cell>
          <cell r="G19" t="str">
            <v>MENDIETA PALACIOS PEDRO ESAU</v>
          </cell>
          <cell r="H19" t="str">
            <v>RESI</v>
          </cell>
          <cell r="I19" t="str">
            <v>REGIMEN SIMPLIFICADO</v>
          </cell>
          <cell r="J19" t="str">
            <v>TV 4  46  53 BRR LAS QUINTAS</v>
          </cell>
          <cell r="K19" t="str">
            <v>15001</v>
          </cell>
          <cell r="L19" t="str">
            <v>TUNJA</v>
          </cell>
          <cell r="M19" t="str">
            <v>3112100738</v>
          </cell>
        </row>
        <row r="20">
          <cell r="A20">
            <v>1173982</v>
          </cell>
          <cell r="B20" t="str">
            <v>3</v>
          </cell>
          <cell r="C20" t="str">
            <v/>
          </cell>
          <cell r="D20" t="str">
            <v>NP</v>
          </cell>
          <cell r="E20" t="str">
            <v>RAFAEL</v>
          </cell>
          <cell r="F20" t="str">
            <v>FORERO CLAVIJO</v>
          </cell>
          <cell r="G20" t="str">
            <v>RAFAEL FORERO CLAVIJO</v>
          </cell>
          <cell r="H20" t="str">
            <v>IMVE</v>
          </cell>
          <cell r="I20" t="str">
            <v>IMPUESTO SOBRE LAS VENTAS</v>
          </cell>
          <cell r="J20" t="str">
            <v xml:space="preserve"> CL 68 SUR 70 D 71 TO 6 OF 1808 PAR CENTRAL BONAVISTA II</v>
          </cell>
          <cell r="K20" t="str">
            <v>11001</v>
          </cell>
          <cell r="L20" t="str">
            <v>BOGOTA DC</v>
          </cell>
          <cell r="M20" t="str">
            <v>7224573</v>
          </cell>
        </row>
        <row r="21">
          <cell r="A21">
            <v>1177423</v>
          </cell>
          <cell r="B21" t="str">
            <v>6</v>
          </cell>
          <cell r="C21" t="str">
            <v/>
          </cell>
          <cell r="D21" t="str">
            <v>NP</v>
          </cell>
          <cell r="E21" t="str">
            <v>CIRO ROBERTO</v>
          </cell>
          <cell r="F21" t="str">
            <v>MORENO COLMENARES</v>
          </cell>
          <cell r="G21" t="str">
            <v>MORENO COLMENARES CIRO ROBERTO</v>
          </cell>
          <cell r="H21" t="str">
            <v>RECO</v>
          </cell>
          <cell r="I21" t="str">
            <v>REGIMEN COMUN</v>
          </cell>
          <cell r="J21" t="str">
            <v>CL 14 13 51 OF 201</v>
          </cell>
          <cell r="K21" t="str">
            <v>15759</v>
          </cell>
          <cell r="L21" t="str">
            <v>SOGAMOSO</v>
          </cell>
          <cell r="M21" t="str">
            <v>7707370</v>
          </cell>
        </row>
        <row r="22">
          <cell r="A22">
            <v>1177462</v>
          </cell>
          <cell r="B22" t="str">
            <v>3</v>
          </cell>
          <cell r="C22" t="str">
            <v/>
          </cell>
          <cell r="D22" t="str">
            <v>NP</v>
          </cell>
          <cell r="E22" t="str">
            <v>ELIAS</v>
          </cell>
          <cell r="F22" t="str">
            <v>FIAGA NIÑO</v>
          </cell>
          <cell r="G22" t="str">
            <v>FIAGA NIÑO ELIAS</v>
          </cell>
          <cell r="H22" t="str">
            <v>REOR</v>
          </cell>
          <cell r="I22" t="str">
            <v>RENTA REGIMEN ORDINARIO</v>
          </cell>
          <cell r="J22" t="str">
            <v>VRD SAN JOSE SEC EL OLIVO</v>
          </cell>
          <cell r="K22" t="str">
            <v>15820</v>
          </cell>
          <cell r="L22" t="str">
            <v>TÓPAGA</v>
          </cell>
          <cell r="M22" t="str">
            <v>3114509605</v>
          </cell>
        </row>
        <row r="23">
          <cell r="A23">
            <v>1177502</v>
          </cell>
          <cell r="B23" t="str">
            <v>1</v>
          </cell>
          <cell r="C23" t="str">
            <v/>
          </cell>
          <cell r="D23" t="str">
            <v>NP</v>
          </cell>
          <cell r="E23" t="str">
            <v>JOSE HORACIO</v>
          </cell>
          <cell r="F23" t="str">
            <v>CARDENAS SATIVA</v>
          </cell>
          <cell r="G23" t="str">
            <v>JOSE HORACIO CARDENAS SATIVA</v>
          </cell>
          <cell r="H23" t="str">
            <v>RESI</v>
          </cell>
          <cell r="I23" t="str">
            <v>REGIMEN SIMPLIFICADO</v>
          </cell>
          <cell r="J23" t="str">
            <v>VRD SAN JUDAS TADEO</v>
          </cell>
          <cell r="K23" t="str">
            <v>15820</v>
          </cell>
          <cell r="L23" t="str">
            <v>TÓPAGA</v>
          </cell>
          <cell r="M23" t="str">
            <v>3142938366</v>
          </cell>
        </row>
        <row r="24">
          <cell r="A24">
            <v>1177568</v>
          </cell>
          <cell r="B24" t="str">
            <v>5</v>
          </cell>
          <cell r="C24" t="str">
            <v/>
          </cell>
          <cell r="D24" t="str">
            <v>NP</v>
          </cell>
          <cell r="E24" t="str">
            <v>JORGE ENRIQUE</v>
          </cell>
          <cell r="F24" t="str">
            <v>PIRAJON MORENO</v>
          </cell>
          <cell r="G24" t="str">
            <v>JORGE ENRIQUE PIRAJON MORENO</v>
          </cell>
          <cell r="H24" t="str">
            <v>REOR</v>
          </cell>
          <cell r="I24" t="str">
            <v>RENTA REGIMEN ORDINARIO</v>
          </cell>
          <cell r="J24" t="str">
            <v>CR 29 A 9 35 CON TORRES DEL RECREO AP 401 TO 2</v>
          </cell>
          <cell r="K24" t="str">
            <v>15759</v>
          </cell>
          <cell r="L24" t="str">
            <v>SOGAMOSO</v>
          </cell>
          <cell r="M24" t="str">
            <v>3134308488</v>
          </cell>
        </row>
        <row r="25">
          <cell r="A25">
            <v>1179078</v>
          </cell>
          <cell r="B25" t="str">
            <v>7</v>
          </cell>
          <cell r="C25" t="str">
            <v/>
          </cell>
          <cell r="D25" t="str">
            <v>NP</v>
          </cell>
          <cell r="E25" t="str">
            <v>MELQUICEDEC</v>
          </cell>
          <cell r="F25" t="str">
            <v>PEREZ RIAÑO</v>
          </cell>
          <cell r="G25" t="str">
            <v>PEREZ RIAÑO MELQUICEDEC</v>
          </cell>
          <cell r="H25" t="str">
            <v>RECO</v>
          </cell>
          <cell r="I25" t="str">
            <v>REGIMEN COMUN</v>
          </cell>
          <cell r="J25" t="str">
            <v>CL 15   47   15 CONJ HACIENDA TRAPICHE II</v>
          </cell>
          <cell r="K25" t="str">
            <v>50001</v>
          </cell>
          <cell r="L25" t="str">
            <v>VILLAVICENCIO</v>
          </cell>
          <cell r="M25" t="str">
            <v>3212328828</v>
          </cell>
        </row>
        <row r="26">
          <cell r="A26">
            <v>1179267</v>
          </cell>
          <cell r="B26" t="str">
            <v/>
          </cell>
          <cell r="C26" t="str">
            <v/>
          </cell>
          <cell r="D26" t="str">
            <v>CC</v>
          </cell>
          <cell r="E26" t="str">
            <v>ARNULFO</v>
          </cell>
          <cell r="F26" t="str">
            <v>TORRES RODRIGUEZ</v>
          </cell>
          <cell r="G26" t="str">
            <v>TORRES RODRIGUEZ ARNULFO</v>
          </cell>
          <cell r="H26" t="str">
            <v>RESI</v>
          </cell>
          <cell r="I26" t="str">
            <v>REGIMEN SIMPLIFICADO</v>
          </cell>
          <cell r="J26" t="str">
            <v>CL 20 A   29   86</v>
          </cell>
          <cell r="K26" t="str">
            <v>85001</v>
          </cell>
          <cell r="L26" t="str">
            <v>YOPAL</v>
          </cell>
          <cell r="M26" t="str">
            <v>3103438776</v>
          </cell>
        </row>
        <row r="27">
          <cell r="A27">
            <v>1179276</v>
          </cell>
          <cell r="B27" t="str">
            <v/>
          </cell>
          <cell r="C27" t="str">
            <v/>
          </cell>
          <cell r="D27" t="str">
            <v>CC</v>
          </cell>
          <cell r="E27" t="str">
            <v>JESUS</v>
          </cell>
          <cell r="F27" t="str">
            <v>FARFAN BARRAGAN</v>
          </cell>
          <cell r="G27" t="str">
            <v>FARFAN BARRAGAN JESUS</v>
          </cell>
          <cell r="H27" t="str">
            <v>RESI</v>
          </cell>
          <cell r="I27" t="str">
            <v>REGIMEN SIMPLIFICADO</v>
          </cell>
          <cell r="J27" t="str">
            <v>VRD CALERAS</v>
          </cell>
          <cell r="K27" t="str">
            <v>15491</v>
          </cell>
          <cell r="L27" t="str">
            <v>NOBSA</v>
          </cell>
          <cell r="M27" t="str">
            <v>3123736655</v>
          </cell>
        </row>
        <row r="28">
          <cell r="A28">
            <v>1179352</v>
          </cell>
          <cell r="B28" t="str">
            <v/>
          </cell>
          <cell r="C28" t="str">
            <v/>
          </cell>
          <cell r="D28" t="str">
            <v>CC</v>
          </cell>
          <cell r="E28" t="str">
            <v>PEDRO</v>
          </cell>
          <cell r="F28" t="str">
            <v>VASQUEZ SAMBRANO</v>
          </cell>
          <cell r="G28" t="str">
            <v>VASQUEZ SAMBRANO PEDRO</v>
          </cell>
          <cell r="H28" t="str">
            <v>RESI</v>
          </cell>
          <cell r="I28" t="str">
            <v>REGIMEN SIMPLIFICADO</v>
          </cell>
          <cell r="J28" t="str">
            <v>MCP SAN LUIS DE PALENQUE VRD EL PALMAR DE GUANAPALO PD VALLE SOL</v>
          </cell>
          <cell r="K28" t="str">
            <v>85001</v>
          </cell>
          <cell r="L28" t="str">
            <v>YOPAL</v>
          </cell>
          <cell r="M28" t="str">
            <v>3113890483</v>
          </cell>
        </row>
        <row r="29">
          <cell r="A29">
            <v>1179442</v>
          </cell>
          <cell r="B29" t="str">
            <v/>
          </cell>
          <cell r="C29" t="str">
            <v/>
          </cell>
          <cell r="D29" t="str">
            <v>CC</v>
          </cell>
          <cell r="E29" t="str">
            <v>ROGELIO</v>
          </cell>
          <cell r="F29" t="str">
            <v>ESPINOSA RODRIGUEZ</v>
          </cell>
          <cell r="G29" t="str">
            <v>ESPINOSA RODRIGUEZ ROGELIO</v>
          </cell>
          <cell r="H29" t="str">
            <v>RESI</v>
          </cell>
          <cell r="I29" t="str">
            <v>REGIMEN SIMPLIFICADO</v>
          </cell>
          <cell r="J29" t="str">
            <v>MCP SAN LUIS DE PALENQUE VRD LA PALESTINA PD EL ROSARIO</v>
          </cell>
          <cell r="K29" t="str">
            <v>85430</v>
          </cell>
          <cell r="L29" t="str">
            <v>TRINIDAD</v>
          </cell>
          <cell r="M29" t="str">
            <v>3143673664</v>
          </cell>
        </row>
        <row r="30">
          <cell r="A30">
            <v>1179544</v>
          </cell>
          <cell r="B30" t="str">
            <v>8</v>
          </cell>
          <cell r="C30" t="str">
            <v/>
          </cell>
          <cell r="D30" t="str">
            <v>NP</v>
          </cell>
          <cell r="E30" t="str">
            <v>JORGE</v>
          </cell>
          <cell r="F30" t="str">
            <v>BETANCOURT ARANGUREN</v>
          </cell>
          <cell r="G30" t="str">
            <v>BETANCOURT ARANGUREN JORGE</v>
          </cell>
          <cell r="H30" t="str">
            <v>RECO</v>
          </cell>
          <cell r="I30" t="str">
            <v>REGIMEN COMUN</v>
          </cell>
          <cell r="J30" t="str">
            <v>CL 6   1   19</v>
          </cell>
          <cell r="K30" t="str">
            <v>85430</v>
          </cell>
          <cell r="L30" t="str">
            <v>TRINIDAD</v>
          </cell>
          <cell r="M30" t="str">
            <v>3112576239</v>
          </cell>
        </row>
        <row r="31">
          <cell r="A31">
            <v>1179626</v>
          </cell>
          <cell r="B31" t="str">
            <v/>
          </cell>
          <cell r="C31" t="str">
            <v/>
          </cell>
          <cell r="D31" t="str">
            <v>CC</v>
          </cell>
          <cell r="E31" t="str">
            <v>VICTOR MANUEL</v>
          </cell>
          <cell r="F31" t="str">
            <v>BARRAGAN GOMEZ</v>
          </cell>
          <cell r="G31" t="str">
            <v>BARRAGAN GOMEZ VICTOR MANUEL</v>
          </cell>
          <cell r="H31" t="str">
            <v>RESI</v>
          </cell>
          <cell r="I31" t="str">
            <v>REGIMEN SIMPLIFICADO</v>
          </cell>
          <cell r="J31" t="str">
            <v>MCP SAN LUIS DE PALENQUE VRD GUARACURAS FCA SAN MATEO</v>
          </cell>
          <cell r="K31" t="str">
            <v>99624</v>
          </cell>
          <cell r="L31" t="str">
            <v>SANTA ROSALÍA</v>
          </cell>
          <cell r="M31" t="str">
            <v>3125873144</v>
          </cell>
        </row>
        <row r="32">
          <cell r="A32">
            <v>1179674</v>
          </cell>
          <cell r="B32" t="str">
            <v>7</v>
          </cell>
          <cell r="C32" t="str">
            <v/>
          </cell>
          <cell r="D32" t="str">
            <v>NP</v>
          </cell>
          <cell r="E32" t="str">
            <v>OSCAR</v>
          </cell>
          <cell r="F32" t="str">
            <v>DUARTE TUAY</v>
          </cell>
          <cell r="G32" t="str">
            <v>DUARTE TUAY OSCAR</v>
          </cell>
          <cell r="H32" t="str">
            <v>RESI</v>
          </cell>
          <cell r="I32" t="str">
            <v>REGIMEN SIMPLIFICADO</v>
          </cell>
          <cell r="J32" t="str">
            <v>VRD LAS CAÑAS FCA LAS CANARIAS</v>
          </cell>
          <cell r="K32" t="str">
            <v>85325</v>
          </cell>
          <cell r="L32" t="str">
            <v>SAN LUIS DE PALENQUE</v>
          </cell>
          <cell r="M32" t="str">
            <v>3208822313</v>
          </cell>
        </row>
        <row r="33">
          <cell r="A33">
            <v>1179710</v>
          </cell>
          <cell r="B33" t="str">
            <v/>
          </cell>
          <cell r="C33" t="str">
            <v/>
          </cell>
          <cell r="D33" t="str">
            <v>CC</v>
          </cell>
          <cell r="E33" t="str">
            <v>MANUEL</v>
          </cell>
          <cell r="F33" t="str">
            <v>BARRAGAN BARRAGAN</v>
          </cell>
          <cell r="G33" t="str">
            <v>BARRAGAN BARRAGAN MANUEL</v>
          </cell>
          <cell r="H33" t="str">
            <v>RESI</v>
          </cell>
          <cell r="I33" t="str">
            <v>REGIMEN SIMPLIFICADO</v>
          </cell>
          <cell r="J33" t="str">
            <v>MCP NUNCHIA PD LT 1</v>
          </cell>
          <cell r="K33" t="str">
            <v>85001</v>
          </cell>
          <cell r="L33" t="str">
            <v>YOPAL</v>
          </cell>
          <cell r="M33" t="str">
            <v>3133309069</v>
          </cell>
        </row>
        <row r="34">
          <cell r="A34">
            <v>1193050</v>
          </cell>
          <cell r="B34" t="str">
            <v>1</v>
          </cell>
          <cell r="C34" t="str">
            <v/>
          </cell>
          <cell r="D34" t="str">
            <v>NP</v>
          </cell>
          <cell r="E34" t="str">
            <v>JORGE LUIS</v>
          </cell>
          <cell r="F34" t="str">
            <v>MOLINA MARULANDA</v>
          </cell>
          <cell r="G34" t="str">
            <v>MOLINA MARULANDA JORGE LUIS</v>
          </cell>
          <cell r="H34" t="str">
            <v>RESI</v>
          </cell>
          <cell r="I34" t="str">
            <v>REGIMEN SIMPLIFICADO</v>
          </cell>
          <cell r="J34" t="str">
            <v xml:space="preserve"> CL 62  24 B  12 AP 201  ED SABOYA</v>
          </cell>
          <cell r="K34" t="str">
            <v>17001</v>
          </cell>
          <cell r="L34" t="str">
            <v>MANIZALES</v>
          </cell>
          <cell r="M34" t="str">
            <v>8859227</v>
          </cell>
        </row>
        <row r="35">
          <cell r="A35">
            <v>1193452</v>
          </cell>
          <cell r="B35" t="str">
            <v/>
          </cell>
          <cell r="C35" t="str">
            <v/>
          </cell>
          <cell r="D35" t="str">
            <v>CC</v>
          </cell>
          <cell r="E35" t="str">
            <v>RAFAEL</v>
          </cell>
          <cell r="F35" t="str">
            <v>COTRINI B.</v>
          </cell>
          <cell r="G35" t="str">
            <v>COTRINI B. RAFAEL</v>
          </cell>
          <cell r="H35" t="str">
            <v>RESI</v>
          </cell>
          <cell r="I35" t="str">
            <v>REGIMEN SIMPLIFICADO</v>
          </cell>
          <cell r="J35" t="str">
            <v>CL 23 19 16</v>
          </cell>
          <cell r="K35" t="str">
            <v>17001</v>
          </cell>
          <cell r="L35" t="str">
            <v>MANIZALES</v>
          </cell>
          <cell r="M35" t="str">
            <v>8825312</v>
          </cell>
        </row>
        <row r="36">
          <cell r="A36">
            <v>1336365</v>
          </cell>
          <cell r="B36" t="str">
            <v/>
          </cell>
          <cell r="C36" t="str">
            <v/>
          </cell>
          <cell r="D36" t="str">
            <v>CC</v>
          </cell>
          <cell r="E36" t="str">
            <v>CARLOS IVAN</v>
          </cell>
          <cell r="F36" t="str">
            <v>GONZALEZ ZULUAGA</v>
          </cell>
          <cell r="G36" t="str">
            <v>GONZALEZ ZULUAGA CARLOS IVAN</v>
          </cell>
          <cell r="H36" t="str">
            <v>FUNC</v>
          </cell>
          <cell r="I36" t="str">
            <v>FUNCIONARIO</v>
          </cell>
          <cell r="J36" t="str">
            <v xml:space="preserve"> CL 44 D 45 86 TO 1 203</v>
          </cell>
          <cell r="K36" t="str">
            <v>11001</v>
          </cell>
          <cell r="L36" t="str">
            <v>BOGOTA DC</v>
          </cell>
          <cell r="M36" t="str">
            <v>3143350809</v>
          </cell>
        </row>
        <row r="37">
          <cell r="A37">
            <v>1336454</v>
          </cell>
          <cell r="B37" t="str">
            <v>7</v>
          </cell>
          <cell r="C37" t="str">
            <v/>
          </cell>
          <cell r="D37" t="str">
            <v>NP</v>
          </cell>
          <cell r="E37" t="str">
            <v>GERARDO ALBERTO</v>
          </cell>
          <cell r="F37" t="str">
            <v>CORREA RAMIREZ</v>
          </cell>
          <cell r="G37" t="str">
            <v>CORREA RAMIREZ GERARDO ALBERTO</v>
          </cell>
          <cell r="H37" t="str">
            <v>RESI</v>
          </cell>
          <cell r="I37" t="str">
            <v>REGIMEN SIMPLIFICADO</v>
          </cell>
          <cell r="J37" t="str">
            <v>FCA EL RUIZ VRD EL AGUILA</v>
          </cell>
          <cell r="K37" t="str">
            <v>17001</v>
          </cell>
          <cell r="L37" t="str">
            <v>MANIZALES</v>
          </cell>
          <cell r="M37" t="str">
            <v>3153191255</v>
          </cell>
        </row>
        <row r="38">
          <cell r="A38">
            <v>1336578</v>
          </cell>
          <cell r="B38" t="str">
            <v>1</v>
          </cell>
          <cell r="C38" t="str">
            <v/>
          </cell>
          <cell r="D38" t="str">
            <v>NP</v>
          </cell>
          <cell r="E38" t="str">
            <v>GERMAN</v>
          </cell>
          <cell r="F38" t="str">
            <v>PEREZ NOREÑA</v>
          </cell>
          <cell r="G38" t="str">
            <v>PEREZ NOREÑA GERMAN</v>
          </cell>
          <cell r="H38" t="str">
            <v>REOR</v>
          </cell>
          <cell r="I38" t="str">
            <v>RENTA REGIMEN ORDINARIO</v>
          </cell>
          <cell r="J38" t="str">
            <v>CALLE 62 # 24-38</v>
          </cell>
          <cell r="K38" t="str">
            <v>17001</v>
          </cell>
          <cell r="L38" t="str">
            <v>MANIZALES</v>
          </cell>
          <cell r="M38" t="str">
            <v>8859966</v>
          </cell>
        </row>
        <row r="39">
          <cell r="A39">
            <v>1378171</v>
          </cell>
          <cell r="B39" t="str">
            <v>8</v>
          </cell>
          <cell r="C39" t="str">
            <v/>
          </cell>
          <cell r="D39" t="str">
            <v>NP</v>
          </cell>
          <cell r="E39" t="str">
            <v xml:space="preserve">ORLANDO </v>
          </cell>
          <cell r="F39" t="str">
            <v>DUQUE ARIAS</v>
          </cell>
          <cell r="G39" t="str">
            <v>ORLANDO DUQUE ARIAS</v>
          </cell>
          <cell r="H39" t="str">
            <v>RESI</v>
          </cell>
          <cell r="I39" t="str">
            <v>REGIMEN SIMPLIFICADO</v>
          </cell>
          <cell r="J39" t="str">
            <v>BRR VILLA PILAR II BLOQUE 3 AP 305 A</v>
          </cell>
          <cell r="K39" t="str">
            <v>17001</v>
          </cell>
          <cell r="L39" t="str">
            <v>MANIZALES</v>
          </cell>
          <cell r="M39" t="str">
            <v>8800068</v>
          </cell>
        </row>
        <row r="40">
          <cell r="A40">
            <v>1741419</v>
          </cell>
          <cell r="B40" t="str">
            <v>5</v>
          </cell>
          <cell r="C40" t="str">
            <v/>
          </cell>
          <cell r="D40" t="str">
            <v>NP</v>
          </cell>
          <cell r="E40" t="str">
            <v>JOSE ANTONIO</v>
          </cell>
          <cell r="F40" t="str">
            <v>DADUL ANAYA</v>
          </cell>
          <cell r="G40" t="str">
            <v>DADUL ANAYA JOSE ANTONIO</v>
          </cell>
          <cell r="H40" t="str">
            <v>NORE</v>
          </cell>
          <cell r="I40" t="str">
            <v>NO RESPONSABLE DE IVA</v>
          </cell>
          <cell r="J40" t="str">
            <v>CL 72 24 07</v>
          </cell>
          <cell r="K40" t="str">
            <v>08001</v>
          </cell>
          <cell r="L40" t="str">
            <v>BARRANQUILLA</v>
          </cell>
          <cell r="M40" t="str">
            <v>3218842332</v>
          </cell>
        </row>
        <row r="41">
          <cell r="A41">
            <v>2193965</v>
          </cell>
          <cell r="B41" t="str">
            <v>7</v>
          </cell>
          <cell r="C41" t="str">
            <v/>
          </cell>
          <cell r="D41" t="str">
            <v>NP</v>
          </cell>
          <cell r="E41" t="str">
            <v>ARCELIO</v>
          </cell>
          <cell r="F41" t="str">
            <v>MARIN GARCIA</v>
          </cell>
          <cell r="G41" t="str">
            <v>MARIN GARCIA ARCELIO</v>
          </cell>
          <cell r="H41" t="str">
            <v>RECO</v>
          </cell>
          <cell r="I41" t="str">
            <v>REGIMEN COMUN</v>
          </cell>
          <cell r="J41" t="str">
            <v>CR 14   127   10 OF  611</v>
          </cell>
          <cell r="K41" t="str">
            <v>11001</v>
          </cell>
          <cell r="L41" t="str">
            <v>BOGOTA DC</v>
          </cell>
          <cell r="M41" t="str">
            <v>6155741</v>
          </cell>
        </row>
        <row r="42">
          <cell r="A42">
            <v>2263838</v>
          </cell>
          <cell r="B42" t="str">
            <v/>
          </cell>
          <cell r="C42" t="str">
            <v/>
          </cell>
          <cell r="D42" t="str">
            <v>CC</v>
          </cell>
          <cell r="E42" t="str">
            <v>AQUIMIN</v>
          </cell>
          <cell r="F42" t="str">
            <v>LOPEZ MARIN</v>
          </cell>
          <cell r="G42" t="str">
            <v>LOPEZ MARIN AQUIMIN</v>
          </cell>
          <cell r="H42" t="str">
            <v>RESI</v>
          </cell>
          <cell r="I42" t="str">
            <v>REGIMEN SIMPLIFICADO</v>
          </cell>
          <cell r="J42" t="str">
            <v>CR 33 105 D 74 BRR LA ENEA</v>
          </cell>
          <cell r="K42" t="str">
            <v>17001</v>
          </cell>
          <cell r="L42" t="str">
            <v>MANIZALES</v>
          </cell>
          <cell r="M42" t="str">
            <v>3127898300</v>
          </cell>
        </row>
        <row r="43">
          <cell r="A43">
            <v>2361085</v>
          </cell>
          <cell r="B43" t="str">
            <v>1</v>
          </cell>
          <cell r="C43" t="str">
            <v/>
          </cell>
          <cell r="D43" t="str">
            <v>NP</v>
          </cell>
          <cell r="E43" t="str">
            <v>JORGE WILLIAM</v>
          </cell>
          <cell r="F43" t="str">
            <v>GUAYARA MORENO</v>
          </cell>
          <cell r="G43" t="str">
            <v>GUAYARA MORENO JORGE WILLIAM</v>
          </cell>
          <cell r="H43" t="str">
            <v>RESI</v>
          </cell>
          <cell r="I43" t="str">
            <v>REGIMEN SIMPLIFICADO</v>
          </cell>
          <cell r="J43" t="str">
            <v>VRD LA YOPALOSA CR 7   06   60</v>
          </cell>
          <cell r="K43" t="str">
            <v>85225</v>
          </cell>
          <cell r="L43" t="str">
            <v>NUNCHÍA</v>
          </cell>
          <cell r="M43" t="str">
            <v>3212709287</v>
          </cell>
        </row>
        <row r="44">
          <cell r="A44">
            <v>2473515</v>
          </cell>
          <cell r="B44" t="str">
            <v/>
          </cell>
          <cell r="C44" t="str">
            <v/>
          </cell>
          <cell r="D44" t="str">
            <v>CC</v>
          </cell>
          <cell r="E44" t="str">
            <v>JORGE ALFONSO</v>
          </cell>
          <cell r="F44" t="str">
            <v>BARNEY ACEVEDO</v>
          </cell>
          <cell r="G44" t="str">
            <v>BARNEY ACEVEDO JORGE ALFONSO</v>
          </cell>
          <cell r="H44" t="str">
            <v>RESI</v>
          </cell>
          <cell r="I44" t="str">
            <v>REGIMEN SIMPLIFICADO</v>
          </cell>
          <cell r="J44" t="str">
            <v>CL 20 N 17 B BARRIO 5 DE DICIEMBRE</v>
          </cell>
          <cell r="K44" t="str">
            <v>97001</v>
          </cell>
          <cell r="L44" t="str">
            <v>MITÚ</v>
          </cell>
          <cell r="M44" t="str">
            <v>85656932</v>
          </cell>
        </row>
        <row r="45">
          <cell r="A45">
            <v>2831491</v>
          </cell>
          <cell r="B45" t="str">
            <v>6</v>
          </cell>
          <cell r="C45" t="str">
            <v/>
          </cell>
          <cell r="D45" t="str">
            <v>NP</v>
          </cell>
          <cell r="E45" t="str">
            <v>JOSE EMILIO</v>
          </cell>
          <cell r="F45" t="str">
            <v>HERRERA PAEZ</v>
          </cell>
          <cell r="G45" t="str">
            <v>HERRERA PAEZ JOSE EMILIO</v>
          </cell>
          <cell r="H45" t="str">
            <v>RECO</v>
          </cell>
          <cell r="I45" t="str">
            <v>REGIMEN COMUN</v>
          </cell>
          <cell r="J45" t="str">
            <v xml:space="preserve"> CL 4  5 09</v>
          </cell>
          <cell r="K45" t="str">
            <v>15820</v>
          </cell>
          <cell r="L45" t="str">
            <v>TÓPAGA</v>
          </cell>
          <cell r="M45" t="str">
            <v>3114801229</v>
          </cell>
        </row>
        <row r="46">
          <cell r="A46">
            <v>2986099</v>
          </cell>
          <cell r="B46" t="str">
            <v>7</v>
          </cell>
          <cell r="C46" t="str">
            <v/>
          </cell>
          <cell r="D46" t="str">
            <v>NP</v>
          </cell>
          <cell r="E46" t="str">
            <v>FERNANDO ANTONIO</v>
          </cell>
          <cell r="F46" t="str">
            <v>TINJACA ORTIZ</v>
          </cell>
          <cell r="G46" t="str">
            <v>TINJACA ORTIZ FERNANDO ANTONIO</v>
          </cell>
          <cell r="H46" t="str">
            <v>RESI</v>
          </cell>
          <cell r="I46" t="str">
            <v>REGIMEN SIMPLIFICADO</v>
          </cell>
          <cell r="J46" t="str">
            <v>CL 12 12 77</v>
          </cell>
          <cell r="K46" t="str">
            <v>25473</v>
          </cell>
          <cell r="L46" t="str">
            <v>MOSQUERA</v>
          </cell>
          <cell r="M46" t="str">
            <v>8298153</v>
          </cell>
        </row>
        <row r="47">
          <cell r="A47">
            <v>3015845</v>
          </cell>
          <cell r="B47" t="str">
            <v>3</v>
          </cell>
          <cell r="C47" t="str">
            <v/>
          </cell>
          <cell r="D47" t="str">
            <v>NP</v>
          </cell>
          <cell r="E47" t="str">
            <v>JOSE DEL CARMEN</v>
          </cell>
          <cell r="F47" t="str">
            <v>LARA VELASQUEZ</v>
          </cell>
          <cell r="G47" t="str">
            <v>LARA VELASQUEZ JOSE DEL CARMEN</v>
          </cell>
          <cell r="H47" t="str">
            <v>RECO</v>
          </cell>
          <cell r="I47" t="str">
            <v>REGIMEN COMUN</v>
          </cell>
          <cell r="J47" t="str">
            <v>CR 5  16 02 BRR CENTRO</v>
          </cell>
          <cell r="K47" t="str">
            <v>94001</v>
          </cell>
          <cell r="L47" t="str">
            <v>INÍRIDA</v>
          </cell>
          <cell r="M47" t="str">
            <v>3134414319</v>
          </cell>
        </row>
        <row r="48">
          <cell r="A48">
            <v>3090536</v>
          </cell>
          <cell r="B48" t="str">
            <v>1</v>
          </cell>
          <cell r="C48" t="str">
            <v/>
          </cell>
          <cell r="D48" t="str">
            <v>NP</v>
          </cell>
          <cell r="E48" t="str">
            <v>WILSON</v>
          </cell>
          <cell r="F48" t="str">
            <v>HERNANDEZ FORERO</v>
          </cell>
          <cell r="G48" t="str">
            <v>HERNANDEZ FORERO WILSON</v>
          </cell>
          <cell r="H48" t="str">
            <v>RCPN</v>
          </cell>
          <cell r="I48" t="str">
            <v>RESPONSABLE IVA PERSONA NATURAL</v>
          </cell>
          <cell r="J48" t="str">
            <v>AV CARACAS  64-56</v>
          </cell>
          <cell r="K48" t="str">
            <v>11001</v>
          </cell>
          <cell r="L48" t="str">
            <v>BOGOTA DC</v>
          </cell>
          <cell r="M48" t="str">
            <v>2170195</v>
          </cell>
        </row>
        <row r="49">
          <cell r="A49">
            <v>3101264</v>
          </cell>
          <cell r="B49" t="str">
            <v>2</v>
          </cell>
          <cell r="C49" t="str">
            <v/>
          </cell>
          <cell r="D49" t="str">
            <v>NP</v>
          </cell>
          <cell r="E49" t="str">
            <v>JUAN VICENTE</v>
          </cell>
          <cell r="F49" t="str">
            <v>GARZON CRUZ</v>
          </cell>
          <cell r="G49" t="str">
            <v>GARZON CRUZ JUAN VICENTE</v>
          </cell>
          <cell r="H49" t="str">
            <v>RESI</v>
          </cell>
          <cell r="I49" t="str">
            <v>REGIMEN SIMPLIFICADO</v>
          </cell>
          <cell r="J49" t="str">
            <v>CL 18 13 88 BRR LOS LIBERTADORES</v>
          </cell>
          <cell r="K49" t="str">
            <v>94001</v>
          </cell>
          <cell r="L49" t="str">
            <v>INÍRIDA</v>
          </cell>
          <cell r="M49" t="str">
            <v>3115869670</v>
          </cell>
        </row>
        <row r="50">
          <cell r="A50">
            <v>3132075</v>
          </cell>
          <cell r="B50" t="str">
            <v>1</v>
          </cell>
          <cell r="C50" t="str">
            <v/>
          </cell>
          <cell r="D50" t="str">
            <v>NP</v>
          </cell>
          <cell r="E50" t="str">
            <v>JOSE ALBEIRO</v>
          </cell>
          <cell r="F50" t="str">
            <v>BETANCUR LONDOÑO</v>
          </cell>
          <cell r="G50" t="str">
            <v>BETANCUR LONDOÑO JOSE ALBEIRO</v>
          </cell>
          <cell r="H50" t="str">
            <v>RESI</v>
          </cell>
          <cell r="I50" t="str">
            <v>REGIMEN SIMPLIFICADO</v>
          </cell>
          <cell r="J50" t="str">
            <v>VDA BERLIN</v>
          </cell>
          <cell r="K50" t="str">
            <v>17662</v>
          </cell>
          <cell r="L50" t="str">
            <v>SAMANÁ</v>
          </cell>
          <cell r="M50" t="str">
            <v>3147102990</v>
          </cell>
        </row>
        <row r="51">
          <cell r="A51">
            <v>3266598</v>
          </cell>
          <cell r="B51" t="str">
            <v>5</v>
          </cell>
          <cell r="C51" t="str">
            <v/>
          </cell>
          <cell r="D51" t="str">
            <v>NP</v>
          </cell>
          <cell r="E51" t="str">
            <v>ALEJANDRO</v>
          </cell>
          <cell r="F51" t="str">
            <v>PARDO OSSA</v>
          </cell>
          <cell r="G51" t="str">
            <v>PARDO OSSA ALEJANDRO</v>
          </cell>
          <cell r="H51" t="str">
            <v>RECO</v>
          </cell>
          <cell r="I51" t="str">
            <v>REGIMEN COMUN</v>
          </cell>
          <cell r="J51" t="str">
            <v>CL 81   13   14</v>
          </cell>
          <cell r="K51" t="str">
            <v>11001</v>
          </cell>
          <cell r="L51" t="str">
            <v>BOGOTA DC</v>
          </cell>
          <cell r="M51" t="str">
            <v>4569812</v>
          </cell>
        </row>
        <row r="52">
          <cell r="A52">
            <v>3267651</v>
          </cell>
          <cell r="B52" t="str">
            <v>2</v>
          </cell>
          <cell r="C52" t="str">
            <v/>
          </cell>
          <cell r="D52" t="str">
            <v>NP</v>
          </cell>
          <cell r="E52" t="str">
            <v>ALFREDO</v>
          </cell>
          <cell r="F52" t="str">
            <v>GUTIERREZ MENDEZ</v>
          </cell>
          <cell r="G52" t="str">
            <v>GUTIERREZ MENDEZ ALFREDO</v>
          </cell>
          <cell r="H52" t="str">
            <v>RECO</v>
          </cell>
          <cell r="I52" t="str">
            <v>REGIMEN COMUN</v>
          </cell>
          <cell r="J52" t="str">
            <v>CL 8   20   74</v>
          </cell>
          <cell r="K52" t="str">
            <v>25899</v>
          </cell>
          <cell r="L52" t="str">
            <v>ZIPAQUIRÁ</v>
          </cell>
          <cell r="M52" t="str">
            <v>8523141</v>
          </cell>
        </row>
        <row r="53">
          <cell r="A53">
            <v>3274382</v>
          </cell>
          <cell r="B53" t="str">
            <v>5</v>
          </cell>
          <cell r="C53" t="str">
            <v/>
          </cell>
          <cell r="D53" t="str">
            <v>NP</v>
          </cell>
          <cell r="E53" t="str">
            <v>ALVARO HUMBERTO</v>
          </cell>
          <cell r="F53" t="str">
            <v>MUÑOZ RUIZ</v>
          </cell>
          <cell r="G53" t="str">
            <v>MUÑOZ RUIZ ALVARO HUMBERTO</v>
          </cell>
          <cell r="H53" t="str">
            <v>RESI</v>
          </cell>
          <cell r="I53" t="str">
            <v>REGIMEN SIMPLIFICADO</v>
          </cell>
          <cell r="J53" t="str">
            <v>CL 16 11  20 BRR CENTRO</v>
          </cell>
          <cell r="K53" t="str">
            <v>94001</v>
          </cell>
          <cell r="L53" t="str">
            <v>INÍRIDA</v>
          </cell>
          <cell r="M53" t="str">
            <v>3107853288</v>
          </cell>
        </row>
        <row r="54">
          <cell r="A54">
            <v>3275749</v>
          </cell>
          <cell r="B54" t="str">
            <v/>
          </cell>
          <cell r="C54" t="str">
            <v/>
          </cell>
          <cell r="D54" t="str">
            <v>CC</v>
          </cell>
          <cell r="E54" t="str">
            <v>LUIS HERNANDO</v>
          </cell>
          <cell r="F54" t="str">
            <v>PEREZ ARENAS</v>
          </cell>
          <cell r="G54" t="str">
            <v>PEREZ ARENAS LUIS HERNANDO</v>
          </cell>
          <cell r="H54" t="str">
            <v>RESI</v>
          </cell>
          <cell r="I54" t="str">
            <v>REGIMEN SIMPLIFICADO</v>
          </cell>
          <cell r="J54" t="str">
            <v>MCP VILLAVICENCIO DPTO META</v>
          </cell>
          <cell r="K54" t="str">
            <v>50001</v>
          </cell>
          <cell r="L54" t="str">
            <v>VILLAVICENCIO</v>
          </cell>
          <cell r="M54" t="str">
            <v>8756262</v>
          </cell>
        </row>
        <row r="55">
          <cell r="A55">
            <v>3291681</v>
          </cell>
          <cell r="B55" t="str">
            <v/>
          </cell>
          <cell r="C55" t="str">
            <v/>
          </cell>
          <cell r="D55" t="str">
            <v>CC</v>
          </cell>
          <cell r="E55" t="str">
            <v>CARLOS AUGUSTO</v>
          </cell>
          <cell r="F55" t="str">
            <v>AVELLA ORTEGA</v>
          </cell>
          <cell r="G55" t="str">
            <v>AVELLA ORTEGA CARLOS AUGUSTO</v>
          </cell>
          <cell r="H55" t="str">
            <v>RESI</v>
          </cell>
          <cell r="I55" t="str">
            <v>REGIMEN SIMPLIFICADO</v>
          </cell>
          <cell r="J55" t="str">
            <v>MCP SAN LUIS DE PALENQUE VRD SAN FRANCISCO  PD LAS PALMAS</v>
          </cell>
          <cell r="K55" t="str">
            <v>85325</v>
          </cell>
          <cell r="L55" t="str">
            <v>SAN LUIS DE PALENQUE</v>
          </cell>
          <cell r="M55" t="str">
            <v>3132373589</v>
          </cell>
        </row>
        <row r="56">
          <cell r="A56">
            <v>3295205</v>
          </cell>
          <cell r="B56" t="str">
            <v>1</v>
          </cell>
          <cell r="C56" t="str">
            <v/>
          </cell>
          <cell r="D56" t="str">
            <v>NP</v>
          </cell>
          <cell r="E56" t="str">
            <v>JAIRO</v>
          </cell>
          <cell r="F56" t="str">
            <v>CRUZ</v>
          </cell>
          <cell r="G56" t="str">
            <v>CRUZ JAIRO</v>
          </cell>
          <cell r="H56" t="str">
            <v>RCPN</v>
          </cell>
          <cell r="I56" t="str">
            <v>RESPONSABLE IVA PERSONA NATURAL</v>
          </cell>
          <cell r="J56" t="str">
            <v>CL 15 14 40 VIA AEROPUERTO</v>
          </cell>
          <cell r="K56" t="str">
            <v>94001</v>
          </cell>
          <cell r="L56" t="str">
            <v>INÍRIDA</v>
          </cell>
          <cell r="M56" t="str">
            <v>5656997</v>
          </cell>
        </row>
        <row r="57">
          <cell r="A57">
            <v>3299063</v>
          </cell>
          <cell r="B57" t="str">
            <v/>
          </cell>
          <cell r="C57" t="str">
            <v/>
          </cell>
          <cell r="D57" t="str">
            <v>CC</v>
          </cell>
          <cell r="E57" t="str">
            <v>GUSTAVO</v>
          </cell>
          <cell r="F57" t="str">
            <v>MOSQUERA</v>
          </cell>
          <cell r="G57" t="str">
            <v>MOSQUERA GUSTAVO</v>
          </cell>
          <cell r="H57" t="str">
            <v>FUNC</v>
          </cell>
          <cell r="I57" t="str">
            <v>FUNCIONARIO</v>
          </cell>
          <cell r="J57" t="str">
            <v>Tayazu</v>
          </cell>
          <cell r="K57" t="str">
            <v>17001</v>
          </cell>
          <cell r="L57" t="str">
            <v>MANIZALES</v>
          </cell>
          <cell r="M57" t="str">
            <v>3134369417</v>
          </cell>
        </row>
        <row r="58">
          <cell r="A58">
            <v>3299880</v>
          </cell>
          <cell r="B58" t="str">
            <v/>
          </cell>
          <cell r="C58" t="str">
            <v/>
          </cell>
          <cell r="D58" t="str">
            <v>CC</v>
          </cell>
          <cell r="E58" t="str">
            <v>RAFAEL</v>
          </cell>
          <cell r="F58" t="str">
            <v>MOSQUERA</v>
          </cell>
          <cell r="G58" t="str">
            <v>MOSQUERA  RAFAEL</v>
          </cell>
          <cell r="H58" t="str">
            <v>FUNC</v>
          </cell>
          <cell r="I58" t="str">
            <v>FUNCIONARIO</v>
          </cell>
          <cell r="J58" t="str">
            <v>CD MITU</v>
          </cell>
          <cell r="K58" t="str">
            <v>97001</v>
          </cell>
          <cell r="L58" t="str">
            <v>MITÚ</v>
          </cell>
          <cell r="M58" t="str">
            <v>3111111112</v>
          </cell>
        </row>
        <row r="59">
          <cell r="A59">
            <v>3417275</v>
          </cell>
          <cell r="B59" t="str">
            <v>0</v>
          </cell>
          <cell r="C59" t="str">
            <v/>
          </cell>
          <cell r="D59" t="str">
            <v>NP</v>
          </cell>
          <cell r="E59" t="str">
            <v>MARTIN EMILIO</v>
          </cell>
          <cell r="F59" t="str">
            <v>AGUDELO ARIAS</v>
          </cell>
          <cell r="G59" t="str">
            <v>AGUDELO ARIAS MARTIN EMILIO</v>
          </cell>
          <cell r="H59" t="str">
            <v>RESI</v>
          </cell>
          <cell r="I59" t="str">
            <v>REGIMEN SIMPLIFICADO</v>
          </cell>
          <cell r="J59" t="str">
            <v>C DEL VALLE</v>
          </cell>
          <cell r="K59" t="str">
            <v>27075</v>
          </cell>
          <cell r="L59" t="str">
            <v>BAHÍA SOLANO</v>
          </cell>
          <cell r="M59" t="str">
            <v>6827900</v>
          </cell>
        </row>
        <row r="60">
          <cell r="A60">
            <v>3532828</v>
          </cell>
          <cell r="B60" t="str">
            <v/>
          </cell>
          <cell r="C60" t="str">
            <v/>
          </cell>
          <cell r="D60" t="str">
            <v>CC</v>
          </cell>
          <cell r="E60" t="str">
            <v>LUIS MANUEL</v>
          </cell>
          <cell r="F60" t="str">
            <v>BARBA MARTINEZ</v>
          </cell>
          <cell r="G60" t="str">
            <v>BARBA MARTINEZ LUIS MANUEL</v>
          </cell>
          <cell r="H60" t="str">
            <v>RESI</v>
          </cell>
          <cell r="I60" t="str">
            <v>REGIMEN SIMPLIFICADO</v>
          </cell>
          <cell r="J60" t="str">
            <v>XXXX</v>
          </cell>
          <cell r="K60" t="str">
            <v>17001</v>
          </cell>
          <cell r="L60" t="str">
            <v>MANIZALES</v>
          </cell>
          <cell r="M60" t="str">
            <v>XXX</v>
          </cell>
        </row>
        <row r="61">
          <cell r="A61">
            <v>3535872</v>
          </cell>
          <cell r="B61" t="str">
            <v>3</v>
          </cell>
          <cell r="C61" t="str">
            <v/>
          </cell>
          <cell r="D61" t="str">
            <v>NP</v>
          </cell>
          <cell r="E61" t="str">
            <v>JOSE BENJAMIN</v>
          </cell>
          <cell r="F61" t="str">
            <v>CALLE AGUIRRE</v>
          </cell>
          <cell r="G61" t="str">
            <v>CALLE AGUIRRE JOSE BENJAMIN</v>
          </cell>
          <cell r="H61" t="str">
            <v>NORE</v>
          </cell>
          <cell r="I61" t="str">
            <v>NO RESPONSABLE DE IVA</v>
          </cell>
          <cell r="J61" t="str">
            <v>CR 78 C  16  72 BRR ALPES A</v>
          </cell>
          <cell r="K61" t="str">
            <v>47001</v>
          </cell>
          <cell r="L61" t="str">
            <v>SANTA MARTA</v>
          </cell>
          <cell r="M61" t="str">
            <v>3205336120</v>
          </cell>
        </row>
        <row r="62">
          <cell r="A62">
            <v>3537108</v>
          </cell>
          <cell r="B62" t="str">
            <v/>
          </cell>
          <cell r="C62" t="str">
            <v/>
          </cell>
          <cell r="D62" t="str">
            <v>CC</v>
          </cell>
          <cell r="E62" t="str">
            <v>PEDRO LUIS</v>
          </cell>
          <cell r="F62" t="str">
            <v>ALARCON</v>
          </cell>
          <cell r="G62" t="str">
            <v>ALARCON PEDRO LUIS</v>
          </cell>
          <cell r="H62" t="str">
            <v>RESI</v>
          </cell>
          <cell r="I62" t="str">
            <v>REGIMEN SIMPLIFICADO</v>
          </cell>
          <cell r="J62" t="str">
            <v>XXX</v>
          </cell>
          <cell r="K62" t="str">
            <v>05483</v>
          </cell>
          <cell r="L62" t="str">
            <v>NARIÑO</v>
          </cell>
          <cell r="M62" t="str">
            <v>XXX</v>
          </cell>
        </row>
        <row r="63">
          <cell r="A63">
            <v>3537747</v>
          </cell>
          <cell r="B63" t="str">
            <v/>
          </cell>
          <cell r="C63" t="str">
            <v/>
          </cell>
          <cell r="D63" t="str">
            <v>CC</v>
          </cell>
          <cell r="E63" t="str">
            <v>ALBERTO</v>
          </cell>
          <cell r="F63" t="str">
            <v>OCAMPO OROZCO</v>
          </cell>
          <cell r="G63" t="str">
            <v>OCAMPO OROZCO ALBERTO</v>
          </cell>
          <cell r="H63" t="str">
            <v>RESI</v>
          </cell>
          <cell r="I63" t="str">
            <v>REGIMEN SIMPLIFICADO</v>
          </cell>
          <cell r="J63" t="str">
            <v>FCA MAGALLANES VRD</v>
          </cell>
          <cell r="K63" t="str">
            <v>17001</v>
          </cell>
          <cell r="L63" t="str">
            <v>MANIZALES</v>
          </cell>
          <cell r="M63" t="str">
            <v>3147238523</v>
          </cell>
        </row>
        <row r="64">
          <cell r="A64">
            <v>3537845</v>
          </cell>
          <cell r="B64" t="str">
            <v>3</v>
          </cell>
          <cell r="C64" t="str">
            <v/>
          </cell>
          <cell r="D64" t="str">
            <v>NP</v>
          </cell>
          <cell r="E64" t="str">
            <v>ROGELIO ANTONIO</v>
          </cell>
          <cell r="F64" t="str">
            <v>ZAPATA GIRALDO</v>
          </cell>
          <cell r="G64" t="str">
            <v>ZAPATA GIRALDO ROGELIO ANTONIO</v>
          </cell>
          <cell r="H64" t="str">
            <v>NORE</v>
          </cell>
          <cell r="I64" t="str">
            <v>NO RESPONSABLE DE IVA</v>
          </cell>
          <cell r="J64" t="str">
            <v>CR 42  33 17 CA P 2 BRR LA GABRIELA</v>
          </cell>
          <cell r="K64" t="str">
            <v>05088</v>
          </cell>
          <cell r="L64" t="str">
            <v>BELLO</v>
          </cell>
          <cell r="M64" t="str">
            <v>3217574088</v>
          </cell>
        </row>
        <row r="65">
          <cell r="A65">
            <v>3608334</v>
          </cell>
          <cell r="B65" t="str">
            <v/>
          </cell>
          <cell r="C65" t="str">
            <v/>
          </cell>
          <cell r="D65" t="str">
            <v>CC</v>
          </cell>
          <cell r="E65" t="str">
            <v>RUBEN DE JESUS</v>
          </cell>
          <cell r="F65" t="str">
            <v>RAMIREZ GIRALDO</v>
          </cell>
          <cell r="G65" t="str">
            <v>RAMIREZ GIRALDO RUBEN DE JESUS/CACHARRERIA Y JUGUETERIA LOS PAIS</v>
          </cell>
          <cell r="H65" t="str">
            <v>RESI</v>
          </cell>
          <cell r="I65" t="str">
            <v>REGIMEN SIMPLIFICADO</v>
          </cell>
          <cell r="J65" t="str">
            <v>CR 18 16 44</v>
          </cell>
          <cell r="K65" t="str">
            <v>15238</v>
          </cell>
          <cell r="L65" t="str">
            <v>DUITAMA</v>
          </cell>
          <cell r="M65" t="str">
            <v>7610376</v>
          </cell>
        </row>
        <row r="66">
          <cell r="A66">
            <v>3637981</v>
          </cell>
          <cell r="B66" t="str">
            <v>6</v>
          </cell>
          <cell r="C66" t="str">
            <v/>
          </cell>
          <cell r="D66" t="str">
            <v>NP</v>
          </cell>
          <cell r="E66" t="str">
            <v>FABIO</v>
          </cell>
          <cell r="F66" t="str">
            <v>ARIAS GOMEZ</v>
          </cell>
          <cell r="G66" t="str">
            <v xml:space="preserve">ARIAS GOMEZ FABIO             </v>
          </cell>
          <cell r="H66" t="str">
            <v>RESI</v>
          </cell>
          <cell r="I66" t="str">
            <v>REGIMEN SIMPLIFICADO</v>
          </cell>
          <cell r="J66" t="str">
            <v>CLL 9 B 7 03</v>
          </cell>
          <cell r="K66" t="str">
            <v>17001</v>
          </cell>
          <cell r="L66" t="str">
            <v>MANIZALES</v>
          </cell>
          <cell r="M66" t="str">
            <v>8841235</v>
          </cell>
        </row>
        <row r="67">
          <cell r="A67">
            <v>3659977</v>
          </cell>
          <cell r="B67" t="str">
            <v>0</v>
          </cell>
          <cell r="C67" t="str">
            <v/>
          </cell>
          <cell r="D67" t="str">
            <v>NP</v>
          </cell>
          <cell r="E67" t="str">
            <v>CONRADO DE JESUS</v>
          </cell>
          <cell r="F67" t="str">
            <v>BUILES PEÑA</v>
          </cell>
          <cell r="G67" t="str">
            <v>BUILES PEÑA CONRADO DE JESUS</v>
          </cell>
          <cell r="H67" t="str">
            <v>RESI</v>
          </cell>
          <cell r="I67" t="str">
            <v>REGIMEN SIMPLIFICADO</v>
          </cell>
          <cell r="J67" t="str">
            <v>CR 35   5 SUR 350</v>
          </cell>
          <cell r="K67" t="str">
            <v>05001</v>
          </cell>
          <cell r="L67" t="str">
            <v>MEDELLÍN</v>
          </cell>
          <cell r="M67" t="str">
            <v>3123183</v>
          </cell>
        </row>
        <row r="68">
          <cell r="A68">
            <v>3745341</v>
          </cell>
          <cell r="B68" t="str">
            <v>5</v>
          </cell>
          <cell r="C68" t="str">
            <v/>
          </cell>
          <cell r="D68" t="str">
            <v>NP</v>
          </cell>
          <cell r="E68" t="str">
            <v>JOSE EUSEBIO</v>
          </cell>
          <cell r="F68" t="str">
            <v>DE LA HOZ DE CASTRO</v>
          </cell>
          <cell r="G68" t="str">
            <v>DE LA HOZ DE CASTRO JOSE EUSEBIO</v>
          </cell>
          <cell r="H68" t="str">
            <v>RESI</v>
          </cell>
          <cell r="I68" t="str">
            <v>REGIMEN SIMPLIFICADO</v>
          </cell>
          <cell r="J68" t="str">
            <v>CR 59  74 174 AP 2C</v>
          </cell>
          <cell r="K68" t="str">
            <v>08001</v>
          </cell>
          <cell r="L68" t="str">
            <v>BARRANQUILLA</v>
          </cell>
          <cell r="M68" t="str">
            <v>3537653</v>
          </cell>
        </row>
        <row r="69">
          <cell r="A69">
            <v>3753028</v>
          </cell>
          <cell r="B69" t="str">
            <v/>
          </cell>
          <cell r="C69" t="str">
            <v/>
          </cell>
          <cell r="D69" t="str">
            <v>CC</v>
          </cell>
          <cell r="E69" t="str">
            <v>HERNAN ALBERTO</v>
          </cell>
          <cell r="F69" t="str">
            <v>BERDEJO INSIGNARES</v>
          </cell>
          <cell r="G69" t="str">
            <v>BERDEJO INSIGNARES HERNAN ALBERTO</v>
          </cell>
          <cell r="H69" t="str">
            <v>RESI</v>
          </cell>
          <cell r="I69" t="str">
            <v>REGIMEN SIMPLIFICADO</v>
          </cell>
          <cell r="J69" t="str">
            <v>CR 23   64 B   33</v>
          </cell>
          <cell r="K69" t="str">
            <v>17001</v>
          </cell>
          <cell r="L69" t="str">
            <v>MANIZALES</v>
          </cell>
          <cell r="M69" t="str">
            <v>8856262</v>
          </cell>
        </row>
        <row r="70">
          <cell r="A70">
            <v>4038241</v>
          </cell>
          <cell r="B70" t="str">
            <v>8</v>
          </cell>
          <cell r="C70" t="str">
            <v/>
          </cell>
          <cell r="D70" t="str">
            <v>NP</v>
          </cell>
          <cell r="E70" t="str">
            <v>ABRAHAM</v>
          </cell>
          <cell r="F70" t="str">
            <v>CASTELBLANCO VEGA</v>
          </cell>
          <cell r="G70" t="str">
            <v>CASTELBLANCO VEGA ABRAHAM</v>
          </cell>
          <cell r="H70" t="str">
            <v>IMVE</v>
          </cell>
          <cell r="I70" t="str">
            <v>IMPUESTO SOBRE LAS VENTAS</v>
          </cell>
          <cell r="J70" t="str">
            <v>CR 22   25 61</v>
          </cell>
          <cell r="K70" t="str">
            <v>15516</v>
          </cell>
          <cell r="L70" t="str">
            <v>PAIPA</v>
          </cell>
          <cell r="M70" t="str">
            <v>7850794</v>
          </cell>
        </row>
        <row r="71">
          <cell r="A71">
            <v>4051745</v>
          </cell>
          <cell r="B71" t="str">
            <v/>
          </cell>
          <cell r="C71" t="str">
            <v/>
          </cell>
          <cell r="D71" t="str">
            <v>CC</v>
          </cell>
          <cell r="E71" t="str">
            <v>EDWIN RAUL</v>
          </cell>
          <cell r="F71" t="str">
            <v>ROJAS RODRIGUEZ</v>
          </cell>
          <cell r="G71" t="str">
            <v>ROJAS RODRIGUEZ EDWIN RAUL</v>
          </cell>
          <cell r="H71" t="str">
            <v>FUNC</v>
          </cell>
          <cell r="I71" t="str">
            <v>FUNCIONARIO</v>
          </cell>
          <cell r="J71" t="str">
            <v>CARRERA 8 No 16-60 TUNJA</v>
          </cell>
          <cell r="K71" t="str">
            <v>15001</v>
          </cell>
          <cell r="L71" t="str">
            <v>TUNJA</v>
          </cell>
          <cell r="M71" t="str">
            <v>3112592194</v>
          </cell>
        </row>
        <row r="72">
          <cell r="A72">
            <v>4052750</v>
          </cell>
          <cell r="B72" t="str">
            <v/>
          </cell>
          <cell r="C72" t="str">
            <v/>
          </cell>
          <cell r="D72" t="str">
            <v>CC</v>
          </cell>
          <cell r="E72" t="str">
            <v>CAMPO ELIAS</v>
          </cell>
          <cell r="F72" t="str">
            <v>MACHUCA</v>
          </cell>
          <cell r="G72" t="str">
            <v>MACHUCA CAMPO ELIAS</v>
          </cell>
          <cell r="H72" t="str">
            <v>FUNC</v>
          </cell>
          <cell r="I72" t="str">
            <v>FUNCIONARIO</v>
          </cell>
          <cell r="J72" t="str">
            <v>CARRERA 16 A No 28-27 DUITAMA</v>
          </cell>
          <cell r="K72" t="str">
            <v>15516</v>
          </cell>
          <cell r="L72" t="str">
            <v>PAIPA</v>
          </cell>
          <cell r="M72" t="str">
            <v>3115708665</v>
          </cell>
        </row>
        <row r="73">
          <cell r="A73">
            <v>4053407</v>
          </cell>
          <cell r="B73" t="str">
            <v>6</v>
          </cell>
          <cell r="C73" t="str">
            <v/>
          </cell>
          <cell r="D73" t="str">
            <v>NP</v>
          </cell>
          <cell r="E73" t="str">
            <v>ELIO</v>
          </cell>
          <cell r="F73" t="str">
            <v>RINCON GALLO</v>
          </cell>
          <cell r="G73" t="str">
            <v>RINCON GALLO ELIO</v>
          </cell>
          <cell r="H73" t="str">
            <v>RECO</v>
          </cell>
          <cell r="I73" t="str">
            <v>REGIMEN COMUN</v>
          </cell>
          <cell r="J73" t="str">
            <v>CL 18 19 29</v>
          </cell>
          <cell r="K73" t="str">
            <v>15238</v>
          </cell>
          <cell r="L73" t="str">
            <v>DUITAMA</v>
          </cell>
          <cell r="M73" t="str">
            <v>7612216</v>
          </cell>
        </row>
        <row r="74">
          <cell r="A74">
            <v>4053788</v>
          </cell>
          <cell r="B74" t="str">
            <v>7</v>
          </cell>
          <cell r="C74" t="str">
            <v/>
          </cell>
          <cell r="D74" t="str">
            <v>NP</v>
          </cell>
          <cell r="E74" t="str">
            <v>MAURICIO</v>
          </cell>
          <cell r="F74" t="str">
            <v>VARGAS ROMERO</v>
          </cell>
          <cell r="G74" t="str">
            <v>VARGAS ROMERO MAURICIO</v>
          </cell>
          <cell r="H74" t="str">
            <v>RESI</v>
          </cell>
          <cell r="I74" t="str">
            <v>REGIMEN SIMPLIFICADO</v>
          </cell>
          <cell r="J74" t="str">
            <v>CR 4   4   23</v>
          </cell>
          <cell r="K74" t="str">
            <v>85430</v>
          </cell>
          <cell r="L74" t="str">
            <v>TRINIDAD</v>
          </cell>
          <cell r="M74" t="str">
            <v>3123787102</v>
          </cell>
        </row>
        <row r="75">
          <cell r="A75">
            <v>4077771</v>
          </cell>
          <cell r="B75" t="str">
            <v>6</v>
          </cell>
          <cell r="C75" t="str">
            <v/>
          </cell>
          <cell r="D75" t="str">
            <v>NP</v>
          </cell>
          <cell r="E75" t="str">
            <v>HUGO HUMBERTO</v>
          </cell>
          <cell r="F75" t="str">
            <v>ROMERO ROA</v>
          </cell>
          <cell r="G75" t="str">
            <v>ROMERO ROA HUGO HUMBERTO</v>
          </cell>
          <cell r="H75" t="str">
            <v>REOR</v>
          </cell>
          <cell r="I75" t="str">
            <v>RENTA REGIMEN ORDINARIO</v>
          </cell>
          <cell r="J75" t="str">
            <v>AV EL DORADO 73 36</v>
          </cell>
          <cell r="K75" t="str">
            <v>11001</v>
          </cell>
          <cell r="L75" t="str">
            <v>BOGOTA DC</v>
          </cell>
          <cell r="M75" t="str">
            <v>3208545736</v>
          </cell>
        </row>
        <row r="76">
          <cell r="A76">
            <v>4083532</v>
          </cell>
          <cell r="B76" t="str">
            <v>7</v>
          </cell>
          <cell r="C76" t="str">
            <v/>
          </cell>
          <cell r="D76" t="str">
            <v>NP</v>
          </cell>
          <cell r="E76" t="str">
            <v>RUBEN</v>
          </cell>
          <cell r="F76" t="str">
            <v>DEAQUIS ROJAS</v>
          </cell>
          <cell r="G76" t="str">
            <v>DEAQUIS ROJAS RUBEN</v>
          </cell>
          <cell r="H76" t="str">
            <v>RECO</v>
          </cell>
          <cell r="I76" t="str">
            <v>REGIMEN COMUN</v>
          </cell>
          <cell r="J76" t="str">
            <v xml:space="preserve"> VRD REYES PATRIA</v>
          </cell>
          <cell r="K76" t="str">
            <v>15215</v>
          </cell>
          <cell r="L76" t="str">
            <v>CORRALES</v>
          </cell>
          <cell r="M76" t="str">
            <v>3118707471</v>
          </cell>
        </row>
        <row r="77">
          <cell r="A77">
            <v>4083540</v>
          </cell>
          <cell r="B77" t="str">
            <v>6</v>
          </cell>
          <cell r="C77" t="str">
            <v/>
          </cell>
          <cell r="D77" t="str">
            <v>NP</v>
          </cell>
          <cell r="E77" t="str">
            <v>LUIS EMILIO</v>
          </cell>
          <cell r="F77" t="str">
            <v>CARO PEREZ</v>
          </cell>
          <cell r="G77" t="str">
            <v>CARO PEREZ LUIS EMILIO</v>
          </cell>
          <cell r="H77" t="str">
            <v>RESI</v>
          </cell>
          <cell r="I77" t="str">
            <v>REGIMEN SIMPLIFICADO</v>
          </cell>
          <cell r="J77" t="str">
            <v>CL 14 A   16 30</v>
          </cell>
          <cell r="K77" t="str">
            <v>15759</v>
          </cell>
          <cell r="L77" t="str">
            <v>SOGAMOSO</v>
          </cell>
          <cell r="M77" t="str">
            <v>7720273</v>
          </cell>
        </row>
        <row r="78">
          <cell r="A78">
            <v>4083853</v>
          </cell>
          <cell r="B78" t="str">
            <v>6</v>
          </cell>
          <cell r="C78" t="str">
            <v/>
          </cell>
          <cell r="D78" t="str">
            <v>NP</v>
          </cell>
          <cell r="E78" t="str">
            <v>ESTEBAN</v>
          </cell>
          <cell r="F78" t="str">
            <v>CAMACHO CAMACHO</v>
          </cell>
          <cell r="G78" t="str">
            <v>CAMACHO CAMACHO ESTEBAN</v>
          </cell>
          <cell r="H78" t="str">
            <v>RESI</v>
          </cell>
          <cell r="I78" t="str">
            <v>REGIMEN SIMPLIFICADO</v>
          </cell>
          <cell r="J78" t="str">
            <v xml:space="preserve"> CR 6 2 A 02 VILLA FRANCA</v>
          </cell>
          <cell r="K78" t="str">
            <v>15215</v>
          </cell>
          <cell r="L78" t="str">
            <v>CORRALES</v>
          </cell>
          <cell r="M78" t="str">
            <v>3214473056</v>
          </cell>
        </row>
        <row r="79">
          <cell r="A79">
            <v>4083991</v>
          </cell>
          <cell r="B79" t="str">
            <v/>
          </cell>
          <cell r="C79" t="str">
            <v/>
          </cell>
          <cell r="D79" t="str">
            <v>CC</v>
          </cell>
          <cell r="E79" t="str">
            <v>LUIS LEONARDO</v>
          </cell>
          <cell r="F79" t="str">
            <v>ROJAS CARDENAS</v>
          </cell>
          <cell r="G79" t="str">
            <v>ROJAS CARDENAS LUIS LEONARDO</v>
          </cell>
          <cell r="H79" t="str">
            <v>FUNC</v>
          </cell>
          <cell r="I79" t="str">
            <v>FUNCIONARIO</v>
          </cell>
          <cell r="J79" t="str">
            <v>CRA 17A No 2-10 BARRIO ALAMOS DUITAMA</v>
          </cell>
          <cell r="K79" t="str">
            <v>15238</v>
          </cell>
          <cell r="L79" t="str">
            <v>DUITAMA</v>
          </cell>
          <cell r="M79" t="str">
            <v>3123904405</v>
          </cell>
        </row>
        <row r="80">
          <cell r="A80">
            <v>4090553</v>
          </cell>
          <cell r="B80" t="str">
            <v/>
          </cell>
          <cell r="C80" t="str">
            <v/>
          </cell>
          <cell r="D80" t="str">
            <v>CC</v>
          </cell>
          <cell r="E80" t="str">
            <v>ERNESTO GUSTAVO</v>
          </cell>
          <cell r="F80" t="str">
            <v>GAMEZ ROA</v>
          </cell>
          <cell r="G80" t="str">
            <v>GAMEZ ROA ERNESTO GUSTAVO</v>
          </cell>
          <cell r="H80" t="str">
            <v>REOR</v>
          </cell>
          <cell r="I80" t="str">
            <v>RENTA REGIMEN ORDINARIO</v>
          </cell>
          <cell r="J80" t="str">
            <v>CL 14   25   74</v>
          </cell>
          <cell r="K80" t="str">
            <v>85001</v>
          </cell>
          <cell r="L80" t="str">
            <v>YOPAL</v>
          </cell>
          <cell r="M80" t="str">
            <v>3212933808</v>
          </cell>
        </row>
        <row r="81">
          <cell r="A81">
            <v>4092835</v>
          </cell>
          <cell r="B81" t="str">
            <v>1</v>
          </cell>
          <cell r="C81" t="str">
            <v/>
          </cell>
          <cell r="D81" t="str">
            <v>NP</v>
          </cell>
          <cell r="E81" t="str">
            <v>CARLOS ABEL</v>
          </cell>
          <cell r="F81" t="str">
            <v xml:space="preserve">SOTELO </v>
          </cell>
          <cell r="G81" t="str">
            <v>CARLOS ABEL SOTELO</v>
          </cell>
          <cell r="H81" t="str">
            <v>RESI</v>
          </cell>
          <cell r="I81" t="str">
            <v>REGIMEN SIMPLIFICADO</v>
          </cell>
          <cell r="J81" t="str">
            <v xml:space="preserve">CR 21 NO  18 21                        </v>
          </cell>
          <cell r="K81" t="str">
            <v>15516</v>
          </cell>
          <cell r="L81" t="str">
            <v>PAIPA</v>
          </cell>
          <cell r="M81" t="str">
            <v>7850410</v>
          </cell>
        </row>
        <row r="82">
          <cell r="A82">
            <v>4103962</v>
          </cell>
          <cell r="B82" t="str">
            <v>8</v>
          </cell>
          <cell r="C82" t="str">
            <v/>
          </cell>
          <cell r="D82" t="str">
            <v>NP</v>
          </cell>
          <cell r="E82" t="str">
            <v>GERMÁN ARTURO</v>
          </cell>
          <cell r="F82" t="str">
            <v>PÉREZ FERNANDEZ</v>
          </cell>
          <cell r="G82" t="str">
            <v>PÉREZ FERNANDEZ GERMÁN ARTURO</v>
          </cell>
          <cell r="H82" t="str">
            <v>IMVE</v>
          </cell>
          <cell r="I82" t="str">
            <v>IMPUESTO SOBRE LAS VENTAS</v>
          </cell>
          <cell r="J82" t="str">
            <v>CR 42 10 85</v>
          </cell>
          <cell r="K82" t="str">
            <v>15238</v>
          </cell>
          <cell r="L82" t="str">
            <v>DUITAMA</v>
          </cell>
          <cell r="M82" t="str">
            <v>3112875962</v>
          </cell>
        </row>
        <row r="83">
          <cell r="A83">
            <v>4108164</v>
          </cell>
          <cell r="B83" t="str">
            <v>1</v>
          </cell>
          <cell r="C83" t="str">
            <v/>
          </cell>
          <cell r="D83" t="str">
            <v>NP</v>
          </cell>
          <cell r="E83" t="str">
            <v xml:space="preserve">ARMANDO </v>
          </cell>
          <cell r="F83" t="str">
            <v>RINCON TORRES</v>
          </cell>
          <cell r="G83" t="str">
            <v>RINCON TORRES ARMANDO</v>
          </cell>
          <cell r="H83" t="str">
            <v>RECO</v>
          </cell>
          <cell r="I83" t="str">
            <v>REGIMEN COMUN</v>
          </cell>
          <cell r="J83" t="str">
            <v>AV 20 60</v>
          </cell>
          <cell r="K83" t="str">
            <v>15238</v>
          </cell>
          <cell r="L83" t="str">
            <v>DUITAMA</v>
          </cell>
          <cell r="M83" t="str">
            <v>7631253</v>
          </cell>
        </row>
        <row r="84">
          <cell r="A84">
            <v>4110372</v>
          </cell>
          <cell r="B84" t="str">
            <v>1</v>
          </cell>
          <cell r="C84" t="str">
            <v/>
          </cell>
          <cell r="D84" t="str">
            <v>NP</v>
          </cell>
          <cell r="E84" t="str">
            <v>RICARDO IGNACIO</v>
          </cell>
          <cell r="F84" t="str">
            <v>MOJICA MEDINA</v>
          </cell>
          <cell r="G84" t="str">
            <v>MOJICA MEDINA RICARDO IGNACIO</v>
          </cell>
          <cell r="H84" t="str">
            <v>RCPN</v>
          </cell>
          <cell r="I84" t="str">
            <v>RESPONSABLE IVA PERSONA NATURAL</v>
          </cell>
          <cell r="J84" t="str">
            <v>CR 18 13 67</v>
          </cell>
          <cell r="K84" t="str">
            <v>15238</v>
          </cell>
          <cell r="L84" t="str">
            <v>DUITAMA</v>
          </cell>
          <cell r="M84" t="str">
            <v>7603450</v>
          </cell>
        </row>
        <row r="85">
          <cell r="A85">
            <v>4111256</v>
          </cell>
          <cell r="B85" t="str">
            <v>1</v>
          </cell>
          <cell r="C85" t="str">
            <v/>
          </cell>
          <cell r="D85" t="str">
            <v>NP</v>
          </cell>
          <cell r="E85" t="str">
            <v>VICTOR HUGO</v>
          </cell>
          <cell r="F85" t="str">
            <v>GALINDO ALVAREZ</v>
          </cell>
          <cell r="G85" t="str">
            <v>GALINDO ALVAREZ VICTOR HUGO</v>
          </cell>
          <cell r="H85" t="str">
            <v>RCPN</v>
          </cell>
          <cell r="I85" t="str">
            <v>RESPONSABLE IVA PERSONA NATURAL</v>
          </cell>
          <cell r="J85" t="str">
            <v>CR 18  14 A- 24</v>
          </cell>
          <cell r="K85" t="str">
            <v>15238</v>
          </cell>
          <cell r="L85" t="str">
            <v>DUITAMA</v>
          </cell>
          <cell r="M85" t="str">
            <v>7602530</v>
          </cell>
        </row>
        <row r="86">
          <cell r="A86">
            <v>4111915</v>
          </cell>
          <cell r="B86" t="str">
            <v>5</v>
          </cell>
          <cell r="C86" t="str">
            <v/>
          </cell>
          <cell r="D86" t="str">
            <v>NP</v>
          </cell>
          <cell r="E86" t="str">
            <v>CARLOS E</v>
          </cell>
          <cell r="F86" t="str">
            <v>QUINTANA C</v>
          </cell>
          <cell r="G86" t="str">
            <v>QUINTANA C CARLOS E</v>
          </cell>
          <cell r="H86" t="str">
            <v>RECO</v>
          </cell>
          <cell r="I86" t="str">
            <v>REGIMEN COMUN</v>
          </cell>
          <cell r="J86" t="str">
            <v>CR 18 18 53</v>
          </cell>
          <cell r="K86" t="str">
            <v>15238</v>
          </cell>
          <cell r="L86" t="str">
            <v>DUITAMA</v>
          </cell>
          <cell r="M86" t="str">
            <v>7630470</v>
          </cell>
        </row>
        <row r="87">
          <cell r="A87">
            <v>4114582</v>
          </cell>
          <cell r="B87" t="str">
            <v>1</v>
          </cell>
          <cell r="C87" t="str">
            <v/>
          </cell>
          <cell r="D87" t="str">
            <v>NP</v>
          </cell>
          <cell r="E87" t="str">
            <v>JORGE ALEXANDER</v>
          </cell>
          <cell r="F87" t="str">
            <v>MORA FLOREZ</v>
          </cell>
          <cell r="G87" t="str">
            <v>MORA FLOREZ JORGE ALEXANDER</v>
          </cell>
          <cell r="H87" t="str">
            <v>RESI</v>
          </cell>
          <cell r="I87" t="str">
            <v>REGIMEN SIMPLIFICADO</v>
          </cell>
          <cell r="J87" t="str">
            <v>CL 2   3 24</v>
          </cell>
          <cell r="K87" t="str">
            <v>85325</v>
          </cell>
          <cell r="L87" t="str">
            <v>SAN LUIS DE PALENQUE</v>
          </cell>
          <cell r="M87" t="str">
            <v>3138009780</v>
          </cell>
        </row>
        <row r="88">
          <cell r="A88">
            <v>4119456</v>
          </cell>
          <cell r="B88" t="str">
            <v>2</v>
          </cell>
          <cell r="C88" t="str">
            <v/>
          </cell>
          <cell r="D88" t="str">
            <v>NP</v>
          </cell>
          <cell r="E88" t="str">
            <v>SIMON ANTONIO</v>
          </cell>
          <cell r="F88" t="str">
            <v>GONZALEZ CRISTANCHO</v>
          </cell>
          <cell r="G88" t="str">
            <v>GONZALEZ CRISTANCHO SIMON ANTONIO</v>
          </cell>
          <cell r="H88" t="str">
            <v>RST</v>
          </cell>
          <cell r="I88" t="str">
            <v>REGIMEN SIMPLE DE TRIBUTACION</v>
          </cell>
          <cell r="J88" t="str">
            <v>CL 6 N 1 97</v>
          </cell>
          <cell r="K88" t="str">
            <v>15001</v>
          </cell>
          <cell r="L88" t="str">
            <v>TUNJA</v>
          </cell>
          <cell r="M88" t="str">
            <v>3134244316</v>
          </cell>
        </row>
        <row r="89">
          <cell r="A89">
            <v>4120523</v>
          </cell>
          <cell r="B89" t="str">
            <v>1</v>
          </cell>
          <cell r="C89" t="str">
            <v/>
          </cell>
          <cell r="D89" t="str">
            <v>NP</v>
          </cell>
          <cell r="E89" t="str">
            <v>LORENZO</v>
          </cell>
          <cell r="F89" t="str">
            <v>RINCON BASTIDAS</v>
          </cell>
          <cell r="G89" t="str">
            <v>RINCON BASTIDAS LORENZO</v>
          </cell>
          <cell r="H89" t="str">
            <v>RCPN</v>
          </cell>
          <cell r="I89" t="str">
            <v>RESPONSABLE IVA PERSONA NATURAL</v>
          </cell>
          <cell r="J89" t="str">
            <v>CR 21   31   70</v>
          </cell>
          <cell r="K89" t="str">
            <v>85001</v>
          </cell>
          <cell r="L89" t="str">
            <v>YOPAL</v>
          </cell>
          <cell r="M89" t="str">
            <v>3103213999</v>
          </cell>
        </row>
        <row r="90">
          <cell r="A90">
            <v>4122581</v>
          </cell>
          <cell r="B90" t="str">
            <v/>
          </cell>
          <cell r="C90" t="str">
            <v/>
          </cell>
          <cell r="D90" t="str">
            <v>CC</v>
          </cell>
          <cell r="E90" t="str">
            <v>EDUARDO</v>
          </cell>
          <cell r="F90" t="str">
            <v>OVIEDO RUIZ</v>
          </cell>
          <cell r="G90" t="str">
            <v>OVIEDO RUIZ EDUARDO</v>
          </cell>
          <cell r="H90" t="str">
            <v>FUNC</v>
          </cell>
          <cell r="I90" t="str">
            <v>FUNCIONARIO</v>
          </cell>
          <cell r="J90" t="str">
            <v>CALLE 1 No 11-91 SOGAMOSO</v>
          </cell>
          <cell r="K90" t="str">
            <v>15759</v>
          </cell>
          <cell r="L90" t="str">
            <v>SOGAMOSO</v>
          </cell>
          <cell r="M90" t="str">
            <v>3142257133</v>
          </cell>
        </row>
        <row r="91">
          <cell r="A91">
            <v>4122954</v>
          </cell>
          <cell r="B91" t="str">
            <v>1</v>
          </cell>
          <cell r="C91" t="str">
            <v/>
          </cell>
          <cell r="D91" t="str">
            <v>NP</v>
          </cell>
          <cell r="E91" t="str">
            <v>LUIS ORLANDO</v>
          </cell>
          <cell r="F91" t="str">
            <v>MONTOA LARA</v>
          </cell>
          <cell r="G91" t="str">
            <v>MONTOA LARA LUIS ORLANDO</v>
          </cell>
          <cell r="H91" t="str">
            <v>RESI</v>
          </cell>
          <cell r="I91" t="str">
            <v>REGIMEN SIMPLIFICADO</v>
          </cell>
          <cell r="J91" t="str">
            <v>CL 57 11 C 78 BRR GUSTAVO JIMENEZ</v>
          </cell>
          <cell r="K91" t="str">
            <v>15759</v>
          </cell>
          <cell r="L91" t="str">
            <v>SOGAMOSO</v>
          </cell>
          <cell r="M91" t="str">
            <v>3107550915</v>
          </cell>
        </row>
        <row r="92">
          <cell r="A92">
            <v>4132585</v>
          </cell>
          <cell r="B92" t="str">
            <v>8</v>
          </cell>
          <cell r="C92" t="str">
            <v/>
          </cell>
          <cell r="D92" t="str">
            <v>NP</v>
          </cell>
          <cell r="E92" t="str">
            <v>PEDRO MIGUEL</v>
          </cell>
          <cell r="F92" t="str">
            <v>RUIZ PIÑEROS</v>
          </cell>
          <cell r="G92" t="str">
            <v>RUIZ PIÑEROS PEDRO MIGUEL</v>
          </cell>
          <cell r="H92" t="str">
            <v>RESI</v>
          </cell>
          <cell r="I92" t="str">
            <v>REGIMEN SIMPLIFICADO</v>
          </cell>
          <cell r="J92" t="str">
            <v>CL 22 B 64 26 TO 4 AP 1014 CON SERRANA</v>
          </cell>
          <cell r="K92" t="str">
            <v>11001</v>
          </cell>
          <cell r="L92" t="str">
            <v>BOGOTA DC</v>
          </cell>
          <cell r="M92" t="str">
            <v>3102907064</v>
          </cell>
        </row>
        <row r="93">
          <cell r="A93">
            <v>4147076</v>
          </cell>
          <cell r="B93" t="str">
            <v/>
          </cell>
          <cell r="C93" t="str">
            <v/>
          </cell>
          <cell r="D93" t="str">
            <v>CC</v>
          </cell>
          <cell r="E93" t="str">
            <v>MIGUEL ARTURO</v>
          </cell>
          <cell r="F93" t="str">
            <v>IGUA FRANCO</v>
          </cell>
          <cell r="G93" t="str">
            <v>IGUA FRANCO MIGUEL ARTURO</v>
          </cell>
          <cell r="H93" t="str">
            <v>FUNC</v>
          </cell>
          <cell r="I93" t="str">
            <v>FUNCIONARIO</v>
          </cell>
          <cell r="J93" t="str">
            <v>CR 32   10   20</v>
          </cell>
          <cell r="K93" t="str">
            <v>15516</v>
          </cell>
          <cell r="L93" t="str">
            <v>PAIPA</v>
          </cell>
          <cell r="M93" t="str">
            <v>8849477</v>
          </cell>
        </row>
        <row r="94">
          <cell r="A94">
            <v>4151972</v>
          </cell>
          <cell r="B94" t="str">
            <v/>
          </cell>
          <cell r="C94" t="str">
            <v/>
          </cell>
          <cell r="D94" t="str">
            <v>CC</v>
          </cell>
          <cell r="E94" t="str">
            <v>JHON FREDY</v>
          </cell>
          <cell r="F94" t="str">
            <v>GALVIS IBANEZ</v>
          </cell>
          <cell r="G94" t="str">
            <v>GALVIS IBANEZ JHON FREDY</v>
          </cell>
          <cell r="H94" t="str">
            <v>FUNC</v>
          </cell>
          <cell r="I94" t="str">
            <v>FUNCIONARIO</v>
          </cell>
          <cell r="J94" t="str">
            <v>CALLE 28 No 17-27 APTO 301</v>
          </cell>
          <cell r="K94" t="str">
            <v>15238</v>
          </cell>
          <cell r="L94" t="str">
            <v>DUITAMA</v>
          </cell>
          <cell r="M94" t="str">
            <v>3118976516</v>
          </cell>
        </row>
        <row r="95">
          <cell r="A95">
            <v>4160151</v>
          </cell>
          <cell r="B95" t="str">
            <v/>
          </cell>
          <cell r="C95" t="str">
            <v/>
          </cell>
          <cell r="D95" t="str">
            <v>CC</v>
          </cell>
          <cell r="E95" t="str">
            <v>POLICARPO</v>
          </cell>
          <cell r="F95" t="str">
            <v>SANCHEZ CACHAY</v>
          </cell>
          <cell r="G95" t="str">
            <v>SANCHEZ CACHAY POLICARPO</v>
          </cell>
          <cell r="H95" t="str">
            <v>RESI</v>
          </cell>
          <cell r="I95" t="str">
            <v>REGIMEN SIMPLIFICADO</v>
          </cell>
          <cell r="J95" t="str">
            <v>XXX</v>
          </cell>
          <cell r="K95" t="str">
            <v>85325</v>
          </cell>
          <cell r="L95" t="str">
            <v>SAN LUIS DE PALENQUE</v>
          </cell>
          <cell r="M95" t="str">
            <v>XXX</v>
          </cell>
        </row>
        <row r="96">
          <cell r="A96">
            <v>4167487</v>
          </cell>
          <cell r="B96" t="str">
            <v>5</v>
          </cell>
          <cell r="C96" t="str">
            <v/>
          </cell>
          <cell r="D96" t="str">
            <v>NP</v>
          </cell>
          <cell r="E96" t="str">
            <v>JOSE ISMAEL</v>
          </cell>
          <cell r="F96" t="str">
            <v>PATIÑO PRIETO</v>
          </cell>
          <cell r="G96" t="str">
            <v>PATIÑO PRIETO JOSE ISMAEL</v>
          </cell>
          <cell r="H96" t="str">
            <v>RESI</v>
          </cell>
          <cell r="I96" t="str">
            <v>REGIMEN SIMPLIFICADO</v>
          </cell>
          <cell r="J96" t="str">
            <v xml:space="preserve"> CEN MCP MONGUA</v>
          </cell>
          <cell r="K96" t="str">
            <v>15464</v>
          </cell>
          <cell r="L96" t="str">
            <v>MONGUA</v>
          </cell>
          <cell r="M96" t="str">
            <v>3123143559</v>
          </cell>
        </row>
        <row r="97">
          <cell r="A97">
            <v>4168642</v>
          </cell>
          <cell r="B97" t="str">
            <v>5</v>
          </cell>
          <cell r="C97" t="str">
            <v/>
          </cell>
          <cell r="D97" t="str">
            <v>NP</v>
          </cell>
          <cell r="E97" t="str">
            <v>HERNÁN AMBROSIO</v>
          </cell>
          <cell r="F97" t="str">
            <v>OJEDA ARGUELLO</v>
          </cell>
          <cell r="G97" t="str">
            <v>OJEDA ARGUELLO HERNÁN AMBROSIO</v>
          </cell>
          <cell r="H97" t="str">
            <v>RESI</v>
          </cell>
          <cell r="I97" t="str">
            <v>REGIMEN SIMPLIFICADO</v>
          </cell>
          <cell r="J97" t="str">
            <v>CL 5  5  15</v>
          </cell>
          <cell r="K97" t="str">
            <v>15466</v>
          </cell>
          <cell r="L97" t="str">
            <v>MONGUÍ</v>
          </cell>
          <cell r="M97" t="str">
            <v>3115696038</v>
          </cell>
        </row>
        <row r="98">
          <cell r="A98">
            <v>4168860</v>
          </cell>
          <cell r="B98" t="str">
            <v>4</v>
          </cell>
          <cell r="C98" t="str">
            <v/>
          </cell>
          <cell r="D98" t="str">
            <v>NP</v>
          </cell>
          <cell r="E98" t="str">
            <v>ISMAEL HERNANDO</v>
          </cell>
          <cell r="F98" t="str">
            <v>SALCEDO BONILLA</v>
          </cell>
          <cell r="G98" t="str">
            <v>SALCEDO BONILLA ISMAEL HERNANDO</v>
          </cell>
          <cell r="H98" t="str">
            <v>RECO</v>
          </cell>
          <cell r="I98" t="str">
            <v>REGIMEN COMUN</v>
          </cell>
          <cell r="J98" t="str">
            <v>CL 24 25 41</v>
          </cell>
          <cell r="K98" t="str">
            <v>15516</v>
          </cell>
          <cell r="L98" t="str">
            <v>PAIPA</v>
          </cell>
          <cell r="M98" t="str">
            <v>7850923</v>
          </cell>
        </row>
        <row r="99">
          <cell r="A99">
            <v>4178843</v>
          </cell>
          <cell r="B99" t="str">
            <v/>
          </cell>
          <cell r="C99" t="str">
            <v/>
          </cell>
          <cell r="D99" t="str">
            <v>CC</v>
          </cell>
          <cell r="E99" t="str">
            <v>GUSTAVO ALFONSO</v>
          </cell>
          <cell r="F99" t="str">
            <v>RAMIREZ CELY</v>
          </cell>
          <cell r="G99" t="str">
            <v>RAMIREZ CELY GUSTAVO ALFONSO</v>
          </cell>
          <cell r="H99" t="str">
            <v>FUNC</v>
          </cell>
          <cell r="I99" t="str">
            <v>FUNCIONARIO</v>
          </cell>
          <cell r="J99" t="str">
            <v>CARRERA 2 No 6A-01 BELENCITO NOBSA</v>
          </cell>
          <cell r="K99" t="str">
            <v>15491</v>
          </cell>
          <cell r="L99" t="str">
            <v>NOBSA</v>
          </cell>
          <cell r="M99" t="str">
            <v>3123976534</v>
          </cell>
        </row>
        <row r="100">
          <cell r="A100">
            <v>4183662</v>
          </cell>
          <cell r="B100" t="str">
            <v/>
          </cell>
          <cell r="C100" t="str">
            <v/>
          </cell>
          <cell r="D100" t="str">
            <v>CC</v>
          </cell>
          <cell r="E100" t="str">
            <v>CARLOS REINALDO</v>
          </cell>
          <cell r="F100" t="str">
            <v>ARAQUE CABULO</v>
          </cell>
          <cell r="G100" t="str">
            <v>ARAQUE CABULO CARLOS REINALDO</v>
          </cell>
          <cell r="H100" t="str">
            <v>RESI</v>
          </cell>
          <cell r="I100" t="str">
            <v>REGIMEN SIMPLIFICADO</v>
          </cell>
          <cell r="J100" t="str">
            <v>VRD COREA</v>
          </cell>
          <cell r="K100" t="str">
            <v>85225</v>
          </cell>
          <cell r="L100" t="str">
            <v>NUNCHÍA</v>
          </cell>
          <cell r="M100" t="str">
            <v>3138232189</v>
          </cell>
        </row>
        <row r="101">
          <cell r="A101">
            <v>4183668</v>
          </cell>
          <cell r="B101" t="str">
            <v>9</v>
          </cell>
          <cell r="C101" t="str">
            <v/>
          </cell>
          <cell r="D101" t="str">
            <v>NP</v>
          </cell>
          <cell r="E101" t="str">
            <v>DOMINGO</v>
          </cell>
          <cell r="F101" t="str">
            <v>JIMENEZ MATUTE</v>
          </cell>
          <cell r="G101" t="str">
            <v>JIMENEZ MATUTE DOMINGO</v>
          </cell>
          <cell r="H101" t="str">
            <v>RESI</v>
          </cell>
          <cell r="I101" t="str">
            <v>REGIMEN SIMPLIFICADO</v>
          </cell>
          <cell r="J101" t="str">
            <v>CR 17 A   17   64 BRR LA ESPERANZA</v>
          </cell>
          <cell r="K101" t="str">
            <v>85001</v>
          </cell>
          <cell r="L101" t="str">
            <v>YOPAL</v>
          </cell>
          <cell r="M101" t="str">
            <v>3133312337</v>
          </cell>
        </row>
        <row r="102">
          <cell r="A102">
            <v>4183791</v>
          </cell>
          <cell r="B102" t="str">
            <v/>
          </cell>
          <cell r="C102" t="str">
            <v/>
          </cell>
          <cell r="D102" t="str">
            <v>CC</v>
          </cell>
          <cell r="E102" t="str">
            <v>REGULO MARIO</v>
          </cell>
          <cell r="F102" t="str">
            <v>MECHE BETANCOURT</v>
          </cell>
          <cell r="G102" t="str">
            <v>MECHE BETANCOURT REGULO MARIO</v>
          </cell>
          <cell r="H102" t="str">
            <v>RESI</v>
          </cell>
          <cell r="I102" t="str">
            <v>REGIMEN SIMPLIFICADO</v>
          </cell>
          <cell r="J102" t="str">
            <v>VRD COREA FCA LOS HELECHOS</v>
          </cell>
          <cell r="K102" t="str">
            <v>85225</v>
          </cell>
          <cell r="L102" t="str">
            <v>NUNCHÍA</v>
          </cell>
          <cell r="M102" t="str">
            <v>3219626585</v>
          </cell>
        </row>
        <row r="103">
          <cell r="A103">
            <v>4183978</v>
          </cell>
          <cell r="B103" t="str">
            <v/>
          </cell>
          <cell r="C103" t="str">
            <v/>
          </cell>
          <cell r="D103" t="str">
            <v>CC</v>
          </cell>
          <cell r="E103" t="str">
            <v>JOSE DEL CARMEN</v>
          </cell>
          <cell r="F103" t="str">
            <v>PARRA</v>
          </cell>
          <cell r="G103" t="str">
            <v>PARRA JOSE DEL CARMEN</v>
          </cell>
          <cell r="H103" t="str">
            <v>RESI</v>
          </cell>
          <cell r="I103" t="str">
            <v>REGIMEN SIMPLIFICADO</v>
          </cell>
          <cell r="J103" t="str">
            <v>VRD EL PRETEXTO</v>
          </cell>
          <cell r="K103" t="str">
            <v>85225</v>
          </cell>
          <cell r="L103" t="str">
            <v>NUNCHÍA</v>
          </cell>
          <cell r="M103" t="str">
            <v>3124272677</v>
          </cell>
        </row>
        <row r="104">
          <cell r="A104">
            <v>4184044</v>
          </cell>
          <cell r="B104" t="str">
            <v>8</v>
          </cell>
          <cell r="C104" t="str">
            <v/>
          </cell>
          <cell r="D104" t="str">
            <v>NP</v>
          </cell>
          <cell r="E104" t="str">
            <v>HERIN RAMIRO</v>
          </cell>
          <cell r="F104" t="str">
            <v>HERNANDEZ ACHAGUA</v>
          </cell>
          <cell r="G104" t="str">
            <v>HERNANDEZ ACHAGUA HERIN RAMIRO</v>
          </cell>
          <cell r="H104" t="str">
            <v>RESI</v>
          </cell>
          <cell r="I104" t="str">
            <v>REGIMEN SIMPLIFICADO</v>
          </cell>
          <cell r="J104" t="str">
            <v>CL 24 A   14   103 BRR VILLA ROCIO</v>
          </cell>
          <cell r="K104" t="str">
            <v>85001</v>
          </cell>
          <cell r="L104" t="str">
            <v>YOPAL</v>
          </cell>
          <cell r="M104" t="str">
            <v>3118850714</v>
          </cell>
        </row>
        <row r="105">
          <cell r="A105">
            <v>4184275</v>
          </cell>
          <cell r="B105" t="str">
            <v>2</v>
          </cell>
          <cell r="C105" t="str">
            <v/>
          </cell>
          <cell r="D105" t="str">
            <v>NP</v>
          </cell>
          <cell r="E105" t="str">
            <v>EDGAR</v>
          </cell>
          <cell r="F105" t="str">
            <v>CORREA VARGAS</v>
          </cell>
          <cell r="G105" t="str">
            <v>CORREA VARGAS EDGAR</v>
          </cell>
          <cell r="H105" t="str">
            <v>RESI</v>
          </cell>
          <cell r="I105" t="str">
            <v>REGIMEN SIMPLIFICADO</v>
          </cell>
          <cell r="J105" t="str">
            <v>CL 24 A   30   06</v>
          </cell>
          <cell r="K105" t="str">
            <v>85001</v>
          </cell>
          <cell r="L105" t="str">
            <v>YOPAL</v>
          </cell>
          <cell r="M105" t="str">
            <v>6321126</v>
          </cell>
        </row>
        <row r="106">
          <cell r="A106">
            <v>4189923</v>
          </cell>
          <cell r="B106" t="str">
            <v>1</v>
          </cell>
          <cell r="C106" t="str">
            <v/>
          </cell>
          <cell r="D106" t="str">
            <v>NP</v>
          </cell>
          <cell r="E106" t="str">
            <v>HUGO MARIO</v>
          </cell>
          <cell r="F106" t="str">
            <v>GARZON AVELLA</v>
          </cell>
          <cell r="G106" t="str">
            <v>GARZON AVELLA HUGO MARIO</v>
          </cell>
          <cell r="H106" t="str">
            <v>RESI</v>
          </cell>
          <cell r="I106" t="str">
            <v>REGIMEN SIMPLIFICADO</v>
          </cell>
          <cell r="J106" t="str">
            <v>VIA SALITRE PAIPA SEC SAN JOSE</v>
          </cell>
          <cell r="K106" t="str">
            <v>15516</v>
          </cell>
          <cell r="L106" t="str">
            <v>PAIPA</v>
          </cell>
          <cell r="M106" t="str">
            <v>3138104611</v>
          </cell>
        </row>
        <row r="107">
          <cell r="A107">
            <v>4190240</v>
          </cell>
          <cell r="B107" t="str">
            <v>1</v>
          </cell>
          <cell r="C107" t="str">
            <v/>
          </cell>
          <cell r="D107" t="str">
            <v>NP</v>
          </cell>
          <cell r="E107" t="str">
            <v>NEMECIO ANTONIO</v>
          </cell>
          <cell r="F107" t="str">
            <v>GARZON CAMARGO</v>
          </cell>
          <cell r="G107" t="str">
            <v>GARZON CAMARGO NEMECIO ANTONIO</v>
          </cell>
          <cell r="H107" t="str">
            <v>RESI</v>
          </cell>
          <cell r="I107" t="str">
            <v>REGIMEN SIMPLIFICADO</v>
          </cell>
          <cell r="J107" t="str">
            <v>CL 25   6   81 IN 5</v>
          </cell>
          <cell r="K107" t="str">
            <v>15516</v>
          </cell>
          <cell r="L107" t="str">
            <v>PAIPA</v>
          </cell>
          <cell r="M107" t="str">
            <v>3134264278</v>
          </cell>
        </row>
        <row r="108">
          <cell r="A108">
            <v>4190448</v>
          </cell>
          <cell r="B108" t="str">
            <v/>
          </cell>
          <cell r="C108" t="str">
            <v/>
          </cell>
          <cell r="D108" t="str">
            <v>CC</v>
          </cell>
          <cell r="E108" t="str">
            <v>JORGE ARTURO</v>
          </cell>
          <cell r="F108" t="str">
            <v>SANCHEZ TUTA</v>
          </cell>
          <cell r="G108" t="str">
            <v>SANCHEZ TUTA JORGE ARTURO</v>
          </cell>
          <cell r="H108" t="str">
            <v>RESI</v>
          </cell>
          <cell r="I108" t="str">
            <v>REGIMEN SIMPLIFICADO</v>
          </cell>
          <cell r="J108" t="str">
            <v>CALLE 27B N 14-54</v>
          </cell>
          <cell r="K108" t="str">
            <v>15516</v>
          </cell>
          <cell r="L108" t="str">
            <v>PAIPA</v>
          </cell>
          <cell r="M108" t="str">
            <v>3112786867</v>
          </cell>
        </row>
        <row r="109">
          <cell r="A109">
            <v>4190694</v>
          </cell>
          <cell r="B109" t="str">
            <v>1</v>
          </cell>
          <cell r="C109" t="str">
            <v/>
          </cell>
          <cell r="D109" t="str">
            <v>NP</v>
          </cell>
          <cell r="E109" t="str">
            <v>RAMON</v>
          </cell>
          <cell r="F109" t="str">
            <v>RODRIGUEZ FONSECA</v>
          </cell>
          <cell r="G109" t="str">
            <v>RODRIGUEZ FONSECA RAMON</v>
          </cell>
          <cell r="H109" t="str">
            <v>RESI</v>
          </cell>
          <cell r="I109" t="str">
            <v>REGIMEN SIMPLIFICADO</v>
          </cell>
          <cell r="J109" t="str">
            <v>CR 20  25  48</v>
          </cell>
          <cell r="K109" t="str">
            <v>15516</v>
          </cell>
          <cell r="L109" t="str">
            <v>PAIPA</v>
          </cell>
          <cell r="M109" t="str">
            <v>3134561199</v>
          </cell>
        </row>
        <row r="110">
          <cell r="A110">
            <v>4190735</v>
          </cell>
          <cell r="B110" t="str">
            <v>3</v>
          </cell>
          <cell r="C110" t="str">
            <v/>
          </cell>
          <cell r="D110" t="str">
            <v>NP</v>
          </cell>
          <cell r="E110" t="str">
            <v>LUIS GUILLERMO</v>
          </cell>
          <cell r="F110" t="str">
            <v>MATEUS MATEUS</v>
          </cell>
          <cell r="G110" t="str">
            <v>LUIS GUILLERMO MATEUS MATEUS</v>
          </cell>
          <cell r="H110" t="str">
            <v>REOR</v>
          </cell>
          <cell r="I110" t="str">
            <v>RENTA REGIMEN ORDINARIO</v>
          </cell>
          <cell r="J110" t="str">
            <v>CR 17 26 B 10 BRR PRIMERO DE MAYO</v>
          </cell>
          <cell r="K110" t="str">
            <v>15516</v>
          </cell>
          <cell r="L110" t="str">
            <v>PAIPA</v>
          </cell>
          <cell r="M110" t="str">
            <v>7850853</v>
          </cell>
        </row>
        <row r="111">
          <cell r="A111">
            <v>4190740</v>
          </cell>
          <cell r="B111" t="str">
            <v>0</v>
          </cell>
          <cell r="C111" t="str">
            <v/>
          </cell>
          <cell r="D111" t="str">
            <v>NP</v>
          </cell>
          <cell r="E111" t="str">
            <v>JOSE ALBERTO</v>
          </cell>
          <cell r="F111" t="str">
            <v>VASQUEZ VASQUEZ</v>
          </cell>
          <cell r="G111" t="str">
            <v>VASQUEZ VASQUEZ JOSE ALBERTO</v>
          </cell>
          <cell r="H111" t="str">
            <v>RESI</v>
          </cell>
          <cell r="I111" t="str">
            <v>REGIMEN SIMPLIFICADO</v>
          </cell>
          <cell r="J111" t="str">
            <v>CR 20 23 20</v>
          </cell>
          <cell r="K111" t="str">
            <v>15516</v>
          </cell>
          <cell r="L111" t="str">
            <v>PAIPA</v>
          </cell>
          <cell r="M111" t="str">
            <v>3115078097</v>
          </cell>
        </row>
        <row r="112">
          <cell r="A112">
            <v>4190773</v>
          </cell>
          <cell r="B112" t="str">
            <v>3</v>
          </cell>
          <cell r="C112" t="str">
            <v/>
          </cell>
          <cell r="D112" t="str">
            <v>NP</v>
          </cell>
          <cell r="E112" t="str">
            <v>SEGUNDO NEMESIO</v>
          </cell>
          <cell r="F112" t="str">
            <v>OCHOA OSTOS</v>
          </cell>
          <cell r="G112" t="str">
            <v>OCHOA OSTOS SEGUNDO NEMESIO</v>
          </cell>
          <cell r="H112" t="str">
            <v>RECO</v>
          </cell>
          <cell r="I112" t="str">
            <v>REGIMEN COMUN</v>
          </cell>
          <cell r="J112" t="str">
            <v>CL 21   23 28</v>
          </cell>
          <cell r="K112" t="str">
            <v>15516</v>
          </cell>
          <cell r="L112" t="str">
            <v>PAIPA</v>
          </cell>
          <cell r="M112" t="str">
            <v>3105619055</v>
          </cell>
        </row>
        <row r="113">
          <cell r="A113">
            <v>4190938</v>
          </cell>
          <cell r="B113" t="str">
            <v>1</v>
          </cell>
          <cell r="C113" t="str">
            <v/>
          </cell>
          <cell r="D113" t="str">
            <v>NP</v>
          </cell>
          <cell r="E113" t="str">
            <v>JORGE ENRIQUE</v>
          </cell>
          <cell r="F113" t="str">
            <v>NIÑO RIVERA</v>
          </cell>
          <cell r="G113" t="str">
            <v>NIÑO RIVERA JORGE ENRIQUE</v>
          </cell>
          <cell r="H113" t="str">
            <v>RESI</v>
          </cell>
          <cell r="I113" t="str">
            <v>REGIMEN SIMPLIFICADO</v>
          </cell>
          <cell r="J113" t="str">
            <v>CL 29 C  23 A  04 BRR LOS LANCEROS</v>
          </cell>
          <cell r="K113" t="str">
            <v>15516</v>
          </cell>
          <cell r="L113" t="str">
            <v>PAIPA</v>
          </cell>
          <cell r="M113" t="str">
            <v>3142962951</v>
          </cell>
        </row>
        <row r="114">
          <cell r="A114">
            <v>4191455</v>
          </cell>
          <cell r="B114" t="str">
            <v>0</v>
          </cell>
          <cell r="C114" t="str">
            <v/>
          </cell>
          <cell r="D114" t="str">
            <v>NP</v>
          </cell>
          <cell r="E114" t="str">
            <v>CARLOS ARTURO</v>
          </cell>
          <cell r="F114" t="str">
            <v>RUIZ ORTIZ</v>
          </cell>
          <cell r="G114" t="str">
            <v>RUIZ ORTIZ CARLOS ARTURO</v>
          </cell>
          <cell r="H114" t="str">
            <v>RESI</v>
          </cell>
          <cell r="I114" t="str">
            <v>REGIMEN SIMPLIFICADO</v>
          </cell>
          <cell r="J114" t="str">
            <v>AV LIBERTADORES 14 72</v>
          </cell>
          <cell r="K114" t="str">
            <v>15516</v>
          </cell>
          <cell r="L114" t="str">
            <v>PAIPA</v>
          </cell>
          <cell r="M114" t="str">
            <v>3115020518</v>
          </cell>
        </row>
        <row r="115">
          <cell r="A115">
            <v>4191722</v>
          </cell>
          <cell r="B115" t="str">
            <v>2</v>
          </cell>
          <cell r="C115" t="str">
            <v/>
          </cell>
          <cell r="D115" t="str">
            <v>NP</v>
          </cell>
          <cell r="E115" t="str">
            <v xml:space="preserve">RICARDO </v>
          </cell>
          <cell r="F115" t="str">
            <v>AVELLANEDA HURTADO</v>
          </cell>
          <cell r="G115" t="str">
            <v>RICARDO AVELLANEDA HURTADO</v>
          </cell>
          <cell r="H115" t="str">
            <v>RECO</v>
          </cell>
          <cell r="I115" t="str">
            <v>REGIMEN COMUN</v>
          </cell>
          <cell r="J115" t="str">
            <v>cl 18 27 34</v>
          </cell>
          <cell r="K115" t="str">
            <v>15516</v>
          </cell>
          <cell r="L115" t="str">
            <v>PAIPA</v>
          </cell>
          <cell r="M115" t="str">
            <v>7853843</v>
          </cell>
        </row>
        <row r="116">
          <cell r="A116">
            <v>4191890</v>
          </cell>
          <cell r="B116" t="str">
            <v>1</v>
          </cell>
          <cell r="C116" t="str">
            <v/>
          </cell>
          <cell r="D116" t="str">
            <v>NP</v>
          </cell>
          <cell r="E116" t="str">
            <v xml:space="preserve">GERARDO </v>
          </cell>
          <cell r="F116" t="str">
            <v>RODRIGUEZ PUERTO</v>
          </cell>
          <cell r="G116" t="str">
            <v>RODRIGUEZ PUERTO GERARDO</v>
          </cell>
          <cell r="H116" t="str">
            <v>RESI</v>
          </cell>
          <cell r="I116" t="str">
            <v>REGIMEN SIMPLIFICADO</v>
          </cell>
          <cell r="J116" t="str">
            <v>CR 22 A   21 17</v>
          </cell>
          <cell r="K116" t="str">
            <v>15516</v>
          </cell>
          <cell r="L116" t="str">
            <v>PAIPA</v>
          </cell>
          <cell r="M116" t="str">
            <v>3108163015</v>
          </cell>
        </row>
        <row r="117">
          <cell r="A117">
            <v>4191953</v>
          </cell>
          <cell r="B117" t="str">
            <v>7</v>
          </cell>
          <cell r="C117" t="str">
            <v/>
          </cell>
          <cell r="D117" t="str">
            <v>NP</v>
          </cell>
          <cell r="E117" t="str">
            <v>DARIO</v>
          </cell>
          <cell r="F117" t="str">
            <v>SANCHEZ MONRROY</v>
          </cell>
          <cell r="G117" t="str">
            <v xml:space="preserve">SANCHEZ MONRROY DARIO         </v>
          </cell>
          <cell r="H117" t="str">
            <v>REOR</v>
          </cell>
          <cell r="I117" t="str">
            <v>RENTA REGIMEN ORDINARIO</v>
          </cell>
          <cell r="J117" t="str">
            <v xml:space="preserve"> CR 22 25 47</v>
          </cell>
          <cell r="K117" t="str">
            <v>15516</v>
          </cell>
          <cell r="L117" t="str">
            <v>PAIPA</v>
          </cell>
          <cell r="M117" t="str">
            <v>3178942427</v>
          </cell>
        </row>
        <row r="118">
          <cell r="A118">
            <v>4192157</v>
          </cell>
          <cell r="B118" t="str">
            <v>5</v>
          </cell>
          <cell r="C118" t="str">
            <v/>
          </cell>
          <cell r="D118" t="str">
            <v>NP</v>
          </cell>
          <cell r="E118" t="str">
            <v>RICARDO HERLEY</v>
          </cell>
          <cell r="F118" t="str">
            <v>GARCIA CASTILLO</v>
          </cell>
          <cell r="G118" t="str">
            <v>GARCIA CASTILLO RICARDO HERLEY</v>
          </cell>
          <cell r="H118" t="str">
            <v>RESI</v>
          </cell>
          <cell r="I118" t="str">
            <v>REGIMEN SIMPLIFICADO</v>
          </cell>
          <cell r="J118" t="str">
            <v>CL 28   30   29</v>
          </cell>
          <cell r="K118" t="str">
            <v>15516</v>
          </cell>
          <cell r="L118" t="str">
            <v>PAIPA</v>
          </cell>
          <cell r="M118" t="str">
            <v>3105775203</v>
          </cell>
        </row>
        <row r="119">
          <cell r="A119">
            <v>4192172</v>
          </cell>
          <cell r="B119" t="str">
            <v/>
          </cell>
          <cell r="C119" t="str">
            <v/>
          </cell>
          <cell r="D119" t="str">
            <v>CC</v>
          </cell>
          <cell r="E119" t="str">
            <v>GERMAN MAURICIO</v>
          </cell>
          <cell r="F119" t="str">
            <v>SUAREZ MONROY</v>
          </cell>
          <cell r="G119" t="str">
            <v>SUAREZ MONROY GERMAN MAURICIO</v>
          </cell>
          <cell r="H119" t="str">
            <v>FUNC</v>
          </cell>
          <cell r="I119" t="str">
            <v>FUNCIONARIO</v>
          </cell>
          <cell r="J119" t="str">
            <v>CRA 23BN 29B-03</v>
          </cell>
          <cell r="K119" t="str">
            <v>15516</v>
          </cell>
          <cell r="L119" t="str">
            <v>PAIPA</v>
          </cell>
          <cell r="M119" t="str">
            <v>3125428792</v>
          </cell>
        </row>
        <row r="120">
          <cell r="A120">
            <v>4192281</v>
          </cell>
          <cell r="B120" t="str">
            <v>0</v>
          </cell>
          <cell r="C120" t="str">
            <v/>
          </cell>
          <cell r="D120" t="str">
            <v>NP</v>
          </cell>
          <cell r="E120" t="str">
            <v>LUIS ALEJANDRO</v>
          </cell>
          <cell r="F120" t="str">
            <v>DIAZ GOMEZ</v>
          </cell>
          <cell r="G120" t="str">
            <v>DIAZ GOMEZ LUIS ALEJANDRO</v>
          </cell>
          <cell r="H120" t="str">
            <v>NORE</v>
          </cell>
          <cell r="I120" t="str">
            <v>NO RESPONSABLE DE IVA</v>
          </cell>
          <cell r="J120" t="str">
            <v>CL 15 17A 75</v>
          </cell>
          <cell r="K120" t="str">
            <v>15516</v>
          </cell>
          <cell r="L120" t="str">
            <v>PAIPA</v>
          </cell>
          <cell r="M120" t="str">
            <v>3132786464</v>
          </cell>
        </row>
        <row r="121">
          <cell r="A121">
            <v>4192359</v>
          </cell>
          <cell r="B121" t="str">
            <v>6</v>
          </cell>
          <cell r="C121" t="str">
            <v/>
          </cell>
          <cell r="D121" t="str">
            <v>NP</v>
          </cell>
          <cell r="E121" t="str">
            <v>EIMER MAURICIO</v>
          </cell>
          <cell r="F121" t="str">
            <v>CAMARGO CAMARGO</v>
          </cell>
          <cell r="G121" t="str">
            <v>CAMARGO CAMARGO EIMER MAURICIO</v>
          </cell>
          <cell r="H121" t="str">
            <v>RESI</v>
          </cell>
          <cell r="I121" t="str">
            <v>REGIMEN SIMPLIFICADO</v>
          </cell>
          <cell r="J121" t="str">
            <v>MZ B CA 12 BRR CERRITO ENCANTADO</v>
          </cell>
          <cell r="K121" t="str">
            <v>15238</v>
          </cell>
          <cell r="L121" t="str">
            <v>DUITAMA</v>
          </cell>
          <cell r="M121" t="str">
            <v>3115188114</v>
          </cell>
        </row>
        <row r="122">
          <cell r="A122">
            <v>4192403</v>
          </cell>
          <cell r="B122" t="str">
            <v/>
          </cell>
          <cell r="C122" t="str">
            <v/>
          </cell>
          <cell r="D122" t="str">
            <v>CC</v>
          </cell>
          <cell r="E122" t="str">
            <v>RODRIGO</v>
          </cell>
          <cell r="F122" t="str">
            <v>FONSECA HERNANDEZ</v>
          </cell>
          <cell r="G122" t="str">
            <v>FONSECA HERNANDEZ RODRIGO</v>
          </cell>
          <cell r="H122" t="str">
            <v>FUNC</v>
          </cell>
          <cell r="I122" t="str">
            <v>FUNCIONARIO</v>
          </cell>
          <cell r="J122" t="str">
            <v>SIN DIRECCI¿N</v>
          </cell>
          <cell r="K122" t="str">
            <v>15516</v>
          </cell>
          <cell r="L122" t="str">
            <v>PAIPA</v>
          </cell>
          <cell r="M122" t="str">
            <v>3004058482</v>
          </cell>
        </row>
        <row r="123">
          <cell r="A123">
            <v>4194097</v>
          </cell>
          <cell r="B123" t="str">
            <v>0</v>
          </cell>
          <cell r="C123" t="str">
            <v/>
          </cell>
          <cell r="D123" t="str">
            <v>NP</v>
          </cell>
          <cell r="E123" t="str">
            <v>JOSE FLAVINO</v>
          </cell>
          <cell r="F123" t="str">
            <v>FUENTES SUA</v>
          </cell>
          <cell r="G123" t="str">
            <v>FUENTES SUA JOSE FLAVINO</v>
          </cell>
          <cell r="H123" t="str">
            <v>RECO</v>
          </cell>
          <cell r="I123" t="str">
            <v>REGIMEN COMUN</v>
          </cell>
          <cell r="J123" t="str">
            <v>CL16 5 33 BRR EL CENTRO</v>
          </cell>
          <cell r="K123" t="str">
            <v>15522</v>
          </cell>
          <cell r="L123" t="str">
            <v>PANQUEBA</v>
          </cell>
          <cell r="M123" t="str">
            <v>3114810948</v>
          </cell>
        </row>
        <row r="124">
          <cell r="A124">
            <v>4207153</v>
          </cell>
          <cell r="B124" t="str">
            <v>3</v>
          </cell>
          <cell r="C124" t="str">
            <v/>
          </cell>
          <cell r="D124" t="str">
            <v>NP</v>
          </cell>
          <cell r="E124" t="str">
            <v>CAMPO ELIAS</v>
          </cell>
          <cell r="F124" t="str">
            <v>ROJAS FUENTES</v>
          </cell>
          <cell r="G124" t="str">
            <v>ROJAS FUENTES CAMPO ELIAS</v>
          </cell>
          <cell r="H124" t="str">
            <v>RCPN</v>
          </cell>
          <cell r="I124" t="str">
            <v>RESPONSABLE IVA PERSONA NATURAL</v>
          </cell>
          <cell r="J124" t="str">
            <v>CR 13 A 11-54</v>
          </cell>
          <cell r="K124" t="str">
            <v>15759</v>
          </cell>
          <cell r="L124" t="str">
            <v>SOGAMOSO</v>
          </cell>
          <cell r="M124" t="str">
            <v>7750792</v>
          </cell>
        </row>
        <row r="125">
          <cell r="A125">
            <v>4207154</v>
          </cell>
          <cell r="B125" t="str">
            <v/>
          </cell>
          <cell r="C125" t="str">
            <v/>
          </cell>
          <cell r="D125" t="str">
            <v>CC</v>
          </cell>
          <cell r="E125" t="str">
            <v>ARMANDO ALFONSO</v>
          </cell>
          <cell r="F125" t="str">
            <v>GOMEZ</v>
          </cell>
          <cell r="G125" t="str">
            <v>GOMEZ ARMANDO ALFONSO</v>
          </cell>
          <cell r="H125" t="str">
            <v>FUNC</v>
          </cell>
          <cell r="I125" t="str">
            <v>FUNCIONARIO</v>
          </cell>
          <cell r="J125" t="str">
            <v>CARRERA 27A No 20A-08 DUITAMA</v>
          </cell>
          <cell r="K125" t="str">
            <v>15238</v>
          </cell>
          <cell r="L125" t="str">
            <v>DUITAMA</v>
          </cell>
          <cell r="M125" t="str">
            <v>3112199222</v>
          </cell>
        </row>
        <row r="126">
          <cell r="A126">
            <v>4207550</v>
          </cell>
          <cell r="B126" t="str">
            <v/>
          </cell>
          <cell r="C126" t="str">
            <v/>
          </cell>
          <cell r="D126" t="str">
            <v>CC</v>
          </cell>
          <cell r="E126" t="str">
            <v>GUILLERMO</v>
          </cell>
          <cell r="F126" t="str">
            <v>ARAQUE CRISTANCHO</v>
          </cell>
          <cell r="G126" t="str">
            <v>ARAQUE CRISTANCHO GUILLERMO</v>
          </cell>
          <cell r="H126" t="str">
            <v>FUNC</v>
          </cell>
          <cell r="I126" t="str">
            <v>FUNCIONARIO</v>
          </cell>
          <cell r="J126" t="str">
            <v>CALLE 19 No 26-26 DUITAMA</v>
          </cell>
          <cell r="K126" t="str">
            <v>15238</v>
          </cell>
          <cell r="L126" t="str">
            <v>DUITAMA</v>
          </cell>
          <cell r="M126" t="str">
            <v>3112073391</v>
          </cell>
        </row>
        <row r="127">
          <cell r="A127">
            <v>4207697</v>
          </cell>
          <cell r="B127" t="str">
            <v/>
          </cell>
          <cell r="C127" t="str">
            <v/>
          </cell>
          <cell r="D127" t="str">
            <v>CC</v>
          </cell>
          <cell r="E127" t="str">
            <v>JAVIER</v>
          </cell>
          <cell r="F127" t="str">
            <v>NARANJO ARDILA</v>
          </cell>
          <cell r="G127" t="str">
            <v>NARANJO ARDILA JAVIER/ARAMAR DISTRIBUCIONES</v>
          </cell>
          <cell r="H127" t="str">
            <v>RCPN</v>
          </cell>
          <cell r="I127" t="str">
            <v>RESPONSABLE IVA PERSONA NATURAL</v>
          </cell>
          <cell r="J127" t="str">
            <v>CRA 23 22 51</v>
          </cell>
          <cell r="K127" t="str">
            <v>15516</v>
          </cell>
          <cell r="L127" t="str">
            <v>PAIPA</v>
          </cell>
          <cell r="M127" t="str">
            <v>7852449</v>
          </cell>
        </row>
        <row r="128">
          <cell r="A128">
            <v>4208409</v>
          </cell>
          <cell r="B128" t="str">
            <v>8</v>
          </cell>
          <cell r="C128" t="str">
            <v/>
          </cell>
          <cell r="D128" t="str">
            <v>NP</v>
          </cell>
          <cell r="E128" t="str">
            <v>LUIS JAVIER</v>
          </cell>
          <cell r="F128" t="str">
            <v>VEGA USCATEGUI</v>
          </cell>
          <cell r="G128" t="str">
            <v>VEGA USCATEGUI LUIS JAVIER</v>
          </cell>
          <cell r="H128" t="str">
            <v>RESI</v>
          </cell>
          <cell r="I128" t="str">
            <v>REGIMEN SIMPLIFICADO</v>
          </cell>
          <cell r="J128" t="str">
            <v>CR 5   10   24 BRR BRISAS DEL SOAPAGA</v>
          </cell>
          <cell r="K128" t="str">
            <v>15537</v>
          </cell>
          <cell r="L128" t="str">
            <v>PAZ DE RÍO</v>
          </cell>
          <cell r="M128" t="str">
            <v>3204947269</v>
          </cell>
        </row>
        <row r="129">
          <cell r="A129">
            <v>4208440</v>
          </cell>
          <cell r="B129" t="str">
            <v/>
          </cell>
          <cell r="C129" t="str">
            <v/>
          </cell>
          <cell r="D129" t="str">
            <v>CC</v>
          </cell>
          <cell r="E129" t="str">
            <v>PEDRO ESNEIDER</v>
          </cell>
          <cell r="F129" t="str">
            <v>VARGAS ANGARITA</v>
          </cell>
          <cell r="G129" t="str">
            <v>VARGAS ANGARITA PEDRO ESNEIDER</v>
          </cell>
          <cell r="H129" t="str">
            <v>FUNC</v>
          </cell>
          <cell r="I129" t="str">
            <v>FUNCIONARIO</v>
          </cell>
          <cell r="J129" t="str">
            <v>CL 21 A 29 43</v>
          </cell>
          <cell r="K129" t="str">
            <v>15238</v>
          </cell>
          <cell r="L129" t="str">
            <v>DUITAMA</v>
          </cell>
          <cell r="M129" t="str">
            <v>3125093636</v>
          </cell>
        </row>
        <row r="130">
          <cell r="A130">
            <v>4210736</v>
          </cell>
          <cell r="B130" t="str">
            <v>8</v>
          </cell>
          <cell r="C130" t="str">
            <v/>
          </cell>
          <cell r="D130" t="str">
            <v>NP</v>
          </cell>
          <cell r="E130" t="str">
            <v>CRISTOBAL</v>
          </cell>
          <cell r="F130" t="str">
            <v>CHAPARRO RODRIGUEZ</v>
          </cell>
          <cell r="G130" t="str">
            <v>CHAPARRO RODRIGUEZ CRISTOBAL</v>
          </cell>
          <cell r="H130" t="str">
            <v>NORE</v>
          </cell>
          <cell r="I130" t="str">
            <v>NO RESPONSABLE DE IVA</v>
          </cell>
          <cell r="J130" t="str">
            <v>DG 21 22 137 P 2</v>
          </cell>
          <cell r="K130" t="str">
            <v>15516</v>
          </cell>
          <cell r="L130" t="str">
            <v>PAIPA</v>
          </cell>
          <cell r="M130" t="str">
            <v>3104788562</v>
          </cell>
        </row>
        <row r="131">
          <cell r="A131">
            <v>4211838</v>
          </cell>
          <cell r="B131" t="str">
            <v>5</v>
          </cell>
          <cell r="C131" t="str">
            <v/>
          </cell>
          <cell r="D131" t="str">
            <v>NP</v>
          </cell>
          <cell r="E131" t="str">
            <v>JUAN CARLOS</v>
          </cell>
          <cell r="F131" t="str">
            <v>TAVERA FIGUEROA</v>
          </cell>
          <cell r="G131" t="str">
            <v>TAVERA FIGUEROA JUAN CARLOS</v>
          </cell>
          <cell r="H131" t="str">
            <v>RESI</v>
          </cell>
          <cell r="I131" t="str">
            <v>REGIMEN SIMPLIFICADO</v>
          </cell>
          <cell r="J131" t="str">
            <v>CL 70  27 27 AP 202</v>
          </cell>
          <cell r="K131" t="str">
            <v>17001</v>
          </cell>
          <cell r="L131" t="str">
            <v>MANIZALES</v>
          </cell>
          <cell r="M131" t="str">
            <v>3105963446</v>
          </cell>
        </row>
        <row r="132">
          <cell r="A132">
            <v>4221197</v>
          </cell>
          <cell r="B132" t="str">
            <v/>
          </cell>
          <cell r="C132" t="str">
            <v/>
          </cell>
          <cell r="D132" t="str">
            <v>CC</v>
          </cell>
          <cell r="E132" t="str">
            <v>JOSE EDUARDO</v>
          </cell>
          <cell r="F132" t="str">
            <v>LANCHEROS CRUZ</v>
          </cell>
          <cell r="G132" t="str">
            <v>LANCHEROS CRUZ JOSE EDUARDO</v>
          </cell>
          <cell r="H132" t="str">
            <v>FUNC</v>
          </cell>
          <cell r="I132" t="str">
            <v>FUNCIONARIO</v>
          </cell>
          <cell r="J132" t="str">
            <v>CALLE 21 No 22A- 27 PAIPA</v>
          </cell>
          <cell r="K132" t="str">
            <v>15516</v>
          </cell>
          <cell r="L132" t="str">
            <v>PAIPA</v>
          </cell>
          <cell r="M132" t="str">
            <v>3118042335</v>
          </cell>
        </row>
        <row r="133">
          <cell r="A133">
            <v>4235046</v>
          </cell>
          <cell r="B133" t="str">
            <v/>
          </cell>
          <cell r="C133" t="str">
            <v/>
          </cell>
          <cell r="D133" t="str">
            <v>CC</v>
          </cell>
          <cell r="E133" t="str">
            <v>JORGE ENRIQUE</v>
          </cell>
          <cell r="F133" t="str">
            <v>COSTILLA CASAS</v>
          </cell>
          <cell r="G133" t="str">
            <v>COSTILLA CASAS JORGE ENRIQUE</v>
          </cell>
          <cell r="H133" t="str">
            <v>FUNC</v>
          </cell>
          <cell r="I133" t="str">
            <v>FUNCIONARIO</v>
          </cell>
          <cell r="J133" t="str">
            <v>CALLE 18A No 2A-05 NORTE</v>
          </cell>
          <cell r="K133" t="str">
            <v>15238</v>
          </cell>
          <cell r="L133" t="str">
            <v>DUITAMA</v>
          </cell>
          <cell r="M133" t="str">
            <v>3115362538</v>
          </cell>
        </row>
        <row r="134">
          <cell r="A134">
            <v>4242924</v>
          </cell>
          <cell r="B134" t="str">
            <v>3</v>
          </cell>
          <cell r="C134" t="str">
            <v/>
          </cell>
          <cell r="D134" t="str">
            <v>NP</v>
          </cell>
          <cell r="E134" t="str">
            <v>LUIS CARLOS</v>
          </cell>
          <cell r="F134" t="str">
            <v>SILVA CALIXTO</v>
          </cell>
          <cell r="G134" t="str">
            <v>SILVA CALIXTO LUIS CARLOS</v>
          </cell>
          <cell r="H134" t="str">
            <v>RESI</v>
          </cell>
          <cell r="I134" t="str">
            <v>REGIMEN SIMPLIFICADO</v>
          </cell>
          <cell r="J134" t="str">
            <v>CL 14 A  18 09</v>
          </cell>
          <cell r="K134" t="str">
            <v>15238</v>
          </cell>
          <cell r="L134" t="str">
            <v>DUITAMA</v>
          </cell>
          <cell r="M134" t="str">
            <v>7610297</v>
          </cell>
        </row>
        <row r="135">
          <cell r="A135">
            <v>4247168</v>
          </cell>
          <cell r="B135" t="str">
            <v>4</v>
          </cell>
          <cell r="C135" t="str">
            <v/>
          </cell>
          <cell r="D135" t="str">
            <v>NP</v>
          </cell>
          <cell r="E135" t="str">
            <v>LUIS GUILLERMO</v>
          </cell>
          <cell r="F135" t="str">
            <v>MOJICA GARCIA</v>
          </cell>
          <cell r="G135" t="str">
            <v>MOJICA GARCIA LUIS GUILLERMO</v>
          </cell>
          <cell r="H135" t="str">
            <v>RECO</v>
          </cell>
          <cell r="I135" t="str">
            <v>REGIMEN COMUN</v>
          </cell>
          <cell r="J135" t="str">
            <v>VRD LOS TUNJOS MINA 1</v>
          </cell>
          <cell r="K135" t="str">
            <v>15723</v>
          </cell>
          <cell r="L135" t="str">
            <v>SATIVASUR</v>
          </cell>
          <cell r="M135" t="str">
            <v>7604997</v>
          </cell>
        </row>
        <row r="136">
          <cell r="A136">
            <v>4247235</v>
          </cell>
          <cell r="B136" t="str">
            <v>1</v>
          </cell>
          <cell r="C136" t="str">
            <v/>
          </cell>
          <cell r="D136" t="str">
            <v>NP</v>
          </cell>
          <cell r="E136" t="str">
            <v>JOSE LEONARDO</v>
          </cell>
          <cell r="F136" t="str">
            <v>MOJICA GARCIA</v>
          </cell>
          <cell r="G136" t="str">
            <v xml:space="preserve">MOJICA GARCIA JOSE LEONARDO   </v>
          </cell>
          <cell r="H136" t="str">
            <v>RESI</v>
          </cell>
          <cell r="I136" t="str">
            <v>REGIMEN SIMPLIFICADO</v>
          </cell>
          <cell r="J136" t="str">
            <v xml:space="preserve">VRA LOS TUNJOS                          </v>
          </cell>
          <cell r="K136" t="str">
            <v>15723</v>
          </cell>
          <cell r="L136" t="str">
            <v>SATIVASUR</v>
          </cell>
          <cell r="M136" t="str">
            <v>7865601</v>
          </cell>
        </row>
        <row r="137">
          <cell r="A137">
            <v>4258484</v>
          </cell>
          <cell r="B137" t="str">
            <v>4</v>
          </cell>
          <cell r="C137" t="str">
            <v/>
          </cell>
          <cell r="D137" t="str">
            <v>NP</v>
          </cell>
          <cell r="E137" t="str">
            <v>LUCIANO</v>
          </cell>
          <cell r="F137" t="str">
            <v>GOMEZ ANGEL</v>
          </cell>
          <cell r="G137" t="str">
            <v>GOMEZ ANGEL LUCIANO</v>
          </cell>
          <cell r="H137" t="str">
            <v>RESI</v>
          </cell>
          <cell r="I137" t="str">
            <v>REGIMEN SIMPLIFICADO</v>
          </cell>
          <cell r="J137" t="str">
            <v>VRD SOCHA VIEJO</v>
          </cell>
          <cell r="K137" t="str">
            <v>15757</v>
          </cell>
          <cell r="L137" t="str">
            <v>SOCHA</v>
          </cell>
          <cell r="M137" t="str">
            <v>3112641924</v>
          </cell>
        </row>
        <row r="138">
          <cell r="A138">
            <v>4258806</v>
          </cell>
          <cell r="B138" t="str">
            <v>2</v>
          </cell>
          <cell r="C138" t="str">
            <v/>
          </cell>
          <cell r="D138" t="str">
            <v>NP</v>
          </cell>
          <cell r="E138" t="str">
            <v>ELISEO</v>
          </cell>
          <cell r="F138" t="str">
            <v>VARGAS ESCAMILLA</v>
          </cell>
          <cell r="G138" t="str">
            <v>VARGAS ESCAMILLA ELISEO</v>
          </cell>
          <cell r="H138" t="str">
            <v>RECO</v>
          </cell>
          <cell r="I138" t="str">
            <v>REGIMEN COMUN</v>
          </cell>
          <cell r="J138" t="str">
            <v xml:space="preserve"> CL 20 A  27 52</v>
          </cell>
          <cell r="K138" t="str">
            <v>15238</v>
          </cell>
          <cell r="L138" t="str">
            <v>DUITAMA</v>
          </cell>
          <cell r="M138" t="str">
            <v>3118478681</v>
          </cell>
        </row>
        <row r="139">
          <cell r="A139">
            <v>4261423</v>
          </cell>
          <cell r="B139" t="str">
            <v>6</v>
          </cell>
          <cell r="C139" t="str">
            <v/>
          </cell>
          <cell r="D139" t="str">
            <v>NP</v>
          </cell>
          <cell r="E139" t="str">
            <v>CASIMIRO</v>
          </cell>
          <cell r="F139" t="str">
            <v>SIACHOQUE MOZO</v>
          </cell>
          <cell r="G139" t="str">
            <v>SIACHOQUE MOZO CASIMIRO</v>
          </cell>
          <cell r="H139" t="str">
            <v>RESI</v>
          </cell>
          <cell r="I139" t="str">
            <v>REGIMEN SIMPLIFICADO</v>
          </cell>
          <cell r="J139" t="str">
            <v>VDA LAS CALERAS</v>
          </cell>
          <cell r="K139" t="str">
            <v>15491</v>
          </cell>
          <cell r="L139" t="str">
            <v>NOBSA</v>
          </cell>
          <cell r="M139" t="str">
            <v>3158739201</v>
          </cell>
        </row>
        <row r="140">
          <cell r="A140">
            <v>4262877</v>
          </cell>
          <cell r="B140" t="str">
            <v>0</v>
          </cell>
          <cell r="C140" t="str">
            <v/>
          </cell>
          <cell r="D140" t="str">
            <v>NP</v>
          </cell>
          <cell r="E140" t="str">
            <v xml:space="preserve">ANGELINO </v>
          </cell>
          <cell r="F140" t="str">
            <v>NONTOA COMBITA</v>
          </cell>
          <cell r="G140" t="str">
            <v>ANGELINO NONTOA COMBITA</v>
          </cell>
          <cell r="H140" t="str">
            <v>RECO</v>
          </cell>
          <cell r="I140" t="str">
            <v>REGIMEN COMUN</v>
          </cell>
          <cell r="J140" t="str">
            <v xml:space="preserve">CR 3 N 3 06                        </v>
          </cell>
          <cell r="K140" t="str">
            <v>15296</v>
          </cell>
          <cell r="L140" t="str">
            <v>GAMEZA</v>
          </cell>
          <cell r="M140" t="str">
            <v>3153079845</v>
          </cell>
        </row>
        <row r="141">
          <cell r="A141">
            <v>4262911</v>
          </cell>
          <cell r="B141" t="str">
            <v>3</v>
          </cell>
          <cell r="C141" t="str">
            <v/>
          </cell>
          <cell r="D141" t="str">
            <v>NP</v>
          </cell>
          <cell r="E141" t="str">
            <v>SALVADOR</v>
          </cell>
          <cell r="F141" t="str">
            <v>CHAPARRO RIOS</v>
          </cell>
          <cell r="G141" t="str">
            <v>CHAPARRO RIOS SALVADOR</v>
          </cell>
          <cell r="H141" t="str">
            <v>RECO</v>
          </cell>
          <cell r="I141" t="str">
            <v>REGIMEN COMUN</v>
          </cell>
          <cell r="J141" t="str">
            <v xml:space="preserve"> CL 54  10 C 131</v>
          </cell>
          <cell r="K141" t="str">
            <v>15759</v>
          </cell>
          <cell r="L141" t="str">
            <v>SOGAMOSO</v>
          </cell>
          <cell r="M141" t="str">
            <v>3125595261</v>
          </cell>
        </row>
        <row r="142">
          <cell r="A142">
            <v>4265385</v>
          </cell>
          <cell r="B142" t="str">
            <v>2</v>
          </cell>
          <cell r="C142" t="str">
            <v/>
          </cell>
          <cell r="D142" t="str">
            <v>NP</v>
          </cell>
          <cell r="E142" t="str">
            <v>JOSE DEL CARMEN</v>
          </cell>
          <cell r="F142" t="str">
            <v>DIVANTOQUE PUERTO</v>
          </cell>
          <cell r="G142" t="str">
            <v>DIVANTOQUE PUERTO JOSE DEL CARMEN</v>
          </cell>
          <cell r="H142" t="str">
            <v>RESI</v>
          </cell>
          <cell r="I142" t="str">
            <v>REGIMEN SIMPLIFICADO</v>
          </cell>
          <cell r="J142" t="str">
            <v>CL 18 21 66</v>
          </cell>
          <cell r="K142" t="str">
            <v>15516</v>
          </cell>
          <cell r="L142" t="str">
            <v>PAIPA</v>
          </cell>
          <cell r="M142" t="str">
            <v>3102370885</v>
          </cell>
        </row>
        <row r="143">
          <cell r="A143">
            <v>4270768</v>
          </cell>
          <cell r="B143" t="str">
            <v/>
          </cell>
          <cell r="C143" t="str">
            <v/>
          </cell>
          <cell r="D143" t="str">
            <v>CC</v>
          </cell>
          <cell r="E143" t="str">
            <v>REINEL</v>
          </cell>
          <cell r="F143" t="str">
            <v>PEREZ BETANCOURTH</v>
          </cell>
          <cell r="G143" t="str">
            <v>PEREZ BETANCOURTH REINEL</v>
          </cell>
          <cell r="H143" t="str">
            <v>RECO</v>
          </cell>
          <cell r="I143" t="str">
            <v>REGIMEN COMUN</v>
          </cell>
          <cell r="J143" t="str">
            <v>CR 6   3   43</v>
          </cell>
          <cell r="K143" t="str">
            <v>85325</v>
          </cell>
          <cell r="L143" t="str">
            <v>SAN LUIS DE PALENQUE</v>
          </cell>
          <cell r="M143" t="str">
            <v>3213435947</v>
          </cell>
        </row>
        <row r="144">
          <cell r="A144">
            <v>4271726</v>
          </cell>
          <cell r="B144" t="str">
            <v>5</v>
          </cell>
          <cell r="C144" t="str">
            <v/>
          </cell>
          <cell r="D144" t="str">
            <v>NP</v>
          </cell>
          <cell r="E144" t="str">
            <v xml:space="preserve">JOSE TOBIAS </v>
          </cell>
          <cell r="F144" t="str">
            <v>ROJAS MARQUEZ</v>
          </cell>
          <cell r="G144" t="str">
            <v>JOSE TOBIAS ROJAS MARQUEZ</v>
          </cell>
          <cell r="H144" t="str">
            <v>REOR</v>
          </cell>
          <cell r="I144" t="str">
            <v>RENTA REGIMEN ORDINARIO</v>
          </cell>
          <cell r="J144" t="str">
            <v>MZ A CA 13 BRR SENDEROS DE SAN MIGUEL</v>
          </cell>
          <cell r="K144" t="str">
            <v>15516</v>
          </cell>
          <cell r="L144" t="str">
            <v>PAIPA</v>
          </cell>
          <cell r="M144" t="str">
            <v>3112190576</v>
          </cell>
        </row>
        <row r="145">
          <cell r="A145">
            <v>4271727</v>
          </cell>
          <cell r="B145" t="str">
            <v>2</v>
          </cell>
          <cell r="C145" t="str">
            <v/>
          </cell>
          <cell r="D145" t="str">
            <v>NP</v>
          </cell>
          <cell r="E145" t="str">
            <v xml:space="preserve">VICENTE </v>
          </cell>
          <cell r="F145" t="str">
            <v>ESTUPIÑAN ESTUPIÑAN</v>
          </cell>
          <cell r="G145" t="str">
            <v>ESTUPIÑAN ESTUPIÑAN VICENTE</v>
          </cell>
          <cell r="H145" t="str">
            <v>RESI</v>
          </cell>
          <cell r="I145" t="str">
            <v>REGIMEN SIMPLIFICADO</v>
          </cell>
          <cell r="J145" t="str">
            <v>CEN TASCO</v>
          </cell>
          <cell r="K145" t="str">
            <v>15790</v>
          </cell>
          <cell r="L145" t="str">
            <v>TASCO</v>
          </cell>
          <cell r="M145" t="str">
            <v>3134241014</v>
          </cell>
        </row>
        <row r="146">
          <cell r="A146">
            <v>4271809</v>
          </cell>
          <cell r="B146" t="str">
            <v>8</v>
          </cell>
          <cell r="C146" t="str">
            <v/>
          </cell>
          <cell r="D146" t="str">
            <v>NP</v>
          </cell>
          <cell r="E146" t="str">
            <v xml:space="preserve">LUIS GABRIEL </v>
          </cell>
          <cell r="F146" t="str">
            <v>LEON CARVAJAL</v>
          </cell>
          <cell r="G146" t="str">
            <v>LEON CARVAJAL  LUIS GABRIEL</v>
          </cell>
          <cell r="H146" t="str">
            <v>REOR</v>
          </cell>
          <cell r="I146" t="str">
            <v>RENTA REGIMEN ORDINARIO</v>
          </cell>
          <cell r="J146" t="str">
            <v>VRD EL PEDREGAL CEN</v>
          </cell>
          <cell r="K146" t="str">
            <v>15790</v>
          </cell>
          <cell r="L146" t="str">
            <v>TASCO</v>
          </cell>
          <cell r="M146" t="str">
            <v>3138529568</v>
          </cell>
        </row>
        <row r="147">
          <cell r="A147">
            <v>4271857</v>
          </cell>
          <cell r="B147" t="str">
            <v>1</v>
          </cell>
          <cell r="C147" t="str">
            <v/>
          </cell>
          <cell r="D147" t="str">
            <v>NP</v>
          </cell>
          <cell r="E147" t="str">
            <v>ELADIO</v>
          </cell>
          <cell r="F147" t="str">
            <v>ANGARITA ANGARITA</v>
          </cell>
          <cell r="G147" t="str">
            <v>ANGARITA ANGARITA ELADIO</v>
          </cell>
          <cell r="H147" t="str">
            <v>REOR</v>
          </cell>
          <cell r="I147" t="str">
            <v>RENTA REGIMEN ORDINARIO</v>
          </cell>
          <cell r="J147" t="str">
            <v xml:space="preserve">CL 6 23 20                              </v>
          </cell>
          <cell r="K147" t="str">
            <v>15759</v>
          </cell>
          <cell r="L147" t="str">
            <v>SOGAMOSO</v>
          </cell>
          <cell r="M147" t="str">
            <v>3108186653</v>
          </cell>
        </row>
        <row r="148">
          <cell r="A148">
            <v>4272029</v>
          </cell>
          <cell r="B148" t="str">
            <v>4</v>
          </cell>
          <cell r="C148" t="str">
            <v/>
          </cell>
          <cell r="D148" t="str">
            <v>NP</v>
          </cell>
          <cell r="E148" t="str">
            <v>CARLOS HERNÁN</v>
          </cell>
          <cell r="F148" t="str">
            <v>MARQUEZ RODRÍGUEZ</v>
          </cell>
          <cell r="G148" t="str">
            <v>MARQUEZ RODRÍGUEZ CARLOS HERNÁN</v>
          </cell>
          <cell r="H148" t="str">
            <v>RECO</v>
          </cell>
          <cell r="I148" t="str">
            <v>REGIMEN COMUN</v>
          </cell>
          <cell r="J148" t="str">
            <v xml:space="preserve"> CL 15 13 38</v>
          </cell>
          <cell r="K148" t="str">
            <v>15238</v>
          </cell>
          <cell r="L148" t="str">
            <v>DUITAMA</v>
          </cell>
          <cell r="M148" t="str">
            <v>3108098707</v>
          </cell>
        </row>
        <row r="149">
          <cell r="A149">
            <v>4272152</v>
          </cell>
          <cell r="B149" t="str">
            <v/>
          </cell>
          <cell r="C149" t="str">
            <v/>
          </cell>
          <cell r="D149" t="str">
            <v>CC</v>
          </cell>
          <cell r="E149" t="str">
            <v>JAIME ALIRIO</v>
          </cell>
          <cell r="F149" t="str">
            <v>MURILLO MURILLO</v>
          </cell>
          <cell r="G149" t="str">
            <v>MURILLO MURILLO JAIME ALIRIO</v>
          </cell>
          <cell r="H149" t="str">
            <v>FUNC</v>
          </cell>
          <cell r="I149" t="str">
            <v>FUNCIONARIO</v>
          </cell>
          <cell r="J149" t="str">
            <v>CALLE 16A No 9-30</v>
          </cell>
          <cell r="K149" t="str">
            <v>15238</v>
          </cell>
          <cell r="L149" t="str">
            <v>DUITAMA</v>
          </cell>
          <cell r="M149" t="str">
            <v>3132824987</v>
          </cell>
        </row>
        <row r="150">
          <cell r="A150">
            <v>4272236</v>
          </cell>
          <cell r="B150" t="str">
            <v>2</v>
          </cell>
          <cell r="C150" t="str">
            <v/>
          </cell>
          <cell r="D150" t="str">
            <v>NP</v>
          </cell>
          <cell r="E150" t="str">
            <v>ELEAZAR</v>
          </cell>
          <cell r="F150" t="str">
            <v>MARQUEZ RODRIGUEZ</v>
          </cell>
          <cell r="G150" t="str">
            <v>MARQUEZ RODRIGUEZ ELEAZAR</v>
          </cell>
          <cell r="H150" t="str">
            <v>RECO</v>
          </cell>
          <cell r="I150" t="str">
            <v>REGIMEN COMUN</v>
          </cell>
          <cell r="J150" t="str">
            <v>CR 4  4  17</v>
          </cell>
          <cell r="K150" t="str">
            <v>15790</v>
          </cell>
          <cell r="L150" t="str">
            <v>TASCO</v>
          </cell>
          <cell r="M150" t="str">
            <v>3108098707</v>
          </cell>
        </row>
        <row r="151">
          <cell r="A151">
            <v>4272239</v>
          </cell>
          <cell r="B151" t="str">
            <v>4</v>
          </cell>
          <cell r="C151" t="str">
            <v/>
          </cell>
          <cell r="D151" t="str">
            <v>NP</v>
          </cell>
          <cell r="E151" t="str">
            <v>CARLOS ROBERTO</v>
          </cell>
          <cell r="F151" t="str">
            <v>CASTAÑEDA ESTUPIÑAN</v>
          </cell>
          <cell r="G151" t="str">
            <v>CASTAÑEDA ESTUPIÑAN CARLOS ROBERTO</v>
          </cell>
          <cell r="H151" t="str">
            <v>IMVE</v>
          </cell>
          <cell r="I151" t="str">
            <v>IMPUESTO SOBRE LAS VENTAS</v>
          </cell>
          <cell r="J151" t="str">
            <v>CL 19 7 28 BRR BERLIN</v>
          </cell>
          <cell r="K151" t="str">
            <v>94001</v>
          </cell>
          <cell r="L151" t="str">
            <v>INÍRIDA</v>
          </cell>
          <cell r="M151" t="str">
            <v>3124550843</v>
          </cell>
        </row>
        <row r="152">
          <cell r="A152">
            <v>4272368</v>
          </cell>
          <cell r="B152" t="str">
            <v/>
          </cell>
          <cell r="C152" t="str">
            <v/>
          </cell>
          <cell r="D152" t="str">
            <v>CC</v>
          </cell>
          <cell r="E152" t="str">
            <v>JUAN JOSE</v>
          </cell>
          <cell r="F152" t="str">
            <v>ANGARITA FERNANDEZ</v>
          </cell>
          <cell r="G152" t="str">
            <v>ANGARITA FERNANDEZ JUAN JOSE</v>
          </cell>
          <cell r="H152" t="str">
            <v>FUNC</v>
          </cell>
          <cell r="I152" t="str">
            <v>FUNCIONARIO</v>
          </cell>
          <cell r="J152" t="str">
            <v>CL 26 17 A 29</v>
          </cell>
          <cell r="K152" t="str">
            <v>15238</v>
          </cell>
          <cell r="L152" t="str">
            <v>DUITAMA</v>
          </cell>
          <cell r="M152" t="str">
            <v>3138645492</v>
          </cell>
        </row>
        <row r="153">
          <cell r="A153">
            <v>4272447</v>
          </cell>
          <cell r="B153" t="str">
            <v>1</v>
          </cell>
          <cell r="C153" t="str">
            <v/>
          </cell>
          <cell r="D153" t="str">
            <v>NP</v>
          </cell>
          <cell r="E153" t="str">
            <v>JOSE ALDEMAR</v>
          </cell>
          <cell r="F153" t="str">
            <v>GOMEZ CELY</v>
          </cell>
          <cell r="G153" t="str">
            <v>GOMEZ CELY JOSE ALDEMAR</v>
          </cell>
          <cell r="H153" t="str">
            <v>RESI</v>
          </cell>
          <cell r="I153" t="str">
            <v>REGIMEN SIMPLIFICADO</v>
          </cell>
          <cell r="J153" t="str">
            <v>CL 6  5  44</v>
          </cell>
          <cell r="K153" t="str">
            <v>15790</v>
          </cell>
          <cell r="L153" t="str">
            <v>TASCO</v>
          </cell>
          <cell r="M153" t="str">
            <v>3203444467</v>
          </cell>
        </row>
        <row r="154">
          <cell r="A154">
            <v>4277451</v>
          </cell>
          <cell r="B154" t="str">
            <v>2</v>
          </cell>
          <cell r="C154" t="str">
            <v/>
          </cell>
          <cell r="D154" t="str">
            <v>NP</v>
          </cell>
          <cell r="E154" t="str">
            <v>JUAN ELIECER</v>
          </cell>
          <cell r="F154" t="str">
            <v>GALVIS HERNANDEZ</v>
          </cell>
          <cell r="G154" t="str">
            <v>GALVIS HERNANDEZ JUAN ELIECER</v>
          </cell>
          <cell r="H154" t="str">
            <v>RESI</v>
          </cell>
          <cell r="I154" t="str">
            <v>REGIMEN SIMPLIFICADO</v>
          </cell>
          <cell r="J154" t="str">
            <v>VDA PEÑA NEGRA SEC SANTA TERESA</v>
          </cell>
          <cell r="K154" t="str">
            <v>15806</v>
          </cell>
          <cell r="L154" t="str">
            <v>TIBASOSA</v>
          </cell>
          <cell r="M154" t="str">
            <v>3108186429</v>
          </cell>
        </row>
        <row r="155">
          <cell r="A155">
            <v>4282161</v>
          </cell>
          <cell r="B155" t="str">
            <v>1</v>
          </cell>
          <cell r="C155" t="str">
            <v/>
          </cell>
          <cell r="D155" t="str">
            <v>NP</v>
          </cell>
          <cell r="E155" t="str">
            <v>HECTOR GUILLERMO</v>
          </cell>
          <cell r="F155" t="str">
            <v>CRUZ BARRERA</v>
          </cell>
          <cell r="G155" t="str">
            <v xml:space="preserve">CRUZ BARRERA HECTOR GUILLERMO </v>
          </cell>
          <cell r="H155" t="str">
            <v>RESI</v>
          </cell>
          <cell r="I155" t="str">
            <v>REGIMEN SIMPLIFICADO</v>
          </cell>
          <cell r="J155" t="str">
            <v>VRD REYES PATRIA</v>
          </cell>
          <cell r="K155" t="str">
            <v>15215</v>
          </cell>
          <cell r="L155" t="str">
            <v>CORRALES</v>
          </cell>
          <cell r="M155" t="str">
            <v>3214826309</v>
          </cell>
        </row>
        <row r="156">
          <cell r="A156">
            <v>4284195</v>
          </cell>
          <cell r="B156" t="str">
            <v>0</v>
          </cell>
          <cell r="C156" t="str">
            <v/>
          </cell>
          <cell r="D156" t="str">
            <v>NP</v>
          </cell>
          <cell r="E156" t="str">
            <v>WILLIAN HUMBERTO</v>
          </cell>
          <cell r="F156" t="str">
            <v>PAN DURAN</v>
          </cell>
          <cell r="G156" t="str">
            <v>PAN DURAN WILLIAN HUMBERTO</v>
          </cell>
          <cell r="H156" t="str">
            <v>RESI</v>
          </cell>
          <cell r="I156" t="str">
            <v>REGIMEN SIMPLIFICADO</v>
          </cell>
          <cell r="J156" t="str">
            <v>CL 2   4 A   37</v>
          </cell>
          <cell r="K156" t="str">
            <v>85325</v>
          </cell>
          <cell r="L156" t="str">
            <v>SAN LUIS DE PALENQUE</v>
          </cell>
          <cell r="M156" t="str">
            <v>3112642868</v>
          </cell>
        </row>
        <row r="157">
          <cell r="A157">
            <v>4284247</v>
          </cell>
          <cell r="B157" t="str">
            <v/>
          </cell>
          <cell r="C157" t="str">
            <v/>
          </cell>
          <cell r="D157" t="str">
            <v>CC</v>
          </cell>
          <cell r="E157" t="str">
            <v>NOE</v>
          </cell>
          <cell r="F157" t="str">
            <v>FLOREZ VEGA</v>
          </cell>
          <cell r="G157" t="str">
            <v>FLOREZ VEGA NOE</v>
          </cell>
          <cell r="H157" t="str">
            <v>RESI</v>
          </cell>
          <cell r="I157" t="str">
            <v>REGIMEN SIMPLIFICADO</v>
          </cell>
          <cell r="J157" t="str">
            <v>VRD LA PALESTINA</v>
          </cell>
          <cell r="K157" t="str">
            <v>85325</v>
          </cell>
          <cell r="L157" t="str">
            <v>SAN LUIS DE PALENQUE</v>
          </cell>
          <cell r="M157" t="str">
            <v>3123000366</v>
          </cell>
        </row>
        <row r="158">
          <cell r="A158">
            <v>4284284</v>
          </cell>
          <cell r="B158" t="str">
            <v/>
          </cell>
          <cell r="C158" t="str">
            <v/>
          </cell>
          <cell r="D158" t="str">
            <v>CC</v>
          </cell>
          <cell r="E158" t="str">
            <v>JOSE ISAAC</v>
          </cell>
          <cell r="F158" t="str">
            <v>ALBARRACIN COLMENARES</v>
          </cell>
          <cell r="G158" t="str">
            <v>ALBARRACIN COLMENARES JOSE ISAAC</v>
          </cell>
          <cell r="H158" t="str">
            <v>RESI</v>
          </cell>
          <cell r="I158" t="str">
            <v>REGIMEN SIMPLIFICADO</v>
          </cell>
          <cell r="J158" t="str">
            <v>SAN LUIS DE PALENQUE CENTRO</v>
          </cell>
          <cell r="K158" t="str">
            <v>85325</v>
          </cell>
          <cell r="L158" t="str">
            <v>SAN LUIS DE PALENQUE</v>
          </cell>
          <cell r="M158" t="str">
            <v>XXX</v>
          </cell>
        </row>
        <row r="159">
          <cell r="A159">
            <v>4284417</v>
          </cell>
          <cell r="B159" t="str">
            <v>0</v>
          </cell>
          <cell r="C159" t="str">
            <v/>
          </cell>
          <cell r="D159" t="str">
            <v>NP</v>
          </cell>
          <cell r="E159" t="str">
            <v>DIYER PASION</v>
          </cell>
          <cell r="F159" t="str">
            <v>PEREZ RAMOS</v>
          </cell>
          <cell r="G159" t="str">
            <v>PEREZ RAMOS DIYER PASION</v>
          </cell>
          <cell r="H159" t="str">
            <v>RESI</v>
          </cell>
          <cell r="I159" t="str">
            <v>REGIMEN SIMPLIFICADO</v>
          </cell>
          <cell r="J159" t="str">
            <v>VRD PALMAR</v>
          </cell>
          <cell r="K159" t="str">
            <v>85325</v>
          </cell>
          <cell r="L159" t="str">
            <v>SAN LUIS DE PALENQUE</v>
          </cell>
          <cell r="M159" t="str">
            <v>3214848443</v>
          </cell>
        </row>
        <row r="160">
          <cell r="A160">
            <v>4284450</v>
          </cell>
          <cell r="B160" t="str">
            <v/>
          </cell>
          <cell r="C160" t="str">
            <v/>
          </cell>
          <cell r="D160" t="str">
            <v>CC</v>
          </cell>
          <cell r="E160" t="str">
            <v>JESUS ALIRIO</v>
          </cell>
          <cell r="F160" t="str">
            <v>DUARTE TUAY</v>
          </cell>
          <cell r="G160" t="str">
            <v>DUARTE TUAY JESUS ALIRIO</v>
          </cell>
          <cell r="H160" t="str">
            <v>RESI</v>
          </cell>
          <cell r="I160" t="str">
            <v>REGIMEN SIMPLIFICADO</v>
          </cell>
          <cell r="J160" t="str">
            <v>CL 20   13   06</v>
          </cell>
          <cell r="K160" t="str">
            <v>85001</v>
          </cell>
          <cell r="L160" t="str">
            <v>YOPAL</v>
          </cell>
          <cell r="M160" t="str">
            <v>3114874869</v>
          </cell>
        </row>
        <row r="161">
          <cell r="A161">
            <v>4284495</v>
          </cell>
          <cell r="B161" t="str">
            <v/>
          </cell>
          <cell r="C161" t="str">
            <v/>
          </cell>
          <cell r="D161" t="str">
            <v>CC</v>
          </cell>
          <cell r="E161" t="str">
            <v>ARNALDO</v>
          </cell>
          <cell r="F161" t="str">
            <v>DUARTE TUAY</v>
          </cell>
          <cell r="G161" t="str">
            <v>DUARTE TUAY ARNALDO</v>
          </cell>
          <cell r="H161" t="str">
            <v>RESI</v>
          </cell>
          <cell r="I161" t="str">
            <v>REGIMEN SIMPLIFICADO</v>
          </cell>
          <cell r="J161" t="str">
            <v>VRD SAN FRANCISCO FCA EL TRIUNFO</v>
          </cell>
          <cell r="K161" t="str">
            <v>85325</v>
          </cell>
          <cell r="L161" t="str">
            <v>SAN LUIS DE PALENQUE</v>
          </cell>
          <cell r="M161" t="str">
            <v>3202323363</v>
          </cell>
        </row>
        <row r="162">
          <cell r="A162">
            <v>4284499</v>
          </cell>
          <cell r="B162" t="str">
            <v>4</v>
          </cell>
          <cell r="C162" t="str">
            <v/>
          </cell>
          <cell r="D162" t="str">
            <v>NP</v>
          </cell>
          <cell r="E162" t="str">
            <v>LUIS JOAQUIN</v>
          </cell>
          <cell r="F162" t="str">
            <v>SALCEDO LEAL</v>
          </cell>
          <cell r="G162" t="str">
            <v>SALCEDO LEAL LUIS JOAQUIN</v>
          </cell>
          <cell r="H162" t="str">
            <v>RESI</v>
          </cell>
          <cell r="I162" t="str">
            <v>REGIMEN SIMPLIFICADO</v>
          </cell>
          <cell r="J162" t="str">
            <v>CL 26   12 B   04</v>
          </cell>
          <cell r="K162" t="str">
            <v>85001</v>
          </cell>
          <cell r="L162" t="str">
            <v>YOPAL</v>
          </cell>
          <cell r="M162" t="str">
            <v>3144658159</v>
          </cell>
        </row>
        <row r="163">
          <cell r="A163">
            <v>4284505</v>
          </cell>
          <cell r="B163" t="str">
            <v/>
          </cell>
          <cell r="C163" t="str">
            <v/>
          </cell>
          <cell r="D163" t="str">
            <v>CC</v>
          </cell>
          <cell r="E163" t="str">
            <v>JORGE</v>
          </cell>
          <cell r="F163" t="str">
            <v>MALAVER ABRIL</v>
          </cell>
          <cell r="G163" t="str">
            <v>MALAVER ABRIL JORGE</v>
          </cell>
          <cell r="H163" t="str">
            <v>RESI</v>
          </cell>
          <cell r="I163" t="str">
            <v>REGIMEN SIMPLIFICADO</v>
          </cell>
          <cell r="J163" t="str">
            <v>MCP SAN LUIS DE PALENQUE VRD SAN LUIS DE PALENQUE PD EL RELATO L</v>
          </cell>
          <cell r="K163" t="str">
            <v>17001</v>
          </cell>
          <cell r="L163" t="str">
            <v>MANIZALES</v>
          </cell>
          <cell r="M163" t="str">
            <v>3115989725</v>
          </cell>
        </row>
        <row r="164">
          <cell r="A164">
            <v>4284636</v>
          </cell>
          <cell r="B164" t="str">
            <v>7</v>
          </cell>
          <cell r="C164" t="str">
            <v/>
          </cell>
          <cell r="D164" t="str">
            <v>NP</v>
          </cell>
          <cell r="E164" t="str">
            <v>JESUS YECID</v>
          </cell>
          <cell r="F164" t="str">
            <v>ALBARRACIN FARFAN</v>
          </cell>
          <cell r="G164" t="str">
            <v>ALBARRACIN FARFAN JESUS YECID</v>
          </cell>
          <cell r="H164" t="str">
            <v>RESI</v>
          </cell>
          <cell r="I164" t="str">
            <v>REGIMEN SIMPLIFICADO</v>
          </cell>
          <cell r="J164" t="str">
            <v>CL 3   3   42</v>
          </cell>
          <cell r="K164" t="str">
            <v>85325</v>
          </cell>
          <cell r="L164" t="str">
            <v>SAN LUIS DE PALENQUE</v>
          </cell>
          <cell r="M164" t="str">
            <v>3124473292</v>
          </cell>
        </row>
        <row r="165">
          <cell r="A165">
            <v>4284661</v>
          </cell>
          <cell r="B165" t="str">
            <v/>
          </cell>
          <cell r="C165" t="str">
            <v/>
          </cell>
          <cell r="D165" t="str">
            <v>CC</v>
          </cell>
          <cell r="E165" t="str">
            <v>ELVER OBDULIO</v>
          </cell>
          <cell r="F165" t="str">
            <v>MARTA</v>
          </cell>
          <cell r="G165" t="str">
            <v>MARTA ELVER OBDULIO</v>
          </cell>
          <cell r="H165" t="str">
            <v>RESI</v>
          </cell>
          <cell r="I165" t="str">
            <v>REGIMEN SIMPLIFICADO</v>
          </cell>
          <cell r="J165" t="str">
            <v>VRD EL TIGRE</v>
          </cell>
          <cell r="K165" t="str">
            <v>85325</v>
          </cell>
          <cell r="L165" t="str">
            <v>SAN LUIS DE PALENQUE</v>
          </cell>
          <cell r="M165" t="str">
            <v>3208399274</v>
          </cell>
        </row>
        <row r="166">
          <cell r="A166">
            <v>4284735</v>
          </cell>
          <cell r="B166" t="str">
            <v/>
          </cell>
          <cell r="C166" t="str">
            <v/>
          </cell>
          <cell r="D166" t="str">
            <v>CC</v>
          </cell>
          <cell r="E166" t="str">
            <v>ANGEL</v>
          </cell>
          <cell r="F166" t="str">
            <v>POLANCO JIMENEZ</v>
          </cell>
          <cell r="G166" t="str">
            <v>POLANCO JIMENEZ ANGEL</v>
          </cell>
          <cell r="H166" t="str">
            <v>RESI</v>
          </cell>
          <cell r="I166" t="str">
            <v>REGIMEN SIMPLIFICADO</v>
          </cell>
          <cell r="J166" t="str">
            <v>MCP SAN LUIS DE PALENQUE VRD MATA DE SANTO</v>
          </cell>
          <cell r="K166" t="str">
            <v>85325</v>
          </cell>
          <cell r="L166" t="str">
            <v>SAN LUIS DE PALENQUE</v>
          </cell>
          <cell r="M166" t="str">
            <v>3115960910</v>
          </cell>
        </row>
        <row r="167">
          <cell r="A167">
            <v>4284783</v>
          </cell>
          <cell r="B167" t="str">
            <v/>
          </cell>
          <cell r="C167" t="str">
            <v/>
          </cell>
          <cell r="D167" t="str">
            <v>CC</v>
          </cell>
          <cell r="E167" t="str">
            <v>VIANEY</v>
          </cell>
          <cell r="F167" t="str">
            <v>CRUZ ORTIZ</v>
          </cell>
          <cell r="G167" t="str">
            <v>CRUZ ORTIZ VIANEY</v>
          </cell>
          <cell r="H167" t="str">
            <v>RESI</v>
          </cell>
          <cell r="I167" t="str">
            <v>REGIMEN SIMPLIFICADO</v>
          </cell>
          <cell r="J167" t="str">
            <v>MCP SAN LUIS DE PALENQUE PD BUENOS AIRES</v>
          </cell>
          <cell r="K167" t="str">
            <v>85325</v>
          </cell>
          <cell r="L167" t="str">
            <v>SAN LUIS DE PALENQUE</v>
          </cell>
          <cell r="M167" t="str">
            <v>3115104996</v>
          </cell>
        </row>
        <row r="168">
          <cell r="A168">
            <v>4284871</v>
          </cell>
          <cell r="B168" t="str">
            <v/>
          </cell>
          <cell r="C168" t="str">
            <v/>
          </cell>
          <cell r="D168" t="str">
            <v>CC</v>
          </cell>
          <cell r="E168" t="str">
            <v>OMAR</v>
          </cell>
          <cell r="F168" t="str">
            <v>MALAVER ABRIL</v>
          </cell>
          <cell r="G168" t="str">
            <v>MALAVER ABRIL OMAR</v>
          </cell>
          <cell r="H168" t="str">
            <v>RESI</v>
          </cell>
          <cell r="I168" t="str">
            <v>REGIMEN SIMPLIFICADO</v>
          </cell>
          <cell r="J168" t="str">
            <v>MCP SAN LUIS DE PALENQUE VRD PLATANALES</v>
          </cell>
          <cell r="K168" t="str">
            <v>85325</v>
          </cell>
          <cell r="L168" t="str">
            <v>SAN LUIS DE PALENQUE</v>
          </cell>
          <cell r="M168" t="str">
            <v>3134862900</v>
          </cell>
        </row>
        <row r="169">
          <cell r="A169">
            <v>4284921</v>
          </cell>
          <cell r="B169" t="str">
            <v/>
          </cell>
          <cell r="C169" t="str">
            <v/>
          </cell>
          <cell r="D169" t="str">
            <v>CC</v>
          </cell>
          <cell r="E169" t="str">
            <v>HERMINSO</v>
          </cell>
          <cell r="F169" t="str">
            <v>BENITEZ GALAN</v>
          </cell>
          <cell r="G169" t="str">
            <v>BENITEZ GALAN HERMINSO</v>
          </cell>
          <cell r="H169" t="str">
            <v>RESI</v>
          </cell>
          <cell r="I169" t="str">
            <v>REGIMEN SIMPLIFICADO</v>
          </cell>
          <cell r="J169" t="str">
            <v>VRD PALMAR DE GUANAPALO</v>
          </cell>
          <cell r="K169" t="str">
            <v>85325</v>
          </cell>
          <cell r="L169" t="str">
            <v>SAN LUIS DE PALENQUE</v>
          </cell>
          <cell r="M169" t="str">
            <v>3202735190</v>
          </cell>
        </row>
        <row r="170">
          <cell r="A170">
            <v>4285648</v>
          </cell>
          <cell r="B170" t="str">
            <v/>
          </cell>
          <cell r="C170" t="str">
            <v/>
          </cell>
          <cell r="D170" t="str">
            <v>CC</v>
          </cell>
          <cell r="E170" t="str">
            <v>CARLOS MARIO</v>
          </cell>
          <cell r="F170" t="str">
            <v>FONSECA CHAVARRO</v>
          </cell>
          <cell r="G170" t="str">
            <v>FONSECA CHAVARRO CARLOS MARIO</v>
          </cell>
          <cell r="H170" t="str">
            <v>FUNC</v>
          </cell>
          <cell r="I170" t="str">
            <v>FUNCIONARIO</v>
          </cell>
          <cell r="J170" t="str">
            <v>CR 25 13 34 BRR</v>
          </cell>
          <cell r="K170" t="str">
            <v>15516</v>
          </cell>
          <cell r="L170" t="str">
            <v>PAIPA</v>
          </cell>
          <cell r="M170" t="str">
            <v>3104812590</v>
          </cell>
        </row>
        <row r="171">
          <cell r="A171">
            <v>4287176</v>
          </cell>
          <cell r="B171" t="str">
            <v>4</v>
          </cell>
          <cell r="C171" t="str">
            <v/>
          </cell>
          <cell r="D171" t="str">
            <v>NP</v>
          </cell>
          <cell r="E171" t="str">
            <v xml:space="preserve">LUIS ANTONIO </v>
          </cell>
          <cell r="F171" t="str">
            <v>BARON   RUIZ</v>
          </cell>
          <cell r="G171" t="str">
            <v>LUIS ANTONIO BARON   RUIZ</v>
          </cell>
          <cell r="H171" t="str">
            <v>RESI</v>
          </cell>
          <cell r="I171" t="str">
            <v>REGIMEN SIMPLIFICADO</v>
          </cell>
          <cell r="J171" t="str">
            <v>CL 15  17 A  41</v>
          </cell>
          <cell r="K171" t="str">
            <v>15516</v>
          </cell>
          <cell r="L171" t="str">
            <v>PAIPA</v>
          </cell>
          <cell r="M171" t="str">
            <v>3118196773</v>
          </cell>
        </row>
        <row r="172">
          <cell r="A172">
            <v>4287353</v>
          </cell>
          <cell r="B172" t="str">
            <v>1</v>
          </cell>
          <cell r="C172" t="str">
            <v/>
          </cell>
          <cell r="D172" t="str">
            <v>NP</v>
          </cell>
          <cell r="E172" t="str">
            <v>JOSE GUILLERMO</v>
          </cell>
          <cell r="F172" t="str">
            <v>PALACIO OSTOS</v>
          </cell>
          <cell r="G172" t="str">
            <v>PALACIO OSTOS JOSE GUILLERMO</v>
          </cell>
          <cell r="H172" t="str">
            <v>RECO</v>
          </cell>
          <cell r="I172" t="str">
            <v>REGIMEN COMUN</v>
          </cell>
          <cell r="J172" t="str">
            <v>CR 10 N 24 96</v>
          </cell>
          <cell r="K172" t="str">
            <v>15001</v>
          </cell>
          <cell r="L172" t="str">
            <v>TUNJA</v>
          </cell>
          <cell r="M172" t="str">
            <v>7434552</v>
          </cell>
        </row>
        <row r="173">
          <cell r="A173">
            <v>4287392</v>
          </cell>
          <cell r="B173" t="str">
            <v>9</v>
          </cell>
          <cell r="C173" t="str">
            <v/>
          </cell>
          <cell r="D173" t="str">
            <v>NP</v>
          </cell>
          <cell r="E173" t="str">
            <v>CESAR JULIO</v>
          </cell>
          <cell r="F173" t="str">
            <v>NIÑO OCHOA</v>
          </cell>
          <cell r="G173" t="str">
            <v>NIÑO OCHOA CESAR JULIO</v>
          </cell>
          <cell r="H173" t="str">
            <v>RESI</v>
          </cell>
          <cell r="I173" t="str">
            <v>REGIMEN SIMPLIFICADO</v>
          </cell>
          <cell r="J173" t="str">
            <v xml:space="preserve"> CL 27  24 61 IN 1</v>
          </cell>
          <cell r="K173" t="str">
            <v>15516</v>
          </cell>
          <cell r="L173" t="str">
            <v>PAIPA</v>
          </cell>
          <cell r="M173" t="str">
            <v>7850657</v>
          </cell>
        </row>
        <row r="174">
          <cell r="A174">
            <v>4288308</v>
          </cell>
          <cell r="B174" t="str">
            <v/>
          </cell>
          <cell r="C174" t="str">
            <v/>
          </cell>
          <cell r="D174" t="str">
            <v>CC</v>
          </cell>
          <cell r="E174" t="str">
            <v>JORGE VICENTE</v>
          </cell>
          <cell r="F174" t="str">
            <v>PACHECO PENA</v>
          </cell>
          <cell r="G174" t="str">
            <v>PACHECO PENA JORGE VICENTE</v>
          </cell>
          <cell r="H174" t="str">
            <v>FUNC</v>
          </cell>
          <cell r="I174" t="str">
            <v>FUNCIONARIO</v>
          </cell>
          <cell r="J174" t="str">
            <v>CARRERA 17B No 19B-09</v>
          </cell>
          <cell r="K174" t="str">
            <v>15516</v>
          </cell>
          <cell r="L174" t="str">
            <v>PAIPA</v>
          </cell>
          <cell r="M174" t="str">
            <v>3174269138</v>
          </cell>
        </row>
        <row r="175">
          <cell r="A175">
            <v>4288748</v>
          </cell>
          <cell r="B175" t="str">
            <v/>
          </cell>
          <cell r="C175" t="str">
            <v/>
          </cell>
          <cell r="D175" t="str">
            <v>CC</v>
          </cell>
          <cell r="E175" t="str">
            <v>RAFAEL ANTONIO</v>
          </cell>
          <cell r="F175" t="str">
            <v>ACUÑA QUIJANO</v>
          </cell>
          <cell r="G175" t="str">
            <v>ACUÑA QUIJANO RAFAEL ANTONIO</v>
          </cell>
          <cell r="H175" t="str">
            <v>FUNC</v>
          </cell>
          <cell r="I175" t="str">
            <v>FUNCIONARIO</v>
          </cell>
          <cell r="J175" t="str">
            <v>CR 33 14 145 BRR VILLA DEL PRADO</v>
          </cell>
          <cell r="K175" t="str">
            <v>15516</v>
          </cell>
          <cell r="L175" t="str">
            <v>PAIPA</v>
          </cell>
          <cell r="M175" t="str">
            <v>3217120616</v>
          </cell>
        </row>
        <row r="176">
          <cell r="A176">
            <v>4292661</v>
          </cell>
          <cell r="B176" t="str">
            <v/>
          </cell>
          <cell r="C176" t="str">
            <v/>
          </cell>
          <cell r="D176" t="str">
            <v>CC</v>
          </cell>
          <cell r="E176" t="str">
            <v>WILLIAM</v>
          </cell>
          <cell r="F176" t="str">
            <v>ORJUELA RIOS</v>
          </cell>
          <cell r="G176" t="str">
            <v>ORJUELA RIOS WILLIAM</v>
          </cell>
          <cell r="H176" t="str">
            <v>FUNC</v>
          </cell>
          <cell r="I176" t="str">
            <v>FUNCIONARIO</v>
          </cell>
          <cell r="J176" t="str">
            <v>CL 4 A N 25 03 BRR</v>
          </cell>
          <cell r="K176" t="str">
            <v>15759</v>
          </cell>
          <cell r="L176" t="str">
            <v>SOGAMOSO</v>
          </cell>
          <cell r="M176" t="str">
            <v>315216338</v>
          </cell>
        </row>
        <row r="177">
          <cell r="A177">
            <v>4304180</v>
          </cell>
          <cell r="B177" t="str">
            <v>8</v>
          </cell>
          <cell r="C177" t="str">
            <v/>
          </cell>
          <cell r="D177" t="str">
            <v>NP</v>
          </cell>
          <cell r="E177" t="str">
            <v>LEONIDAS</v>
          </cell>
          <cell r="F177" t="str">
            <v>RINCON CASTAÑO</v>
          </cell>
          <cell r="G177" t="str">
            <v>RINCON CASTAÑO LEONIDAS</v>
          </cell>
          <cell r="H177" t="str">
            <v>RECO</v>
          </cell>
          <cell r="I177" t="str">
            <v>REGIMEN COMUN</v>
          </cell>
          <cell r="J177" t="str">
            <v>CR 23 70 A 76</v>
          </cell>
          <cell r="K177" t="str">
            <v>17001</v>
          </cell>
          <cell r="L177" t="str">
            <v>MANIZALES</v>
          </cell>
          <cell r="M177" t="str">
            <v>8870161</v>
          </cell>
        </row>
        <row r="178">
          <cell r="A178">
            <v>4317475</v>
          </cell>
          <cell r="B178" t="str">
            <v/>
          </cell>
          <cell r="C178" t="str">
            <v/>
          </cell>
          <cell r="D178" t="str">
            <v>CC</v>
          </cell>
          <cell r="E178" t="str">
            <v>LUIS GONZAGA</v>
          </cell>
          <cell r="F178" t="str">
            <v>BETANCUR D</v>
          </cell>
          <cell r="G178" t="str">
            <v>BETANCUR D LUIS GONZAGA</v>
          </cell>
          <cell r="H178" t="str">
            <v>RESI</v>
          </cell>
          <cell r="I178" t="str">
            <v>REGIMEN SIMPLIFICADO</v>
          </cell>
          <cell r="J178" t="str">
            <v>CRA 32 A 103A 22</v>
          </cell>
          <cell r="K178" t="str">
            <v>17001</v>
          </cell>
          <cell r="L178" t="str">
            <v>MANIZALES</v>
          </cell>
          <cell r="M178" t="str">
            <v>8741504</v>
          </cell>
        </row>
        <row r="179">
          <cell r="A179">
            <v>4319889</v>
          </cell>
          <cell r="B179" t="str">
            <v>6</v>
          </cell>
          <cell r="C179" t="str">
            <v/>
          </cell>
          <cell r="D179" t="str">
            <v>NP</v>
          </cell>
          <cell r="E179" t="str">
            <v>JOSE HUGO</v>
          </cell>
          <cell r="F179" t="str">
            <v>JIMENEZ GALARZA</v>
          </cell>
          <cell r="G179" t="str">
            <v>JIMENEZ GALARZA JOSE HUGO</v>
          </cell>
          <cell r="H179" t="str">
            <v>RECO</v>
          </cell>
          <cell r="I179" t="str">
            <v>REGIMEN COMUN</v>
          </cell>
          <cell r="J179" t="str">
            <v>CR 20 21 30</v>
          </cell>
          <cell r="K179" t="str">
            <v>17001</v>
          </cell>
          <cell r="L179" t="str">
            <v>MANIZALES</v>
          </cell>
          <cell r="M179" t="str">
            <v>8828690</v>
          </cell>
        </row>
        <row r="180">
          <cell r="A180">
            <v>4320927</v>
          </cell>
          <cell r="B180" t="str">
            <v>1</v>
          </cell>
          <cell r="C180" t="str">
            <v/>
          </cell>
          <cell r="D180" t="str">
            <v>NP</v>
          </cell>
          <cell r="E180" t="str">
            <v>FABIO</v>
          </cell>
          <cell r="F180" t="str">
            <v>CORRALES GARCIA</v>
          </cell>
          <cell r="G180" t="str">
            <v>CORRALES GARCIA FABIO</v>
          </cell>
          <cell r="H180" t="str">
            <v>NORE</v>
          </cell>
          <cell r="I180" t="str">
            <v>NO RESPONSABLE DE IVA</v>
          </cell>
          <cell r="J180" t="str">
            <v>CR 25  16 08</v>
          </cell>
          <cell r="K180" t="str">
            <v>17001</v>
          </cell>
          <cell r="L180" t="str">
            <v>MANIZALES</v>
          </cell>
          <cell r="M180" t="str">
            <v>3155975449</v>
          </cell>
        </row>
        <row r="181">
          <cell r="A181">
            <v>4323543</v>
          </cell>
          <cell r="B181" t="str">
            <v>9</v>
          </cell>
          <cell r="C181" t="str">
            <v/>
          </cell>
          <cell r="D181" t="str">
            <v>NP</v>
          </cell>
          <cell r="E181" t="str">
            <v>BERNARDO</v>
          </cell>
          <cell r="F181" t="str">
            <v>VILLEGAS GONZALEZ</v>
          </cell>
          <cell r="G181" t="str">
            <v xml:space="preserve">VILLEGAS GONZALEZ BERNARDO                                  </v>
          </cell>
          <cell r="H181" t="str">
            <v>RECO</v>
          </cell>
          <cell r="I181" t="str">
            <v>REGIMEN COMUN</v>
          </cell>
          <cell r="J181" t="str">
            <v>CL 65   23 A 44</v>
          </cell>
          <cell r="K181" t="str">
            <v>17001</v>
          </cell>
          <cell r="L181" t="str">
            <v>MANIZALES</v>
          </cell>
          <cell r="M181" t="str">
            <v>8857959</v>
          </cell>
        </row>
        <row r="182">
          <cell r="A182">
            <v>4324118</v>
          </cell>
          <cell r="B182" t="str">
            <v>6</v>
          </cell>
          <cell r="C182" t="str">
            <v/>
          </cell>
          <cell r="D182" t="str">
            <v>NP</v>
          </cell>
          <cell r="E182" t="str">
            <v>ALBERTO ARTURO</v>
          </cell>
          <cell r="F182" t="str">
            <v>VALENCIA GIRALDO</v>
          </cell>
          <cell r="G182" t="str">
            <v>VALENCIA GIRALDO ALBERTO ARTURO</v>
          </cell>
          <cell r="H182" t="str">
            <v>RESI</v>
          </cell>
          <cell r="I182" t="str">
            <v>REGIMEN SIMPLIFICADO</v>
          </cell>
          <cell r="J182" t="str">
            <v xml:space="preserve"> CR 26  46 25</v>
          </cell>
          <cell r="K182" t="str">
            <v>17001</v>
          </cell>
          <cell r="L182" t="str">
            <v>MANIZALES</v>
          </cell>
          <cell r="M182" t="str">
            <v>8859648</v>
          </cell>
        </row>
        <row r="183">
          <cell r="A183">
            <v>4324419</v>
          </cell>
          <cell r="B183" t="str">
            <v/>
          </cell>
          <cell r="C183" t="str">
            <v/>
          </cell>
          <cell r="D183" t="str">
            <v>CC</v>
          </cell>
          <cell r="E183" t="str">
            <v>JUAN ANTONIO</v>
          </cell>
          <cell r="F183" t="str">
            <v>GONZALEZ OCAMPO</v>
          </cell>
          <cell r="G183" t="str">
            <v>GONZALEZ OCAMPO JUAN ANTONIO</v>
          </cell>
          <cell r="H183" t="str">
            <v>RESI</v>
          </cell>
          <cell r="I183" t="str">
            <v>REGIMEN SIMPLIFICADO</v>
          </cell>
          <cell r="J183" t="str">
            <v>CR 19   18   55</v>
          </cell>
          <cell r="K183" t="str">
            <v>17001</v>
          </cell>
          <cell r="L183" t="str">
            <v>MANIZALES</v>
          </cell>
          <cell r="M183" t="str">
            <v>8731537</v>
          </cell>
        </row>
        <row r="184">
          <cell r="A184">
            <v>4324855</v>
          </cell>
          <cell r="B184" t="str">
            <v>6</v>
          </cell>
          <cell r="C184" t="str">
            <v/>
          </cell>
          <cell r="D184" t="str">
            <v>NP</v>
          </cell>
          <cell r="E184" t="str">
            <v xml:space="preserve">OSCAR </v>
          </cell>
          <cell r="F184" t="str">
            <v>CARDONA G</v>
          </cell>
          <cell r="G184" t="str">
            <v>OSCAR CARDONA G</v>
          </cell>
          <cell r="H184" t="str">
            <v>RECO</v>
          </cell>
          <cell r="I184" t="str">
            <v>REGIMEN COMUN</v>
          </cell>
          <cell r="J184" t="str">
            <v>X</v>
          </cell>
          <cell r="K184" t="str">
            <v>17001</v>
          </cell>
          <cell r="L184" t="str">
            <v>MANIZALES</v>
          </cell>
          <cell r="M184" t="str">
            <v>X</v>
          </cell>
        </row>
        <row r="185">
          <cell r="A185">
            <v>4354719</v>
          </cell>
          <cell r="B185" t="str">
            <v>0</v>
          </cell>
          <cell r="C185" t="str">
            <v/>
          </cell>
          <cell r="D185" t="str">
            <v>NP</v>
          </cell>
          <cell r="E185" t="str">
            <v>EVELIO</v>
          </cell>
          <cell r="F185" t="str">
            <v>GIRALDO OSPINA</v>
          </cell>
          <cell r="G185" t="str">
            <v>GIRALDO OSPINA EVELIO</v>
          </cell>
          <cell r="H185" t="str">
            <v>RESI</v>
          </cell>
          <cell r="I185" t="str">
            <v>REGIMEN SIMPLIFICADO</v>
          </cell>
          <cell r="J185" t="str">
            <v>CR 28 66 10 AP 402 BRR PALERMO</v>
          </cell>
          <cell r="K185" t="str">
            <v>17001</v>
          </cell>
          <cell r="L185" t="str">
            <v>MANIZALES</v>
          </cell>
          <cell r="M185" t="str">
            <v>3152697164</v>
          </cell>
        </row>
        <row r="186">
          <cell r="A186">
            <v>4355453</v>
          </cell>
          <cell r="B186" t="str">
            <v>1</v>
          </cell>
          <cell r="C186" t="str">
            <v/>
          </cell>
          <cell r="D186" t="str">
            <v>NP</v>
          </cell>
          <cell r="E186" t="str">
            <v>JOSE ALBERTO</v>
          </cell>
          <cell r="F186" t="str">
            <v>GIRALDO BOTERO</v>
          </cell>
          <cell r="G186" t="str">
            <v>GIRALDO BOTERO JOSE ALBERTO</v>
          </cell>
          <cell r="H186" t="str">
            <v>RECO</v>
          </cell>
          <cell r="I186" t="str">
            <v>REGIMEN COMUN</v>
          </cell>
          <cell r="J186" t="str">
            <v>CR 23  27 14</v>
          </cell>
          <cell r="K186" t="str">
            <v>11001</v>
          </cell>
          <cell r="L186" t="str">
            <v>BOGOTA DC</v>
          </cell>
          <cell r="M186" t="str">
            <v>8832100</v>
          </cell>
        </row>
        <row r="187">
          <cell r="A187">
            <v>4376744</v>
          </cell>
          <cell r="B187" t="str">
            <v/>
          </cell>
          <cell r="C187" t="str">
            <v/>
          </cell>
          <cell r="D187" t="str">
            <v>CC</v>
          </cell>
          <cell r="E187" t="str">
            <v>DUVAN</v>
          </cell>
          <cell r="F187" t="str">
            <v>CUBILLOS ORTEGON</v>
          </cell>
          <cell r="G187" t="str">
            <v>CUBILLOS ORTEGON DUVAN</v>
          </cell>
          <cell r="H187" t="str">
            <v>FUNC</v>
          </cell>
          <cell r="I187" t="str">
            <v>FUNCIONARIO</v>
          </cell>
          <cell r="J187" t="str">
            <v>CARRERA 18 No 3-27 COLINA REAL ALAMOS APTO 103 TORRE 5</v>
          </cell>
          <cell r="K187" t="str">
            <v>15238</v>
          </cell>
          <cell r="L187" t="str">
            <v>DUITAMA</v>
          </cell>
          <cell r="M187" t="str">
            <v>3154547459</v>
          </cell>
        </row>
        <row r="188">
          <cell r="A188">
            <v>4413512</v>
          </cell>
          <cell r="B188" t="str">
            <v>7</v>
          </cell>
          <cell r="C188" t="str">
            <v/>
          </cell>
          <cell r="D188" t="str">
            <v>NP</v>
          </cell>
          <cell r="E188" t="str">
            <v>HERNANDO ANTONIO</v>
          </cell>
          <cell r="F188" t="str">
            <v>VALLEJO HERRERA</v>
          </cell>
          <cell r="G188" t="str">
            <v>VALLEJO HERRERA HERNANDO ANTONIO</v>
          </cell>
          <cell r="H188" t="str">
            <v>RESI</v>
          </cell>
          <cell r="I188" t="str">
            <v>REGIMEN SIMPLIFICADO</v>
          </cell>
          <cell r="J188" t="str">
            <v>CR 10   2   13</v>
          </cell>
          <cell r="K188" t="str">
            <v>17001</v>
          </cell>
          <cell r="L188" t="str">
            <v>MANIZALES</v>
          </cell>
          <cell r="M188" t="str">
            <v>8509155</v>
          </cell>
        </row>
        <row r="189">
          <cell r="A189">
            <v>4414040</v>
          </cell>
          <cell r="B189" t="str">
            <v>7</v>
          </cell>
          <cell r="C189" t="str">
            <v/>
          </cell>
          <cell r="D189" t="str">
            <v>NP</v>
          </cell>
          <cell r="E189" t="str">
            <v>FREDY ANTONIO</v>
          </cell>
          <cell r="F189" t="str">
            <v>OVALLE BEDOYA</v>
          </cell>
          <cell r="G189" t="str">
            <v>OVALLE BEDOYA FREDY ANTONIO</v>
          </cell>
          <cell r="H189" t="str">
            <v>RESI</v>
          </cell>
          <cell r="I189" t="str">
            <v>REGIMEN SIMPLIFICADO</v>
          </cell>
          <cell r="J189" t="str">
            <v>CR 4   15   55</v>
          </cell>
          <cell r="K189" t="str">
            <v>17174</v>
          </cell>
          <cell r="L189" t="str">
            <v>CHINCHINÁ</v>
          </cell>
          <cell r="M189" t="str">
            <v>3205271758</v>
          </cell>
        </row>
        <row r="190">
          <cell r="A190">
            <v>4414601</v>
          </cell>
          <cell r="B190" t="str">
            <v/>
          </cell>
          <cell r="C190" t="str">
            <v/>
          </cell>
          <cell r="D190" t="str">
            <v>CC</v>
          </cell>
          <cell r="E190" t="str">
            <v>RIGOBERTO</v>
          </cell>
          <cell r="F190" t="str">
            <v>GOMEZ JIMENEZ</v>
          </cell>
          <cell r="G190" t="str">
            <v>GOMEZ JIMENEZ RIGOBERTO</v>
          </cell>
          <cell r="H190" t="str">
            <v>RESI</v>
          </cell>
          <cell r="I190" t="str">
            <v>REGIMEN SIMPLIFICADO</v>
          </cell>
          <cell r="J190" t="str">
            <v>MCP FLORENCIA</v>
          </cell>
          <cell r="K190" t="str">
            <v>19290</v>
          </cell>
          <cell r="L190" t="str">
            <v>FLORENCIA</v>
          </cell>
          <cell r="M190" t="str">
            <v>SIN NRO</v>
          </cell>
        </row>
        <row r="191">
          <cell r="A191">
            <v>4416724</v>
          </cell>
          <cell r="B191" t="str">
            <v>5</v>
          </cell>
          <cell r="C191" t="str">
            <v/>
          </cell>
          <cell r="D191" t="str">
            <v>NP</v>
          </cell>
          <cell r="E191" t="str">
            <v>JHON ALEXANDER</v>
          </cell>
          <cell r="F191" t="str">
            <v>OSORIO GIRALDO</v>
          </cell>
          <cell r="G191" t="str">
            <v>OSORIO GIRALDO JHON ALEXANDER</v>
          </cell>
          <cell r="H191" t="str">
            <v>RESI</v>
          </cell>
          <cell r="I191" t="str">
            <v>REGIMEN SIMPLIFICADO</v>
          </cell>
          <cell r="J191" t="str">
            <v>CL 13 B CR 6 ESQ</v>
          </cell>
          <cell r="K191" t="str">
            <v>17174</v>
          </cell>
          <cell r="L191" t="str">
            <v>CHINCHINÁ</v>
          </cell>
          <cell r="M191" t="str">
            <v>3207490507</v>
          </cell>
        </row>
        <row r="192">
          <cell r="A192">
            <v>4417229</v>
          </cell>
          <cell r="B192" t="str">
            <v>5</v>
          </cell>
          <cell r="C192" t="str">
            <v/>
          </cell>
          <cell r="D192" t="str">
            <v>NP</v>
          </cell>
          <cell r="E192" t="str">
            <v>JAVIER AUGUSTO</v>
          </cell>
          <cell r="F192" t="str">
            <v>ALVAREZ PARRA</v>
          </cell>
          <cell r="G192" t="str">
            <v>ALVAREZ PARRA JAVIER AUGUSTO</v>
          </cell>
          <cell r="H192" t="str">
            <v>RESI</v>
          </cell>
          <cell r="I192" t="str">
            <v>REGIMEN SIMPLIFICADO</v>
          </cell>
          <cell r="J192" t="str">
            <v>CR 9   18   66</v>
          </cell>
          <cell r="K192" t="str">
            <v>17001</v>
          </cell>
          <cell r="L192" t="str">
            <v>MANIZALES</v>
          </cell>
          <cell r="M192" t="str">
            <v>3176492368</v>
          </cell>
        </row>
        <row r="193">
          <cell r="A193">
            <v>4418322</v>
          </cell>
          <cell r="B193" t="str">
            <v/>
          </cell>
          <cell r="C193" t="str">
            <v/>
          </cell>
          <cell r="D193" t="str">
            <v>CC</v>
          </cell>
          <cell r="E193" t="str">
            <v xml:space="preserve"> ERNESTO URIEL</v>
          </cell>
          <cell r="F193" t="str">
            <v>ZULUAGA ALZATE</v>
          </cell>
          <cell r="G193" t="str">
            <v>ZULUAGA ALZATE  ERNESTO URIEL</v>
          </cell>
          <cell r="H193" t="str">
            <v>FUNC</v>
          </cell>
          <cell r="I193" t="str">
            <v>FUNCIONARIO</v>
          </cell>
          <cell r="J193" t="str">
            <v>CR 3   16   54</v>
          </cell>
          <cell r="K193" t="str">
            <v>17001</v>
          </cell>
          <cell r="L193" t="str">
            <v>MANIZALES</v>
          </cell>
          <cell r="M193" t="str">
            <v>3135060661</v>
          </cell>
        </row>
        <row r="194">
          <cell r="A194">
            <v>4446239</v>
          </cell>
          <cell r="B194" t="str">
            <v>2</v>
          </cell>
          <cell r="C194" t="str">
            <v/>
          </cell>
          <cell r="D194" t="str">
            <v>NP</v>
          </cell>
          <cell r="E194" t="str">
            <v xml:space="preserve">DEISON </v>
          </cell>
          <cell r="F194" t="str">
            <v>DIAZ MONTOYA</v>
          </cell>
          <cell r="G194" t="str">
            <v>DEISON DIAZ MONTOYA</v>
          </cell>
          <cell r="H194" t="str">
            <v>RESI</v>
          </cell>
          <cell r="I194" t="str">
            <v>REGIMEN SIMPLIFICADO</v>
          </cell>
          <cell r="J194" t="str">
            <v>CL 105 N 28 36 CON PORTAL DE LA ALHAMBRA CA 28</v>
          </cell>
          <cell r="K194" t="str">
            <v>17001</v>
          </cell>
          <cell r="L194" t="str">
            <v>MANIZALES</v>
          </cell>
          <cell r="M194" t="str">
            <v>3128439375</v>
          </cell>
        </row>
        <row r="195">
          <cell r="A195">
            <v>4470290</v>
          </cell>
          <cell r="B195" t="str">
            <v/>
          </cell>
          <cell r="C195" t="str">
            <v/>
          </cell>
          <cell r="D195" t="str">
            <v>CC</v>
          </cell>
          <cell r="E195" t="str">
            <v>JORGE HERNAN</v>
          </cell>
          <cell r="F195" t="str">
            <v>RESTREPO SERNA</v>
          </cell>
          <cell r="G195" t="str">
            <v>RESTREPO SERNA JORGE HERNAN</v>
          </cell>
          <cell r="H195" t="str">
            <v>FUNC</v>
          </cell>
          <cell r="I195" t="str">
            <v>FUNCIONARIO</v>
          </cell>
          <cell r="J195" t="str">
            <v>CR 02 D   10 A 16</v>
          </cell>
          <cell r="K195" t="str">
            <v>17001</v>
          </cell>
          <cell r="L195" t="str">
            <v>MANIZALES</v>
          </cell>
          <cell r="M195" t="str">
            <v>8734080</v>
          </cell>
        </row>
        <row r="196">
          <cell r="A196">
            <v>4471239</v>
          </cell>
          <cell r="B196" t="str">
            <v>8</v>
          </cell>
          <cell r="C196" t="str">
            <v/>
          </cell>
          <cell r="D196" t="str">
            <v>NP</v>
          </cell>
          <cell r="E196" t="str">
            <v>GERMAN DE JESUS</v>
          </cell>
          <cell r="F196" t="str">
            <v>CARDONA VELEZ</v>
          </cell>
          <cell r="G196" t="str">
            <v>GERMAN DE JESUS CARDONA VELEZ</v>
          </cell>
          <cell r="H196" t="str">
            <v>NORE</v>
          </cell>
          <cell r="I196" t="str">
            <v>NO RESPONSABLE DE IVA</v>
          </cell>
          <cell r="J196" t="str">
            <v>CR 20   27-69 LC 1</v>
          </cell>
          <cell r="K196" t="str">
            <v>17001</v>
          </cell>
          <cell r="L196" t="str">
            <v>MANIZALES</v>
          </cell>
          <cell r="M196" t="str">
            <v>8840542</v>
          </cell>
        </row>
        <row r="197">
          <cell r="A197">
            <v>4471370</v>
          </cell>
          <cell r="B197" t="str">
            <v>5</v>
          </cell>
          <cell r="C197" t="str">
            <v/>
          </cell>
          <cell r="D197" t="str">
            <v>NP</v>
          </cell>
          <cell r="E197" t="str">
            <v>CARLOS EDUARDO</v>
          </cell>
          <cell r="F197" t="str">
            <v>CAMPUZANO ROJAS</v>
          </cell>
          <cell r="G197" t="str">
            <v>CAMPUZANO ROJAS CARLOS EDUARDO</v>
          </cell>
          <cell r="H197" t="str">
            <v>RESI</v>
          </cell>
          <cell r="I197" t="str">
            <v>REGIMEN SIMPLIFICADO</v>
          </cell>
          <cell r="J197" t="str">
            <v>CL 6   16   45</v>
          </cell>
          <cell r="K197" t="str">
            <v>17873</v>
          </cell>
          <cell r="L197" t="str">
            <v>VILLAMARÍA</v>
          </cell>
          <cell r="M197" t="str">
            <v>3128292669</v>
          </cell>
        </row>
        <row r="198">
          <cell r="A198">
            <v>4479180</v>
          </cell>
          <cell r="B198" t="str">
            <v/>
          </cell>
          <cell r="C198" t="str">
            <v/>
          </cell>
          <cell r="D198" t="str">
            <v>CC</v>
          </cell>
          <cell r="E198" t="str">
            <v>JORGE ALBERTO</v>
          </cell>
          <cell r="F198" t="str">
            <v>GARCÍA GARCÍA</v>
          </cell>
          <cell r="G198" t="str">
            <v>GARCÍA GARCÍA JORGE ALBERTO</v>
          </cell>
          <cell r="H198" t="str">
            <v>FUNC</v>
          </cell>
          <cell r="I198" t="str">
            <v>FUNCIONARIO</v>
          </cell>
          <cell r="J198" t="str">
            <v>CL 56 G N 10 A 49 AP 402</v>
          </cell>
          <cell r="K198" t="str">
            <v>17001</v>
          </cell>
          <cell r="L198" t="str">
            <v>MANIZALES</v>
          </cell>
          <cell r="M198" t="str">
            <v>3103960192</v>
          </cell>
        </row>
        <row r="199">
          <cell r="A199">
            <v>4484417</v>
          </cell>
          <cell r="B199" t="str">
            <v>9</v>
          </cell>
          <cell r="C199" t="str">
            <v/>
          </cell>
          <cell r="D199" t="str">
            <v>NP</v>
          </cell>
          <cell r="E199" t="str">
            <v>DIEGO</v>
          </cell>
          <cell r="F199" t="str">
            <v>CARDONA ARANGO</v>
          </cell>
          <cell r="G199" t="str">
            <v>CARDONA ARANGO DIEGO</v>
          </cell>
          <cell r="H199" t="str">
            <v>NORE</v>
          </cell>
          <cell r="I199" t="str">
            <v>NO RESPONSABLE DE IVA</v>
          </cell>
          <cell r="J199" t="str">
            <v xml:space="preserve"> AC VEREDA JUNIN CORREGIMIENTO DE PUEBLO NUEVO PENSILVANIA CALDA</v>
          </cell>
          <cell r="K199" t="str">
            <v>17541</v>
          </cell>
          <cell r="L199" t="str">
            <v>PENSILVANIA</v>
          </cell>
          <cell r="M199" t="str">
            <v>3108221721</v>
          </cell>
        </row>
        <row r="200">
          <cell r="A200">
            <v>4502312</v>
          </cell>
          <cell r="B200" t="str">
            <v>2</v>
          </cell>
          <cell r="C200" t="str">
            <v/>
          </cell>
          <cell r="D200" t="str">
            <v>NP</v>
          </cell>
          <cell r="E200" t="str">
            <v>ALBERTO</v>
          </cell>
          <cell r="F200" t="str">
            <v>GALVEZ MARIN</v>
          </cell>
          <cell r="G200" t="str">
            <v>GALVEZ MARIN ALBERTO</v>
          </cell>
          <cell r="H200" t="str">
            <v>RESI</v>
          </cell>
          <cell r="I200" t="str">
            <v>REGIMEN SIMPLIFICADO</v>
          </cell>
          <cell r="J200" t="str">
            <v>CR 12 24 46</v>
          </cell>
          <cell r="K200" t="str">
            <v>66001</v>
          </cell>
          <cell r="L200" t="str">
            <v>PEREIRA</v>
          </cell>
          <cell r="M200" t="str">
            <v>3105080264</v>
          </cell>
        </row>
        <row r="201">
          <cell r="A201">
            <v>4512536</v>
          </cell>
          <cell r="B201" t="str">
            <v>8</v>
          </cell>
          <cell r="C201" t="str">
            <v/>
          </cell>
          <cell r="D201" t="str">
            <v>NP</v>
          </cell>
          <cell r="E201" t="str">
            <v>DIEGO FERNANDO</v>
          </cell>
          <cell r="F201" t="str">
            <v>MAYA PAREDES</v>
          </cell>
          <cell r="G201" t="str">
            <v>MAYA PAREDES DIEGO FERNANDO</v>
          </cell>
          <cell r="H201" t="str">
            <v>RECO</v>
          </cell>
          <cell r="I201" t="str">
            <v>REGIMEN COMUN</v>
          </cell>
          <cell r="J201" t="str">
            <v>CR 29  11 A  5 BRR SAN IGNACIO</v>
          </cell>
          <cell r="K201" t="str">
            <v>52001</v>
          </cell>
          <cell r="L201" t="str">
            <v xml:space="preserve">PASTO	</v>
          </cell>
          <cell r="M201" t="str">
            <v>7335099</v>
          </cell>
        </row>
        <row r="202">
          <cell r="A202">
            <v>4565433</v>
          </cell>
          <cell r="B202" t="str">
            <v/>
          </cell>
          <cell r="C202" t="str">
            <v/>
          </cell>
          <cell r="D202" t="str">
            <v>CC</v>
          </cell>
          <cell r="E202" t="str">
            <v>JORGE ELIECER</v>
          </cell>
          <cell r="F202" t="str">
            <v>BALLESTEROS OSSA</v>
          </cell>
          <cell r="G202" t="str">
            <v>BALLESTEROS OSSA JORGE ELIECER</v>
          </cell>
          <cell r="H202" t="str">
            <v>RESI</v>
          </cell>
          <cell r="I202" t="str">
            <v>REGIMEN SIMPLIFICADO</v>
          </cell>
          <cell r="J202" t="str">
            <v>CL 2   4   26</v>
          </cell>
          <cell r="K202" t="str">
            <v>63690</v>
          </cell>
          <cell r="L202" t="str">
            <v>SALENTO</v>
          </cell>
          <cell r="M202" t="str">
            <v>3108137435</v>
          </cell>
        </row>
        <row r="203">
          <cell r="A203">
            <v>4571843</v>
          </cell>
          <cell r="B203" t="str">
            <v>6</v>
          </cell>
          <cell r="C203" t="str">
            <v/>
          </cell>
          <cell r="D203" t="str">
            <v>NP</v>
          </cell>
          <cell r="E203" t="str">
            <v>JOSE NELSON</v>
          </cell>
          <cell r="F203" t="str">
            <v>OSORIO VALENCIA</v>
          </cell>
          <cell r="G203" t="str">
            <v>OSORIO VALENCIA JOSE NELSON</v>
          </cell>
          <cell r="H203" t="str">
            <v>RESI</v>
          </cell>
          <cell r="I203" t="str">
            <v>REGIMEN SIMPLIFICADO</v>
          </cell>
          <cell r="J203" t="str">
            <v xml:space="preserve"> CR 5 12 40</v>
          </cell>
          <cell r="K203" t="str">
            <v>17495</v>
          </cell>
          <cell r="L203" t="str">
            <v>NORCASIA</v>
          </cell>
          <cell r="M203" t="str">
            <v>8554340</v>
          </cell>
        </row>
        <row r="204">
          <cell r="A204">
            <v>4572431</v>
          </cell>
          <cell r="B204" t="str">
            <v>1</v>
          </cell>
          <cell r="C204" t="str">
            <v/>
          </cell>
          <cell r="D204" t="str">
            <v>NP</v>
          </cell>
          <cell r="E204" t="str">
            <v>LUIS ALFONSO</v>
          </cell>
          <cell r="F204" t="str">
            <v>LONDOÑO ECHEVERRY</v>
          </cell>
          <cell r="G204" t="str">
            <v>LUIS ALFONSO LONDOÑO ECHEVERRY</v>
          </cell>
          <cell r="H204" t="str">
            <v>RESI</v>
          </cell>
          <cell r="I204" t="str">
            <v>REGIMEN SIMPLIFICADO</v>
          </cell>
          <cell r="J204" t="str">
            <v>CL VILLALOBO</v>
          </cell>
          <cell r="K204" t="str">
            <v>17662</v>
          </cell>
          <cell r="L204" t="str">
            <v>SAMANÁ</v>
          </cell>
          <cell r="M204" t="str">
            <v>3134374873</v>
          </cell>
        </row>
        <row r="205">
          <cell r="A205">
            <v>4595821</v>
          </cell>
          <cell r="B205" t="str">
            <v>8</v>
          </cell>
          <cell r="C205" t="str">
            <v/>
          </cell>
          <cell r="D205" t="str">
            <v>NP</v>
          </cell>
          <cell r="E205" t="str">
            <v>HECTOR ADAN</v>
          </cell>
          <cell r="F205" t="str">
            <v>LOPEZ ALFARO</v>
          </cell>
          <cell r="G205" t="str">
            <v>LOPEZ ALFARO HECTOR ADAN</v>
          </cell>
          <cell r="H205" t="str">
            <v>RESI</v>
          </cell>
          <cell r="I205" t="str">
            <v>REGIMEN SIMPLIFICADO</v>
          </cell>
          <cell r="J205" t="str">
            <v>CL 18  11  04 BRR CABRERO</v>
          </cell>
          <cell r="K205" t="str">
            <v>17380</v>
          </cell>
          <cell r="L205" t="str">
            <v>LA DORADA</v>
          </cell>
          <cell r="M205" t="str">
            <v>3102617815</v>
          </cell>
        </row>
        <row r="206">
          <cell r="A206">
            <v>4597711</v>
          </cell>
          <cell r="B206" t="str">
            <v>5</v>
          </cell>
          <cell r="C206" t="str">
            <v/>
          </cell>
          <cell r="D206" t="str">
            <v>NP</v>
          </cell>
          <cell r="E206" t="str">
            <v>CESAR AUGUSTO</v>
          </cell>
          <cell r="F206" t="str">
            <v>CASTAÑO LOAIZA</v>
          </cell>
          <cell r="G206" t="str">
            <v>CASTAÑO LOAIZA CESAR AUGUSTO</v>
          </cell>
          <cell r="H206" t="str">
            <v>RECO</v>
          </cell>
          <cell r="I206" t="str">
            <v>REGIMEN COMUN</v>
          </cell>
          <cell r="J206" t="str">
            <v>CONJ CERRADO ARBOLETES  CA 34  CR 30  89 02</v>
          </cell>
          <cell r="K206" t="str">
            <v>17001</v>
          </cell>
          <cell r="L206" t="str">
            <v>MANIZALES</v>
          </cell>
          <cell r="M206" t="str">
            <v>8813166</v>
          </cell>
        </row>
        <row r="207">
          <cell r="A207">
            <v>4597919</v>
          </cell>
          <cell r="B207" t="str">
            <v/>
          </cell>
          <cell r="C207" t="str">
            <v/>
          </cell>
          <cell r="D207" t="str">
            <v>CC</v>
          </cell>
          <cell r="E207" t="str">
            <v>GENARO</v>
          </cell>
          <cell r="F207" t="str">
            <v>CASTAÑO BETANCUR</v>
          </cell>
          <cell r="G207" t="str">
            <v>GENARO CASTAÑO BETANCUR</v>
          </cell>
          <cell r="H207" t="str">
            <v>FUNC</v>
          </cell>
          <cell r="I207" t="str">
            <v>FUNCIONARIO</v>
          </cell>
          <cell r="J207" t="str">
            <v>CR 20 A 65 A 04</v>
          </cell>
          <cell r="K207" t="str">
            <v>17001</v>
          </cell>
          <cell r="L207" t="str">
            <v>MANIZALES</v>
          </cell>
          <cell r="M207" t="str">
            <v>8703283</v>
          </cell>
        </row>
        <row r="208">
          <cell r="A208">
            <v>4598021</v>
          </cell>
          <cell r="B208" t="str">
            <v>6</v>
          </cell>
          <cell r="C208" t="str">
            <v/>
          </cell>
          <cell r="D208" t="str">
            <v>NP</v>
          </cell>
          <cell r="E208" t="str">
            <v>FABIO DE JESUS</v>
          </cell>
          <cell r="F208" t="str">
            <v>RAMIREZ RESTREPO</v>
          </cell>
          <cell r="G208" t="str">
            <v>RAMIREZ RESTREPO FABIO DE JESUS</v>
          </cell>
          <cell r="H208" t="str">
            <v>REOR</v>
          </cell>
          <cell r="I208" t="str">
            <v>RENTA REGIMEN ORDINARIO</v>
          </cell>
          <cell r="J208" t="str">
            <v>CL 7 CR 5 ESQ LC 2</v>
          </cell>
          <cell r="K208" t="str">
            <v>17873</v>
          </cell>
          <cell r="L208" t="str">
            <v>VILLAMARÍA</v>
          </cell>
          <cell r="M208" t="str">
            <v>8777519</v>
          </cell>
        </row>
        <row r="209">
          <cell r="A209">
            <v>4601057</v>
          </cell>
          <cell r="B209" t="str">
            <v>3</v>
          </cell>
          <cell r="C209" t="str">
            <v/>
          </cell>
          <cell r="D209" t="str">
            <v>NP</v>
          </cell>
          <cell r="E209" t="str">
            <v>ALEJANDRO</v>
          </cell>
          <cell r="F209" t="str">
            <v>HENAO LOAIZA</v>
          </cell>
          <cell r="G209" t="str">
            <v>HENAO LOAIZA ALEJANDRO</v>
          </cell>
          <cell r="H209" t="str">
            <v>RESI</v>
          </cell>
          <cell r="I209" t="str">
            <v>REGIMEN SIMPLIFICADO</v>
          </cell>
          <cell r="J209" t="str">
            <v>VDA PUEBLO NUEVO ARBOLEDA</v>
          </cell>
          <cell r="K209" t="str">
            <v>17541</v>
          </cell>
          <cell r="L209" t="str">
            <v>PENSILVANIA</v>
          </cell>
          <cell r="M209" t="str">
            <v>3133713901</v>
          </cell>
        </row>
        <row r="210">
          <cell r="A210">
            <v>4678973</v>
          </cell>
          <cell r="B210" t="str">
            <v>6</v>
          </cell>
          <cell r="C210" t="str">
            <v/>
          </cell>
          <cell r="D210" t="str">
            <v>NP</v>
          </cell>
          <cell r="E210" t="str">
            <v>MADALENO</v>
          </cell>
          <cell r="F210" t="str">
            <v>MARTINEZ VELEZ</v>
          </cell>
          <cell r="G210" t="str">
            <v>MARTINEZ VELEZ MADALENO</v>
          </cell>
          <cell r="H210" t="str">
            <v>RECO</v>
          </cell>
          <cell r="I210" t="str">
            <v>REGIMEN COMUN</v>
          </cell>
          <cell r="J210" t="str">
            <v>CR 2 7 42 SEC LA PALERA</v>
          </cell>
          <cell r="K210" t="str">
            <v>19318</v>
          </cell>
          <cell r="L210" t="str">
            <v>GUAPI</v>
          </cell>
          <cell r="M210" t="str">
            <v>8401393</v>
          </cell>
        </row>
        <row r="211">
          <cell r="A211">
            <v>4679623</v>
          </cell>
          <cell r="B211" t="str">
            <v>8</v>
          </cell>
          <cell r="C211" t="str">
            <v/>
          </cell>
          <cell r="D211" t="str">
            <v>NP</v>
          </cell>
          <cell r="E211" t="str">
            <v>MARINO</v>
          </cell>
          <cell r="F211" t="str">
            <v>SINISTERRA</v>
          </cell>
          <cell r="G211" t="str">
            <v>SINISTERRA MARINO</v>
          </cell>
          <cell r="H211" t="str">
            <v>RESI</v>
          </cell>
          <cell r="I211" t="str">
            <v>REGIMEN SIMPLIFICADO</v>
          </cell>
          <cell r="J211" t="str">
            <v xml:space="preserve"> BRR EL PUEBLITO</v>
          </cell>
          <cell r="K211" t="str">
            <v>19318</v>
          </cell>
          <cell r="L211" t="str">
            <v>GUAPI</v>
          </cell>
          <cell r="M211" t="str">
            <v>3218760197</v>
          </cell>
        </row>
        <row r="212">
          <cell r="A212">
            <v>4679767</v>
          </cell>
          <cell r="B212" t="str">
            <v>1</v>
          </cell>
          <cell r="C212" t="str">
            <v/>
          </cell>
          <cell r="D212" t="str">
            <v>NP</v>
          </cell>
          <cell r="E212" t="str">
            <v>RANULFO</v>
          </cell>
          <cell r="F212" t="str">
            <v>SOLIS RIASCOS</v>
          </cell>
          <cell r="G212" t="str">
            <v>SOLIS RIASCOS RANULFO</v>
          </cell>
          <cell r="H212" t="str">
            <v>RECO</v>
          </cell>
          <cell r="I212" t="str">
            <v>REGIMEN COMUN</v>
          </cell>
          <cell r="J212" t="str">
            <v>CR 1   5   12</v>
          </cell>
          <cell r="K212" t="str">
            <v>19318</v>
          </cell>
          <cell r="L212" t="str">
            <v>GUAPI</v>
          </cell>
          <cell r="M212" t="str">
            <v>8400624</v>
          </cell>
        </row>
        <row r="213">
          <cell r="A213">
            <v>4684560</v>
          </cell>
          <cell r="B213" t="str">
            <v>2</v>
          </cell>
          <cell r="C213" t="str">
            <v/>
          </cell>
          <cell r="D213" t="str">
            <v>NP</v>
          </cell>
          <cell r="E213" t="str">
            <v>JESUS ALBERTO</v>
          </cell>
          <cell r="F213" t="str">
            <v>SOLIS CUERO</v>
          </cell>
          <cell r="G213" t="str">
            <v>SOLIS CUERO JESUS ALBERTO</v>
          </cell>
          <cell r="H213" t="str">
            <v>IMVE</v>
          </cell>
          <cell r="I213" t="str">
            <v>IMPUESTO SOBRE LAS VENTAS</v>
          </cell>
          <cell r="J213" t="str">
            <v>CL 3 9 19 BRR LA PAZ</v>
          </cell>
          <cell r="K213" t="str">
            <v>19318</v>
          </cell>
          <cell r="L213" t="str">
            <v>GUAPI</v>
          </cell>
          <cell r="M213" t="str">
            <v>3113366568</v>
          </cell>
        </row>
        <row r="214">
          <cell r="A214">
            <v>4688834</v>
          </cell>
          <cell r="B214" t="str">
            <v/>
          </cell>
          <cell r="C214" t="str">
            <v/>
          </cell>
          <cell r="D214" t="str">
            <v>CC</v>
          </cell>
          <cell r="E214" t="str">
            <v>DOMICIANO</v>
          </cell>
          <cell r="F214" t="str">
            <v>ROJAS CRUZ</v>
          </cell>
          <cell r="G214" t="str">
            <v>ROJAS CRUZ DOMICIANO</v>
          </cell>
          <cell r="H214" t="str">
            <v>NORE</v>
          </cell>
          <cell r="I214" t="str">
            <v>NO RESPONSABLE DE IVA</v>
          </cell>
          <cell r="J214" t="str">
            <v>PARQUE PRINCIPAL</v>
          </cell>
          <cell r="K214" t="str">
            <v>05856</v>
          </cell>
          <cell r="L214" t="str">
            <v>VALPARAÍSO</v>
          </cell>
          <cell r="M214" t="str">
            <v>012345678</v>
          </cell>
        </row>
        <row r="215">
          <cell r="A215">
            <v>4727962</v>
          </cell>
          <cell r="B215" t="str">
            <v>6</v>
          </cell>
          <cell r="C215" t="str">
            <v/>
          </cell>
          <cell r="D215" t="str">
            <v>NP</v>
          </cell>
          <cell r="E215" t="str">
            <v>RAFAEL HERNAN</v>
          </cell>
          <cell r="F215" t="str">
            <v>CEBALLOS PALOMINO</v>
          </cell>
          <cell r="G215" t="str">
            <v>CEBALLOS PALOMINO RAFAEL HERNAN</v>
          </cell>
          <cell r="H215" t="str">
            <v>RECO</v>
          </cell>
          <cell r="I215" t="str">
            <v>REGIMEN COMUN</v>
          </cell>
          <cell r="J215" t="str">
            <v>CR 7 31 N 19</v>
          </cell>
          <cell r="K215" t="str">
            <v>19001</v>
          </cell>
          <cell r="L215" t="str">
            <v>POPAYÁN</v>
          </cell>
          <cell r="M215" t="str">
            <v>8233043</v>
          </cell>
        </row>
        <row r="216">
          <cell r="A216">
            <v>4775912</v>
          </cell>
          <cell r="B216" t="str">
            <v>2</v>
          </cell>
          <cell r="C216" t="str">
            <v/>
          </cell>
          <cell r="D216" t="str">
            <v>NP</v>
          </cell>
          <cell r="E216" t="str">
            <v>HERMES ALBEIRO</v>
          </cell>
          <cell r="F216" t="str">
            <v>ZUÑIGA MARTINEZ</v>
          </cell>
          <cell r="G216" t="str">
            <v>HERMES ALBEIRO ZUÑIGA MARTINEZ</v>
          </cell>
          <cell r="H216" t="str">
            <v>RECO</v>
          </cell>
          <cell r="I216" t="str">
            <v>REGIMEN COMUN</v>
          </cell>
          <cell r="J216" t="str">
            <v xml:space="preserve">TIMBIO CAUCA                            </v>
          </cell>
          <cell r="K216" t="str">
            <v>19807</v>
          </cell>
          <cell r="L216" t="str">
            <v>TIMBÍO</v>
          </cell>
          <cell r="M216" t="str">
            <v>8756262</v>
          </cell>
        </row>
        <row r="217">
          <cell r="A217">
            <v>4810656</v>
          </cell>
          <cell r="B217" t="str">
            <v/>
          </cell>
          <cell r="C217" t="str">
            <v/>
          </cell>
          <cell r="D217" t="str">
            <v>CC</v>
          </cell>
          <cell r="E217" t="str">
            <v>FELIX MARINO</v>
          </cell>
          <cell r="F217" t="str">
            <v>PEREIRA DE AVILA</v>
          </cell>
          <cell r="G217" t="str">
            <v>PEREIRA DE AVILA FELIX MARINO</v>
          </cell>
          <cell r="H217" t="str">
            <v>RESI</v>
          </cell>
          <cell r="I217" t="str">
            <v>REGIMEN SIMPLIFICADO</v>
          </cell>
          <cell r="J217" t="str">
            <v>BRR</v>
          </cell>
          <cell r="K217" t="str">
            <v>27006</v>
          </cell>
          <cell r="L217" t="str">
            <v>ACANDÍ</v>
          </cell>
          <cell r="M217" t="str">
            <v>3148550474</v>
          </cell>
        </row>
        <row r="218">
          <cell r="A218">
            <v>4816872</v>
          </cell>
          <cell r="B218" t="str">
            <v/>
          </cell>
          <cell r="C218" t="str">
            <v/>
          </cell>
          <cell r="D218" t="str">
            <v>CC</v>
          </cell>
          <cell r="E218" t="str">
            <v>ORLANDO</v>
          </cell>
          <cell r="F218" t="str">
            <v>MEJIA CAIZAMO</v>
          </cell>
          <cell r="G218" t="str">
            <v>MEJIA CAIZAMO ORLANDO</v>
          </cell>
          <cell r="H218" t="str">
            <v>RESI</v>
          </cell>
          <cell r="I218" t="str">
            <v>REGIMEN SIMPLIFICADO</v>
          </cell>
          <cell r="J218" t="str">
            <v>BAJO BAUDO</v>
          </cell>
          <cell r="K218" t="str">
            <v>27077</v>
          </cell>
          <cell r="L218" t="str">
            <v>BAJO BAUDÓ</v>
          </cell>
          <cell r="M218" t="str">
            <v>XXX</v>
          </cell>
        </row>
        <row r="219">
          <cell r="A219">
            <v>4822477</v>
          </cell>
          <cell r="B219" t="str">
            <v>1</v>
          </cell>
          <cell r="C219" t="str">
            <v/>
          </cell>
          <cell r="D219" t="str">
            <v>NP</v>
          </cell>
          <cell r="E219" t="str">
            <v>PEDRO FIDEL</v>
          </cell>
          <cell r="F219" t="str">
            <v>MOSQUERA CABRERA</v>
          </cell>
          <cell r="G219" t="str">
            <v xml:space="preserve">MOSQUERA CABRERA PEDRO FIDEL                                </v>
          </cell>
          <cell r="H219" t="str">
            <v>RESI</v>
          </cell>
          <cell r="I219" t="str">
            <v>REGIMEN SIMPLIFICADO</v>
          </cell>
          <cell r="J219" t="str">
            <v xml:space="preserve">ALTO BAUDO                              </v>
          </cell>
          <cell r="K219" t="str">
            <v>27025</v>
          </cell>
          <cell r="L219" t="str">
            <v>ALTO BAUDO</v>
          </cell>
          <cell r="M219" t="str">
            <v>3113236830</v>
          </cell>
        </row>
        <row r="220">
          <cell r="A220">
            <v>4839443</v>
          </cell>
          <cell r="B220" t="str">
            <v>6</v>
          </cell>
          <cell r="C220" t="str">
            <v/>
          </cell>
          <cell r="D220" t="str">
            <v>NP</v>
          </cell>
          <cell r="E220" t="str">
            <v>ARMANDO</v>
          </cell>
          <cell r="F220" t="str">
            <v>MURILLO IBARGUEN</v>
          </cell>
          <cell r="G220" t="str">
            <v>MURILLO IBARGUEN ARMANDO</v>
          </cell>
          <cell r="H220" t="str">
            <v>RESI</v>
          </cell>
          <cell r="I220" t="str">
            <v>REGIMEN SIMPLIFICADO</v>
          </cell>
          <cell r="J220" t="str">
            <v>BRR DIECISEIS DE JULIO DOCORDO</v>
          </cell>
          <cell r="K220" t="str">
            <v>27250</v>
          </cell>
          <cell r="L220" t="str">
            <v>EL LITORAL DEL SAN JUAN</v>
          </cell>
          <cell r="M220" t="str">
            <v>3206674593</v>
          </cell>
        </row>
        <row r="221">
          <cell r="A221">
            <v>4846843</v>
          </cell>
          <cell r="B221" t="str">
            <v/>
          </cell>
          <cell r="C221" t="str">
            <v/>
          </cell>
          <cell r="D221" t="str">
            <v>CC</v>
          </cell>
          <cell r="E221" t="str">
            <v>SARUTH</v>
          </cell>
          <cell r="F221" t="str">
            <v>HINESTROZA ASPRILLA</v>
          </cell>
          <cell r="G221" t="str">
            <v>HINESTROZA ASPRILLA SARUTH</v>
          </cell>
          <cell r="H221" t="str">
            <v>RESI</v>
          </cell>
          <cell r="I221" t="str">
            <v>REGIMEN SIMPLIFICADO</v>
          </cell>
          <cell r="J221" t="str">
            <v>BRR UNION</v>
          </cell>
          <cell r="K221" t="str">
            <v>27495</v>
          </cell>
          <cell r="L221" t="str">
            <v>NUQUÍ</v>
          </cell>
          <cell r="M221" t="str">
            <v>3166369451</v>
          </cell>
        </row>
        <row r="222">
          <cell r="A222">
            <v>4850712</v>
          </cell>
          <cell r="B222" t="str">
            <v/>
          </cell>
          <cell r="C222" t="str">
            <v/>
          </cell>
          <cell r="D222" t="str">
            <v>CC</v>
          </cell>
          <cell r="E222" t="str">
            <v>HERMES</v>
          </cell>
          <cell r="F222" t="str">
            <v>VALOIS MOSQUERA</v>
          </cell>
          <cell r="G222" t="str">
            <v>VALOIS MOSQUERA HERMES</v>
          </cell>
          <cell r="H222" t="str">
            <v>FUNC</v>
          </cell>
          <cell r="I222" t="str">
            <v>FUNCIONARIO</v>
          </cell>
          <cell r="J222" t="str">
            <v>BRR INMACULADO CORAZÓN DE MARÍA</v>
          </cell>
          <cell r="K222" t="str">
            <v>27075</v>
          </cell>
          <cell r="L222" t="str">
            <v>BAHÍA SOLANO</v>
          </cell>
          <cell r="M222" t="str">
            <v>3224553747</v>
          </cell>
        </row>
        <row r="223">
          <cell r="A223">
            <v>4850741</v>
          </cell>
          <cell r="B223" t="str">
            <v/>
          </cell>
          <cell r="C223" t="str">
            <v/>
          </cell>
          <cell r="D223" t="str">
            <v>CC</v>
          </cell>
          <cell r="E223" t="str">
            <v>GILFREDO</v>
          </cell>
          <cell r="F223" t="str">
            <v>MORENO LOZANO</v>
          </cell>
          <cell r="G223" t="str">
            <v>MORENO LOZANO GILFREDO</v>
          </cell>
          <cell r="H223" t="str">
            <v>FUNC</v>
          </cell>
          <cell r="I223" t="str">
            <v>FUNCIONARIO</v>
          </cell>
          <cell r="J223" t="str">
            <v>BRR ESMERALDA</v>
          </cell>
          <cell r="K223" t="str">
            <v>27075</v>
          </cell>
          <cell r="L223" t="str">
            <v>BAHÍA SOLANO</v>
          </cell>
          <cell r="M223" t="str">
            <v>3117425672</v>
          </cell>
        </row>
        <row r="224">
          <cell r="A224">
            <v>4850759</v>
          </cell>
          <cell r="B224" t="str">
            <v>2</v>
          </cell>
          <cell r="C224" t="str">
            <v/>
          </cell>
          <cell r="D224" t="str">
            <v>NP</v>
          </cell>
          <cell r="E224" t="str">
            <v>ANORALDO</v>
          </cell>
          <cell r="F224" t="str">
            <v>RUIZ SOLANO</v>
          </cell>
          <cell r="G224" t="str">
            <v>RUIZ SOLANO ANORALDO</v>
          </cell>
          <cell r="H224" t="str">
            <v>NORE</v>
          </cell>
          <cell r="I224" t="str">
            <v>NO RESPONSABLE DE IVA</v>
          </cell>
          <cell r="J224" t="str">
            <v>BARRIO CHOCOLATAL</v>
          </cell>
          <cell r="K224" t="str">
            <v>27075</v>
          </cell>
          <cell r="L224" t="str">
            <v>BAHÍA SOLANO</v>
          </cell>
          <cell r="M224" t="str">
            <v>3104123272</v>
          </cell>
        </row>
        <row r="225">
          <cell r="A225">
            <v>4851352</v>
          </cell>
          <cell r="B225" t="str">
            <v/>
          </cell>
          <cell r="C225" t="str">
            <v/>
          </cell>
          <cell r="D225" t="str">
            <v>CC</v>
          </cell>
          <cell r="E225" t="str">
            <v>EUGENIO</v>
          </cell>
          <cell r="F225" t="str">
            <v>ROSERO</v>
          </cell>
          <cell r="G225" t="str">
            <v>ROSERO EUGENIO</v>
          </cell>
          <cell r="H225" t="str">
            <v>RESI</v>
          </cell>
          <cell r="I225" t="str">
            <v>REGIMEN SIMPLIFICADO</v>
          </cell>
          <cell r="J225" t="str">
            <v>BARRIO NUEVO ONETY</v>
          </cell>
          <cell r="K225" t="str">
            <v>27075</v>
          </cell>
          <cell r="L225" t="str">
            <v>BAHÍA SOLANO</v>
          </cell>
          <cell r="M225" t="str">
            <v>3146519420</v>
          </cell>
        </row>
        <row r="226">
          <cell r="A226">
            <v>4851425</v>
          </cell>
          <cell r="B226" t="str">
            <v>2</v>
          </cell>
          <cell r="C226" t="str">
            <v/>
          </cell>
          <cell r="D226" t="str">
            <v>NP</v>
          </cell>
          <cell r="E226" t="str">
            <v>GUSTAVO</v>
          </cell>
          <cell r="F226" t="str">
            <v>PALACIOS DIAZ</v>
          </cell>
          <cell r="G226" t="str">
            <v>PALACIOS DIAZ GUSTAVO</v>
          </cell>
          <cell r="H226" t="str">
            <v>RESI</v>
          </cell>
          <cell r="I226" t="str">
            <v>REGIMEN SIMPLIFICADO</v>
          </cell>
          <cell r="J226" t="str">
            <v>VDA TUMARADO</v>
          </cell>
          <cell r="K226" t="str">
            <v>27800</v>
          </cell>
          <cell r="L226" t="str">
            <v>UNGUÍA</v>
          </cell>
          <cell r="M226" t="str">
            <v>3108933936</v>
          </cell>
        </row>
        <row r="227">
          <cell r="A227">
            <v>4851495</v>
          </cell>
          <cell r="B227" t="str">
            <v>8</v>
          </cell>
          <cell r="C227" t="str">
            <v/>
          </cell>
          <cell r="D227" t="str">
            <v>NP</v>
          </cell>
          <cell r="E227" t="str">
            <v>ANIBAL</v>
          </cell>
          <cell r="F227" t="str">
            <v>LOZANO BADILLO</v>
          </cell>
          <cell r="G227" t="str">
            <v>LOZANO BADILLO ANIBAL</v>
          </cell>
          <cell r="H227" t="str">
            <v>NORE</v>
          </cell>
          <cell r="I227" t="str">
            <v>NO RESPONSABLE DE IVA</v>
          </cell>
          <cell r="J227" t="str">
            <v>BRR CHOCOLATAL</v>
          </cell>
          <cell r="K227" t="str">
            <v>27075</v>
          </cell>
          <cell r="L227" t="str">
            <v>BAHÍA SOLANO</v>
          </cell>
          <cell r="M227" t="str">
            <v>3217814107</v>
          </cell>
        </row>
        <row r="228">
          <cell r="A228">
            <v>4851500</v>
          </cell>
          <cell r="B228" t="str">
            <v/>
          </cell>
          <cell r="C228" t="str">
            <v/>
          </cell>
          <cell r="D228" t="str">
            <v>CC</v>
          </cell>
          <cell r="E228" t="str">
            <v>JAIRO</v>
          </cell>
          <cell r="F228" t="str">
            <v>MORENO GARCES</v>
          </cell>
          <cell r="G228" t="str">
            <v>JAIRO MORENO GARCES</v>
          </cell>
          <cell r="H228" t="str">
            <v>FUNC</v>
          </cell>
          <cell r="I228" t="str">
            <v>FUNCIONARIO</v>
          </cell>
          <cell r="J228" t="str">
            <v>BAHIA SOLANO CHOCO</v>
          </cell>
          <cell r="K228" t="str">
            <v>27075</v>
          </cell>
          <cell r="L228" t="str">
            <v>BAHÍA SOLANO</v>
          </cell>
          <cell r="M228" t="str">
            <v>6827953</v>
          </cell>
        </row>
        <row r="229">
          <cell r="A229">
            <v>4851560</v>
          </cell>
          <cell r="B229" t="str">
            <v>9</v>
          </cell>
          <cell r="C229" t="str">
            <v/>
          </cell>
          <cell r="D229" t="str">
            <v>NP</v>
          </cell>
          <cell r="E229" t="str">
            <v xml:space="preserve">JAIME </v>
          </cell>
          <cell r="F229" t="str">
            <v>LOZANO RUIZ</v>
          </cell>
          <cell r="G229" t="str">
            <v>LOZANO RUIZ JAIME</v>
          </cell>
          <cell r="H229" t="str">
            <v>NORE</v>
          </cell>
          <cell r="I229" t="str">
            <v>NO RESPONSABLE DE IVA</v>
          </cell>
          <cell r="J229" t="str">
            <v>C CUPICA BRR LA ESMERALDA</v>
          </cell>
          <cell r="K229" t="str">
            <v>27075</v>
          </cell>
          <cell r="L229" t="str">
            <v>BAHÍA SOLANO</v>
          </cell>
          <cell r="M229" t="str">
            <v>3207306933</v>
          </cell>
        </row>
        <row r="230">
          <cell r="A230">
            <v>4851652</v>
          </cell>
          <cell r="B230" t="str">
            <v/>
          </cell>
          <cell r="C230" t="str">
            <v/>
          </cell>
          <cell r="D230" t="str">
            <v>CC</v>
          </cell>
          <cell r="E230" t="str">
            <v>ALBERTO</v>
          </cell>
          <cell r="F230" t="str">
            <v>LOZANO BADILLO</v>
          </cell>
          <cell r="G230" t="str">
            <v xml:space="preserve"> ALBERTO LOZANO BADILLO</v>
          </cell>
          <cell r="H230" t="str">
            <v>FUNC</v>
          </cell>
          <cell r="I230" t="str">
            <v>FUNCIONARIO</v>
          </cell>
          <cell r="J230" t="str">
            <v>BRR NUEVO ONETTI</v>
          </cell>
          <cell r="K230" t="str">
            <v>27075</v>
          </cell>
          <cell r="L230" t="str">
            <v>BAHÍA SOLANO</v>
          </cell>
          <cell r="M230" t="str">
            <v>6827554</v>
          </cell>
        </row>
        <row r="231">
          <cell r="A231">
            <v>4851684</v>
          </cell>
          <cell r="B231" t="str">
            <v/>
          </cell>
          <cell r="C231" t="str">
            <v/>
          </cell>
          <cell r="D231" t="str">
            <v>CC</v>
          </cell>
          <cell r="E231" t="str">
            <v>JOSE ANDRES</v>
          </cell>
          <cell r="F231" t="str">
            <v>HURTADO CORDOBA</v>
          </cell>
          <cell r="G231" t="str">
            <v>HURTADO CORDOBA JOSE ANDRES</v>
          </cell>
          <cell r="H231" t="str">
            <v>FUNC</v>
          </cell>
          <cell r="I231" t="str">
            <v>FUNCIONARIO</v>
          </cell>
          <cell r="J231" t="str">
            <v>BRR MARIA AUXILIADORA</v>
          </cell>
          <cell r="K231" t="str">
            <v>27075</v>
          </cell>
          <cell r="L231" t="str">
            <v>BAHÍA SOLANO</v>
          </cell>
          <cell r="M231" t="str">
            <v>3234994051</v>
          </cell>
        </row>
        <row r="232">
          <cell r="A232">
            <v>4851828</v>
          </cell>
          <cell r="B232" t="str">
            <v>7</v>
          </cell>
          <cell r="C232" t="str">
            <v/>
          </cell>
          <cell r="D232" t="str">
            <v>NP</v>
          </cell>
          <cell r="E232" t="str">
            <v>JULIO CESAR</v>
          </cell>
          <cell r="F232" t="str">
            <v>VALOIS SEGURA</v>
          </cell>
          <cell r="G232" t="str">
            <v>VALOIS SEGURA JULIO CESAR</v>
          </cell>
          <cell r="H232" t="str">
            <v>RESI</v>
          </cell>
          <cell r="I232" t="str">
            <v>REGIMEN SIMPLIFICADO</v>
          </cell>
          <cell r="J232" t="str">
            <v>BRR CHOCOLATAL</v>
          </cell>
          <cell r="K232" t="str">
            <v>27075</v>
          </cell>
          <cell r="L232" t="str">
            <v>BAHÍA SOLANO</v>
          </cell>
          <cell r="M232" t="str">
            <v>3146229699</v>
          </cell>
        </row>
        <row r="233">
          <cell r="A233">
            <v>4851830</v>
          </cell>
          <cell r="B233" t="str">
            <v>2</v>
          </cell>
          <cell r="C233" t="str">
            <v/>
          </cell>
          <cell r="D233" t="str">
            <v>NP</v>
          </cell>
          <cell r="E233" t="str">
            <v>EDWAR</v>
          </cell>
          <cell r="F233" t="str">
            <v>ZUÑIGA MORENO</v>
          </cell>
          <cell r="G233" t="str">
            <v>ZUÑIGA MORENO EDWAR</v>
          </cell>
          <cell r="H233" t="str">
            <v>REOR</v>
          </cell>
          <cell r="I233" t="str">
            <v>RENTA REGIMEN ORDINARIO</v>
          </cell>
          <cell r="J233" t="str">
            <v>BRR POBLADO</v>
          </cell>
          <cell r="K233" t="str">
            <v>27075</v>
          </cell>
          <cell r="L233" t="str">
            <v>BAHÍA SOLANO</v>
          </cell>
          <cell r="M233" t="str">
            <v>3117811918</v>
          </cell>
        </row>
        <row r="234">
          <cell r="A234">
            <v>4851855</v>
          </cell>
          <cell r="B234" t="str">
            <v>6</v>
          </cell>
          <cell r="C234" t="str">
            <v/>
          </cell>
          <cell r="D234" t="str">
            <v>NP</v>
          </cell>
          <cell r="E234" t="str">
            <v>BLADIMIR</v>
          </cell>
          <cell r="F234" t="str">
            <v>CEDANO MURIEL</v>
          </cell>
          <cell r="G234" t="str">
            <v>CEDANO MURIEL BLADIMIR</v>
          </cell>
          <cell r="H234" t="str">
            <v>RESI</v>
          </cell>
          <cell r="I234" t="str">
            <v>REGIMEN SIMPLIFICADO</v>
          </cell>
          <cell r="J234" t="str">
            <v>FLORESTA</v>
          </cell>
          <cell r="K234" t="str">
            <v>27075</v>
          </cell>
          <cell r="L234" t="str">
            <v>BAHÍA SOLANO</v>
          </cell>
          <cell r="M234" t="str">
            <v>3205063793</v>
          </cell>
        </row>
        <row r="235">
          <cell r="A235">
            <v>4851865</v>
          </cell>
          <cell r="B235" t="str">
            <v>1</v>
          </cell>
          <cell r="C235" t="str">
            <v/>
          </cell>
          <cell r="D235" t="str">
            <v>NP</v>
          </cell>
          <cell r="E235" t="str">
            <v>ALEXANDER</v>
          </cell>
          <cell r="F235" t="str">
            <v>RUIZ LOZANO</v>
          </cell>
          <cell r="G235" t="str">
            <v>RUIZ LOZANO ALEXANDER</v>
          </cell>
          <cell r="H235" t="str">
            <v>RESI</v>
          </cell>
          <cell r="I235" t="str">
            <v>REGIMEN SIMPLIFICADO</v>
          </cell>
          <cell r="J235" t="str">
            <v>BARRIO LAS MERCEDES</v>
          </cell>
          <cell r="K235" t="str">
            <v>27075</v>
          </cell>
          <cell r="L235" t="str">
            <v>BAHÍA SOLANO</v>
          </cell>
          <cell r="M235" t="str">
            <v>3104870287</v>
          </cell>
        </row>
        <row r="236">
          <cell r="A236">
            <v>4851878</v>
          </cell>
          <cell r="B236" t="str">
            <v>5</v>
          </cell>
          <cell r="C236" t="str">
            <v/>
          </cell>
          <cell r="D236" t="str">
            <v>NP</v>
          </cell>
          <cell r="E236" t="str">
            <v>NILSON</v>
          </cell>
          <cell r="F236" t="str">
            <v>SAAVEDRA ZUÑIGA</v>
          </cell>
          <cell r="G236" t="str">
            <v>SAAVEDRA ZUÑIGA NILSON</v>
          </cell>
          <cell r="H236" t="str">
            <v>NORE</v>
          </cell>
          <cell r="I236" t="str">
            <v>NO RESPONSABLE DE IVA</v>
          </cell>
          <cell r="J236" t="str">
            <v>BRR CHOCOLATAL</v>
          </cell>
          <cell r="K236" t="str">
            <v>27075</v>
          </cell>
          <cell r="L236" t="str">
            <v>BAHÍA SOLANO</v>
          </cell>
          <cell r="M236" t="str">
            <v>3128847138</v>
          </cell>
        </row>
        <row r="237">
          <cell r="A237">
            <v>4852090</v>
          </cell>
          <cell r="B237" t="str">
            <v>3</v>
          </cell>
          <cell r="C237" t="str">
            <v/>
          </cell>
          <cell r="D237" t="str">
            <v>NP</v>
          </cell>
          <cell r="E237" t="str">
            <v>ROBERTO</v>
          </cell>
          <cell r="F237" t="str">
            <v>ROJAS RENTERIA</v>
          </cell>
          <cell r="G237" t="str">
            <v>ROJAS RENTERIA ROBERTO</v>
          </cell>
          <cell r="H237" t="str">
            <v>RESI</v>
          </cell>
          <cell r="I237" t="str">
            <v>REGIMEN SIMPLIFICADO</v>
          </cell>
          <cell r="J237" t="str">
            <v>BRR BUENOS AIRES CORR EL VALLE</v>
          </cell>
          <cell r="K237" t="str">
            <v>27075</v>
          </cell>
          <cell r="L237" t="str">
            <v>BAHÍA SOLANO</v>
          </cell>
          <cell r="M237" t="str">
            <v>3206041987</v>
          </cell>
        </row>
        <row r="238">
          <cell r="A238">
            <v>4852190</v>
          </cell>
          <cell r="B238" t="str">
            <v>1</v>
          </cell>
          <cell r="C238" t="str">
            <v/>
          </cell>
          <cell r="D238" t="str">
            <v>NP</v>
          </cell>
          <cell r="E238" t="str">
            <v>MILTON</v>
          </cell>
          <cell r="F238" t="str">
            <v>MENA MURILLO</v>
          </cell>
          <cell r="G238" t="str">
            <v>MENA MURILLO MILTON</v>
          </cell>
          <cell r="H238" t="str">
            <v>NORE</v>
          </cell>
          <cell r="I238" t="str">
            <v>NO RESPONSABLE DE IVA</v>
          </cell>
          <cell r="J238" t="str">
            <v>CORR EL VALLE CHOCO BARRIO  MIRA FLOREZ</v>
          </cell>
          <cell r="K238" t="str">
            <v>27075</v>
          </cell>
          <cell r="L238" t="str">
            <v>BAHÍA SOLANO</v>
          </cell>
          <cell r="M238" t="str">
            <v>3116062073</v>
          </cell>
        </row>
        <row r="239">
          <cell r="A239">
            <v>4852218</v>
          </cell>
          <cell r="B239" t="str">
            <v/>
          </cell>
          <cell r="C239" t="str">
            <v/>
          </cell>
          <cell r="D239" t="str">
            <v>CC</v>
          </cell>
          <cell r="E239" t="str">
            <v>CARLOS</v>
          </cell>
          <cell r="F239" t="str">
            <v>SANCHEZ R</v>
          </cell>
          <cell r="G239" t="str">
            <v>SANCHEZ R CARLOS</v>
          </cell>
          <cell r="H239" t="str">
            <v>RESI</v>
          </cell>
          <cell r="I239" t="str">
            <v>REGIMEN SIMPLIFICADO</v>
          </cell>
          <cell r="J239" t="str">
            <v>X</v>
          </cell>
          <cell r="K239" t="str">
            <v>17001</v>
          </cell>
          <cell r="L239" t="str">
            <v>MANIZALES</v>
          </cell>
          <cell r="M239" t="str">
            <v>X</v>
          </cell>
        </row>
        <row r="240">
          <cell r="A240">
            <v>4852296</v>
          </cell>
          <cell r="B240" t="str">
            <v/>
          </cell>
          <cell r="C240" t="str">
            <v/>
          </cell>
          <cell r="D240" t="str">
            <v>CC</v>
          </cell>
          <cell r="E240" t="str">
            <v>WILLIAM</v>
          </cell>
          <cell r="F240" t="str">
            <v>VIDAL PALACIOS</v>
          </cell>
          <cell r="G240" t="str">
            <v>WILLIAM VIDAL PALACIOS</v>
          </cell>
          <cell r="H240" t="str">
            <v>FUNC</v>
          </cell>
          <cell r="I240" t="str">
            <v>FUNCIONARIO</v>
          </cell>
          <cell r="J240" t="str">
            <v>C EL VALLE</v>
          </cell>
          <cell r="K240" t="str">
            <v>27075</v>
          </cell>
          <cell r="L240" t="str">
            <v>BAHÍA SOLANO</v>
          </cell>
          <cell r="M240" t="str">
            <v>3122989619</v>
          </cell>
        </row>
        <row r="241">
          <cell r="A241">
            <v>4852307</v>
          </cell>
          <cell r="B241" t="str">
            <v>6</v>
          </cell>
          <cell r="C241" t="str">
            <v/>
          </cell>
          <cell r="D241" t="str">
            <v>NP</v>
          </cell>
          <cell r="E241" t="str">
            <v>EPREN</v>
          </cell>
          <cell r="F241" t="str">
            <v>CHAMORRO DOJIRAMA</v>
          </cell>
          <cell r="G241" t="str">
            <v>CHAMORRO DOJIRAMA EPREN</v>
          </cell>
          <cell r="H241" t="str">
            <v>REOR</v>
          </cell>
          <cell r="I241" t="str">
            <v>RENTA REGIMEN ORDINARIO</v>
          </cell>
          <cell r="J241" t="str">
            <v>CORR EL VALLE</v>
          </cell>
          <cell r="K241" t="str">
            <v>27075</v>
          </cell>
          <cell r="L241" t="str">
            <v>BAHÍA SOLANO</v>
          </cell>
          <cell r="M241" t="str">
            <v>3206374226</v>
          </cell>
        </row>
        <row r="242">
          <cell r="A242">
            <v>4854407</v>
          </cell>
          <cell r="B242" t="str">
            <v>3</v>
          </cell>
          <cell r="C242" t="str">
            <v/>
          </cell>
          <cell r="D242" t="str">
            <v>NP</v>
          </cell>
          <cell r="E242" t="str">
            <v>EDWAR DANILO</v>
          </cell>
          <cell r="F242" t="str">
            <v>CAICEDO PEREA</v>
          </cell>
          <cell r="G242" t="str">
            <v>CAICEDO PEREA EDWAR DANILO</v>
          </cell>
          <cell r="H242" t="str">
            <v>RESI</v>
          </cell>
          <cell r="I242" t="str">
            <v>REGIMEN SIMPLIFICADO</v>
          </cell>
          <cell r="J242" t="str">
            <v>BRR POBLADO</v>
          </cell>
          <cell r="K242" t="str">
            <v>27075</v>
          </cell>
          <cell r="L242" t="str">
            <v>BAHÍA SOLANO</v>
          </cell>
          <cell r="M242" t="str">
            <v>3116151517</v>
          </cell>
        </row>
        <row r="243">
          <cell r="A243">
            <v>4855243</v>
          </cell>
          <cell r="B243" t="str">
            <v/>
          </cell>
          <cell r="C243" t="str">
            <v/>
          </cell>
          <cell r="D243" t="str">
            <v>CC</v>
          </cell>
          <cell r="E243" t="str">
            <v>ARCINDO</v>
          </cell>
          <cell r="F243" t="str">
            <v>MORALES VIVAS</v>
          </cell>
          <cell r="G243" t="str">
            <v>MORALES VIVAS ARCINDO</v>
          </cell>
          <cell r="H243" t="str">
            <v>RESI</v>
          </cell>
          <cell r="I243" t="str">
            <v>REGIMEN SIMPLIFICADO</v>
          </cell>
          <cell r="J243" t="str">
            <v>XXX</v>
          </cell>
          <cell r="K243" t="str">
            <v>17001</v>
          </cell>
          <cell r="L243" t="str">
            <v>MANIZALES</v>
          </cell>
          <cell r="M243" t="str">
            <v>XXX</v>
          </cell>
        </row>
        <row r="244">
          <cell r="A244">
            <v>4893555</v>
          </cell>
          <cell r="B244" t="str">
            <v>1</v>
          </cell>
          <cell r="C244" t="str">
            <v/>
          </cell>
          <cell r="D244" t="str">
            <v>NP</v>
          </cell>
          <cell r="E244" t="str">
            <v>SIXTO</v>
          </cell>
          <cell r="F244" t="str">
            <v>POLANIA COLLAZOS</v>
          </cell>
          <cell r="G244" t="str">
            <v>POLANIA COLLAZOS SIXTO</v>
          </cell>
          <cell r="H244" t="str">
            <v>REOR</v>
          </cell>
          <cell r="I244" t="str">
            <v>RENTA REGIMEN ORDINARIO</v>
          </cell>
          <cell r="J244" t="str">
            <v>CALLE 15 # 45 - 02 D 4 CON EL TRAPICHE</v>
          </cell>
          <cell r="K244" t="str">
            <v>50001</v>
          </cell>
          <cell r="L244" t="str">
            <v>VILLAVICENCIO</v>
          </cell>
          <cell r="M244" t="str">
            <v>6689719</v>
          </cell>
        </row>
        <row r="245">
          <cell r="A245">
            <v>4954331</v>
          </cell>
          <cell r="B245" t="str">
            <v/>
          </cell>
          <cell r="C245" t="str">
            <v/>
          </cell>
          <cell r="D245" t="str">
            <v>CC</v>
          </cell>
          <cell r="E245" t="str">
            <v>HERNANDO</v>
          </cell>
          <cell r="F245" t="str">
            <v>GUTIERREZ NUÑEZ</v>
          </cell>
          <cell r="G245" t="str">
            <v>GUTIERREZ NUÑEZ HERNANDO</v>
          </cell>
          <cell r="H245" t="str">
            <v>RESI</v>
          </cell>
          <cell r="I245" t="str">
            <v>REGIMEN SIMPLIFICADO</v>
          </cell>
          <cell r="J245" t="str">
            <v>XXX</v>
          </cell>
          <cell r="K245" t="str">
            <v>17001</v>
          </cell>
          <cell r="L245" t="str">
            <v>MANIZALES</v>
          </cell>
          <cell r="M245" t="str">
            <v>XX</v>
          </cell>
        </row>
        <row r="246">
          <cell r="A246">
            <v>4979178</v>
          </cell>
          <cell r="B246" t="str">
            <v>9</v>
          </cell>
          <cell r="C246" t="str">
            <v/>
          </cell>
          <cell r="D246" t="str">
            <v>NP</v>
          </cell>
          <cell r="E246" t="str">
            <v>RODOLFO MIGUEL</v>
          </cell>
          <cell r="F246" t="str">
            <v>COTES NAVARRO</v>
          </cell>
          <cell r="G246" t="str">
            <v>COTES NAVARRO RODOLFO MIGUEL</v>
          </cell>
          <cell r="H246" t="str">
            <v>REOR</v>
          </cell>
          <cell r="I246" t="str">
            <v>RENTA REGIMEN ORDINARIO</v>
          </cell>
          <cell r="J246" t="str">
            <v>CR 75 A 87  28  TO 6 AP 102 URB EL PORTAL DEL LIMONSITO</v>
          </cell>
          <cell r="K246" t="str">
            <v>17001</v>
          </cell>
          <cell r="L246" t="str">
            <v>MANIZALES</v>
          </cell>
          <cell r="M246" t="str">
            <v>3147148771</v>
          </cell>
        </row>
        <row r="247">
          <cell r="A247">
            <v>4983610</v>
          </cell>
          <cell r="B247" t="str">
            <v/>
          </cell>
          <cell r="C247" t="str">
            <v/>
          </cell>
          <cell r="D247" t="str">
            <v>CC</v>
          </cell>
          <cell r="E247" t="str">
            <v>CARLOS</v>
          </cell>
          <cell r="F247" t="str">
            <v>MONTAGUT CARRASCAL</v>
          </cell>
          <cell r="G247" t="str">
            <v>MONTAGUT CARRASCAL CARLOS</v>
          </cell>
          <cell r="H247" t="str">
            <v>RESI</v>
          </cell>
          <cell r="I247" t="str">
            <v>REGIMEN SIMPLIFICADO</v>
          </cell>
          <cell r="J247" t="str">
            <v>C LA VICTORIA</v>
          </cell>
          <cell r="K247" t="str">
            <v>54800</v>
          </cell>
          <cell r="L247" t="str">
            <v>TEORAMA</v>
          </cell>
          <cell r="M247" t="str">
            <v>3143252508</v>
          </cell>
        </row>
        <row r="248">
          <cell r="A248">
            <v>5184292</v>
          </cell>
          <cell r="B248" t="str">
            <v/>
          </cell>
          <cell r="C248" t="str">
            <v/>
          </cell>
          <cell r="D248" t="str">
            <v>CC</v>
          </cell>
          <cell r="E248" t="str">
            <v>ALEXIS DE JESUS</v>
          </cell>
          <cell r="F248" t="str">
            <v>PAZ AGUILAR</v>
          </cell>
          <cell r="G248" t="str">
            <v>PAZ AGUILAR ALEXIS DE JESUS</v>
          </cell>
          <cell r="H248" t="str">
            <v>RESI</v>
          </cell>
          <cell r="I248" t="str">
            <v>REGIMEN SIMPLIFICADO</v>
          </cell>
          <cell r="J248" t="str">
            <v>CL 9 3-12 BRR CUATRO VIENTOS  SEC MERCADO</v>
          </cell>
          <cell r="K248" t="str">
            <v>44560</v>
          </cell>
          <cell r="L248" t="str">
            <v>MANAURE</v>
          </cell>
          <cell r="M248" t="str">
            <v>3126693098</v>
          </cell>
        </row>
        <row r="249">
          <cell r="A249">
            <v>5208858</v>
          </cell>
          <cell r="B249" t="str">
            <v/>
          </cell>
          <cell r="C249" t="str">
            <v/>
          </cell>
          <cell r="D249" t="str">
            <v>CC</v>
          </cell>
          <cell r="E249" t="str">
            <v>FAVIO OLMEDO</v>
          </cell>
          <cell r="F249" t="str">
            <v>GELPUD GELPUD</v>
          </cell>
          <cell r="G249" t="str">
            <v>GELPUD GELPUD FAVIO OLMEDO</v>
          </cell>
          <cell r="H249" t="str">
            <v>RESI</v>
          </cell>
          <cell r="I249" t="str">
            <v>REGIMEN SIMPLIFICADO</v>
          </cell>
          <cell r="J249" t="str">
            <v>PASTO</v>
          </cell>
          <cell r="K249" t="str">
            <v>52001</v>
          </cell>
          <cell r="L249" t="str">
            <v xml:space="preserve">PASTO	</v>
          </cell>
          <cell r="M249" t="str">
            <v>SIN NRO</v>
          </cell>
        </row>
        <row r="250">
          <cell r="A250">
            <v>5286906</v>
          </cell>
          <cell r="B250" t="str">
            <v>3</v>
          </cell>
          <cell r="C250" t="str">
            <v/>
          </cell>
          <cell r="D250" t="str">
            <v>NP</v>
          </cell>
          <cell r="E250" t="str">
            <v>FELIX</v>
          </cell>
          <cell r="F250" t="str">
            <v>ROMERO PANTOJA</v>
          </cell>
          <cell r="G250" t="str">
            <v>ROMERO PANTOJA FELIX/HOTEL PERUGINOS PLAZA</v>
          </cell>
          <cell r="H250" t="str">
            <v>RECO</v>
          </cell>
          <cell r="I250" t="str">
            <v>REGIMEN COMUN</v>
          </cell>
          <cell r="J250" t="str">
            <v>CL 30 NORTE 2 B N 100</v>
          </cell>
          <cell r="K250" t="str">
            <v>76001</v>
          </cell>
          <cell r="L250" t="str">
            <v>CALI</v>
          </cell>
          <cell r="M250" t="str">
            <v>6677889</v>
          </cell>
        </row>
        <row r="251">
          <cell r="A251">
            <v>5541744</v>
          </cell>
          <cell r="B251" t="str">
            <v>0</v>
          </cell>
          <cell r="C251" t="str">
            <v/>
          </cell>
          <cell r="D251" t="str">
            <v>NP</v>
          </cell>
          <cell r="E251" t="str">
            <v>JAIME</v>
          </cell>
          <cell r="F251" t="str">
            <v>ROMERO CUBILLOS</v>
          </cell>
          <cell r="G251" t="str">
            <v>ROMERO CUBILLOS JAIME</v>
          </cell>
          <cell r="H251" t="str">
            <v>RCPN</v>
          </cell>
          <cell r="I251" t="str">
            <v>RESPONSABLE IVA PERSONA NATURAL</v>
          </cell>
          <cell r="J251" t="str">
            <v>CL 105  69 63</v>
          </cell>
          <cell r="K251" t="str">
            <v>11001</v>
          </cell>
          <cell r="L251" t="str">
            <v>BOGOTA DC</v>
          </cell>
          <cell r="M251" t="str">
            <v>3144438060</v>
          </cell>
        </row>
        <row r="252">
          <cell r="A252">
            <v>5550053</v>
          </cell>
          <cell r="B252" t="str">
            <v>8</v>
          </cell>
          <cell r="C252" t="str">
            <v/>
          </cell>
          <cell r="D252" t="str">
            <v>NP</v>
          </cell>
          <cell r="E252" t="str">
            <v>JAIME</v>
          </cell>
          <cell r="F252" t="str">
            <v>CABALLERO ANAYA</v>
          </cell>
          <cell r="G252" t="str">
            <v>CABALLERO ANAYA JAIME</v>
          </cell>
          <cell r="H252" t="str">
            <v>RECO</v>
          </cell>
          <cell r="I252" t="str">
            <v>REGIMEN COMUN</v>
          </cell>
          <cell r="J252" t="str">
            <v>CL 41  17 58 BRR CENTRO</v>
          </cell>
          <cell r="K252" t="str">
            <v>68001</v>
          </cell>
          <cell r="L252" t="str">
            <v>BUCARAMANGA</v>
          </cell>
          <cell r="M252" t="str">
            <v>3177726497</v>
          </cell>
        </row>
        <row r="253">
          <cell r="A253">
            <v>5653482</v>
          </cell>
          <cell r="B253" t="str">
            <v>7</v>
          </cell>
          <cell r="C253" t="str">
            <v/>
          </cell>
          <cell r="D253" t="str">
            <v>NP</v>
          </cell>
          <cell r="E253" t="str">
            <v>ANGEL DE JESUS</v>
          </cell>
          <cell r="F253" t="str">
            <v>PICO CARDENAS</v>
          </cell>
          <cell r="G253" t="str">
            <v>PICO CARDENAS ANGEL DE JESUS</v>
          </cell>
          <cell r="H253" t="str">
            <v>RESI</v>
          </cell>
          <cell r="I253" t="str">
            <v>REGIMEN SIMPLIFICADO</v>
          </cell>
          <cell r="J253" t="str">
            <v>CL 13  13  BRR CENTRO B</v>
          </cell>
          <cell r="K253" t="str">
            <v>97001</v>
          </cell>
          <cell r="L253" t="str">
            <v>MITÚ</v>
          </cell>
          <cell r="M253" t="str">
            <v>3112568077</v>
          </cell>
        </row>
        <row r="254">
          <cell r="A254">
            <v>5711164</v>
          </cell>
          <cell r="B254" t="str">
            <v>9</v>
          </cell>
          <cell r="C254" t="str">
            <v/>
          </cell>
          <cell r="D254" t="str">
            <v>NP</v>
          </cell>
          <cell r="E254" t="str">
            <v>HORACIO</v>
          </cell>
          <cell r="F254" t="str">
            <v>PINZON SAENZ</v>
          </cell>
          <cell r="G254" t="str">
            <v>PINZON SAENZ HORACIO</v>
          </cell>
          <cell r="H254" t="str">
            <v>RESI</v>
          </cell>
          <cell r="I254" t="str">
            <v>REGIMEN SIMPLIFICADO</v>
          </cell>
          <cell r="J254" t="str">
            <v>CL 16 6 2 BRR EL CENTRO</v>
          </cell>
          <cell r="K254" t="str">
            <v>94001</v>
          </cell>
          <cell r="L254" t="str">
            <v>INÍRIDA</v>
          </cell>
          <cell r="M254" t="str">
            <v>3112876407</v>
          </cell>
        </row>
        <row r="255">
          <cell r="A255">
            <v>5725002</v>
          </cell>
          <cell r="B255" t="str">
            <v>5</v>
          </cell>
          <cell r="C255" t="str">
            <v/>
          </cell>
          <cell r="D255" t="str">
            <v>NP</v>
          </cell>
          <cell r="E255" t="str">
            <v>ARTURO</v>
          </cell>
          <cell r="F255" t="str">
            <v>BENAVIDES MORENO</v>
          </cell>
          <cell r="G255" t="str">
            <v>BENAVIDES MORENO ARTURO</v>
          </cell>
          <cell r="H255" t="str">
            <v>RCPN</v>
          </cell>
          <cell r="I255" t="str">
            <v>RESPONSABLE IVA PERSONA NATURAL</v>
          </cell>
          <cell r="J255" t="str">
            <v>CL 10  8 96 BRR INAYA</v>
          </cell>
          <cell r="K255" t="str">
            <v>97001</v>
          </cell>
          <cell r="L255" t="str">
            <v>MITÚ</v>
          </cell>
          <cell r="M255" t="str">
            <v>5642587</v>
          </cell>
        </row>
        <row r="256">
          <cell r="A256">
            <v>5762036</v>
          </cell>
          <cell r="B256" t="str">
            <v>2</v>
          </cell>
          <cell r="C256" t="str">
            <v/>
          </cell>
          <cell r="D256" t="str">
            <v>NP</v>
          </cell>
          <cell r="E256" t="str">
            <v>JESUS ENRIQUE</v>
          </cell>
          <cell r="F256" t="str">
            <v>MELENDEZ BARRERA</v>
          </cell>
          <cell r="G256" t="str">
            <v>MELENDEZ BARRERA JESUS ENRIQUE</v>
          </cell>
          <cell r="H256" t="str">
            <v>IMVE</v>
          </cell>
          <cell r="I256" t="str">
            <v>IMPUESTO SOBRE LAS VENTAS</v>
          </cell>
          <cell r="J256" t="str">
            <v xml:space="preserve"> CR 9 9 A 54 BRR INAYA</v>
          </cell>
          <cell r="K256" t="str">
            <v>97001</v>
          </cell>
          <cell r="L256" t="str">
            <v>MITÚ</v>
          </cell>
          <cell r="M256" t="str">
            <v>5642017</v>
          </cell>
        </row>
        <row r="257">
          <cell r="A257">
            <v>5767360</v>
          </cell>
          <cell r="B257" t="str">
            <v/>
          </cell>
          <cell r="C257" t="str">
            <v/>
          </cell>
          <cell r="D257" t="str">
            <v>CC</v>
          </cell>
          <cell r="E257" t="str">
            <v>CARLOS JULIO</v>
          </cell>
          <cell r="F257" t="str">
            <v>SANGUÑA ESPINOSA</v>
          </cell>
          <cell r="G257" t="str">
            <v>SANGUÑA ESPINOSA CARLOS JULIO</v>
          </cell>
          <cell r="H257" t="str">
            <v>FUNC</v>
          </cell>
          <cell r="I257" t="str">
            <v>FUNCIONARIO</v>
          </cell>
          <cell r="J257" t="str">
            <v>BARRIO FATIMA SECTOR BAJO</v>
          </cell>
          <cell r="K257" t="str">
            <v>15516</v>
          </cell>
          <cell r="L257" t="str">
            <v>PAIPA</v>
          </cell>
          <cell r="M257" t="str">
            <v>3112119318</v>
          </cell>
        </row>
        <row r="258">
          <cell r="A258">
            <v>5854433</v>
          </cell>
          <cell r="B258" t="str">
            <v>9</v>
          </cell>
          <cell r="C258" t="str">
            <v/>
          </cell>
          <cell r="D258" t="str">
            <v>NP</v>
          </cell>
          <cell r="E258" t="str">
            <v>EDIER</v>
          </cell>
          <cell r="F258" t="str">
            <v>CUMBE</v>
          </cell>
          <cell r="G258" t="str">
            <v>CUMBE EDIER</v>
          </cell>
          <cell r="H258" t="str">
            <v>RESI</v>
          </cell>
          <cell r="I258" t="str">
            <v>REGIMEN SIMPLIFICADO</v>
          </cell>
          <cell r="J258" t="str">
            <v>AV CIRCUNVALAR BRR SIETE DE AGOSTO</v>
          </cell>
          <cell r="K258" t="str">
            <v>97001</v>
          </cell>
          <cell r="L258" t="str">
            <v>MITÚ</v>
          </cell>
          <cell r="M258" t="str">
            <v>3204416798</v>
          </cell>
        </row>
        <row r="259">
          <cell r="A259">
            <v>5943846</v>
          </cell>
          <cell r="B259" t="str">
            <v>9</v>
          </cell>
          <cell r="C259" t="str">
            <v/>
          </cell>
          <cell r="D259" t="str">
            <v>NP</v>
          </cell>
          <cell r="E259" t="str">
            <v xml:space="preserve">CESAR </v>
          </cell>
          <cell r="F259" t="str">
            <v>RODRIGUEZ R</v>
          </cell>
          <cell r="G259" t="str">
            <v>CESAR RODRIGUEZ R</v>
          </cell>
          <cell r="H259" t="str">
            <v>RECO</v>
          </cell>
          <cell r="I259" t="str">
            <v>REGIMEN COMUN</v>
          </cell>
          <cell r="J259" t="str">
            <v>X</v>
          </cell>
          <cell r="K259" t="str">
            <v>17001</v>
          </cell>
          <cell r="L259" t="str">
            <v>MANIZALES</v>
          </cell>
          <cell r="M259" t="str">
            <v>X</v>
          </cell>
        </row>
        <row r="260">
          <cell r="A260">
            <v>6163868</v>
          </cell>
          <cell r="B260" t="str">
            <v>7</v>
          </cell>
          <cell r="C260" t="str">
            <v/>
          </cell>
          <cell r="D260" t="str">
            <v>NP</v>
          </cell>
          <cell r="E260" t="str">
            <v>JANIER ALDREI</v>
          </cell>
          <cell r="F260" t="str">
            <v>ESCOBAR SALAZAR</v>
          </cell>
          <cell r="G260" t="str">
            <v>ESCOBAR SALAZAR JANIER ALDREI</v>
          </cell>
          <cell r="H260" t="str">
            <v>RCPN</v>
          </cell>
          <cell r="I260" t="str">
            <v>RESPONSABLE IVA PERSONA NATURAL</v>
          </cell>
          <cell r="J260" t="str">
            <v>BRR EL PORVENIR</v>
          </cell>
          <cell r="K260" t="str">
            <v>19318</v>
          </cell>
          <cell r="L260" t="str">
            <v>GUAPI</v>
          </cell>
          <cell r="M260" t="str">
            <v>3206925681</v>
          </cell>
        </row>
        <row r="261">
          <cell r="A261">
            <v>6212559</v>
          </cell>
          <cell r="B261" t="str">
            <v/>
          </cell>
          <cell r="C261" t="str">
            <v/>
          </cell>
          <cell r="D261" t="str">
            <v>CC</v>
          </cell>
          <cell r="E261" t="str">
            <v>JOAQUIN</v>
          </cell>
          <cell r="F261" t="str">
            <v>VASQUEZ VANEGAS</v>
          </cell>
          <cell r="G261" t="str">
            <v>VASQUEZ VANEGAS JOAQUIN</v>
          </cell>
          <cell r="H261" t="str">
            <v>RECO</v>
          </cell>
          <cell r="I261" t="str">
            <v>REGIMEN COMUN</v>
          </cell>
          <cell r="J261" t="str">
            <v>CR 14 16 15  57 BRR LOS LIBERTADORES</v>
          </cell>
          <cell r="K261" t="str">
            <v>94001</v>
          </cell>
          <cell r="L261" t="str">
            <v>INÍRIDA</v>
          </cell>
          <cell r="M261" t="str">
            <v>3108525177</v>
          </cell>
        </row>
        <row r="262">
          <cell r="A262">
            <v>6494394</v>
          </cell>
          <cell r="B262" t="str">
            <v/>
          </cell>
          <cell r="C262" t="str">
            <v/>
          </cell>
          <cell r="D262" t="str">
            <v>CC</v>
          </cell>
          <cell r="E262" t="str">
            <v>DIONISIO</v>
          </cell>
          <cell r="F262" t="str">
            <v>PIEDRAHITA RODRIGUEZ</v>
          </cell>
          <cell r="G262" t="str">
            <v>DIONISIO PIEDRAHITA RODRIGUEZ</v>
          </cell>
          <cell r="H262" t="str">
            <v>FUNC</v>
          </cell>
          <cell r="I262" t="str">
            <v>FUNCIONARIO</v>
          </cell>
          <cell r="J262" t="str">
            <v>MUNICIPIO DE GUAPI</v>
          </cell>
          <cell r="K262" t="str">
            <v>19318</v>
          </cell>
          <cell r="L262" t="str">
            <v>GUAPI</v>
          </cell>
          <cell r="M262" t="str">
            <v>8740567</v>
          </cell>
        </row>
        <row r="263">
          <cell r="A263">
            <v>6565510</v>
          </cell>
          <cell r="B263" t="str">
            <v>1</v>
          </cell>
          <cell r="C263" t="str">
            <v/>
          </cell>
          <cell r="D263" t="str">
            <v>NP</v>
          </cell>
          <cell r="E263" t="str">
            <v>NELSON ANTONIO</v>
          </cell>
          <cell r="F263" t="str">
            <v>VARGAS LOPEZ</v>
          </cell>
          <cell r="G263" t="str">
            <v>VARGAS LOPEZ NELSON ANTONIO</v>
          </cell>
          <cell r="H263" t="str">
            <v>RESI</v>
          </cell>
          <cell r="I263" t="str">
            <v>REGIMEN SIMPLIFICADO</v>
          </cell>
          <cell r="J263" t="str">
            <v>CR 2 13 26</v>
          </cell>
          <cell r="K263" t="str">
            <v>91001</v>
          </cell>
          <cell r="L263" t="str">
            <v>LETICIA</v>
          </cell>
          <cell r="M263" t="str">
            <v>3138117325</v>
          </cell>
        </row>
        <row r="264">
          <cell r="A264">
            <v>6648231</v>
          </cell>
          <cell r="B264" t="str">
            <v>9</v>
          </cell>
          <cell r="C264" t="str">
            <v/>
          </cell>
          <cell r="D264" t="str">
            <v>NP</v>
          </cell>
          <cell r="E264" t="str">
            <v>LUIS MARIO</v>
          </cell>
          <cell r="F264" t="str">
            <v>SANDOVAL SOLANO</v>
          </cell>
          <cell r="G264" t="str">
            <v>SANDOVAL SOLANO LUIS MARIO</v>
          </cell>
          <cell r="H264" t="str">
            <v>RESI</v>
          </cell>
          <cell r="I264" t="str">
            <v>REGIMEN SIMPLIFICADO</v>
          </cell>
          <cell r="J264" t="str">
            <v xml:space="preserve"> AV 18  8 BRR LA UNION</v>
          </cell>
          <cell r="K264" t="str">
            <v>97001</v>
          </cell>
          <cell r="L264" t="str">
            <v>MITÚ</v>
          </cell>
          <cell r="M264" t="str">
            <v>3213655466</v>
          </cell>
        </row>
        <row r="265">
          <cell r="A265">
            <v>6649839</v>
          </cell>
          <cell r="B265" t="str">
            <v>0</v>
          </cell>
          <cell r="C265" t="str">
            <v/>
          </cell>
          <cell r="D265" t="str">
            <v>NP</v>
          </cell>
          <cell r="E265" t="str">
            <v>ELIECER</v>
          </cell>
          <cell r="F265" t="str">
            <v>PEREZ GALVIS</v>
          </cell>
          <cell r="G265" t="str">
            <v>PEREZ GALVIS ELIECER</v>
          </cell>
          <cell r="H265" t="str">
            <v>RECO</v>
          </cell>
          <cell r="I265" t="str">
            <v>REGIMEN COMUN</v>
          </cell>
          <cell r="J265" t="str">
            <v>CL 15   13   89</v>
          </cell>
          <cell r="K265" t="str">
            <v>97001</v>
          </cell>
          <cell r="L265" t="str">
            <v>MITÚ</v>
          </cell>
          <cell r="M265" t="str">
            <v>089-5642461</v>
          </cell>
        </row>
        <row r="266">
          <cell r="A266">
            <v>6653382</v>
          </cell>
          <cell r="B266" t="str">
            <v>2</v>
          </cell>
          <cell r="C266" t="str">
            <v/>
          </cell>
          <cell r="D266" t="str">
            <v>NP</v>
          </cell>
          <cell r="E266" t="str">
            <v>ERREY</v>
          </cell>
          <cell r="F266" t="str">
            <v>SANCHEZ</v>
          </cell>
          <cell r="G266" t="str">
            <v>SANCHEZ ERREY</v>
          </cell>
          <cell r="H266" t="str">
            <v>RESI</v>
          </cell>
          <cell r="I266" t="str">
            <v>REGIMEN SIMPLIFICADO</v>
          </cell>
          <cell r="J266" t="str">
            <v>CAS COMUNIDAD COCO NUEVO</v>
          </cell>
          <cell r="K266" t="str">
            <v>94001</v>
          </cell>
          <cell r="L266" t="str">
            <v>INÍRIDA</v>
          </cell>
          <cell r="M266" t="str">
            <v>3138649906</v>
          </cell>
        </row>
        <row r="267">
          <cell r="A267">
            <v>6653995</v>
          </cell>
          <cell r="B267" t="str">
            <v/>
          </cell>
          <cell r="C267" t="str">
            <v/>
          </cell>
          <cell r="D267" t="str">
            <v>CC</v>
          </cell>
          <cell r="E267" t="str">
            <v>ROBERTO</v>
          </cell>
          <cell r="F267" t="str">
            <v>GAITAN</v>
          </cell>
          <cell r="G267" t="str">
            <v>GAITAN ROBERTO</v>
          </cell>
          <cell r="H267" t="str">
            <v>RESI</v>
          </cell>
          <cell r="I267" t="str">
            <v>REGIMEN SIMPLIFICADO</v>
          </cell>
          <cell r="J267" t="str">
            <v>CRR COAYARE</v>
          </cell>
          <cell r="K267" t="str">
            <v>94001</v>
          </cell>
          <cell r="L267" t="str">
            <v>INÍRIDA</v>
          </cell>
          <cell r="M267" t="str">
            <v>85221592</v>
          </cell>
        </row>
        <row r="268">
          <cell r="A268">
            <v>6670094</v>
          </cell>
          <cell r="B268" t="str">
            <v/>
          </cell>
          <cell r="C268" t="str">
            <v/>
          </cell>
          <cell r="D268" t="str">
            <v>CC</v>
          </cell>
          <cell r="E268" t="str">
            <v>SANTIAGO</v>
          </cell>
          <cell r="F268" t="str">
            <v>MORENO</v>
          </cell>
          <cell r="G268" t="str">
            <v>MORENO SANTIAGO</v>
          </cell>
          <cell r="H268" t="str">
            <v>RESI</v>
          </cell>
          <cell r="I268" t="str">
            <v>REGIMEN SIMPLIFICADO</v>
          </cell>
          <cell r="J268" t="str">
            <v>MCP SAN LUIS DE PALENQUE PD BUENAVISTA</v>
          </cell>
          <cell r="K268" t="str">
            <v>85325</v>
          </cell>
          <cell r="L268" t="str">
            <v>SAN LUIS DE PALENQUE</v>
          </cell>
          <cell r="M268" t="str">
            <v>SE CREO SIN RUT</v>
          </cell>
        </row>
        <row r="269">
          <cell r="A269">
            <v>6670473</v>
          </cell>
          <cell r="B269" t="str">
            <v/>
          </cell>
          <cell r="C269" t="str">
            <v/>
          </cell>
          <cell r="D269" t="str">
            <v>CC</v>
          </cell>
          <cell r="E269" t="str">
            <v>ANDRES</v>
          </cell>
          <cell r="F269" t="str">
            <v>MOSQUERA</v>
          </cell>
          <cell r="G269" t="str">
            <v>MOSQUERA ANDRES</v>
          </cell>
          <cell r="H269" t="str">
            <v>RESI</v>
          </cell>
          <cell r="I269" t="str">
            <v>REGIMEN SIMPLIFICADO</v>
          </cell>
          <cell r="J269" t="str">
            <v>DPTO VICHADA MCP SANTA ROSALIA VRD BORDEREÑO PD BONANZA</v>
          </cell>
          <cell r="K269" t="str">
            <v>99624</v>
          </cell>
          <cell r="L269" t="str">
            <v>SANTA ROSALÍA</v>
          </cell>
          <cell r="M269" t="str">
            <v>3142287517</v>
          </cell>
        </row>
        <row r="270">
          <cell r="A270">
            <v>6670501</v>
          </cell>
          <cell r="B270" t="str">
            <v/>
          </cell>
          <cell r="C270" t="str">
            <v/>
          </cell>
          <cell r="D270" t="str">
            <v>CC</v>
          </cell>
          <cell r="E270" t="str">
            <v>SERVILIO</v>
          </cell>
          <cell r="F270" t="str">
            <v>GOYENECHE</v>
          </cell>
          <cell r="G270" t="str">
            <v>GOYENECHE SERVILIO</v>
          </cell>
          <cell r="H270" t="str">
            <v>RESI</v>
          </cell>
          <cell r="I270" t="str">
            <v>REGIMEN SIMPLIFICADO</v>
          </cell>
          <cell r="J270" t="str">
            <v>MCP SAN LUIS DE PALENQUE PD LAS PLUMAS</v>
          </cell>
          <cell r="K270" t="str">
            <v>85325</v>
          </cell>
          <cell r="L270" t="str">
            <v>SAN LUIS DE PALENQUE</v>
          </cell>
          <cell r="M270" t="str">
            <v>SE CREO SIN RUT</v>
          </cell>
        </row>
        <row r="271">
          <cell r="A271">
            <v>6670656</v>
          </cell>
          <cell r="B271" t="str">
            <v/>
          </cell>
          <cell r="C271" t="str">
            <v/>
          </cell>
          <cell r="D271" t="str">
            <v>CC</v>
          </cell>
          <cell r="E271" t="str">
            <v>JOSE RAMON</v>
          </cell>
          <cell r="F271" t="str">
            <v>TUPANTEVE DOMINGUEZ</v>
          </cell>
          <cell r="G271" t="str">
            <v>TUPANTEVE DOMINGUEZ JOSE RAMON</v>
          </cell>
          <cell r="H271" t="str">
            <v>RESI</v>
          </cell>
          <cell r="I271" t="str">
            <v>REGIMEN SIMPLIFICADO</v>
          </cell>
          <cell r="J271" t="str">
            <v>MCP SAN LUIS DE PALENQUE PD LECHEMIELES</v>
          </cell>
          <cell r="K271" t="str">
            <v>85325</v>
          </cell>
          <cell r="L271" t="str">
            <v>SAN LUIS DE PALENQUE</v>
          </cell>
          <cell r="M271" t="str">
            <v>SE CREO SIN RUT</v>
          </cell>
        </row>
        <row r="272">
          <cell r="A272">
            <v>6670828</v>
          </cell>
          <cell r="B272" t="str">
            <v/>
          </cell>
          <cell r="C272" t="str">
            <v/>
          </cell>
          <cell r="D272" t="str">
            <v>CC</v>
          </cell>
          <cell r="E272" t="str">
            <v>BERNABE</v>
          </cell>
          <cell r="F272" t="str">
            <v>DUARTE CUEVAS</v>
          </cell>
          <cell r="G272" t="str">
            <v>DUARTE CUEVAS BERNABE</v>
          </cell>
          <cell r="H272" t="str">
            <v>RESI</v>
          </cell>
          <cell r="I272" t="str">
            <v>REGIMEN SIMPLIFICADO</v>
          </cell>
          <cell r="J272" t="str">
            <v>VRD LA PALESTINA FCA ATALAYAS</v>
          </cell>
          <cell r="K272" t="str">
            <v>85325</v>
          </cell>
          <cell r="L272" t="str">
            <v>SAN LUIS DE PALENQUE</v>
          </cell>
          <cell r="M272" t="str">
            <v>3125665101</v>
          </cell>
        </row>
        <row r="273">
          <cell r="A273">
            <v>6671134</v>
          </cell>
          <cell r="B273" t="str">
            <v/>
          </cell>
          <cell r="C273" t="str">
            <v/>
          </cell>
          <cell r="D273" t="str">
            <v>CC</v>
          </cell>
          <cell r="E273" t="str">
            <v>JOAQUIN</v>
          </cell>
          <cell r="F273" t="str">
            <v>RAMIREZ LEAL</v>
          </cell>
          <cell r="G273" t="str">
            <v>RAMIREZ LEAL JOAQUIN</v>
          </cell>
          <cell r="H273" t="str">
            <v>RESI</v>
          </cell>
          <cell r="I273" t="str">
            <v>REGIMEN SIMPLIFICADO</v>
          </cell>
          <cell r="J273" t="str">
            <v>MCP SAN LUIS DE PALENQUE VRD GUARACURAS PD MATA MORICHE</v>
          </cell>
          <cell r="K273" t="str">
            <v>85325</v>
          </cell>
          <cell r="L273" t="str">
            <v>SAN LUIS DE PALENQUE</v>
          </cell>
          <cell r="M273" t="str">
            <v>3144801584</v>
          </cell>
        </row>
        <row r="274">
          <cell r="A274">
            <v>6671469</v>
          </cell>
          <cell r="B274" t="str">
            <v>0</v>
          </cell>
          <cell r="C274" t="str">
            <v/>
          </cell>
          <cell r="D274" t="str">
            <v>NP</v>
          </cell>
          <cell r="E274" t="str">
            <v>LUIS OLIVO</v>
          </cell>
          <cell r="F274" t="str">
            <v>LEAL BOHORQUEZ</v>
          </cell>
          <cell r="G274" t="str">
            <v>LEAL BOHORQUEZ LUIS OLIVO</v>
          </cell>
          <cell r="H274" t="str">
            <v>RESI</v>
          </cell>
          <cell r="I274" t="str">
            <v>REGIMEN SIMPLIFICADO</v>
          </cell>
          <cell r="J274" t="str">
            <v>VRD PALESTINA FCA ESCUELA</v>
          </cell>
          <cell r="K274" t="str">
            <v>85325</v>
          </cell>
          <cell r="L274" t="str">
            <v>SAN LUIS DE PALENQUE</v>
          </cell>
          <cell r="M274" t="str">
            <v>3143863527</v>
          </cell>
        </row>
        <row r="275">
          <cell r="A275">
            <v>6671565</v>
          </cell>
          <cell r="B275" t="str">
            <v>1</v>
          </cell>
          <cell r="C275" t="str">
            <v/>
          </cell>
          <cell r="D275" t="str">
            <v>NP</v>
          </cell>
          <cell r="E275" t="str">
            <v>FELIX ANTONIO</v>
          </cell>
          <cell r="F275" t="str">
            <v>ANGEL ALARCON</v>
          </cell>
          <cell r="G275" t="str">
            <v>ANGEL ALARCON FELIX ANTONIO</v>
          </cell>
          <cell r="H275" t="str">
            <v>RESI</v>
          </cell>
          <cell r="I275" t="str">
            <v>REGIMEN SIMPLIFICADO</v>
          </cell>
          <cell r="J275" t="str">
            <v>CR 4   3   06</v>
          </cell>
          <cell r="K275" t="str">
            <v>85430</v>
          </cell>
          <cell r="L275" t="str">
            <v>TRINIDAD</v>
          </cell>
          <cell r="M275" t="str">
            <v>3123780524</v>
          </cell>
        </row>
        <row r="276">
          <cell r="A276">
            <v>6671582</v>
          </cell>
          <cell r="B276" t="str">
            <v>5</v>
          </cell>
          <cell r="C276" t="str">
            <v/>
          </cell>
          <cell r="D276" t="str">
            <v>NP</v>
          </cell>
          <cell r="E276" t="str">
            <v>ORLANDO</v>
          </cell>
          <cell r="F276" t="str">
            <v>MONROY TOBOS</v>
          </cell>
          <cell r="G276" t="str">
            <v>MONROY TOBOS ORLANDO</v>
          </cell>
          <cell r="H276" t="str">
            <v>RECO</v>
          </cell>
          <cell r="I276" t="str">
            <v>REGIMEN COMUN</v>
          </cell>
          <cell r="J276" t="str">
            <v>CR 20   17   76</v>
          </cell>
          <cell r="K276" t="str">
            <v>85001</v>
          </cell>
          <cell r="L276" t="str">
            <v>YOPAL</v>
          </cell>
          <cell r="M276" t="str">
            <v>6343231</v>
          </cell>
        </row>
        <row r="277">
          <cell r="A277">
            <v>6750505</v>
          </cell>
          <cell r="B277" t="str">
            <v>7</v>
          </cell>
          <cell r="C277" t="str">
            <v/>
          </cell>
          <cell r="D277" t="str">
            <v>NP</v>
          </cell>
          <cell r="E277" t="str">
            <v>LUIS ANGEL</v>
          </cell>
          <cell r="F277" t="str">
            <v>BARRERA OCHOA</v>
          </cell>
          <cell r="G277" t="str">
            <v>BARRERA OCHOA LUIS ANGEL</v>
          </cell>
          <cell r="H277" t="str">
            <v>IMVE</v>
          </cell>
          <cell r="I277" t="str">
            <v>IMPUESTO SOBRE LAS VENTAS</v>
          </cell>
          <cell r="J277" t="str">
            <v xml:space="preserve"> CL 78 66 44 UN 13 IN 7 APTDO 313 BRR METROPOLIS</v>
          </cell>
          <cell r="K277" t="str">
            <v>11001</v>
          </cell>
          <cell r="L277" t="str">
            <v>BOGOTA DC</v>
          </cell>
          <cell r="M277" t="str">
            <v>3143351110</v>
          </cell>
        </row>
        <row r="278">
          <cell r="A278">
            <v>6752822</v>
          </cell>
          <cell r="B278" t="str">
            <v>6</v>
          </cell>
          <cell r="C278" t="str">
            <v/>
          </cell>
          <cell r="D278" t="str">
            <v>NP</v>
          </cell>
          <cell r="E278" t="str">
            <v>ERNESTO MARIA</v>
          </cell>
          <cell r="F278" t="str">
            <v>QUINTERO HERRERA</v>
          </cell>
          <cell r="G278" t="str">
            <v>QUINTERO HERRERA ERNESTO MARIA</v>
          </cell>
          <cell r="H278" t="str">
            <v>RESI</v>
          </cell>
          <cell r="I278" t="str">
            <v>REGIMEN SIMPLIFICADO</v>
          </cell>
          <cell r="J278" t="str">
            <v>CR 12  26  13 P2</v>
          </cell>
          <cell r="K278" t="str">
            <v>15001</v>
          </cell>
          <cell r="L278" t="str">
            <v>TUNJA</v>
          </cell>
          <cell r="M278" t="str">
            <v>7406927</v>
          </cell>
        </row>
        <row r="279">
          <cell r="A279">
            <v>6753536</v>
          </cell>
          <cell r="B279" t="str">
            <v>9</v>
          </cell>
          <cell r="C279" t="str">
            <v/>
          </cell>
          <cell r="D279" t="str">
            <v>NP</v>
          </cell>
          <cell r="E279" t="str">
            <v>LUIS FRANCISCO</v>
          </cell>
          <cell r="F279" t="str">
            <v>SANTAMARIA CARVAJAL</v>
          </cell>
          <cell r="G279" t="str">
            <v>SANTAMARIA CARVAJAL LUIS FRANCISCO</v>
          </cell>
          <cell r="H279" t="str">
            <v>RESI</v>
          </cell>
          <cell r="I279" t="str">
            <v>REGIMEN SIMPLIFICADO</v>
          </cell>
          <cell r="J279" t="str">
            <v>CR 9 14 92</v>
          </cell>
          <cell r="K279" t="str">
            <v>15001</v>
          </cell>
          <cell r="L279" t="str">
            <v>TUNJA</v>
          </cell>
          <cell r="M279" t="str">
            <v>3118352986</v>
          </cell>
        </row>
        <row r="280">
          <cell r="A280">
            <v>6755289</v>
          </cell>
          <cell r="B280" t="str">
            <v>3</v>
          </cell>
          <cell r="C280" t="str">
            <v/>
          </cell>
          <cell r="D280" t="str">
            <v>NP</v>
          </cell>
          <cell r="E280" t="str">
            <v>GILBERTO</v>
          </cell>
          <cell r="F280" t="str">
            <v>MUÑOZ TOVAR</v>
          </cell>
          <cell r="G280" t="str">
            <v>MUÑOZ TOVAR GILBERTO</v>
          </cell>
          <cell r="H280" t="str">
            <v>RECO</v>
          </cell>
          <cell r="I280" t="str">
            <v>REGIMEN COMUN</v>
          </cell>
          <cell r="J280" t="str">
            <v>CL 79   5 55</v>
          </cell>
          <cell r="K280" t="str">
            <v>11001</v>
          </cell>
          <cell r="L280" t="str">
            <v>BOGOTA DC</v>
          </cell>
          <cell r="M280" t="str">
            <v>7450045</v>
          </cell>
        </row>
        <row r="281">
          <cell r="A281">
            <v>6756934</v>
          </cell>
          <cell r="B281" t="str">
            <v>0</v>
          </cell>
          <cell r="C281" t="str">
            <v/>
          </cell>
          <cell r="D281" t="str">
            <v>NP</v>
          </cell>
          <cell r="E281" t="str">
            <v>GUILLERMO</v>
          </cell>
          <cell r="F281" t="str">
            <v>SANDOVAL FONSECA</v>
          </cell>
          <cell r="G281" t="str">
            <v>SANDOVAL FONSECA GUILLERMO</v>
          </cell>
          <cell r="H281" t="str">
            <v>RECO</v>
          </cell>
          <cell r="I281" t="str">
            <v>REGIMEN COMUN</v>
          </cell>
          <cell r="J281" t="str">
            <v>CR 1 F 40 149 L C 104 ED MARCA</v>
          </cell>
          <cell r="K281" t="str">
            <v>15001</v>
          </cell>
          <cell r="L281" t="str">
            <v>TUNJA</v>
          </cell>
          <cell r="M281" t="str">
            <v>3142965151</v>
          </cell>
        </row>
        <row r="282">
          <cell r="A282">
            <v>6757457</v>
          </cell>
          <cell r="B282" t="str">
            <v>3</v>
          </cell>
          <cell r="C282" t="str">
            <v/>
          </cell>
          <cell r="D282" t="str">
            <v>NP</v>
          </cell>
          <cell r="E282" t="str">
            <v>JULIO HERNAN</v>
          </cell>
          <cell r="F282" t="str">
            <v>SUAREZ MARTINEZ</v>
          </cell>
          <cell r="G282" t="str">
            <v>SUAREZ MARTINEZ JULIO HERNAN</v>
          </cell>
          <cell r="H282" t="str">
            <v>REOR</v>
          </cell>
          <cell r="I282" t="str">
            <v>RENTA REGIMEN ORDINARIO</v>
          </cell>
          <cell r="J282" t="str">
            <v>CL 14 D 8-06 B EL CONSUELO</v>
          </cell>
          <cell r="K282" t="str">
            <v>15001</v>
          </cell>
          <cell r="L282" t="str">
            <v>TUNJA</v>
          </cell>
          <cell r="M282" t="str">
            <v>3115896952</v>
          </cell>
        </row>
        <row r="283">
          <cell r="A283">
            <v>6757695</v>
          </cell>
          <cell r="B283" t="str">
            <v>1</v>
          </cell>
          <cell r="C283" t="str">
            <v/>
          </cell>
          <cell r="D283" t="str">
            <v>NP</v>
          </cell>
          <cell r="E283" t="str">
            <v xml:space="preserve">MIGUEL </v>
          </cell>
          <cell r="F283" t="str">
            <v>PEREZ LIZARAZO</v>
          </cell>
          <cell r="G283" t="str">
            <v>PEREZ LIZARAZO MIGUEL</v>
          </cell>
          <cell r="H283" t="str">
            <v>RECO</v>
          </cell>
          <cell r="I283" t="str">
            <v>REGIMEN COMUN</v>
          </cell>
          <cell r="J283" t="str">
            <v>CR 18   13 48</v>
          </cell>
          <cell r="K283" t="str">
            <v>15238</v>
          </cell>
          <cell r="L283" t="str">
            <v>DUITAMA</v>
          </cell>
          <cell r="M283" t="str">
            <v>7606749</v>
          </cell>
        </row>
        <row r="284">
          <cell r="A284">
            <v>6758109</v>
          </cell>
          <cell r="B284" t="str">
            <v>1</v>
          </cell>
          <cell r="C284" t="str">
            <v/>
          </cell>
          <cell r="D284" t="str">
            <v>NP</v>
          </cell>
          <cell r="E284" t="str">
            <v>LUIS ALEJANDRO</v>
          </cell>
          <cell r="F284" t="str">
            <v>NEISSA HORNERO</v>
          </cell>
          <cell r="G284" t="str">
            <v>NEISSA HORNERO LUIS ALEJANDRO</v>
          </cell>
          <cell r="H284" t="str">
            <v>RECO</v>
          </cell>
          <cell r="I284" t="str">
            <v>REGIMEN COMUN</v>
          </cell>
          <cell r="J284" t="str">
            <v>CR 22 A  21  17</v>
          </cell>
          <cell r="K284" t="str">
            <v>15516</v>
          </cell>
          <cell r="L284" t="str">
            <v>PAIPA</v>
          </cell>
          <cell r="M284" t="str">
            <v>3144624116</v>
          </cell>
        </row>
        <row r="285">
          <cell r="A285">
            <v>6758588</v>
          </cell>
          <cell r="B285" t="str">
            <v>4</v>
          </cell>
          <cell r="C285" t="str">
            <v/>
          </cell>
          <cell r="D285" t="str">
            <v>NP</v>
          </cell>
          <cell r="E285" t="str">
            <v>MARIO</v>
          </cell>
          <cell r="F285" t="str">
            <v>PEREZ GARCIA</v>
          </cell>
          <cell r="G285" t="str">
            <v>PEREZ GARCIA MARIO</v>
          </cell>
          <cell r="H285" t="str">
            <v>RESI</v>
          </cell>
          <cell r="I285" t="str">
            <v>REGIMEN SIMPLIFICADO</v>
          </cell>
          <cell r="J285" t="str">
            <v>CR 12  14 37</v>
          </cell>
          <cell r="K285" t="str">
            <v>15001</v>
          </cell>
          <cell r="L285" t="str">
            <v>TUNJA</v>
          </cell>
          <cell r="M285" t="str">
            <v>3214187829</v>
          </cell>
        </row>
        <row r="286">
          <cell r="A286">
            <v>6760494</v>
          </cell>
          <cell r="B286" t="str">
            <v/>
          </cell>
          <cell r="C286" t="str">
            <v/>
          </cell>
          <cell r="D286" t="str">
            <v>CC</v>
          </cell>
          <cell r="E286" t="str">
            <v>GABRIEL DE JESUS</v>
          </cell>
          <cell r="F286" t="str">
            <v>CAMACHO SERRANO</v>
          </cell>
          <cell r="G286" t="str">
            <v>GABRIEL DE JESUS CAMACHO SERRANO</v>
          </cell>
          <cell r="H286" t="str">
            <v>FUNC</v>
          </cell>
          <cell r="I286" t="str">
            <v>FUNCIONARIO</v>
          </cell>
          <cell r="J286" t="str">
            <v>CL 20 A   22   20</v>
          </cell>
          <cell r="K286" t="str">
            <v>15516</v>
          </cell>
          <cell r="L286" t="str">
            <v>PAIPA</v>
          </cell>
          <cell r="M286" t="str">
            <v>7617026</v>
          </cell>
        </row>
        <row r="287">
          <cell r="A287">
            <v>6761389</v>
          </cell>
          <cell r="B287" t="str">
            <v>6</v>
          </cell>
          <cell r="C287" t="str">
            <v/>
          </cell>
          <cell r="D287" t="str">
            <v>NP</v>
          </cell>
          <cell r="E287" t="str">
            <v>LUIS FERNANDO</v>
          </cell>
          <cell r="F287" t="str">
            <v>GUERRERO RONCANCIO</v>
          </cell>
          <cell r="G287" t="str">
            <v>GUERRERO RONCANCIO LUIS FERNANDO</v>
          </cell>
          <cell r="H287" t="str">
            <v>RESI</v>
          </cell>
          <cell r="I287" t="str">
            <v>REGIMEN SIMPLIFICADO</v>
          </cell>
          <cell r="J287" t="str">
            <v>TV 11 10 84</v>
          </cell>
          <cell r="K287" t="str">
            <v>15001</v>
          </cell>
          <cell r="L287" t="str">
            <v>TUNJA</v>
          </cell>
          <cell r="M287" t="str">
            <v>3142379157</v>
          </cell>
        </row>
        <row r="288">
          <cell r="A288">
            <v>6763578</v>
          </cell>
          <cell r="B288" t="str">
            <v/>
          </cell>
          <cell r="C288" t="str">
            <v/>
          </cell>
          <cell r="D288" t="str">
            <v>CC</v>
          </cell>
          <cell r="E288" t="str">
            <v>HENRY ORLANDO</v>
          </cell>
          <cell r="F288" t="str">
            <v>BUITRAGO ORTEGA</v>
          </cell>
          <cell r="G288" t="str">
            <v>BUITRAGO ORTEGA HENRY ORLANDO</v>
          </cell>
          <cell r="H288" t="str">
            <v>RECO</v>
          </cell>
          <cell r="I288" t="str">
            <v>REGIMEN COMUN</v>
          </cell>
          <cell r="J288" t="str">
            <v>CR 10   77   88</v>
          </cell>
          <cell r="K288" t="str">
            <v>15001</v>
          </cell>
          <cell r="L288" t="str">
            <v>TUNJA</v>
          </cell>
          <cell r="M288" t="str">
            <v>7433512</v>
          </cell>
        </row>
        <row r="289">
          <cell r="A289">
            <v>6768711</v>
          </cell>
          <cell r="B289" t="str">
            <v/>
          </cell>
          <cell r="C289" t="str">
            <v/>
          </cell>
          <cell r="D289" t="str">
            <v>CC</v>
          </cell>
          <cell r="E289" t="str">
            <v>GUILLERMO MARTIN</v>
          </cell>
          <cell r="F289" t="str">
            <v>DIAZ ALFONSO</v>
          </cell>
          <cell r="G289" t="str">
            <v>DIAZ ALFONSO GUILLERMO MARTIN</v>
          </cell>
          <cell r="H289" t="str">
            <v>FUNC</v>
          </cell>
          <cell r="I289" t="str">
            <v>FUNCIONARIO</v>
          </cell>
          <cell r="J289" t="str">
            <v>CAALLE 21 No 33-249 DUITAMA</v>
          </cell>
          <cell r="K289" t="str">
            <v>15238</v>
          </cell>
          <cell r="L289" t="str">
            <v>DUITAMA</v>
          </cell>
          <cell r="M289" t="str">
            <v>3193376817</v>
          </cell>
        </row>
        <row r="290">
          <cell r="A290">
            <v>6768778</v>
          </cell>
          <cell r="B290" t="str">
            <v>1</v>
          </cell>
          <cell r="C290" t="str">
            <v/>
          </cell>
          <cell r="D290" t="str">
            <v>NP</v>
          </cell>
          <cell r="E290" t="str">
            <v>SAMUEL</v>
          </cell>
          <cell r="F290" t="str">
            <v>LOZANO BARON</v>
          </cell>
          <cell r="G290" t="str">
            <v>LOZANO BARON SAMUEL</v>
          </cell>
          <cell r="H290" t="str">
            <v>RESI</v>
          </cell>
          <cell r="I290" t="str">
            <v>REGIMEN SIMPLIFICADO</v>
          </cell>
          <cell r="J290" t="str">
            <v xml:space="preserve"> CR 17 A  175 82 TORRE 5 AP 103</v>
          </cell>
          <cell r="K290" t="str">
            <v>11001</v>
          </cell>
          <cell r="L290" t="str">
            <v>BOGOTA DC</v>
          </cell>
          <cell r="M290" t="str">
            <v>3002136492</v>
          </cell>
        </row>
        <row r="291">
          <cell r="A291">
            <v>6769297</v>
          </cell>
          <cell r="B291" t="str">
            <v>3</v>
          </cell>
          <cell r="C291" t="str">
            <v/>
          </cell>
          <cell r="D291" t="str">
            <v>NP</v>
          </cell>
          <cell r="E291" t="str">
            <v xml:space="preserve">CAMILO </v>
          </cell>
          <cell r="F291" t="str">
            <v>MARQUEZ PINZON</v>
          </cell>
          <cell r="G291" t="str">
            <v>CAMILO MARQUEZ PINZON</v>
          </cell>
          <cell r="H291" t="str">
            <v>RESI</v>
          </cell>
          <cell r="I291" t="str">
            <v>REGIMEN SIMPLIFICADO</v>
          </cell>
          <cell r="J291" t="str">
            <v xml:space="preserve"> CL 14  12 39 AP 901</v>
          </cell>
          <cell r="K291" t="str">
            <v>15759</v>
          </cell>
          <cell r="L291" t="str">
            <v>SOGAMOSO</v>
          </cell>
          <cell r="M291" t="str">
            <v>7750469</v>
          </cell>
        </row>
        <row r="292">
          <cell r="A292">
            <v>6770051</v>
          </cell>
          <cell r="B292" t="str">
            <v>0</v>
          </cell>
          <cell r="C292" t="str">
            <v/>
          </cell>
          <cell r="D292" t="str">
            <v>NP</v>
          </cell>
          <cell r="E292" t="str">
            <v>ALFONSO ANTONIO</v>
          </cell>
          <cell r="F292" t="str">
            <v>BORDA GUERRA</v>
          </cell>
          <cell r="G292" t="str">
            <v>BORDA GUERRA ALFONSO ANTONIO</v>
          </cell>
          <cell r="H292" t="str">
            <v>RECO</v>
          </cell>
          <cell r="I292" t="str">
            <v>REGIMEN COMUN</v>
          </cell>
          <cell r="J292" t="str">
            <v xml:space="preserve"> CR 14  77 A  61 AP 1101</v>
          </cell>
          <cell r="K292" t="str">
            <v>11001</v>
          </cell>
          <cell r="L292" t="str">
            <v>BOGOTA DC</v>
          </cell>
          <cell r="M292" t="str">
            <v>5303765</v>
          </cell>
        </row>
        <row r="293">
          <cell r="A293">
            <v>6770232</v>
          </cell>
          <cell r="B293" t="str">
            <v>7</v>
          </cell>
          <cell r="C293" t="str">
            <v/>
          </cell>
          <cell r="D293" t="str">
            <v>NP</v>
          </cell>
          <cell r="E293" t="str">
            <v>PARMENIO</v>
          </cell>
          <cell r="F293" t="str">
            <v>ABRIL BENAVIDES</v>
          </cell>
          <cell r="G293" t="str">
            <v>ABRIL BENAVIDES PARMENIO</v>
          </cell>
          <cell r="H293" t="str">
            <v>RESI</v>
          </cell>
          <cell r="I293" t="str">
            <v>REGIMEN SIMPLIFICADO</v>
          </cell>
          <cell r="J293" t="str">
            <v>KM 103 VIA A BOGOTA</v>
          </cell>
          <cell r="K293" t="str">
            <v>15001</v>
          </cell>
          <cell r="L293" t="str">
            <v>TUNJA</v>
          </cell>
          <cell r="M293" t="str">
            <v>3202084502</v>
          </cell>
        </row>
        <row r="294">
          <cell r="A294">
            <v>6770992</v>
          </cell>
          <cell r="B294" t="str">
            <v/>
          </cell>
          <cell r="C294" t="str">
            <v/>
          </cell>
          <cell r="D294" t="str">
            <v>CC</v>
          </cell>
          <cell r="E294" t="str">
            <v>LUIS RICARDO</v>
          </cell>
          <cell r="F294" t="str">
            <v>MORENO CASTRO</v>
          </cell>
          <cell r="G294" t="str">
            <v>LUIS RICARDO MORENO CASTRO</v>
          </cell>
          <cell r="H294" t="str">
            <v>FUNC</v>
          </cell>
          <cell r="I294" t="str">
            <v>FUNCIONARIO</v>
          </cell>
          <cell r="J294" t="str">
            <v>CL 15   12 B 04</v>
          </cell>
          <cell r="K294" t="str">
            <v>15516</v>
          </cell>
          <cell r="L294" t="str">
            <v>PAIPA</v>
          </cell>
          <cell r="M294" t="str">
            <v>7443093</v>
          </cell>
        </row>
        <row r="295">
          <cell r="A295">
            <v>6772586</v>
          </cell>
          <cell r="B295" t="str">
            <v>8</v>
          </cell>
          <cell r="C295" t="str">
            <v/>
          </cell>
          <cell r="D295" t="str">
            <v>NP</v>
          </cell>
          <cell r="E295" t="str">
            <v>WILLIAM JAVIER</v>
          </cell>
          <cell r="F295" t="str">
            <v>HERNANDEZ GAMA</v>
          </cell>
          <cell r="G295" t="str">
            <v>HERNANDEZ GAMA WILLIAM JAVIER</v>
          </cell>
          <cell r="H295" t="str">
            <v>RESI</v>
          </cell>
          <cell r="I295" t="str">
            <v>REGIMEN SIMPLIFICADO</v>
          </cell>
          <cell r="J295" t="str">
            <v>CL 18 13 63</v>
          </cell>
          <cell r="K295" t="str">
            <v>15001</v>
          </cell>
          <cell r="L295" t="str">
            <v>TUNJA</v>
          </cell>
          <cell r="M295" t="str">
            <v>7423739</v>
          </cell>
        </row>
        <row r="296">
          <cell r="A296">
            <v>6772843</v>
          </cell>
          <cell r="B296" t="str">
            <v>6</v>
          </cell>
          <cell r="C296" t="str">
            <v/>
          </cell>
          <cell r="D296" t="str">
            <v>NP</v>
          </cell>
          <cell r="E296" t="str">
            <v>JOSE CRISOSTOMO</v>
          </cell>
          <cell r="F296" t="str">
            <v>ECHEVARRIA VANEJAS</v>
          </cell>
          <cell r="G296" t="str">
            <v>JOSE CRISOSTOMO ECHEVARRIA VANEGAS</v>
          </cell>
          <cell r="H296" t="str">
            <v>RESI</v>
          </cell>
          <cell r="I296" t="str">
            <v>REGIMEN SIMPLIFICADO</v>
          </cell>
          <cell r="J296" t="str">
            <v xml:space="preserve">VDA LOS PIJAOS CUCAITA                  </v>
          </cell>
          <cell r="K296" t="str">
            <v>15001</v>
          </cell>
          <cell r="L296" t="str">
            <v>TUNJA</v>
          </cell>
          <cell r="M296" t="str">
            <v>3115750366</v>
          </cell>
        </row>
        <row r="297">
          <cell r="A297">
            <v>6773619</v>
          </cell>
          <cell r="B297" t="str">
            <v/>
          </cell>
          <cell r="C297" t="str">
            <v/>
          </cell>
          <cell r="D297" t="str">
            <v>CC</v>
          </cell>
          <cell r="E297" t="str">
            <v>PEDRO</v>
          </cell>
          <cell r="F297" t="str">
            <v>PIRAZAN FONTECHA</v>
          </cell>
          <cell r="G297" t="str">
            <v>PIRAZAN FONTECHA PEDRO</v>
          </cell>
          <cell r="H297" t="str">
            <v>FUNC</v>
          </cell>
          <cell r="I297" t="str">
            <v>FUNCIONARIO</v>
          </cell>
          <cell r="J297" t="str">
            <v>CARRERA 17 No 12-05 SOGAMOSO</v>
          </cell>
          <cell r="K297" t="str">
            <v>15759</v>
          </cell>
          <cell r="L297" t="str">
            <v>SOGAMOSO</v>
          </cell>
          <cell r="M297" t="str">
            <v>3123370068</v>
          </cell>
        </row>
        <row r="298">
          <cell r="A298">
            <v>6773727</v>
          </cell>
          <cell r="B298" t="str">
            <v/>
          </cell>
          <cell r="C298" t="str">
            <v/>
          </cell>
          <cell r="D298" t="str">
            <v>CC</v>
          </cell>
          <cell r="E298" t="str">
            <v>JUAN CARLOS</v>
          </cell>
          <cell r="F298" t="str">
            <v>NINO NAVAS</v>
          </cell>
          <cell r="G298" t="str">
            <v>NINO NAVAS JUAN CARLOS</v>
          </cell>
          <cell r="H298" t="str">
            <v>FUNC</v>
          </cell>
          <cell r="I298" t="str">
            <v>FUNCIONARIO</v>
          </cell>
          <cell r="J298" t="str">
            <v>PAIPA</v>
          </cell>
          <cell r="K298" t="str">
            <v>15516</v>
          </cell>
          <cell r="L298" t="str">
            <v>PAIPA</v>
          </cell>
          <cell r="M298" t="str">
            <v>3212072427</v>
          </cell>
        </row>
        <row r="299">
          <cell r="A299">
            <v>6774921</v>
          </cell>
          <cell r="B299" t="str">
            <v/>
          </cell>
          <cell r="C299" t="str">
            <v/>
          </cell>
          <cell r="D299" t="str">
            <v>CC</v>
          </cell>
          <cell r="E299" t="str">
            <v>HENRY</v>
          </cell>
          <cell r="F299" t="str">
            <v>SOSA MERCHAN</v>
          </cell>
          <cell r="G299" t="str">
            <v>SOSA MERCHAN HENRY</v>
          </cell>
          <cell r="H299" t="str">
            <v>FUNC</v>
          </cell>
          <cell r="I299" t="str">
            <v>FUNCIONARIO</v>
          </cell>
          <cell r="J299" t="str">
            <v>CALLE 13 No 12-73 LAS AMERICAS</v>
          </cell>
          <cell r="K299" t="str">
            <v>15001</v>
          </cell>
          <cell r="L299" t="str">
            <v>TUNJA</v>
          </cell>
          <cell r="M299" t="str">
            <v>3112583265</v>
          </cell>
        </row>
        <row r="300">
          <cell r="A300">
            <v>6775694</v>
          </cell>
          <cell r="B300" t="str">
            <v>9</v>
          </cell>
          <cell r="C300" t="str">
            <v/>
          </cell>
          <cell r="D300" t="str">
            <v>NP</v>
          </cell>
          <cell r="E300" t="str">
            <v>WILLIAM JAVIER</v>
          </cell>
          <cell r="F300" t="str">
            <v>SANCHEZ MATAMOROS</v>
          </cell>
          <cell r="G300" t="str">
            <v>SANCHEZ MATAMOROS WILLIAM JAVIER</v>
          </cell>
          <cell r="H300" t="str">
            <v>RECO</v>
          </cell>
          <cell r="I300" t="str">
            <v>REGIMEN COMUN</v>
          </cell>
          <cell r="J300" t="str">
            <v>CR  2 32 49 torre 1 apto 501</v>
          </cell>
          <cell r="K300" t="str">
            <v>15001</v>
          </cell>
          <cell r="L300" t="str">
            <v>TUNJA</v>
          </cell>
          <cell r="M300" t="str">
            <v>3102144489</v>
          </cell>
        </row>
        <row r="301">
          <cell r="A301">
            <v>6776061</v>
          </cell>
          <cell r="B301" t="str">
            <v>1</v>
          </cell>
          <cell r="C301" t="str">
            <v/>
          </cell>
          <cell r="D301" t="str">
            <v>NP</v>
          </cell>
          <cell r="E301" t="str">
            <v>JAHIR HUMBERTO</v>
          </cell>
          <cell r="F301" t="str">
            <v>BERNAL  SEPULVEDA</v>
          </cell>
          <cell r="G301" t="str">
            <v>BERNAL  SEPULVEDA JAHIR HUMBERTO</v>
          </cell>
          <cell r="H301" t="str">
            <v>RESI</v>
          </cell>
          <cell r="I301" t="str">
            <v>REGIMEN SIMPLIFICADO</v>
          </cell>
          <cell r="J301" t="str">
            <v>CR 11 17 72</v>
          </cell>
          <cell r="K301" t="str">
            <v>15001</v>
          </cell>
          <cell r="L301" t="str">
            <v>TUNJA</v>
          </cell>
          <cell r="M301" t="str">
            <v>7436545</v>
          </cell>
        </row>
        <row r="302">
          <cell r="A302">
            <v>6885889</v>
          </cell>
          <cell r="B302" t="str">
            <v>1</v>
          </cell>
          <cell r="C302" t="str">
            <v/>
          </cell>
          <cell r="D302" t="str">
            <v>NP</v>
          </cell>
          <cell r="E302" t="str">
            <v>JOSE ABRAHAM</v>
          </cell>
          <cell r="F302" t="str">
            <v>GONZALEZ CARCAMO</v>
          </cell>
          <cell r="G302" t="str">
            <v>GONZALEZ CARCAMO JOSE ABRAHAM</v>
          </cell>
          <cell r="H302" t="str">
            <v>NORE</v>
          </cell>
          <cell r="I302" t="str">
            <v>NO RESPONSABLE DE IVA</v>
          </cell>
          <cell r="J302" t="str">
            <v>CL 62 A NORTE AV 2 A 68 BL J AP 404</v>
          </cell>
          <cell r="K302" t="str">
            <v>76001</v>
          </cell>
          <cell r="L302" t="str">
            <v>CALI</v>
          </cell>
          <cell r="M302" t="str">
            <v>3006114484</v>
          </cell>
        </row>
        <row r="303">
          <cell r="A303">
            <v>6886717</v>
          </cell>
          <cell r="B303" t="str">
            <v>6</v>
          </cell>
          <cell r="C303" t="str">
            <v/>
          </cell>
          <cell r="D303" t="str">
            <v>NP</v>
          </cell>
          <cell r="E303" t="str">
            <v>LUIS ALFONSO</v>
          </cell>
          <cell r="F303" t="str">
            <v>ECHEVERRY</v>
          </cell>
          <cell r="G303" t="str">
            <v>ECHEVERRY LUIS ALFONSO</v>
          </cell>
          <cell r="H303" t="str">
            <v>RECO</v>
          </cell>
          <cell r="I303" t="str">
            <v>REGIMEN COMUN</v>
          </cell>
          <cell r="J303" t="str">
            <v xml:space="preserve">CR 23 N 64 B 33                    </v>
          </cell>
          <cell r="K303" t="str">
            <v>17001</v>
          </cell>
          <cell r="L303" t="str">
            <v>MANIZALES</v>
          </cell>
          <cell r="M303" t="str">
            <v>3205681047</v>
          </cell>
        </row>
        <row r="304">
          <cell r="A304">
            <v>6894856</v>
          </cell>
          <cell r="B304" t="str">
            <v/>
          </cell>
          <cell r="C304" t="str">
            <v/>
          </cell>
          <cell r="D304" t="str">
            <v>CC</v>
          </cell>
          <cell r="E304" t="str">
            <v>RAFAEL DARIO</v>
          </cell>
          <cell r="F304" t="str">
            <v>POSADA VERTEL</v>
          </cell>
          <cell r="G304" t="str">
            <v>POSADA VERTEL RAFAEL DARIO</v>
          </cell>
          <cell r="H304" t="str">
            <v>RESI</v>
          </cell>
          <cell r="I304" t="str">
            <v>REGIMEN SIMPLIFICADO</v>
          </cell>
          <cell r="J304" t="str">
            <v>XX</v>
          </cell>
          <cell r="K304" t="str">
            <v>23580</v>
          </cell>
          <cell r="L304" t="str">
            <v>PUERTO LIBERTADOR</v>
          </cell>
          <cell r="M304" t="str">
            <v>XX</v>
          </cell>
        </row>
        <row r="305">
          <cell r="A305">
            <v>7015002</v>
          </cell>
          <cell r="B305" t="str">
            <v>6</v>
          </cell>
          <cell r="C305" t="str">
            <v/>
          </cell>
          <cell r="D305" t="str">
            <v>NP</v>
          </cell>
          <cell r="E305" t="str">
            <v>HILDEBRANDO</v>
          </cell>
          <cell r="F305" t="str">
            <v>CORREA PADILLA</v>
          </cell>
          <cell r="G305" t="str">
            <v>CORREA PADILLA HILDEBRANDO</v>
          </cell>
          <cell r="H305" t="str">
            <v>REOR</v>
          </cell>
          <cell r="I305" t="str">
            <v>RENTA REGIMEN ORDINARIO</v>
          </cell>
          <cell r="J305" t="str">
            <v>CL 22   23   18 P 1 BL B AP 202</v>
          </cell>
          <cell r="K305" t="str">
            <v>85001</v>
          </cell>
          <cell r="L305" t="str">
            <v>YOPAL</v>
          </cell>
          <cell r="M305" t="str">
            <v>3208312402</v>
          </cell>
        </row>
        <row r="306">
          <cell r="A306">
            <v>7133005</v>
          </cell>
          <cell r="B306" t="str">
            <v>3</v>
          </cell>
          <cell r="C306" t="str">
            <v/>
          </cell>
          <cell r="D306" t="str">
            <v>NP</v>
          </cell>
          <cell r="E306" t="str">
            <v>JULIO</v>
          </cell>
          <cell r="F306" t="str">
            <v>SERRANO GONZALEZ</v>
          </cell>
          <cell r="G306" t="str">
            <v>SERRANO GONZALEZ JULIO</v>
          </cell>
          <cell r="H306" t="str">
            <v>RECO</v>
          </cell>
          <cell r="I306" t="str">
            <v>REGIMEN COMUN</v>
          </cell>
          <cell r="J306" t="str">
            <v>CR 35 26 A 20 BRR NUEVO MAIZARO</v>
          </cell>
          <cell r="K306" t="str">
            <v>50001</v>
          </cell>
          <cell r="L306" t="str">
            <v>VILLAVICENCIO</v>
          </cell>
          <cell r="M306" t="str">
            <v>6704060</v>
          </cell>
        </row>
        <row r="307">
          <cell r="A307">
            <v>7161421</v>
          </cell>
          <cell r="B307" t="str">
            <v>3</v>
          </cell>
          <cell r="C307" t="str">
            <v/>
          </cell>
          <cell r="D307" t="str">
            <v>NP</v>
          </cell>
          <cell r="E307" t="str">
            <v>OMAR ALFONSO</v>
          </cell>
          <cell r="F307" t="str">
            <v>RODRIGUEZ BELTRAN</v>
          </cell>
          <cell r="G307" t="str">
            <v>RODRIGUEZ BELTRAN OMAR ALFONSO</v>
          </cell>
          <cell r="H307" t="str">
            <v>RESI</v>
          </cell>
          <cell r="I307" t="str">
            <v>REGIMEN SIMPLIFICADO</v>
          </cell>
          <cell r="J307" t="str">
            <v>CL 36 B 16 D 86 BRR LA CALLEJA</v>
          </cell>
          <cell r="K307" t="str">
            <v>15001</v>
          </cell>
          <cell r="L307" t="str">
            <v>TUNJA</v>
          </cell>
          <cell r="M307" t="str">
            <v>3124487058</v>
          </cell>
        </row>
        <row r="308">
          <cell r="A308">
            <v>7161645</v>
          </cell>
          <cell r="B308" t="str">
            <v>6</v>
          </cell>
          <cell r="C308" t="str">
            <v/>
          </cell>
          <cell r="D308" t="str">
            <v>NP</v>
          </cell>
          <cell r="E308" t="str">
            <v>JAIME HERNAN</v>
          </cell>
          <cell r="F308" t="str">
            <v>VELANDIA ALFONSO</v>
          </cell>
          <cell r="G308" t="str">
            <v>VELANDIA ALFONSO JAIME HERNAN</v>
          </cell>
          <cell r="H308" t="str">
            <v>RECO</v>
          </cell>
          <cell r="I308" t="str">
            <v>REGIMEN COMUN</v>
          </cell>
          <cell r="J308" t="str">
            <v>CR 17 14 57</v>
          </cell>
          <cell r="K308" t="str">
            <v>15238</v>
          </cell>
          <cell r="L308" t="str">
            <v>DUITAMA</v>
          </cell>
          <cell r="M308" t="str">
            <v>31224481262</v>
          </cell>
        </row>
        <row r="309">
          <cell r="A309">
            <v>7163653</v>
          </cell>
          <cell r="B309" t="str">
            <v/>
          </cell>
          <cell r="C309" t="str">
            <v/>
          </cell>
          <cell r="D309" t="str">
            <v>CC</v>
          </cell>
          <cell r="E309" t="str">
            <v>JUAN MANUEL</v>
          </cell>
          <cell r="F309" t="str">
            <v>CASTRO ESPINOSA</v>
          </cell>
          <cell r="G309" t="str">
            <v>CASTRO ESPINOSA JUAN MANUEL</v>
          </cell>
          <cell r="H309" t="str">
            <v>FUNC</v>
          </cell>
          <cell r="I309" t="str">
            <v>FUNCIONARIO</v>
          </cell>
          <cell r="J309" t="str">
            <v>TV 29 13 A 27 AP 201</v>
          </cell>
          <cell r="K309" t="str">
            <v>15238</v>
          </cell>
          <cell r="L309" t="str">
            <v>DUITAMA</v>
          </cell>
          <cell r="M309" t="str">
            <v>0000</v>
          </cell>
        </row>
        <row r="310">
          <cell r="A310">
            <v>7168116</v>
          </cell>
          <cell r="B310" t="str">
            <v>3</v>
          </cell>
          <cell r="C310" t="str">
            <v/>
          </cell>
          <cell r="D310" t="str">
            <v>NP</v>
          </cell>
          <cell r="E310" t="str">
            <v>ORLANDO</v>
          </cell>
          <cell r="F310" t="str">
            <v>GRIJALBA RODRIGUEZ</v>
          </cell>
          <cell r="G310" t="str">
            <v>GRIJALBA RODRIGUEZ ORLANDO</v>
          </cell>
          <cell r="H310" t="str">
            <v>REOR</v>
          </cell>
          <cell r="I310" t="str">
            <v>RENTA REGIMEN ORDINARIO</v>
          </cell>
          <cell r="J310" t="str">
            <v>VRD MORAL MINA CARBON</v>
          </cell>
          <cell r="K310" t="str">
            <v>15187</v>
          </cell>
          <cell r="L310" t="str">
            <v>CHIVATÁ</v>
          </cell>
          <cell r="M310" t="str">
            <v>3183118560</v>
          </cell>
        </row>
        <row r="311">
          <cell r="A311">
            <v>7168355</v>
          </cell>
          <cell r="B311" t="str">
            <v>7</v>
          </cell>
          <cell r="C311" t="str">
            <v/>
          </cell>
          <cell r="D311" t="str">
            <v>NP</v>
          </cell>
          <cell r="E311" t="str">
            <v>WILLIAM HERNAN</v>
          </cell>
          <cell r="F311" t="str">
            <v>BARON MONGUI</v>
          </cell>
          <cell r="G311" t="str">
            <v>BARON MONGUI WILLIAM HERNAN</v>
          </cell>
          <cell r="H311" t="str">
            <v>RESI</v>
          </cell>
          <cell r="I311" t="str">
            <v>REGIMEN SIMPLIFICADO</v>
          </cell>
          <cell r="J311" t="str">
            <v>CR 7  8  231</v>
          </cell>
          <cell r="K311" t="str">
            <v>15837</v>
          </cell>
          <cell r="L311" t="str">
            <v>TUTA</v>
          </cell>
          <cell r="M311" t="str">
            <v>3105760920</v>
          </cell>
        </row>
        <row r="312">
          <cell r="A312">
            <v>7168827</v>
          </cell>
          <cell r="B312" t="str">
            <v/>
          </cell>
          <cell r="C312" t="str">
            <v/>
          </cell>
          <cell r="D312" t="str">
            <v>CC</v>
          </cell>
          <cell r="E312" t="str">
            <v>GIOVANNY HERNANDO</v>
          </cell>
          <cell r="F312" t="str">
            <v>SANCHEZ PINEDA</v>
          </cell>
          <cell r="G312" t="str">
            <v>SANCHEZ PINEDA GIOVANNY HERNANDO</v>
          </cell>
          <cell r="H312" t="str">
            <v>FUNC</v>
          </cell>
          <cell r="I312" t="str">
            <v>FUNCIONARIO</v>
          </cell>
          <cell r="J312" t="str">
            <v>CR 23 N 1 A 57 SUR</v>
          </cell>
          <cell r="K312" t="str">
            <v>15759</v>
          </cell>
          <cell r="L312" t="str">
            <v>SOGAMOSO</v>
          </cell>
          <cell r="M312" t="str">
            <v>3112154858</v>
          </cell>
        </row>
        <row r="313">
          <cell r="A313">
            <v>7171455</v>
          </cell>
          <cell r="B313" t="str">
            <v>6</v>
          </cell>
          <cell r="C313" t="str">
            <v/>
          </cell>
          <cell r="D313" t="str">
            <v>NP</v>
          </cell>
          <cell r="E313" t="str">
            <v>CARLOS HERNAN</v>
          </cell>
          <cell r="F313" t="str">
            <v>VARGAS WILCHES</v>
          </cell>
          <cell r="G313" t="str">
            <v>CARLOS HERNAN VARGAS WILCHES</v>
          </cell>
          <cell r="H313" t="str">
            <v>RECO</v>
          </cell>
          <cell r="I313" t="str">
            <v>REGIMEN COMUN</v>
          </cell>
          <cell r="J313" t="str">
            <v>CR 11 9 13</v>
          </cell>
          <cell r="K313" t="str">
            <v>15001</v>
          </cell>
          <cell r="L313" t="str">
            <v>TUNJA</v>
          </cell>
          <cell r="M313" t="str">
            <v>3112157610</v>
          </cell>
        </row>
        <row r="314">
          <cell r="A314">
            <v>7174205</v>
          </cell>
          <cell r="B314" t="str">
            <v>5</v>
          </cell>
          <cell r="C314" t="str">
            <v/>
          </cell>
          <cell r="D314" t="str">
            <v>NP</v>
          </cell>
          <cell r="E314" t="str">
            <v>ALEX DAVID</v>
          </cell>
          <cell r="F314" t="str">
            <v>DUEÑAS Q</v>
          </cell>
          <cell r="G314" t="str">
            <v>DUEÑAS Q ALEX DAVID</v>
          </cell>
          <cell r="H314" t="str">
            <v>RECO</v>
          </cell>
          <cell r="I314" t="str">
            <v>REGIMEN COMUN</v>
          </cell>
          <cell r="J314" t="str">
            <v>PL L 148</v>
          </cell>
          <cell r="K314" t="str">
            <v>15001</v>
          </cell>
          <cell r="L314" t="str">
            <v>TUNJA</v>
          </cell>
          <cell r="M314" t="str">
            <v>3005696565</v>
          </cell>
        </row>
        <row r="315">
          <cell r="A315">
            <v>7177594</v>
          </cell>
          <cell r="B315" t="str">
            <v>9</v>
          </cell>
          <cell r="C315" t="str">
            <v/>
          </cell>
          <cell r="D315" t="str">
            <v>NP</v>
          </cell>
          <cell r="E315" t="str">
            <v>CARLOS ALFREDO</v>
          </cell>
          <cell r="F315" t="str">
            <v>MORENO OCHOA</v>
          </cell>
          <cell r="G315" t="str">
            <v>MORENO OCHOA CARLOS ALFREDO</v>
          </cell>
          <cell r="H315" t="str">
            <v>RESI</v>
          </cell>
          <cell r="I315" t="str">
            <v>REGIMEN SIMPLIFICADO</v>
          </cell>
          <cell r="J315" t="str">
            <v>CL 73  2 F  22 AP 201</v>
          </cell>
          <cell r="K315" t="str">
            <v>15001</v>
          </cell>
          <cell r="L315" t="str">
            <v>TUNJA</v>
          </cell>
          <cell r="M315" t="str">
            <v>3133615860</v>
          </cell>
        </row>
        <row r="316">
          <cell r="A316">
            <v>7179234</v>
          </cell>
          <cell r="B316" t="str">
            <v>1</v>
          </cell>
          <cell r="C316" t="str">
            <v/>
          </cell>
          <cell r="D316" t="str">
            <v>NP</v>
          </cell>
          <cell r="E316" t="str">
            <v>CRISTIAN FERNANDO</v>
          </cell>
          <cell r="F316" t="str">
            <v>HAMON OVALLES</v>
          </cell>
          <cell r="G316" t="str">
            <v>HAMON OVALLES CRISTIAN FERNANDO</v>
          </cell>
          <cell r="H316" t="str">
            <v>RESI</v>
          </cell>
          <cell r="I316" t="str">
            <v>REGIMEN SIMPLIFICADO</v>
          </cell>
          <cell r="J316" t="str">
            <v>CL 19  8 63</v>
          </cell>
          <cell r="K316" t="str">
            <v>15001</v>
          </cell>
          <cell r="L316" t="str">
            <v>TUNJA</v>
          </cell>
          <cell r="M316" t="str">
            <v>3165596618</v>
          </cell>
        </row>
        <row r="317">
          <cell r="A317">
            <v>7184924</v>
          </cell>
          <cell r="B317" t="str">
            <v/>
          </cell>
          <cell r="C317" t="str">
            <v/>
          </cell>
          <cell r="D317" t="str">
            <v>CC</v>
          </cell>
          <cell r="E317" t="str">
            <v>JAIR CAMILO</v>
          </cell>
          <cell r="F317" t="str">
            <v>CEPEDA MARQUEZ</v>
          </cell>
          <cell r="G317" t="str">
            <v>CEPEDA MARQUEZ JAIR CAMILO</v>
          </cell>
          <cell r="H317" t="str">
            <v>RESI</v>
          </cell>
          <cell r="I317" t="str">
            <v>REGIMEN SIMPLIFICADO</v>
          </cell>
          <cell r="J317" t="str">
            <v>MCP SOGAMOSO</v>
          </cell>
          <cell r="K317" t="str">
            <v>15759</v>
          </cell>
          <cell r="L317" t="str">
            <v>SOGAMOSO</v>
          </cell>
          <cell r="M317" t="str">
            <v>SIN NRO</v>
          </cell>
        </row>
        <row r="318">
          <cell r="A318">
            <v>7185333</v>
          </cell>
          <cell r="B318" t="str">
            <v/>
          </cell>
          <cell r="C318" t="str">
            <v/>
          </cell>
          <cell r="D318" t="str">
            <v>CC</v>
          </cell>
          <cell r="E318" t="str">
            <v>JHON JAIRO</v>
          </cell>
          <cell r="F318" t="str">
            <v>RAMIREZ CASTELLANOS</v>
          </cell>
          <cell r="G318" t="str">
            <v>RAMIREZ CASTELLANOS JHON JAIRO</v>
          </cell>
          <cell r="H318" t="str">
            <v>FUNC</v>
          </cell>
          <cell r="I318" t="str">
            <v>FUNCIONARIO</v>
          </cell>
          <cell r="J318" t="str">
            <v>CL 12   18   19 CEN</v>
          </cell>
          <cell r="K318" t="str">
            <v>17001</v>
          </cell>
          <cell r="L318" t="str">
            <v>MANIZALES</v>
          </cell>
          <cell r="M318" t="str">
            <v>3144492523</v>
          </cell>
        </row>
        <row r="319">
          <cell r="A319">
            <v>7186837</v>
          </cell>
          <cell r="B319" t="str">
            <v>1</v>
          </cell>
          <cell r="C319" t="str">
            <v/>
          </cell>
          <cell r="D319" t="str">
            <v>NP</v>
          </cell>
          <cell r="E319" t="str">
            <v>MIGUEL ANGEL</v>
          </cell>
          <cell r="F319" t="str">
            <v>LEON ROJAS</v>
          </cell>
          <cell r="G319" t="str">
            <v>LEON ROJAS MIGUEL ANGEL</v>
          </cell>
          <cell r="H319" t="str">
            <v>NORE</v>
          </cell>
          <cell r="I319" t="str">
            <v>NO RESPONSABLE DE IVA</v>
          </cell>
          <cell r="J319" t="str">
            <v>CR 13 9 95</v>
          </cell>
          <cell r="K319" t="str">
            <v>15001</v>
          </cell>
          <cell r="L319" t="str">
            <v>TUNJA</v>
          </cell>
          <cell r="M319" t="str">
            <v>3103252942</v>
          </cell>
        </row>
        <row r="320">
          <cell r="A320">
            <v>7187358</v>
          </cell>
          <cell r="B320" t="str">
            <v>1</v>
          </cell>
          <cell r="C320" t="str">
            <v/>
          </cell>
          <cell r="D320" t="str">
            <v>NP</v>
          </cell>
          <cell r="E320" t="str">
            <v>DIEGO FERNANDO</v>
          </cell>
          <cell r="F320" t="str">
            <v>LOPEZ AVELLA</v>
          </cell>
          <cell r="G320" t="str">
            <v>LOPEZ AVELLA DIEGO FERNANDO</v>
          </cell>
          <cell r="H320" t="str">
            <v>IMVE</v>
          </cell>
          <cell r="I320" t="str">
            <v>IMPUESTO SOBRE LAS VENTAS</v>
          </cell>
          <cell r="J320" t="str">
            <v>CR 12 7 13 BRR EL LIBERTADOR</v>
          </cell>
          <cell r="K320" t="str">
            <v>15001</v>
          </cell>
          <cell r="L320" t="str">
            <v>TUNJA</v>
          </cell>
          <cell r="M320" t="str">
            <v>3117381186</v>
          </cell>
        </row>
        <row r="321">
          <cell r="A321">
            <v>7210101</v>
          </cell>
          <cell r="B321" t="str">
            <v>2</v>
          </cell>
          <cell r="C321" t="str">
            <v/>
          </cell>
          <cell r="D321" t="str">
            <v>NP</v>
          </cell>
          <cell r="E321" t="str">
            <v>VICTOR MANUEL</v>
          </cell>
          <cell r="F321" t="str">
            <v>PUERTO SANCHEZ</v>
          </cell>
          <cell r="G321" t="str">
            <v>PUERTO SANCHEZ VICTOR MANUEL</v>
          </cell>
          <cell r="H321" t="str">
            <v>RECO</v>
          </cell>
          <cell r="I321" t="str">
            <v>REGIMEN COMUN</v>
          </cell>
          <cell r="J321" t="str">
            <v>CR 18 14 20</v>
          </cell>
          <cell r="K321" t="str">
            <v>15238</v>
          </cell>
          <cell r="L321" t="str">
            <v>DUITAMA</v>
          </cell>
          <cell r="M321" t="str">
            <v>7603291</v>
          </cell>
        </row>
        <row r="322">
          <cell r="A322">
            <v>7210433</v>
          </cell>
          <cell r="B322" t="str">
            <v>2</v>
          </cell>
          <cell r="C322" t="str">
            <v/>
          </cell>
          <cell r="D322" t="str">
            <v>NP</v>
          </cell>
          <cell r="E322" t="str">
            <v>LUIS ENRIQUE</v>
          </cell>
          <cell r="F322" t="str">
            <v>FAJARDO GRIMALDOS</v>
          </cell>
          <cell r="G322" t="str">
            <v>FAJARDO GRIMALDOS LUIS ENRIQUE</v>
          </cell>
          <cell r="H322" t="str">
            <v>NORE</v>
          </cell>
          <cell r="I322" t="str">
            <v>NO RESPONSABLE DE IVA</v>
          </cell>
          <cell r="J322" t="str">
            <v>CR 19 13 44</v>
          </cell>
          <cell r="K322" t="str">
            <v>15238</v>
          </cell>
          <cell r="L322" t="str">
            <v>DUITAMA</v>
          </cell>
          <cell r="M322" t="str">
            <v>7603346</v>
          </cell>
        </row>
        <row r="323">
          <cell r="A323">
            <v>7210469</v>
          </cell>
          <cell r="B323" t="str">
            <v>7</v>
          </cell>
          <cell r="C323" t="str">
            <v/>
          </cell>
          <cell r="D323" t="str">
            <v>NP</v>
          </cell>
          <cell r="E323" t="str">
            <v>PLINIO HERNAN</v>
          </cell>
          <cell r="F323" t="str">
            <v>PARDO FORERO</v>
          </cell>
          <cell r="G323" t="str">
            <v>PLINIO HERNAN PARDO FORERO</v>
          </cell>
          <cell r="H323" t="str">
            <v>RESI</v>
          </cell>
          <cell r="I323" t="str">
            <v>REGIMEN SIMPLIFICADO</v>
          </cell>
          <cell r="J323" t="str">
            <v xml:space="preserve"> CL 9  34 31 AP 702</v>
          </cell>
          <cell r="K323" t="str">
            <v>15238</v>
          </cell>
          <cell r="L323" t="str">
            <v>DUITAMA</v>
          </cell>
          <cell r="M323" t="str">
            <v>7604924</v>
          </cell>
        </row>
        <row r="324">
          <cell r="A324">
            <v>7210981</v>
          </cell>
          <cell r="B324" t="str">
            <v>7</v>
          </cell>
          <cell r="C324" t="str">
            <v/>
          </cell>
          <cell r="D324" t="str">
            <v>NP</v>
          </cell>
          <cell r="E324" t="str">
            <v>LUIS FERNANDO</v>
          </cell>
          <cell r="F324" t="str">
            <v>CRUZ FIGUEREDO</v>
          </cell>
          <cell r="G324" t="str">
            <v>CRUZ FIGUEREDO LUIS FERNANDO</v>
          </cell>
          <cell r="H324" t="str">
            <v>RESI</v>
          </cell>
          <cell r="I324" t="str">
            <v>REGIMEN SIMPLIFICADO</v>
          </cell>
          <cell r="J324" t="str">
            <v>CL  19  15  30 AP 405</v>
          </cell>
          <cell r="K324" t="str">
            <v>15238</v>
          </cell>
          <cell r="L324" t="str">
            <v>DUITAMA</v>
          </cell>
          <cell r="M324" t="str">
            <v>7650100</v>
          </cell>
        </row>
        <row r="325">
          <cell r="A325">
            <v>7211248</v>
          </cell>
          <cell r="B325" t="str">
            <v>0</v>
          </cell>
          <cell r="C325" t="str">
            <v/>
          </cell>
          <cell r="D325" t="str">
            <v>NP</v>
          </cell>
          <cell r="E325" t="str">
            <v>GELMAN</v>
          </cell>
          <cell r="F325" t="str">
            <v>SIERRA MOGOLLON</v>
          </cell>
          <cell r="G325" t="str">
            <v>SIERRA MOGOLLON GELMAN/ ALFAMUEBLES</v>
          </cell>
          <cell r="H325" t="str">
            <v>RECO</v>
          </cell>
          <cell r="I325" t="str">
            <v>REGIMEN COMUN</v>
          </cell>
          <cell r="J325" t="str">
            <v>CL 13   16   40</v>
          </cell>
          <cell r="K325" t="str">
            <v>17001</v>
          </cell>
          <cell r="L325" t="str">
            <v>MANIZALES</v>
          </cell>
          <cell r="M325" t="str">
            <v>7605512</v>
          </cell>
        </row>
        <row r="326">
          <cell r="A326">
            <v>7211476</v>
          </cell>
          <cell r="B326" t="str">
            <v>3</v>
          </cell>
          <cell r="C326" t="str">
            <v/>
          </cell>
          <cell r="D326" t="str">
            <v>NP</v>
          </cell>
          <cell r="E326" t="str">
            <v>ELEUTERIO</v>
          </cell>
          <cell r="F326" t="str">
            <v>MATEUS MATEUS</v>
          </cell>
          <cell r="G326" t="str">
            <v>MATEUS MATEUS ELEUTERIO</v>
          </cell>
          <cell r="H326" t="str">
            <v>REOR</v>
          </cell>
          <cell r="I326" t="str">
            <v>RENTA REGIMEN ORDINARIO</v>
          </cell>
          <cell r="J326" t="str">
            <v>CL  28 27 19 BRR VILLA ROSA HELENA</v>
          </cell>
          <cell r="K326" t="str">
            <v>15516</v>
          </cell>
          <cell r="L326" t="str">
            <v>PAIPA</v>
          </cell>
          <cell r="M326" t="str">
            <v>3115141983</v>
          </cell>
        </row>
        <row r="327">
          <cell r="A327">
            <v>7211545</v>
          </cell>
          <cell r="B327" t="str">
            <v/>
          </cell>
          <cell r="C327" t="str">
            <v/>
          </cell>
          <cell r="D327" t="str">
            <v>CC</v>
          </cell>
          <cell r="E327" t="str">
            <v>JOSE LEONILDO</v>
          </cell>
          <cell r="F327" t="str">
            <v>ANGARITA FERNANDEZ</v>
          </cell>
          <cell r="G327" t="str">
            <v>ANGARITA FERNANDEZ JOSE LEONILDO/ SEJEL ELECTRONICA</v>
          </cell>
          <cell r="H327" t="str">
            <v>RESI</v>
          </cell>
          <cell r="I327" t="str">
            <v>REGIMEN SIMPLIFICADO</v>
          </cell>
          <cell r="J327" t="str">
            <v>CR 16 11 68</v>
          </cell>
          <cell r="K327" t="str">
            <v>15238</v>
          </cell>
          <cell r="L327" t="str">
            <v>DUITAMA</v>
          </cell>
          <cell r="M327" t="str">
            <v>3134629452</v>
          </cell>
        </row>
        <row r="328">
          <cell r="A328">
            <v>7211941</v>
          </cell>
          <cell r="B328" t="str">
            <v>7</v>
          </cell>
          <cell r="C328" t="str">
            <v/>
          </cell>
          <cell r="D328" t="str">
            <v>NP</v>
          </cell>
          <cell r="E328" t="str">
            <v>ALVARO ANTONIO</v>
          </cell>
          <cell r="F328" t="str">
            <v>GALINDO ALVAREZ</v>
          </cell>
          <cell r="G328" t="str">
            <v>GALINDO ALVAREZ ALVARO ANTONIO</v>
          </cell>
          <cell r="H328" t="str">
            <v>RECO</v>
          </cell>
          <cell r="I328" t="str">
            <v>REGIMEN COMUN</v>
          </cell>
          <cell r="J328" t="str">
            <v xml:space="preserve"> CR 16  11 77</v>
          </cell>
          <cell r="K328" t="str">
            <v>15238</v>
          </cell>
          <cell r="L328" t="str">
            <v>DUITAMA</v>
          </cell>
          <cell r="M328" t="str">
            <v>7603065</v>
          </cell>
        </row>
        <row r="329">
          <cell r="A329">
            <v>7211995</v>
          </cell>
          <cell r="B329" t="str">
            <v>4</v>
          </cell>
          <cell r="C329" t="str">
            <v/>
          </cell>
          <cell r="D329" t="str">
            <v>NP</v>
          </cell>
          <cell r="E329" t="str">
            <v>PEDRO EMILIO</v>
          </cell>
          <cell r="F329" t="str">
            <v>PINEDA JIMENEZ</v>
          </cell>
          <cell r="G329" t="str">
            <v>PINEDA JIMENEZ PEDRO EMILIO</v>
          </cell>
          <cell r="H329" t="str">
            <v>RECO</v>
          </cell>
          <cell r="I329" t="str">
            <v>REGIMEN COMUN</v>
          </cell>
          <cell r="J329" t="str">
            <v>CR 19 15 30</v>
          </cell>
          <cell r="K329" t="str">
            <v>15238</v>
          </cell>
          <cell r="L329" t="str">
            <v>DUITAMA</v>
          </cell>
          <cell r="M329" t="str">
            <v>7603468</v>
          </cell>
        </row>
        <row r="330">
          <cell r="A330">
            <v>7212389</v>
          </cell>
          <cell r="B330" t="str">
            <v>5</v>
          </cell>
          <cell r="C330" t="str">
            <v/>
          </cell>
          <cell r="D330" t="str">
            <v>NP</v>
          </cell>
          <cell r="E330" t="str">
            <v>JESUS DE LA CRUZ</v>
          </cell>
          <cell r="F330" t="str">
            <v>GRANADOS GONZALES</v>
          </cell>
          <cell r="G330" t="str">
            <v>JESUS DE LA CRUZ GRANADOS GONZALES</v>
          </cell>
          <cell r="H330" t="str">
            <v>RESI</v>
          </cell>
          <cell r="I330" t="str">
            <v>REGIMEN SIMPLIFICADO</v>
          </cell>
          <cell r="J330" t="str">
            <v xml:space="preserve">CR 22 23 57                             </v>
          </cell>
          <cell r="K330" t="str">
            <v>15516</v>
          </cell>
          <cell r="L330" t="str">
            <v>PAIPA</v>
          </cell>
          <cell r="M330" t="str">
            <v>PND.</v>
          </cell>
        </row>
        <row r="331">
          <cell r="A331">
            <v>7212812</v>
          </cell>
          <cell r="B331" t="str">
            <v>1</v>
          </cell>
          <cell r="C331" t="str">
            <v/>
          </cell>
          <cell r="D331" t="str">
            <v>NP</v>
          </cell>
          <cell r="E331" t="str">
            <v>JOSE BERTULFO</v>
          </cell>
          <cell r="F331" t="str">
            <v>CIENDUA CRUZ</v>
          </cell>
          <cell r="G331" t="str">
            <v>CIENDUA CRUZ JOSE BERTULFO</v>
          </cell>
          <cell r="H331" t="str">
            <v>RCPN</v>
          </cell>
          <cell r="I331" t="str">
            <v>RESPONSABLE IVA PERSONA NATURAL</v>
          </cell>
          <cell r="J331" t="str">
            <v>CR 19  13-76</v>
          </cell>
          <cell r="K331" t="str">
            <v>15238</v>
          </cell>
          <cell r="L331" t="str">
            <v>DUITAMA</v>
          </cell>
          <cell r="M331" t="str">
            <v>7619397</v>
          </cell>
        </row>
        <row r="332">
          <cell r="A332">
            <v>7212935</v>
          </cell>
          <cell r="B332" t="str">
            <v>7</v>
          </cell>
          <cell r="C332" t="str">
            <v/>
          </cell>
          <cell r="D332" t="str">
            <v>NP</v>
          </cell>
          <cell r="E332" t="str">
            <v>CARLOS ELIAS</v>
          </cell>
          <cell r="F332" t="str">
            <v>ROJAS LOZANO</v>
          </cell>
          <cell r="G332" t="str">
            <v>ROJAS LOZANO CARLOS ELIAS</v>
          </cell>
          <cell r="H332" t="str">
            <v>RCPN</v>
          </cell>
          <cell r="I332" t="str">
            <v>RESPONSABLE IVA PERSONA NATURAL</v>
          </cell>
          <cell r="J332" t="str">
            <v>CR 10 20 21 I N 7 8</v>
          </cell>
          <cell r="K332" t="str">
            <v>15238</v>
          </cell>
          <cell r="L332" t="str">
            <v>DUITAMA</v>
          </cell>
          <cell r="M332" t="str">
            <v>7423647</v>
          </cell>
        </row>
        <row r="333">
          <cell r="A333">
            <v>7212963</v>
          </cell>
          <cell r="B333" t="str">
            <v>3</v>
          </cell>
          <cell r="C333" t="str">
            <v/>
          </cell>
          <cell r="D333" t="str">
            <v>NP</v>
          </cell>
          <cell r="E333" t="str">
            <v>JESUS</v>
          </cell>
          <cell r="F333" t="str">
            <v>GOMEZ  LIZARAZO</v>
          </cell>
          <cell r="G333" t="str">
            <v>GOMEZ  LIZARAZO JESUS</v>
          </cell>
          <cell r="H333" t="str">
            <v>RECO</v>
          </cell>
          <cell r="I333" t="str">
            <v>REGIMEN COMUN</v>
          </cell>
          <cell r="J333" t="str">
            <v>CL 9   19   53</v>
          </cell>
          <cell r="K333" t="str">
            <v>15238</v>
          </cell>
          <cell r="L333" t="str">
            <v>DUITAMA</v>
          </cell>
          <cell r="M333" t="str">
            <v>7603312</v>
          </cell>
        </row>
        <row r="334">
          <cell r="A334">
            <v>7213026</v>
          </cell>
          <cell r="B334" t="str">
            <v/>
          </cell>
          <cell r="C334" t="str">
            <v/>
          </cell>
          <cell r="D334" t="str">
            <v>CC</v>
          </cell>
          <cell r="E334" t="str">
            <v>PEDRO PABLO</v>
          </cell>
          <cell r="F334" t="str">
            <v>COMBARIZA GONZALEZ</v>
          </cell>
          <cell r="G334" t="str">
            <v>PEDRO PABLO COMBARIZA GONZALEZ</v>
          </cell>
          <cell r="H334" t="str">
            <v>FUNC</v>
          </cell>
          <cell r="I334" t="str">
            <v>FUNCIONARIO</v>
          </cell>
          <cell r="J334" t="str">
            <v>CL 10 NO 33 55 DUITAMA</v>
          </cell>
          <cell r="K334" t="str">
            <v>15516</v>
          </cell>
          <cell r="L334" t="str">
            <v>PAIPA</v>
          </cell>
          <cell r="M334" t="str">
            <v>7614510</v>
          </cell>
        </row>
        <row r="335">
          <cell r="A335">
            <v>7213083</v>
          </cell>
          <cell r="B335" t="str">
            <v>1</v>
          </cell>
          <cell r="C335" t="str">
            <v/>
          </cell>
          <cell r="D335" t="str">
            <v>NP</v>
          </cell>
          <cell r="E335" t="str">
            <v>GERMAN</v>
          </cell>
          <cell r="F335" t="str">
            <v>VELOZA CAMARGO</v>
          </cell>
          <cell r="G335" t="str">
            <v>VELOZA CAMARGO GERMAN</v>
          </cell>
          <cell r="H335" t="str">
            <v>RESI</v>
          </cell>
          <cell r="I335" t="str">
            <v>REGIMEN SIMPLIFICADO</v>
          </cell>
          <cell r="J335" t="str">
            <v>TV 29 14 18</v>
          </cell>
          <cell r="K335" t="str">
            <v>15238</v>
          </cell>
          <cell r="L335" t="str">
            <v>DUITAMA</v>
          </cell>
          <cell r="M335" t="str">
            <v>7616792</v>
          </cell>
        </row>
        <row r="336">
          <cell r="A336">
            <v>7213266</v>
          </cell>
          <cell r="B336" t="str">
            <v>2</v>
          </cell>
          <cell r="C336" t="str">
            <v/>
          </cell>
          <cell r="D336" t="str">
            <v>NP</v>
          </cell>
          <cell r="E336" t="str">
            <v>LUIS JAIME</v>
          </cell>
          <cell r="F336" t="str">
            <v>SANDOVAL B</v>
          </cell>
          <cell r="G336" t="str">
            <v>SANDOVAL BRICEÑO LUIS JAIME</v>
          </cell>
          <cell r="H336" t="str">
            <v>REOR</v>
          </cell>
          <cell r="I336" t="str">
            <v>RENTA REGIMEN ORDINARIO</v>
          </cell>
          <cell r="J336" t="str">
            <v>CR 19 13 51</v>
          </cell>
          <cell r="K336" t="str">
            <v>15238</v>
          </cell>
          <cell r="L336" t="str">
            <v>DUITAMA</v>
          </cell>
          <cell r="M336" t="str">
            <v>7603454</v>
          </cell>
        </row>
        <row r="337">
          <cell r="A337">
            <v>7213329</v>
          </cell>
          <cell r="B337" t="str">
            <v>8</v>
          </cell>
          <cell r="C337" t="str">
            <v/>
          </cell>
          <cell r="D337" t="str">
            <v>NP</v>
          </cell>
          <cell r="E337" t="str">
            <v>TITO</v>
          </cell>
          <cell r="F337" t="str">
            <v>CRUZ FIGUEREDO</v>
          </cell>
          <cell r="G337" t="str">
            <v>CRUZ FIGUEREDO TITO</v>
          </cell>
          <cell r="H337" t="str">
            <v>RESI</v>
          </cell>
          <cell r="I337" t="str">
            <v>REGIMEN SIMPLIFICADO</v>
          </cell>
          <cell r="J337" t="str">
            <v>CL 16 17 16</v>
          </cell>
          <cell r="K337" t="str">
            <v>15238</v>
          </cell>
          <cell r="L337" t="str">
            <v>DUITAMA</v>
          </cell>
          <cell r="M337" t="str">
            <v>7602397</v>
          </cell>
        </row>
        <row r="338">
          <cell r="A338">
            <v>7213359</v>
          </cell>
          <cell r="B338" t="str">
            <v>9</v>
          </cell>
          <cell r="C338" t="str">
            <v/>
          </cell>
          <cell r="D338" t="str">
            <v>NP</v>
          </cell>
          <cell r="E338" t="str">
            <v>JOSE FRANCISCO</v>
          </cell>
          <cell r="F338" t="str">
            <v>GALINDO ALVAREZ</v>
          </cell>
          <cell r="G338" t="str">
            <v>GALINDO ALVAREZ JOSE FRANCISCO</v>
          </cell>
          <cell r="H338" t="str">
            <v>RECO</v>
          </cell>
          <cell r="I338" t="str">
            <v>REGIMEN COMUN</v>
          </cell>
          <cell r="J338" t="str">
            <v>CRA 19 16 23</v>
          </cell>
          <cell r="K338" t="str">
            <v>15238</v>
          </cell>
          <cell r="L338" t="str">
            <v>DUITAMA</v>
          </cell>
          <cell r="M338" t="str">
            <v>7604017</v>
          </cell>
        </row>
        <row r="339">
          <cell r="A339">
            <v>7213475</v>
          </cell>
          <cell r="B339" t="str">
            <v>5</v>
          </cell>
          <cell r="C339" t="str">
            <v/>
          </cell>
          <cell r="D339" t="str">
            <v>NP</v>
          </cell>
          <cell r="E339" t="str">
            <v>GONZALO</v>
          </cell>
          <cell r="F339" t="str">
            <v>ANGARITA PINZON</v>
          </cell>
          <cell r="G339" t="str">
            <v>ANGARITA PINZON GONZALO</v>
          </cell>
          <cell r="H339" t="str">
            <v>IMVE</v>
          </cell>
          <cell r="I339" t="str">
            <v>IMPUESTO SOBRE LAS VENTAS</v>
          </cell>
          <cell r="J339" t="str">
            <v>CL 20 21 27</v>
          </cell>
          <cell r="K339" t="str">
            <v>15238</v>
          </cell>
          <cell r="L339" t="str">
            <v>DUITAMA</v>
          </cell>
          <cell r="M339" t="str">
            <v>3158774666</v>
          </cell>
        </row>
        <row r="340">
          <cell r="A340">
            <v>7213520</v>
          </cell>
          <cell r="B340" t="str">
            <v>9</v>
          </cell>
          <cell r="C340" t="str">
            <v/>
          </cell>
          <cell r="D340" t="str">
            <v>NP</v>
          </cell>
          <cell r="E340" t="str">
            <v>OSCAR LEOPOLDO</v>
          </cell>
          <cell r="F340" t="str">
            <v>ANGARITA DIAZ</v>
          </cell>
          <cell r="G340" t="str">
            <v>OSCAR LEOPOLDO ANGARITA DIAZ</v>
          </cell>
          <cell r="H340" t="str">
            <v>RCPN</v>
          </cell>
          <cell r="I340" t="str">
            <v>RESPONSABLE IVA PERSONA NATURAL</v>
          </cell>
          <cell r="J340" t="str">
            <v>CR 23 C 5 10 BRR LA ESMERALDA</v>
          </cell>
          <cell r="K340" t="str">
            <v>15238</v>
          </cell>
          <cell r="L340" t="str">
            <v>DUITAMA</v>
          </cell>
          <cell r="M340" t="str">
            <v>7620950</v>
          </cell>
        </row>
        <row r="341">
          <cell r="A341">
            <v>7214766</v>
          </cell>
          <cell r="B341" t="str">
            <v>8</v>
          </cell>
          <cell r="C341" t="str">
            <v/>
          </cell>
          <cell r="D341" t="str">
            <v>NP</v>
          </cell>
          <cell r="E341" t="str">
            <v>LUIS FRANCISCO</v>
          </cell>
          <cell r="F341" t="str">
            <v>PINEDA SALAZAR</v>
          </cell>
          <cell r="G341" t="str">
            <v>PINEDA SALAZAR LUIS FRANCISCO</v>
          </cell>
          <cell r="H341" t="str">
            <v>RESI</v>
          </cell>
          <cell r="I341" t="str">
            <v>REGIMEN SIMPLIFICADO</v>
          </cell>
          <cell r="J341" t="str">
            <v>CL 26 A  31 B  81</v>
          </cell>
          <cell r="K341" t="str">
            <v>85001</v>
          </cell>
          <cell r="L341" t="str">
            <v>YOPAL</v>
          </cell>
          <cell r="M341" t="str">
            <v>7214766</v>
          </cell>
        </row>
        <row r="342">
          <cell r="A342">
            <v>7215548</v>
          </cell>
          <cell r="B342" t="str">
            <v/>
          </cell>
          <cell r="C342" t="str">
            <v/>
          </cell>
          <cell r="D342" t="str">
            <v>CC</v>
          </cell>
          <cell r="E342" t="str">
            <v>PUBLIO EDILBERTO</v>
          </cell>
          <cell r="F342" t="str">
            <v>HIGUERA VALDERRAMA</v>
          </cell>
          <cell r="G342" t="str">
            <v>HIGUERA VALDERRAMA PUBLIO EDILBERTO</v>
          </cell>
          <cell r="H342" t="str">
            <v>FUNC</v>
          </cell>
          <cell r="I342" t="str">
            <v>FUNCIONARIO</v>
          </cell>
          <cell r="J342" t="str">
            <v>CARRERA 12 No 7-07 BARRIO CUNDINAMARCA</v>
          </cell>
          <cell r="K342" t="str">
            <v>15516</v>
          </cell>
          <cell r="L342" t="str">
            <v>PAIPA</v>
          </cell>
          <cell r="M342" t="str">
            <v>3114420285</v>
          </cell>
        </row>
        <row r="343">
          <cell r="A343">
            <v>7216125</v>
          </cell>
          <cell r="B343" t="str">
            <v>6</v>
          </cell>
          <cell r="C343" t="str">
            <v/>
          </cell>
          <cell r="D343" t="str">
            <v>NP</v>
          </cell>
          <cell r="E343" t="str">
            <v>CARLOS ENRIQUE</v>
          </cell>
          <cell r="F343" t="str">
            <v>MOLANO SANDOVAL</v>
          </cell>
          <cell r="G343" t="str">
            <v>MOLANO SANDOVAL CARLOS ENRIQUE</v>
          </cell>
          <cell r="H343" t="str">
            <v>RESI</v>
          </cell>
          <cell r="I343" t="str">
            <v>REGIMEN SIMPLIFICADO</v>
          </cell>
          <cell r="J343" t="str">
            <v>CR 12 16 04</v>
          </cell>
          <cell r="K343" t="str">
            <v>15238</v>
          </cell>
          <cell r="L343" t="str">
            <v>DUITAMA</v>
          </cell>
          <cell r="M343" t="str">
            <v>7603470</v>
          </cell>
        </row>
        <row r="344">
          <cell r="A344">
            <v>7216343</v>
          </cell>
          <cell r="B344" t="str">
            <v>5</v>
          </cell>
          <cell r="C344" t="str">
            <v/>
          </cell>
          <cell r="D344" t="str">
            <v>NP</v>
          </cell>
          <cell r="E344" t="str">
            <v>HUGO HELI</v>
          </cell>
          <cell r="F344" t="str">
            <v>MARQUEZ ACERO</v>
          </cell>
          <cell r="G344" t="str">
            <v>MARQUEZ ACERO HUGO HELI</v>
          </cell>
          <cell r="H344" t="str">
            <v>RESI</v>
          </cell>
          <cell r="I344" t="str">
            <v>REGIMEN SIMPLIFICADO</v>
          </cell>
          <cell r="J344" t="str">
            <v>CL 5 AV PRINCIPAL</v>
          </cell>
          <cell r="K344" t="str">
            <v>15790</v>
          </cell>
          <cell r="L344" t="str">
            <v>TASCO</v>
          </cell>
          <cell r="M344" t="str">
            <v>3134633113</v>
          </cell>
        </row>
        <row r="345">
          <cell r="A345">
            <v>7216460</v>
          </cell>
          <cell r="B345" t="str">
            <v/>
          </cell>
          <cell r="C345" t="str">
            <v/>
          </cell>
          <cell r="D345" t="str">
            <v>CC</v>
          </cell>
          <cell r="E345" t="str">
            <v>ALBERTO</v>
          </cell>
          <cell r="F345" t="str">
            <v>VARGAS FLOREZ</v>
          </cell>
          <cell r="G345" t="str">
            <v>VARGAS FLOREZ ALBERTO</v>
          </cell>
          <cell r="H345" t="str">
            <v>FUNC</v>
          </cell>
          <cell r="I345" t="str">
            <v>FUNCIONARIO</v>
          </cell>
          <cell r="J345" t="str">
            <v>CARRERA 21 No 26-70 DUITAMA</v>
          </cell>
          <cell r="K345" t="str">
            <v>15238</v>
          </cell>
          <cell r="L345" t="str">
            <v>DUITAMA</v>
          </cell>
          <cell r="M345" t="str">
            <v>3102713294</v>
          </cell>
        </row>
        <row r="346">
          <cell r="A346">
            <v>7216486</v>
          </cell>
          <cell r="B346" t="str">
            <v/>
          </cell>
          <cell r="C346" t="str">
            <v/>
          </cell>
          <cell r="D346" t="str">
            <v>CC</v>
          </cell>
          <cell r="E346" t="str">
            <v>JOSE NEFTALI</v>
          </cell>
          <cell r="F346" t="str">
            <v>CUEVAS AVELLANEDA</v>
          </cell>
          <cell r="G346" t="str">
            <v>CUEVAS AVELLANEDA JOSE NEFTALI</v>
          </cell>
          <cell r="H346" t="str">
            <v>FUNC</v>
          </cell>
          <cell r="I346" t="str">
            <v>FUNCIONARIO</v>
          </cell>
          <cell r="J346" t="str">
            <v>CARRERA 27A No 20A-04 DUITAMA</v>
          </cell>
          <cell r="K346" t="str">
            <v>15238</v>
          </cell>
          <cell r="L346" t="str">
            <v>DUITAMA</v>
          </cell>
          <cell r="M346" t="str">
            <v>3138844064</v>
          </cell>
        </row>
        <row r="347">
          <cell r="A347">
            <v>7216553</v>
          </cell>
          <cell r="B347" t="str">
            <v/>
          </cell>
          <cell r="C347" t="str">
            <v/>
          </cell>
          <cell r="D347" t="str">
            <v>CC</v>
          </cell>
          <cell r="E347" t="str">
            <v>JOSE ORLANDO</v>
          </cell>
          <cell r="F347" t="str">
            <v>LIZARAZO ZABALA</v>
          </cell>
          <cell r="G347" t="str">
            <v>LIZARAZO ZABALA JOSE ORLANDO</v>
          </cell>
          <cell r="H347" t="str">
            <v>FUNC</v>
          </cell>
          <cell r="I347" t="str">
            <v>FUNCIONARIO</v>
          </cell>
          <cell r="J347" t="str">
            <v>CARRERA 42 No 21-46 DUITAMA</v>
          </cell>
          <cell r="K347" t="str">
            <v>15238</v>
          </cell>
          <cell r="L347" t="str">
            <v>DUITAMA</v>
          </cell>
          <cell r="M347" t="str">
            <v>3125370761</v>
          </cell>
        </row>
        <row r="348">
          <cell r="A348">
            <v>7216634</v>
          </cell>
          <cell r="B348" t="str">
            <v/>
          </cell>
          <cell r="C348" t="str">
            <v/>
          </cell>
          <cell r="D348" t="str">
            <v>CC</v>
          </cell>
          <cell r="E348" t="str">
            <v>CARLOS EDUARDO</v>
          </cell>
          <cell r="F348" t="str">
            <v>TORRES CRUZ</v>
          </cell>
          <cell r="G348" t="str">
            <v>CARLOS EDUARDO TORRES CRUZ</v>
          </cell>
          <cell r="H348" t="str">
            <v>FUNC</v>
          </cell>
          <cell r="I348" t="str">
            <v>FUNCIONARIO</v>
          </cell>
          <cell r="J348" t="str">
            <v>CALLE 13 N 27 60 AP 612 DUITAMA</v>
          </cell>
          <cell r="K348" t="str">
            <v>15516</v>
          </cell>
          <cell r="L348" t="str">
            <v>PAIPA</v>
          </cell>
          <cell r="M348" t="str">
            <v>8891274</v>
          </cell>
        </row>
        <row r="349">
          <cell r="A349">
            <v>7216680</v>
          </cell>
          <cell r="B349" t="str">
            <v/>
          </cell>
          <cell r="C349" t="str">
            <v/>
          </cell>
          <cell r="D349" t="str">
            <v>CC</v>
          </cell>
          <cell r="E349" t="str">
            <v>ALIRIO</v>
          </cell>
          <cell r="F349" t="str">
            <v>TIRIA GUERRERO</v>
          </cell>
          <cell r="G349" t="str">
            <v>TIRIA GUERRERO ALIRIO</v>
          </cell>
          <cell r="H349" t="str">
            <v>FUNC</v>
          </cell>
          <cell r="I349" t="str">
            <v>FUNCIONARIO</v>
          </cell>
          <cell r="J349" t="str">
            <v>CARRERA 43 No 18-10 DUITAMA</v>
          </cell>
          <cell r="K349" t="str">
            <v>15238</v>
          </cell>
          <cell r="L349" t="str">
            <v>DUITAMA</v>
          </cell>
          <cell r="M349" t="str">
            <v>3118698184</v>
          </cell>
        </row>
        <row r="350">
          <cell r="A350">
            <v>7216827</v>
          </cell>
          <cell r="B350" t="str">
            <v>8</v>
          </cell>
          <cell r="C350" t="str">
            <v/>
          </cell>
          <cell r="D350" t="str">
            <v>NP</v>
          </cell>
          <cell r="E350" t="str">
            <v>LUIS ARCADIO</v>
          </cell>
          <cell r="F350" t="str">
            <v>SOLANO</v>
          </cell>
          <cell r="G350" t="str">
            <v>SOLANO LUIS ARCADIO</v>
          </cell>
          <cell r="H350" t="str">
            <v>RCPN</v>
          </cell>
          <cell r="I350" t="str">
            <v>RESPONSABLE IVA PERSONA NATURAL</v>
          </cell>
          <cell r="J350" t="str">
            <v>CL 14 16 59</v>
          </cell>
          <cell r="K350" t="str">
            <v>15238</v>
          </cell>
          <cell r="L350" t="str">
            <v>DUITAMA</v>
          </cell>
          <cell r="M350" t="str">
            <v>3103430686</v>
          </cell>
        </row>
        <row r="351">
          <cell r="A351">
            <v>7216875</v>
          </cell>
          <cell r="B351" t="str">
            <v/>
          </cell>
          <cell r="C351" t="str">
            <v/>
          </cell>
          <cell r="D351" t="str">
            <v>CC</v>
          </cell>
          <cell r="E351" t="str">
            <v>CARLOS ARTURO</v>
          </cell>
          <cell r="F351" t="str">
            <v>MORALES CUERVO</v>
          </cell>
          <cell r="G351" t="str">
            <v>MORALES CUERVO CARLOS ARTURO</v>
          </cell>
          <cell r="H351" t="str">
            <v>FUNC</v>
          </cell>
          <cell r="I351" t="str">
            <v>FUNCIONARIO</v>
          </cell>
          <cell r="J351" t="str">
            <v>CARRERA 9 No 17A-23 BUITAMA</v>
          </cell>
          <cell r="K351" t="str">
            <v>15516</v>
          </cell>
          <cell r="L351" t="str">
            <v>PAIPA</v>
          </cell>
          <cell r="M351" t="str">
            <v>3112068244</v>
          </cell>
        </row>
        <row r="352">
          <cell r="A352">
            <v>7217200</v>
          </cell>
          <cell r="B352" t="str">
            <v/>
          </cell>
          <cell r="C352" t="str">
            <v/>
          </cell>
          <cell r="D352" t="str">
            <v>CC</v>
          </cell>
          <cell r="E352" t="str">
            <v>LUIS RAMIRO</v>
          </cell>
          <cell r="F352" t="str">
            <v>PUERTO GOMEZ</v>
          </cell>
          <cell r="G352" t="str">
            <v>PUERTO GOMEZ LUIS RAMIRO</v>
          </cell>
          <cell r="H352" t="str">
            <v>FUNC</v>
          </cell>
          <cell r="I352" t="str">
            <v>FUNCIONARIO</v>
          </cell>
          <cell r="J352" t="str">
            <v>CARRERA 26 No 10-28</v>
          </cell>
          <cell r="K352" t="str">
            <v>15238</v>
          </cell>
          <cell r="L352" t="str">
            <v>DUITAMA</v>
          </cell>
          <cell r="M352" t="str">
            <v>3124953693</v>
          </cell>
        </row>
        <row r="353">
          <cell r="A353">
            <v>7217409</v>
          </cell>
          <cell r="B353" t="str">
            <v/>
          </cell>
          <cell r="C353" t="str">
            <v/>
          </cell>
          <cell r="D353" t="str">
            <v>CC</v>
          </cell>
          <cell r="E353" t="str">
            <v>JOSE DE LOS ANGELES</v>
          </cell>
          <cell r="F353" t="str">
            <v>HERNANDEZ DIAZ</v>
          </cell>
          <cell r="G353" t="str">
            <v>HERNANDEZ DIAZ JOSE DE LOS ANGELES</v>
          </cell>
          <cell r="H353" t="str">
            <v>FUNC</v>
          </cell>
          <cell r="I353" t="str">
            <v>FUNCIONARIO</v>
          </cell>
          <cell r="J353" t="str">
            <v>CALLE 5A No 36-13 DUITAMA</v>
          </cell>
          <cell r="K353" t="str">
            <v>15516</v>
          </cell>
          <cell r="L353" t="str">
            <v>PAIPA</v>
          </cell>
          <cell r="M353" t="str">
            <v>3125837499</v>
          </cell>
        </row>
        <row r="354">
          <cell r="A354">
            <v>7217426</v>
          </cell>
          <cell r="B354" t="str">
            <v>2</v>
          </cell>
          <cell r="C354" t="str">
            <v/>
          </cell>
          <cell r="D354" t="str">
            <v>NP</v>
          </cell>
          <cell r="E354" t="str">
            <v>JOSE LUIS</v>
          </cell>
          <cell r="F354" t="str">
            <v>CAMARGO</v>
          </cell>
          <cell r="G354" t="str">
            <v>CAMARGO  JOSE LUIS</v>
          </cell>
          <cell r="H354" t="str">
            <v>RESI</v>
          </cell>
          <cell r="I354" t="str">
            <v>REGIMEN SIMPLIFICADO</v>
          </cell>
          <cell r="J354" t="str">
            <v>CR 18 17 05</v>
          </cell>
          <cell r="K354" t="str">
            <v>15238</v>
          </cell>
          <cell r="L354" t="str">
            <v>DUITAMA</v>
          </cell>
          <cell r="M354" t="str">
            <v>3102091362</v>
          </cell>
        </row>
        <row r="355">
          <cell r="A355">
            <v>7217431</v>
          </cell>
          <cell r="B355" t="str">
            <v>1</v>
          </cell>
          <cell r="C355" t="str">
            <v/>
          </cell>
          <cell r="D355" t="str">
            <v>NP</v>
          </cell>
          <cell r="E355" t="str">
            <v xml:space="preserve">EDILBERTO </v>
          </cell>
          <cell r="F355" t="str">
            <v>SILVA PESCA</v>
          </cell>
          <cell r="G355" t="str">
            <v>EDILBERTO SILVA PESCA</v>
          </cell>
          <cell r="H355" t="str">
            <v>RESI</v>
          </cell>
          <cell r="I355" t="str">
            <v>REGIMEN SIMPLIFICADO</v>
          </cell>
          <cell r="J355" t="str">
            <v>CR 18 18 59</v>
          </cell>
          <cell r="K355" t="str">
            <v>15238</v>
          </cell>
          <cell r="L355" t="str">
            <v>DUITAMA</v>
          </cell>
          <cell r="M355" t="str">
            <v>7605272</v>
          </cell>
        </row>
        <row r="356">
          <cell r="A356">
            <v>7217625</v>
          </cell>
          <cell r="B356" t="str">
            <v/>
          </cell>
          <cell r="C356" t="str">
            <v/>
          </cell>
          <cell r="D356" t="str">
            <v>CC</v>
          </cell>
          <cell r="E356" t="str">
            <v>LIBARDO</v>
          </cell>
          <cell r="F356" t="str">
            <v>CASTRO BECERRA</v>
          </cell>
          <cell r="G356" t="str">
            <v>CASTRO BECERRA LIBARDO</v>
          </cell>
          <cell r="H356" t="str">
            <v>FUNC</v>
          </cell>
          <cell r="I356" t="str">
            <v>FUNCIONARIO</v>
          </cell>
          <cell r="J356" t="str">
            <v>MZ D CASA 21 ALTOS DE MARANTA - DUITAMA</v>
          </cell>
          <cell r="K356" t="str">
            <v>15516</v>
          </cell>
          <cell r="L356" t="str">
            <v>PAIPA</v>
          </cell>
          <cell r="M356" t="str">
            <v>3123254308</v>
          </cell>
        </row>
        <row r="357">
          <cell r="A357">
            <v>7218067</v>
          </cell>
          <cell r="B357" t="str">
            <v/>
          </cell>
          <cell r="C357" t="str">
            <v/>
          </cell>
          <cell r="D357" t="str">
            <v>CC</v>
          </cell>
          <cell r="E357" t="str">
            <v>RUDECINDO</v>
          </cell>
          <cell r="F357" t="str">
            <v>HERNANDEZ GARCIA</v>
          </cell>
          <cell r="G357" t="str">
            <v>HERNANDEZ GARCIA RUDECINDO</v>
          </cell>
          <cell r="H357" t="str">
            <v>FUNC</v>
          </cell>
          <cell r="I357" t="str">
            <v>FUNCIONARIO</v>
          </cell>
          <cell r="J357" t="str">
            <v>CARRERA 16 No 35-189 BARRIO SAN LUIS DUITAMA</v>
          </cell>
          <cell r="K357" t="str">
            <v>15238</v>
          </cell>
          <cell r="L357" t="str">
            <v>DUITAMA</v>
          </cell>
          <cell r="M357" t="str">
            <v>3107543116</v>
          </cell>
        </row>
        <row r="358">
          <cell r="A358">
            <v>7218350</v>
          </cell>
          <cell r="B358" t="str">
            <v/>
          </cell>
          <cell r="C358" t="str">
            <v/>
          </cell>
          <cell r="D358" t="str">
            <v>CC</v>
          </cell>
          <cell r="E358" t="str">
            <v>ORLANDO</v>
          </cell>
          <cell r="F358" t="str">
            <v>SUAREZ ALARCON</v>
          </cell>
          <cell r="G358" t="str">
            <v>SUAREZ ALARCON ORLANDO</v>
          </cell>
          <cell r="H358" t="str">
            <v>FUNC</v>
          </cell>
          <cell r="I358" t="str">
            <v>FUNCIONARIO</v>
          </cell>
          <cell r="J358" t="str">
            <v>CALLE 8 No 11B-28</v>
          </cell>
          <cell r="K358" t="str">
            <v>15238</v>
          </cell>
          <cell r="L358" t="str">
            <v>DUITAMA</v>
          </cell>
          <cell r="M358" t="str">
            <v>3108025131</v>
          </cell>
        </row>
        <row r="359">
          <cell r="A359">
            <v>7218461</v>
          </cell>
          <cell r="B359" t="str">
            <v/>
          </cell>
          <cell r="C359" t="str">
            <v/>
          </cell>
          <cell r="D359" t="str">
            <v>CC</v>
          </cell>
          <cell r="E359" t="str">
            <v>EDILBERTO</v>
          </cell>
          <cell r="F359" t="str">
            <v>AVELLA GARZON</v>
          </cell>
          <cell r="G359" t="str">
            <v>AVELLA GARZON EDILBERTO</v>
          </cell>
          <cell r="H359" t="str">
            <v>FUNC</v>
          </cell>
          <cell r="I359" t="str">
            <v>FUNCIONARIO</v>
          </cell>
          <cell r="J359" t="str">
            <v>CALLE 21 No 21-20 DUITAMA</v>
          </cell>
          <cell r="K359" t="str">
            <v>15238</v>
          </cell>
          <cell r="L359" t="str">
            <v>DUITAMA</v>
          </cell>
          <cell r="M359" t="str">
            <v>3118355711</v>
          </cell>
        </row>
        <row r="360">
          <cell r="A360">
            <v>7219121</v>
          </cell>
          <cell r="B360" t="str">
            <v>0</v>
          </cell>
          <cell r="C360" t="str">
            <v/>
          </cell>
          <cell r="D360" t="str">
            <v>NP</v>
          </cell>
          <cell r="E360" t="str">
            <v>JOSE  JOAQUIN</v>
          </cell>
          <cell r="F360" t="str">
            <v>PINTO VARGAS</v>
          </cell>
          <cell r="G360" t="str">
            <v>PINTO VARGAS JOSE  JOAQUIN</v>
          </cell>
          <cell r="H360" t="str">
            <v>RESI</v>
          </cell>
          <cell r="I360" t="str">
            <v>REGIMEN SIMPLIFICADO</v>
          </cell>
          <cell r="J360" t="str">
            <v>CLL 11 18 57</v>
          </cell>
          <cell r="K360" t="str">
            <v>15238</v>
          </cell>
          <cell r="L360" t="str">
            <v>DUITAMA</v>
          </cell>
          <cell r="M360" t="str">
            <v>3004079235</v>
          </cell>
        </row>
        <row r="361">
          <cell r="A361">
            <v>7219252</v>
          </cell>
          <cell r="B361" t="str">
            <v/>
          </cell>
          <cell r="C361" t="str">
            <v/>
          </cell>
          <cell r="D361" t="str">
            <v>CC</v>
          </cell>
          <cell r="E361" t="str">
            <v>GILBERTO</v>
          </cell>
          <cell r="F361" t="str">
            <v>HERNANDEZ MERCHAN</v>
          </cell>
          <cell r="G361" t="str">
            <v>HERNANDEZ MERCHAN GILBERTO/ PUBLIGRAFICAS YILBER</v>
          </cell>
          <cell r="H361" t="str">
            <v>RECO</v>
          </cell>
          <cell r="I361" t="str">
            <v>REGIMEN COMUN</v>
          </cell>
          <cell r="J361" t="str">
            <v>CR 17 18 20</v>
          </cell>
          <cell r="K361" t="str">
            <v>15238</v>
          </cell>
          <cell r="L361" t="str">
            <v>DUITAMA</v>
          </cell>
          <cell r="M361" t="str">
            <v>7628469</v>
          </cell>
        </row>
        <row r="362">
          <cell r="A362">
            <v>7219386</v>
          </cell>
          <cell r="B362" t="str">
            <v>5</v>
          </cell>
          <cell r="C362" t="str">
            <v/>
          </cell>
          <cell r="D362" t="str">
            <v>NP</v>
          </cell>
          <cell r="E362" t="str">
            <v>JACINTO</v>
          </cell>
          <cell r="F362" t="str">
            <v>HERNANDEZ</v>
          </cell>
          <cell r="G362" t="str">
            <v>HERNANDEZ JACINTO</v>
          </cell>
          <cell r="H362" t="str">
            <v>RESI</v>
          </cell>
          <cell r="I362" t="str">
            <v>REGIMEN SIMPLIFICADO</v>
          </cell>
          <cell r="J362" t="str">
            <v>CR 42 11 83</v>
          </cell>
          <cell r="K362" t="str">
            <v>15238</v>
          </cell>
          <cell r="L362" t="str">
            <v>DUITAMA</v>
          </cell>
          <cell r="M362" t="str">
            <v>7629473</v>
          </cell>
        </row>
        <row r="363">
          <cell r="A363">
            <v>7219588</v>
          </cell>
          <cell r="B363" t="str">
            <v>6</v>
          </cell>
          <cell r="C363" t="str">
            <v/>
          </cell>
          <cell r="D363" t="str">
            <v>NP</v>
          </cell>
          <cell r="E363" t="str">
            <v>CARLOS ALBERTO</v>
          </cell>
          <cell r="F363" t="str">
            <v>GONZALEZ VIVAS</v>
          </cell>
          <cell r="G363" t="str">
            <v>GONZALEZ VIVAS CARLOS ALBERTO</v>
          </cell>
          <cell r="H363" t="str">
            <v>RESI</v>
          </cell>
          <cell r="I363" t="str">
            <v>REGIMEN SIMPLIFICADO</v>
          </cell>
          <cell r="J363" t="str">
            <v>CR 9  19  75</v>
          </cell>
          <cell r="K363" t="str">
            <v>15238</v>
          </cell>
          <cell r="L363" t="str">
            <v>DUITAMA</v>
          </cell>
          <cell r="M363" t="str">
            <v>3124823702</v>
          </cell>
        </row>
        <row r="364">
          <cell r="A364">
            <v>7220053</v>
          </cell>
          <cell r="B364" t="str">
            <v/>
          </cell>
          <cell r="C364" t="str">
            <v/>
          </cell>
          <cell r="D364" t="str">
            <v>CC</v>
          </cell>
          <cell r="E364" t="str">
            <v>SEGUNDO JAVIER</v>
          </cell>
          <cell r="F364" t="str">
            <v>TOBO TOBO</v>
          </cell>
          <cell r="G364" t="str">
            <v>TOBO TOBO SEGUNDO JAVIER</v>
          </cell>
          <cell r="H364" t="str">
            <v>FUNC</v>
          </cell>
          <cell r="I364" t="str">
            <v>FUNCIONARIO</v>
          </cell>
          <cell r="J364" t="str">
            <v>PAIPA</v>
          </cell>
          <cell r="K364" t="str">
            <v>15516</v>
          </cell>
          <cell r="L364" t="str">
            <v>PAIPA</v>
          </cell>
          <cell r="M364" t="str">
            <v>3203108437</v>
          </cell>
        </row>
        <row r="365">
          <cell r="A365">
            <v>7220146</v>
          </cell>
          <cell r="B365" t="str">
            <v/>
          </cell>
          <cell r="C365" t="str">
            <v/>
          </cell>
          <cell r="D365" t="str">
            <v>CC</v>
          </cell>
          <cell r="E365" t="str">
            <v>PEDRO ORLANDO</v>
          </cell>
          <cell r="F365" t="str">
            <v>PARADA NINO</v>
          </cell>
          <cell r="G365" t="str">
            <v>PARADA NINO PEDRO ORLANDO</v>
          </cell>
          <cell r="H365" t="str">
            <v>FUNC</v>
          </cell>
          <cell r="I365" t="str">
            <v>FUNCIONARIO</v>
          </cell>
          <cell r="J365" t="str">
            <v>CALLE 2A No 17A-18</v>
          </cell>
          <cell r="K365" t="str">
            <v>15238</v>
          </cell>
          <cell r="L365" t="str">
            <v>DUITAMA</v>
          </cell>
          <cell r="M365" t="str">
            <v>3115313089</v>
          </cell>
        </row>
        <row r="366">
          <cell r="A366">
            <v>7220210</v>
          </cell>
          <cell r="B366" t="str">
            <v/>
          </cell>
          <cell r="C366" t="str">
            <v/>
          </cell>
          <cell r="D366" t="str">
            <v>CC</v>
          </cell>
          <cell r="E366" t="str">
            <v>JOSE JOAQUIN</v>
          </cell>
          <cell r="F366" t="str">
            <v>PUERTO NITOLA</v>
          </cell>
          <cell r="G366" t="str">
            <v>PUERTO NITOLA JOSE JOAQUIN</v>
          </cell>
          <cell r="H366" t="str">
            <v>FUNC</v>
          </cell>
          <cell r="I366" t="str">
            <v>FUNCIONARIO</v>
          </cell>
          <cell r="J366" t="str">
            <v>CALLE 12 No 32-62 DUITAMA</v>
          </cell>
          <cell r="K366" t="str">
            <v>15238</v>
          </cell>
          <cell r="L366" t="str">
            <v>DUITAMA</v>
          </cell>
          <cell r="M366" t="str">
            <v>3142851559</v>
          </cell>
        </row>
        <row r="367">
          <cell r="A367">
            <v>7220574</v>
          </cell>
          <cell r="B367" t="str">
            <v>5</v>
          </cell>
          <cell r="C367" t="str">
            <v/>
          </cell>
          <cell r="D367" t="str">
            <v>NP</v>
          </cell>
          <cell r="E367" t="str">
            <v>LUIS ALBERTO</v>
          </cell>
          <cell r="F367" t="str">
            <v>MENDEZ MEJIA</v>
          </cell>
          <cell r="G367" t="str">
            <v>MENDEZ MEJIA LUIS ALBERTO/MUNDIAL DE CORREAS</v>
          </cell>
          <cell r="H367" t="str">
            <v>RECO</v>
          </cell>
          <cell r="I367" t="str">
            <v>REGIMEN COMUN</v>
          </cell>
          <cell r="J367" t="str">
            <v>CR 19 13 40</v>
          </cell>
          <cell r="K367" t="str">
            <v>15238</v>
          </cell>
          <cell r="L367" t="str">
            <v>DUITAMA</v>
          </cell>
          <cell r="M367" t="str">
            <v>7627970</v>
          </cell>
        </row>
        <row r="368">
          <cell r="A368">
            <v>7220609</v>
          </cell>
          <cell r="B368" t="str">
            <v/>
          </cell>
          <cell r="C368" t="str">
            <v/>
          </cell>
          <cell r="D368" t="str">
            <v>CC</v>
          </cell>
          <cell r="E368" t="str">
            <v>MANUEL</v>
          </cell>
          <cell r="F368" t="str">
            <v>ALVARADO</v>
          </cell>
          <cell r="G368" t="str">
            <v>ALVARADO MANUEL</v>
          </cell>
          <cell r="H368" t="str">
            <v>FUNC</v>
          </cell>
          <cell r="I368" t="str">
            <v>FUNCIONARIO</v>
          </cell>
          <cell r="J368" t="str">
            <v>CRA 34 No 20-80 CASA3</v>
          </cell>
          <cell r="K368" t="str">
            <v>15238</v>
          </cell>
          <cell r="L368" t="str">
            <v>DUITAMA</v>
          </cell>
          <cell r="M368" t="str">
            <v>3112379625</v>
          </cell>
        </row>
        <row r="369">
          <cell r="A369">
            <v>7221383</v>
          </cell>
          <cell r="B369" t="str">
            <v/>
          </cell>
          <cell r="C369" t="str">
            <v/>
          </cell>
          <cell r="D369" t="str">
            <v>CC</v>
          </cell>
          <cell r="E369" t="str">
            <v>JOSE HENRY</v>
          </cell>
          <cell r="F369" t="str">
            <v>NITOLA SOLANO</v>
          </cell>
          <cell r="G369" t="str">
            <v>NITOLA SOLANO JOSE HENRY</v>
          </cell>
          <cell r="H369" t="str">
            <v>FUNC</v>
          </cell>
          <cell r="I369" t="str">
            <v>FUNCIONARIO</v>
          </cell>
          <cell r="J369" t="str">
            <v>CARRERA 7B 9C-37</v>
          </cell>
          <cell r="K369" t="str">
            <v>15238</v>
          </cell>
          <cell r="L369" t="str">
            <v>DUITAMA</v>
          </cell>
          <cell r="M369" t="str">
            <v>3115387594</v>
          </cell>
        </row>
        <row r="370">
          <cell r="A370">
            <v>7221957</v>
          </cell>
          <cell r="B370" t="str">
            <v>7</v>
          </cell>
          <cell r="C370" t="str">
            <v/>
          </cell>
          <cell r="D370" t="str">
            <v>NP</v>
          </cell>
          <cell r="E370" t="str">
            <v>OLIMPO</v>
          </cell>
          <cell r="F370" t="str">
            <v>CARDENAS CELY</v>
          </cell>
          <cell r="G370" t="str">
            <v>CARDENAS CELY OLIMPO</v>
          </cell>
          <cell r="H370" t="str">
            <v>RECO</v>
          </cell>
          <cell r="I370" t="str">
            <v>REGIMEN COMUN</v>
          </cell>
          <cell r="J370" t="str">
            <v>TV 29 16 31</v>
          </cell>
          <cell r="K370" t="str">
            <v>15238</v>
          </cell>
          <cell r="L370" t="str">
            <v>DUITAMA</v>
          </cell>
          <cell r="M370" t="str">
            <v>3105752531</v>
          </cell>
        </row>
        <row r="371">
          <cell r="A371">
            <v>7222110</v>
          </cell>
          <cell r="B371" t="str">
            <v>0</v>
          </cell>
          <cell r="C371" t="str">
            <v/>
          </cell>
          <cell r="D371" t="str">
            <v>NP</v>
          </cell>
          <cell r="E371" t="str">
            <v>ERNESTO</v>
          </cell>
          <cell r="F371" t="str">
            <v>BECERRA SOSA</v>
          </cell>
          <cell r="G371" t="str">
            <v>BECERRA SOSA ERNESTO</v>
          </cell>
          <cell r="H371" t="str">
            <v>NORE</v>
          </cell>
          <cell r="I371" t="str">
            <v>NO RESPONSABLE DE IVA</v>
          </cell>
          <cell r="J371" t="str">
            <v>CL 9 36 63 BRR SEVILLA</v>
          </cell>
          <cell r="K371" t="str">
            <v>15238</v>
          </cell>
          <cell r="L371" t="str">
            <v>DUITAMA</v>
          </cell>
          <cell r="M371" t="str">
            <v>3106255381</v>
          </cell>
        </row>
        <row r="372">
          <cell r="A372">
            <v>7222177</v>
          </cell>
          <cell r="B372" t="str">
            <v/>
          </cell>
          <cell r="C372" t="str">
            <v/>
          </cell>
          <cell r="D372" t="str">
            <v>CC</v>
          </cell>
          <cell r="E372" t="str">
            <v>ALFONSO</v>
          </cell>
          <cell r="F372" t="str">
            <v>CALDERON MALAGON</v>
          </cell>
          <cell r="G372" t="str">
            <v>CALDERON MALAGON ALFONSO</v>
          </cell>
          <cell r="H372" t="str">
            <v>FUNC</v>
          </cell>
          <cell r="I372" t="str">
            <v>FUNCIONARIO</v>
          </cell>
          <cell r="J372" t="str">
            <v>CALLE 14 No 7B-12 DUITAMA</v>
          </cell>
          <cell r="K372" t="str">
            <v>15238</v>
          </cell>
          <cell r="L372" t="str">
            <v>DUITAMA</v>
          </cell>
          <cell r="M372" t="str">
            <v>3115778088</v>
          </cell>
        </row>
        <row r="373">
          <cell r="A373">
            <v>7222681</v>
          </cell>
          <cell r="B373" t="str">
            <v>4</v>
          </cell>
          <cell r="C373" t="str">
            <v/>
          </cell>
          <cell r="D373" t="str">
            <v>NP</v>
          </cell>
          <cell r="E373" t="str">
            <v>URBANO</v>
          </cell>
          <cell r="F373" t="str">
            <v>CELY ROJAS</v>
          </cell>
          <cell r="G373" t="str">
            <v>CELY ROJAS URBANO</v>
          </cell>
          <cell r="H373" t="str">
            <v>RECO</v>
          </cell>
          <cell r="I373" t="str">
            <v>REGIMEN COMUN</v>
          </cell>
          <cell r="J373" t="str">
            <v>CR 10 1 69</v>
          </cell>
          <cell r="K373" t="str">
            <v>17001</v>
          </cell>
          <cell r="L373" t="str">
            <v>MANIZALES</v>
          </cell>
          <cell r="M373" t="str">
            <v>7619761</v>
          </cell>
        </row>
        <row r="374">
          <cell r="A374">
            <v>7223420</v>
          </cell>
          <cell r="B374" t="str">
            <v>3</v>
          </cell>
          <cell r="C374" t="str">
            <v/>
          </cell>
          <cell r="D374" t="str">
            <v>NP</v>
          </cell>
          <cell r="E374" t="str">
            <v>GERMÁN ALONSO</v>
          </cell>
          <cell r="F374" t="str">
            <v>LEON CELY</v>
          </cell>
          <cell r="G374" t="str">
            <v>LEON CELY GERMÁN ALONSO</v>
          </cell>
          <cell r="H374" t="str">
            <v>RESI</v>
          </cell>
          <cell r="I374" t="str">
            <v>REGIMEN SIMPLIFICADO</v>
          </cell>
          <cell r="J374" t="str">
            <v>CR 19  16 26</v>
          </cell>
          <cell r="K374" t="str">
            <v>15238</v>
          </cell>
          <cell r="L374" t="str">
            <v>DUITAMA</v>
          </cell>
          <cell r="M374" t="str">
            <v>3134954951</v>
          </cell>
        </row>
        <row r="375">
          <cell r="A375">
            <v>7223654</v>
          </cell>
          <cell r="B375" t="str">
            <v/>
          </cell>
          <cell r="C375" t="str">
            <v/>
          </cell>
          <cell r="D375" t="str">
            <v>CC</v>
          </cell>
          <cell r="E375" t="str">
            <v>JAIRO EVARISTO</v>
          </cell>
          <cell r="F375" t="str">
            <v>CARREÑO CORREA</v>
          </cell>
          <cell r="G375" t="str">
            <v>CARREÑO CORREA JAIRO EVARISTO</v>
          </cell>
          <cell r="H375" t="str">
            <v>FUNC</v>
          </cell>
          <cell r="I375" t="str">
            <v>FUNCIONARIO</v>
          </cell>
          <cell r="J375" t="str">
            <v>CL 15 A 3 36</v>
          </cell>
          <cell r="K375" t="str">
            <v>15238</v>
          </cell>
          <cell r="L375" t="str">
            <v>DUITAMA</v>
          </cell>
          <cell r="M375" t="str">
            <v>3132959400</v>
          </cell>
        </row>
        <row r="376">
          <cell r="A376">
            <v>7224569</v>
          </cell>
          <cell r="B376" t="str">
            <v>6</v>
          </cell>
          <cell r="C376" t="str">
            <v/>
          </cell>
          <cell r="D376" t="str">
            <v>NP</v>
          </cell>
          <cell r="E376" t="str">
            <v>LUIS ALBERTO</v>
          </cell>
          <cell r="F376" t="str">
            <v>ANGARITA MARTINEZ</v>
          </cell>
          <cell r="G376" t="str">
            <v>ANGARITA MARTINEZ LUIS ALBERTO</v>
          </cell>
          <cell r="H376" t="str">
            <v>RESI</v>
          </cell>
          <cell r="I376" t="str">
            <v>REGIMEN SIMPLIFICADO</v>
          </cell>
          <cell r="J376" t="str">
            <v>AV LAS AMERICAS   24   72</v>
          </cell>
          <cell r="K376" t="str">
            <v>15238</v>
          </cell>
          <cell r="L376" t="str">
            <v>DUITAMA</v>
          </cell>
          <cell r="M376" t="str">
            <v>7603533</v>
          </cell>
        </row>
        <row r="377">
          <cell r="A377">
            <v>7225051</v>
          </cell>
          <cell r="B377" t="str">
            <v/>
          </cell>
          <cell r="C377" t="str">
            <v/>
          </cell>
          <cell r="D377" t="str">
            <v>CC</v>
          </cell>
          <cell r="E377" t="str">
            <v>RICARDO</v>
          </cell>
          <cell r="F377" t="str">
            <v>FAJARDO MONTANA</v>
          </cell>
          <cell r="G377" t="str">
            <v>FAJARDO MONTANA RICARDO</v>
          </cell>
          <cell r="H377" t="str">
            <v>FUNC</v>
          </cell>
          <cell r="I377" t="str">
            <v>FUNCIONARIO</v>
          </cell>
          <cell r="J377" t="str">
            <v>CALLE 26A No 16-25 PAIPA</v>
          </cell>
          <cell r="K377" t="str">
            <v>15516</v>
          </cell>
          <cell r="L377" t="str">
            <v>PAIPA</v>
          </cell>
          <cell r="M377" t="str">
            <v>3208544268</v>
          </cell>
        </row>
        <row r="378">
          <cell r="A378">
            <v>7225834</v>
          </cell>
          <cell r="B378" t="str">
            <v>8</v>
          </cell>
          <cell r="C378" t="str">
            <v/>
          </cell>
          <cell r="D378" t="str">
            <v>NP</v>
          </cell>
          <cell r="E378" t="str">
            <v>JAIRO ALBERTO</v>
          </cell>
          <cell r="F378" t="str">
            <v>MESA LEON</v>
          </cell>
          <cell r="G378" t="str">
            <v>MESA LEON JAIRO ALBERTO</v>
          </cell>
          <cell r="H378" t="str">
            <v>NORE</v>
          </cell>
          <cell r="I378" t="str">
            <v>NO RESPONSABLE DE IVA</v>
          </cell>
          <cell r="J378" t="str">
            <v>CR 7 B 12 43</v>
          </cell>
          <cell r="K378" t="str">
            <v>15238</v>
          </cell>
          <cell r="L378" t="str">
            <v>DUITAMA</v>
          </cell>
          <cell r="M378" t="str">
            <v>3112393037</v>
          </cell>
        </row>
        <row r="379">
          <cell r="A379">
            <v>7225917</v>
          </cell>
          <cell r="B379" t="str">
            <v>0</v>
          </cell>
          <cell r="C379" t="str">
            <v/>
          </cell>
          <cell r="D379" t="str">
            <v>NP</v>
          </cell>
          <cell r="E379" t="str">
            <v>GUSTAVO</v>
          </cell>
          <cell r="F379" t="str">
            <v>GONZALEZ CUERVO</v>
          </cell>
          <cell r="G379" t="str">
            <v>GONZALEZ CUERVO GUSTAVO</v>
          </cell>
          <cell r="H379" t="str">
            <v>RECO</v>
          </cell>
          <cell r="I379" t="str">
            <v>REGIMEN COMUN</v>
          </cell>
          <cell r="J379" t="str">
            <v>CL 20  A  14 78</v>
          </cell>
          <cell r="K379" t="str">
            <v>15238</v>
          </cell>
          <cell r="L379" t="str">
            <v>DUITAMA</v>
          </cell>
          <cell r="M379" t="str">
            <v>3103430058</v>
          </cell>
        </row>
        <row r="380">
          <cell r="A380">
            <v>7225926</v>
          </cell>
          <cell r="B380" t="str">
            <v>7</v>
          </cell>
          <cell r="C380" t="str">
            <v/>
          </cell>
          <cell r="D380" t="str">
            <v>NP</v>
          </cell>
          <cell r="E380" t="str">
            <v>ISIDRO</v>
          </cell>
          <cell r="F380" t="str">
            <v>CIENDUA GIL</v>
          </cell>
          <cell r="G380" t="str">
            <v>CIENDUA GIL ISIDRO</v>
          </cell>
          <cell r="H380" t="str">
            <v>RECO</v>
          </cell>
          <cell r="I380" t="str">
            <v>REGIMEN COMUN</v>
          </cell>
          <cell r="J380" t="str">
            <v>TV 69 B  9 D 90 IN 14  AP 201 BRR MARSELLA</v>
          </cell>
          <cell r="K380" t="str">
            <v>11001</v>
          </cell>
          <cell r="L380" t="str">
            <v>BOGOTA DC</v>
          </cell>
          <cell r="M380" t="str">
            <v>3118354694</v>
          </cell>
        </row>
        <row r="381">
          <cell r="A381">
            <v>7226847</v>
          </cell>
          <cell r="B381" t="str">
            <v>8</v>
          </cell>
          <cell r="C381" t="str">
            <v/>
          </cell>
          <cell r="D381" t="str">
            <v>NP</v>
          </cell>
          <cell r="E381" t="str">
            <v>LUIS</v>
          </cell>
          <cell r="F381" t="str">
            <v>VELANDIA CELY</v>
          </cell>
          <cell r="G381" t="str">
            <v>VELANDIA CELY LUIS</v>
          </cell>
          <cell r="H381" t="str">
            <v>IMVE</v>
          </cell>
          <cell r="I381" t="str">
            <v>IMPUESTO SOBRE LAS VENTAS</v>
          </cell>
          <cell r="J381" t="str">
            <v>AV LAS AMERICAS  19 85</v>
          </cell>
          <cell r="K381" t="str">
            <v>15238</v>
          </cell>
          <cell r="L381" t="str">
            <v>DUITAMA</v>
          </cell>
          <cell r="M381" t="str">
            <v>7604951</v>
          </cell>
        </row>
        <row r="382">
          <cell r="A382">
            <v>7226848</v>
          </cell>
          <cell r="B382" t="str">
            <v>5</v>
          </cell>
          <cell r="C382" t="str">
            <v/>
          </cell>
          <cell r="D382" t="str">
            <v>NP</v>
          </cell>
          <cell r="E382" t="str">
            <v>JAIRO ROBERTO</v>
          </cell>
          <cell r="F382" t="str">
            <v>GONZALEZ LARA</v>
          </cell>
          <cell r="G382" t="str">
            <v>GONZALEZ LARA JAIRO ROBERTO</v>
          </cell>
          <cell r="H382" t="str">
            <v>RECO</v>
          </cell>
          <cell r="I382" t="str">
            <v>REGIMEN COMUN</v>
          </cell>
          <cell r="J382" t="str">
            <v>CL 3  2  70</v>
          </cell>
          <cell r="K382" t="str">
            <v>15238</v>
          </cell>
          <cell r="L382" t="str">
            <v>DUITAMA</v>
          </cell>
          <cell r="M382" t="str">
            <v>3208364047</v>
          </cell>
        </row>
        <row r="383">
          <cell r="A383">
            <v>7227144</v>
          </cell>
          <cell r="B383" t="str">
            <v/>
          </cell>
          <cell r="C383" t="str">
            <v/>
          </cell>
          <cell r="D383" t="str">
            <v>CC</v>
          </cell>
          <cell r="E383" t="str">
            <v>HELVER EUGENIO</v>
          </cell>
          <cell r="F383" t="str">
            <v>ROJAS CORREGIDOR</v>
          </cell>
          <cell r="G383" t="str">
            <v>ROJAS CORREGIDOR HELVER EUGENIO</v>
          </cell>
          <cell r="H383" t="str">
            <v>FUNC</v>
          </cell>
          <cell r="I383" t="str">
            <v>FUNCIONARIO</v>
          </cell>
          <cell r="J383" t="str">
            <v>CR 24 21 57</v>
          </cell>
          <cell r="K383" t="str">
            <v>15238</v>
          </cell>
          <cell r="L383" t="str">
            <v>DUITAMA</v>
          </cell>
          <cell r="M383" t="str">
            <v>3124358914</v>
          </cell>
        </row>
        <row r="384">
          <cell r="A384">
            <v>7227349</v>
          </cell>
          <cell r="B384" t="str">
            <v>6</v>
          </cell>
          <cell r="C384" t="str">
            <v/>
          </cell>
          <cell r="D384" t="str">
            <v>NP</v>
          </cell>
          <cell r="E384" t="str">
            <v>SAUL</v>
          </cell>
          <cell r="F384" t="str">
            <v>BARRERA VASQUEZ</v>
          </cell>
          <cell r="G384" t="str">
            <v>BARRERA VASQUEZ SAUL</v>
          </cell>
          <cell r="H384" t="str">
            <v>NORE</v>
          </cell>
          <cell r="I384" t="str">
            <v>NO RESPONSABLE DE IVA</v>
          </cell>
          <cell r="J384" t="str">
            <v>KM TRES PUNTO OCHO VDA SIRIVANA FCA ZORAIMA</v>
          </cell>
          <cell r="K384" t="str">
            <v>85001</v>
          </cell>
          <cell r="L384" t="str">
            <v>YOPAL</v>
          </cell>
          <cell r="M384" t="str">
            <v>3105768162</v>
          </cell>
        </row>
        <row r="385">
          <cell r="A385">
            <v>7227927</v>
          </cell>
          <cell r="B385" t="str">
            <v>3</v>
          </cell>
          <cell r="C385" t="str">
            <v/>
          </cell>
          <cell r="D385" t="str">
            <v>NP</v>
          </cell>
          <cell r="E385" t="str">
            <v>PABLO HERNANDO</v>
          </cell>
          <cell r="F385" t="str">
            <v>MARIÑO GARCIA</v>
          </cell>
          <cell r="G385" t="str">
            <v>MARIÑO GARCIA PABLO HERNANDO</v>
          </cell>
          <cell r="H385" t="str">
            <v>NORE</v>
          </cell>
          <cell r="I385" t="str">
            <v>NO RESPONSABLE DE IVA</v>
          </cell>
          <cell r="J385" t="str">
            <v>CL 13 16 28</v>
          </cell>
          <cell r="K385" t="str">
            <v>15238</v>
          </cell>
          <cell r="L385" t="str">
            <v>DUITAMA</v>
          </cell>
          <cell r="M385" t="str">
            <v>3102191633</v>
          </cell>
        </row>
        <row r="386">
          <cell r="A386">
            <v>7227929</v>
          </cell>
          <cell r="B386" t="str">
            <v>8</v>
          </cell>
          <cell r="C386" t="str">
            <v/>
          </cell>
          <cell r="D386" t="str">
            <v>NP</v>
          </cell>
          <cell r="E386" t="str">
            <v>JAIME ARTURO</v>
          </cell>
          <cell r="F386" t="str">
            <v>CORREDOR FONSECA</v>
          </cell>
          <cell r="G386" t="str">
            <v>CORREDOR FONSECA JAIME ARTURO</v>
          </cell>
          <cell r="H386" t="str">
            <v>RESI</v>
          </cell>
          <cell r="I386" t="str">
            <v>REGIMEN SIMPLIFICADO</v>
          </cell>
          <cell r="J386" t="str">
            <v>CL 10  25 26</v>
          </cell>
          <cell r="K386" t="str">
            <v>15238</v>
          </cell>
          <cell r="L386" t="str">
            <v>DUITAMA</v>
          </cell>
          <cell r="M386" t="str">
            <v>3108563845</v>
          </cell>
        </row>
        <row r="387">
          <cell r="A387">
            <v>7227967</v>
          </cell>
          <cell r="B387" t="str">
            <v>8</v>
          </cell>
          <cell r="C387" t="str">
            <v/>
          </cell>
          <cell r="D387" t="str">
            <v>NP</v>
          </cell>
          <cell r="E387" t="str">
            <v>PEDRO ANTONIO</v>
          </cell>
          <cell r="F387" t="str">
            <v>PEREZ VARGAS</v>
          </cell>
          <cell r="G387" t="str">
            <v>PEREZ VARGAS PEDRO ANTONIO</v>
          </cell>
          <cell r="H387" t="str">
            <v>RECO</v>
          </cell>
          <cell r="I387" t="str">
            <v>REGIMEN COMUN</v>
          </cell>
          <cell r="J387" t="str">
            <v>CR 18 16 04</v>
          </cell>
          <cell r="K387" t="str">
            <v>15238</v>
          </cell>
          <cell r="L387" t="str">
            <v>DUITAMA</v>
          </cell>
          <cell r="M387" t="str">
            <v>7603500</v>
          </cell>
        </row>
        <row r="388">
          <cell r="A388">
            <v>7228206</v>
          </cell>
          <cell r="B388" t="str">
            <v>6</v>
          </cell>
          <cell r="C388" t="str">
            <v/>
          </cell>
          <cell r="D388" t="str">
            <v>NP</v>
          </cell>
          <cell r="E388" t="str">
            <v>BALVINO</v>
          </cell>
          <cell r="F388" t="str">
            <v>SANDOVAL VARGAS</v>
          </cell>
          <cell r="G388" t="str">
            <v>SANDOVAL VARGAS BALVINO</v>
          </cell>
          <cell r="H388" t="str">
            <v>RCPN</v>
          </cell>
          <cell r="I388" t="str">
            <v>RESPONSABLE IVA PERSONA NATURAL</v>
          </cell>
          <cell r="J388" t="str">
            <v>CR 19  13-23</v>
          </cell>
          <cell r="K388" t="str">
            <v>15238</v>
          </cell>
          <cell r="L388" t="str">
            <v>DUITAMA</v>
          </cell>
          <cell r="M388" t="str">
            <v>7605739</v>
          </cell>
        </row>
        <row r="389">
          <cell r="A389">
            <v>7228626</v>
          </cell>
          <cell r="B389" t="str">
            <v/>
          </cell>
          <cell r="C389" t="str">
            <v/>
          </cell>
          <cell r="D389" t="str">
            <v>CC</v>
          </cell>
          <cell r="E389" t="str">
            <v>CESAR AUGUSTO</v>
          </cell>
          <cell r="F389" t="str">
            <v>TAPIAS CHAVARRO</v>
          </cell>
          <cell r="G389" t="str">
            <v>TAPIAS CHAVARRO CESAR AUGUSTO</v>
          </cell>
          <cell r="H389" t="str">
            <v>FUNC</v>
          </cell>
          <cell r="I389" t="str">
            <v>FUNCIONARIO</v>
          </cell>
          <cell r="J389" t="str">
            <v>CALLE 15A N° 3-38</v>
          </cell>
          <cell r="K389" t="str">
            <v>15238</v>
          </cell>
          <cell r="L389" t="str">
            <v>DUITAMA</v>
          </cell>
          <cell r="M389" t="str">
            <v>3156332627</v>
          </cell>
        </row>
        <row r="390">
          <cell r="A390">
            <v>7228657</v>
          </cell>
          <cell r="B390" t="str">
            <v/>
          </cell>
          <cell r="C390" t="str">
            <v/>
          </cell>
          <cell r="D390" t="str">
            <v>CC</v>
          </cell>
          <cell r="E390" t="str">
            <v>FABIO GUSTAVO</v>
          </cell>
          <cell r="F390" t="str">
            <v>GRANADOS PEREZ</v>
          </cell>
          <cell r="G390" t="str">
            <v>GRANADOS PEREZ FABIO GUSTAVO</v>
          </cell>
          <cell r="H390" t="str">
            <v>EXFU</v>
          </cell>
          <cell r="I390" t="str">
            <v>EX-FUNCIONARIOS</v>
          </cell>
          <cell r="J390" t="str">
            <v>C22A 4-12</v>
          </cell>
          <cell r="K390" t="str">
            <v>15238</v>
          </cell>
          <cell r="L390" t="str">
            <v>DUITAMA</v>
          </cell>
          <cell r="M390" t="str">
            <v>7625747</v>
          </cell>
        </row>
        <row r="391">
          <cell r="A391">
            <v>7229337</v>
          </cell>
          <cell r="B391" t="str">
            <v>7</v>
          </cell>
          <cell r="C391" t="str">
            <v/>
          </cell>
          <cell r="D391" t="str">
            <v>NP</v>
          </cell>
          <cell r="E391" t="str">
            <v>OSCAR JAVIER</v>
          </cell>
          <cell r="F391" t="str">
            <v>HERRERA MARTINEZ</v>
          </cell>
          <cell r="G391" t="str">
            <v>HERRERA MARTINEZ OSCAR JAVIER</v>
          </cell>
          <cell r="H391" t="str">
            <v>RESI</v>
          </cell>
          <cell r="I391" t="str">
            <v>REGIMEN SIMPLIFICADO</v>
          </cell>
          <cell r="J391" t="str">
            <v>CR 19 10 A 46</v>
          </cell>
          <cell r="K391" t="str">
            <v>15238</v>
          </cell>
          <cell r="L391" t="str">
            <v>DUITAMA</v>
          </cell>
          <cell r="M391" t="str">
            <v>3112543660</v>
          </cell>
        </row>
        <row r="392">
          <cell r="A392">
            <v>7229445</v>
          </cell>
          <cell r="B392" t="str">
            <v>4</v>
          </cell>
          <cell r="C392" t="str">
            <v/>
          </cell>
          <cell r="D392" t="str">
            <v>NP</v>
          </cell>
          <cell r="E392" t="str">
            <v>GLENN ALEXANDER</v>
          </cell>
          <cell r="F392" t="str">
            <v>SALAZAR BARON</v>
          </cell>
          <cell r="G392" t="str">
            <v>SALAZAR BARON GLENN ALEXANDER</v>
          </cell>
          <cell r="H392" t="str">
            <v>RECO</v>
          </cell>
          <cell r="I392" t="str">
            <v>REGIMEN COMUN</v>
          </cell>
          <cell r="J392" t="str">
            <v>CL 10  10 26 BRR EL PROGRESO</v>
          </cell>
          <cell r="K392" t="str">
            <v>15238</v>
          </cell>
          <cell r="L392" t="str">
            <v>DUITAMA</v>
          </cell>
          <cell r="M392" t="str">
            <v>3118359850</v>
          </cell>
        </row>
        <row r="393">
          <cell r="A393">
            <v>7229448</v>
          </cell>
          <cell r="B393" t="str">
            <v>6</v>
          </cell>
          <cell r="C393" t="str">
            <v/>
          </cell>
          <cell r="D393" t="str">
            <v>NP</v>
          </cell>
          <cell r="E393" t="str">
            <v>DAN WALTER</v>
          </cell>
          <cell r="F393" t="str">
            <v>RUBIANO CASTAÑEDA</v>
          </cell>
          <cell r="G393" t="str">
            <v>RUBIANO CASTAÑEDA DAN WALTER</v>
          </cell>
          <cell r="H393" t="str">
            <v>IMVE</v>
          </cell>
          <cell r="I393" t="str">
            <v>IMPUESTO SOBRE LAS VENTAS</v>
          </cell>
          <cell r="J393" t="str">
            <v>CR 16 12 56</v>
          </cell>
          <cell r="K393" t="str">
            <v>15238</v>
          </cell>
          <cell r="L393" t="str">
            <v>DUITAMA</v>
          </cell>
          <cell r="M393" t="str">
            <v>3187835960</v>
          </cell>
        </row>
        <row r="394">
          <cell r="A394">
            <v>7229552</v>
          </cell>
          <cell r="B394" t="str">
            <v>4</v>
          </cell>
          <cell r="C394" t="str">
            <v/>
          </cell>
          <cell r="D394" t="str">
            <v>NP</v>
          </cell>
          <cell r="E394" t="str">
            <v>LUIS HUMBERTO</v>
          </cell>
          <cell r="F394" t="str">
            <v>GONZALEZ RUIZ</v>
          </cell>
          <cell r="G394" t="str">
            <v>GONZALEZ RUIZ LUIS HUMBERTO</v>
          </cell>
          <cell r="H394" t="str">
            <v>RECO</v>
          </cell>
          <cell r="I394" t="str">
            <v>REGIMEN COMUN</v>
          </cell>
          <cell r="J394" t="str">
            <v>CR 19 14 45</v>
          </cell>
          <cell r="K394" t="str">
            <v>15238</v>
          </cell>
          <cell r="L394" t="str">
            <v>DUITAMA</v>
          </cell>
          <cell r="M394" t="str">
            <v>7613547</v>
          </cell>
        </row>
        <row r="395">
          <cell r="A395">
            <v>7229806</v>
          </cell>
          <cell r="B395" t="str">
            <v>1</v>
          </cell>
          <cell r="C395" t="str">
            <v/>
          </cell>
          <cell r="D395" t="str">
            <v>NP</v>
          </cell>
          <cell r="E395" t="str">
            <v>JULIO HERNAN</v>
          </cell>
          <cell r="F395" t="str">
            <v>ROA SALCEDO</v>
          </cell>
          <cell r="G395" t="str">
            <v>ROA SALCEDO JULIO HERNAN</v>
          </cell>
          <cell r="H395" t="str">
            <v>IMVE</v>
          </cell>
          <cell r="I395" t="str">
            <v>IMPUESTO SOBRE LAS VENTAS</v>
          </cell>
          <cell r="J395" t="str">
            <v>CL 24 10 30 BRR LAS NIEVES</v>
          </cell>
          <cell r="K395" t="str">
            <v>15001</v>
          </cell>
          <cell r="L395" t="str">
            <v>TUNJA</v>
          </cell>
          <cell r="M395" t="str">
            <v>3125850454</v>
          </cell>
        </row>
        <row r="396">
          <cell r="A396">
            <v>7276516</v>
          </cell>
          <cell r="B396" t="str">
            <v>9</v>
          </cell>
          <cell r="C396" t="str">
            <v/>
          </cell>
          <cell r="D396" t="str">
            <v>NP</v>
          </cell>
          <cell r="E396" t="str">
            <v>MACEDONIO</v>
          </cell>
          <cell r="F396" t="str">
            <v>BAQUERO DURAN</v>
          </cell>
          <cell r="G396" t="str">
            <v>BAQUERO DURAN MACEDONIO</v>
          </cell>
          <cell r="H396" t="str">
            <v>NORE</v>
          </cell>
          <cell r="I396" t="str">
            <v>NO RESPONSABLE DE IVA</v>
          </cell>
          <cell r="J396" t="str">
            <v>CR 42 15 80</v>
          </cell>
          <cell r="K396" t="str">
            <v>15238</v>
          </cell>
          <cell r="L396" t="str">
            <v>DUITAMA</v>
          </cell>
          <cell r="M396" t="str">
            <v>3123053987</v>
          </cell>
        </row>
        <row r="397">
          <cell r="A397">
            <v>7300520</v>
          </cell>
          <cell r="B397" t="str">
            <v>1</v>
          </cell>
          <cell r="C397" t="str">
            <v/>
          </cell>
          <cell r="D397" t="str">
            <v>NP</v>
          </cell>
          <cell r="E397" t="str">
            <v>CRISANTO</v>
          </cell>
          <cell r="F397" t="str">
            <v>PEÑA AVILA</v>
          </cell>
          <cell r="G397" t="str">
            <v xml:space="preserve">PEÑA AVILA CRISANTO           </v>
          </cell>
          <cell r="H397" t="str">
            <v>RESI</v>
          </cell>
          <cell r="I397" t="str">
            <v>REGIMEN SIMPLIFICADO</v>
          </cell>
          <cell r="J397" t="str">
            <v xml:space="preserve"> CR  14 A  7 A  35</v>
          </cell>
          <cell r="K397" t="str">
            <v>15759</v>
          </cell>
          <cell r="L397" t="str">
            <v>SOGAMOSO</v>
          </cell>
          <cell r="M397" t="str">
            <v>7750411</v>
          </cell>
        </row>
        <row r="398">
          <cell r="A398">
            <v>7301654</v>
          </cell>
          <cell r="B398" t="str">
            <v/>
          </cell>
          <cell r="C398" t="str">
            <v/>
          </cell>
          <cell r="D398" t="str">
            <v>CC</v>
          </cell>
          <cell r="E398" t="str">
            <v>MANUEL ALFONSO</v>
          </cell>
          <cell r="F398" t="str">
            <v>RINCON DIAZ</v>
          </cell>
          <cell r="G398" t="str">
            <v>MANUEL ALFONSO RINCON DIAZ</v>
          </cell>
          <cell r="H398" t="str">
            <v>FUNC</v>
          </cell>
          <cell r="I398" t="str">
            <v>FUNCIONARIO</v>
          </cell>
          <cell r="J398" t="str">
            <v>AVENIDA LIBERTADORES  21   54</v>
          </cell>
          <cell r="K398" t="str">
            <v>15516</v>
          </cell>
          <cell r="L398" t="str">
            <v>PAIPA</v>
          </cell>
          <cell r="M398" t="str">
            <v>8726220</v>
          </cell>
        </row>
        <row r="399">
          <cell r="A399">
            <v>7363810</v>
          </cell>
          <cell r="B399" t="str">
            <v>2</v>
          </cell>
          <cell r="C399" t="str">
            <v/>
          </cell>
          <cell r="D399" t="str">
            <v>NP</v>
          </cell>
          <cell r="E399" t="str">
            <v>HENRY</v>
          </cell>
          <cell r="F399" t="str">
            <v>RIAÑO CRISTIANO</v>
          </cell>
          <cell r="G399" t="str">
            <v>RIAÑO CRISTIANO HENRY</v>
          </cell>
          <cell r="H399" t="str">
            <v>RESI</v>
          </cell>
          <cell r="I399" t="str">
            <v>REGIMEN SIMPLIFICADO</v>
          </cell>
          <cell r="J399" t="str">
            <v>CR 14   33 B   10</v>
          </cell>
          <cell r="K399" t="str">
            <v>85001</v>
          </cell>
          <cell r="L399" t="str">
            <v>YOPAL</v>
          </cell>
          <cell r="M399" t="str">
            <v>3115917458</v>
          </cell>
        </row>
        <row r="400">
          <cell r="A400">
            <v>7447506</v>
          </cell>
          <cell r="B400" t="str">
            <v>1</v>
          </cell>
          <cell r="C400" t="str">
            <v/>
          </cell>
          <cell r="D400" t="str">
            <v>NP</v>
          </cell>
          <cell r="E400" t="str">
            <v>PEDRO EDMUNDO</v>
          </cell>
          <cell r="F400" t="str">
            <v>ARIAS MATOS</v>
          </cell>
          <cell r="G400" t="str">
            <v>ARIAS MATOS PEDRO EDMUNDO</v>
          </cell>
          <cell r="H400" t="str">
            <v>RECO</v>
          </cell>
          <cell r="I400" t="str">
            <v>REGIMEN COMUN</v>
          </cell>
          <cell r="J400" t="str">
            <v xml:space="preserve">AV O 11 71  OF 108 CUCUTA          </v>
          </cell>
          <cell r="K400" t="str">
            <v>54001</v>
          </cell>
          <cell r="L400" t="str">
            <v>CÚCUTA</v>
          </cell>
          <cell r="M400" t="str">
            <v>5731708</v>
          </cell>
        </row>
        <row r="401">
          <cell r="A401">
            <v>7458387</v>
          </cell>
          <cell r="B401" t="str">
            <v>7</v>
          </cell>
          <cell r="C401" t="str">
            <v/>
          </cell>
          <cell r="D401" t="str">
            <v>NP</v>
          </cell>
          <cell r="E401" t="str">
            <v>HECTOR HERNANDO</v>
          </cell>
          <cell r="F401" t="str">
            <v>ARANGO MUÑOZ</v>
          </cell>
          <cell r="G401" t="str">
            <v>ARANGO MUÑOZ HECTOR HERNANDO</v>
          </cell>
          <cell r="H401" t="str">
            <v>NORE</v>
          </cell>
          <cell r="I401" t="str">
            <v>NO RESPONSABLE DE IVA</v>
          </cell>
          <cell r="J401" t="str">
            <v xml:space="preserve"> CL 23 23 55 AP 307</v>
          </cell>
          <cell r="K401" t="str">
            <v>17001</v>
          </cell>
          <cell r="L401" t="str">
            <v>MANIZALES</v>
          </cell>
          <cell r="M401" t="str">
            <v>8847400</v>
          </cell>
        </row>
        <row r="402">
          <cell r="A402">
            <v>7509290</v>
          </cell>
          <cell r="B402" t="str">
            <v>1</v>
          </cell>
          <cell r="C402" t="str">
            <v/>
          </cell>
          <cell r="D402" t="str">
            <v>NP</v>
          </cell>
          <cell r="E402" t="str">
            <v>JAIME O</v>
          </cell>
          <cell r="F402" t="str">
            <v>CANTILLO MARTINEZ</v>
          </cell>
          <cell r="G402" t="str">
            <v>JAIME O CANTILLO MARTINEZ</v>
          </cell>
          <cell r="H402" t="str">
            <v>RECO</v>
          </cell>
          <cell r="I402" t="str">
            <v>REGIMEN COMUN</v>
          </cell>
          <cell r="J402" t="str">
            <v xml:space="preserve">CR 44 69 68 CA 10                    </v>
          </cell>
          <cell r="K402" t="str">
            <v>08001</v>
          </cell>
          <cell r="L402" t="str">
            <v>BARRANQUILLA</v>
          </cell>
          <cell r="M402" t="str">
            <v>PND.</v>
          </cell>
        </row>
        <row r="403">
          <cell r="A403">
            <v>7517717</v>
          </cell>
          <cell r="B403" t="str">
            <v>8</v>
          </cell>
          <cell r="C403" t="str">
            <v/>
          </cell>
          <cell r="D403" t="str">
            <v>NP</v>
          </cell>
          <cell r="E403" t="str">
            <v>PEDRO LUIS</v>
          </cell>
          <cell r="F403" t="str">
            <v>VILLAMIL LOAIZA</v>
          </cell>
          <cell r="G403" t="str">
            <v>VILLAMIL LOAIZA PEDRO LUIS</v>
          </cell>
          <cell r="H403" t="str">
            <v>RECO</v>
          </cell>
          <cell r="I403" t="str">
            <v>REGIMEN COMUN</v>
          </cell>
          <cell r="J403" t="str">
            <v>CL 4 C 34 A 41</v>
          </cell>
          <cell r="K403" t="str">
            <v>17001</v>
          </cell>
          <cell r="L403" t="str">
            <v>MANIZALES</v>
          </cell>
          <cell r="M403" t="str">
            <v>8891379</v>
          </cell>
        </row>
        <row r="404">
          <cell r="A404">
            <v>7524880</v>
          </cell>
          <cell r="B404" t="str">
            <v>1</v>
          </cell>
          <cell r="C404" t="str">
            <v/>
          </cell>
          <cell r="D404" t="str">
            <v>NP</v>
          </cell>
          <cell r="E404" t="str">
            <v>ALVARO</v>
          </cell>
          <cell r="F404" t="str">
            <v>AGUIRRE MARIN</v>
          </cell>
          <cell r="G404" t="str">
            <v>AGUIRRE MARIN ALVARO</v>
          </cell>
          <cell r="H404" t="str">
            <v>IMVE</v>
          </cell>
          <cell r="I404" t="str">
            <v>IMPUESTO SOBRE LAS VENTAS</v>
          </cell>
          <cell r="J404" t="str">
            <v>CR 10 21 15 OF 505 ED INVERTOBON</v>
          </cell>
          <cell r="K404" t="str">
            <v>66001</v>
          </cell>
          <cell r="L404" t="str">
            <v>PEREIRA</v>
          </cell>
          <cell r="M404" t="str">
            <v>3127222208</v>
          </cell>
        </row>
        <row r="405">
          <cell r="A405">
            <v>7531148</v>
          </cell>
          <cell r="B405" t="str">
            <v>5</v>
          </cell>
          <cell r="C405" t="str">
            <v/>
          </cell>
          <cell r="D405" t="str">
            <v>NP</v>
          </cell>
          <cell r="E405" t="str">
            <v>RAUL ELIAS</v>
          </cell>
          <cell r="F405" t="str">
            <v>RAMIREZ DEVIA</v>
          </cell>
          <cell r="G405" t="str">
            <v>RAUL ELIAS RAMIREZ DEVIA</v>
          </cell>
          <cell r="H405" t="str">
            <v>RECO</v>
          </cell>
          <cell r="I405" t="str">
            <v>REGIMEN COMUN</v>
          </cell>
          <cell r="J405" t="str">
            <v xml:space="preserve">CR 10 N 4 14 OF 304                     </v>
          </cell>
          <cell r="K405" t="str">
            <v>19001</v>
          </cell>
          <cell r="L405" t="str">
            <v>POPAYÁN</v>
          </cell>
          <cell r="M405" t="str">
            <v>8756262</v>
          </cell>
        </row>
        <row r="406">
          <cell r="A406">
            <v>7544889</v>
          </cell>
          <cell r="B406" t="str">
            <v>0</v>
          </cell>
          <cell r="C406" t="str">
            <v/>
          </cell>
          <cell r="D406" t="str">
            <v>NP</v>
          </cell>
          <cell r="E406" t="str">
            <v xml:space="preserve">ALBERTO </v>
          </cell>
          <cell r="F406" t="str">
            <v>LUNA OCASIONES</v>
          </cell>
          <cell r="G406" t="str">
            <v>ALBERTO LUNA OCASIONES</v>
          </cell>
          <cell r="H406" t="str">
            <v>RECO</v>
          </cell>
          <cell r="I406" t="str">
            <v>REGIMEN COMUN</v>
          </cell>
          <cell r="J406" t="str">
            <v>CR 150 48 63 AP 105 ED GALCAVAL  BRR VICTORIA NORTE</v>
          </cell>
          <cell r="K406" t="str">
            <v>11001</v>
          </cell>
          <cell r="L406" t="str">
            <v>BOGOTA DC</v>
          </cell>
          <cell r="M406" t="str">
            <v>3214964911</v>
          </cell>
        </row>
        <row r="407">
          <cell r="A407">
            <v>7601567</v>
          </cell>
          <cell r="B407" t="str">
            <v>9</v>
          </cell>
          <cell r="C407" t="str">
            <v/>
          </cell>
          <cell r="D407" t="str">
            <v>NP</v>
          </cell>
          <cell r="E407" t="str">
            <v>JUAN DE JESUS</v>
          </cell>
          <cell r="F407" t="str">
            <v>GIRALDO HIDALGO</v>
          </cell>
          <cell r="G407" t="str">
            <v>GIRALDO HIDALGO JUAN DE JESUS</v>
          </cell>
          <cell r="H407" t="str">
            <v>NORE</v>
          </cell>
          <cell r="I407" t="str">
            <v>NO RESPONSABLE DE IVA</v>
          </cell>
          <cell r="J407" t="str">
            <v>SEC MARQUETALIA CORR GUACHACA</v>
          </cell>
          <cell r="K407" t="str">
            <v>47001</v>
          </cell>
          <cell r="L407" t="str">
            <v>SANTA MARTA</v>
          </cell>
          <cell r="M407" t="str">
            <v>3158216535</v>
          </cell>
        </row>
        <row r="408">
          <cell r="A408">
            <v>7652699</v>
          </cell>
          <cell r="B408" t="str">
            <v/>
          </cell>
          <cell r="C408" t="str">
            <v/>
          </cell>
          <cell r="D408" t="str">
            <v>CC</v>
          </cell>
          <cell r="E408" t="str">
            <v>ORLANDO</v>
          </cell>
          <cell r="F408" t="str">
            <v>SUAREZ ALARCON</v>
          </cell>
          <cell r="G408" t="str">
            <v>SUAREZ ALARCON ORLANDO</v>
          </cell>
          <cell r="H408" t="str">
            <v>FUNC</v>
          </cell>
          <cell r="I408" t="str">
            <v>FUNCIONARIO</v>
          </cell>
          <cell r="J408" t="str">
            <v>CALLE 8 No 11B-28</v>
          </cell>
          <cell r="K408" t="str">
            <v>15516</v>
          </cell>
          <cell r="L408" t="str">
            <v>PAIPA</v>
          </cell>
          <cell r="M408" t="str">
            <v>3108025131</v>
          </cell>
        </row>
        <row r="409">
          <cell r="A409">
            <v>7731837</v>
          </cell>
          <cell r="B409" t="str">
            <v>1</v>
          </cell>
          <cell r="C409" t="str">
            <v/>
          </cell>
          <cell r="D409" t="str">
            <v>NP</v>
          </cell>
          <cell r="E409" t="str">
            <v>VICTOR HUGO</v>
          </cell>
          <cell r="F409" t="str">
            <v>MOLANO CULMA</v>
          </cell>
          <cell r="G409" t="str">
            <v>MOLANO CULMA VICTOR HUGO</v>
          </cell>
          <cell r="H409" t="str">
            <v>RESI</v>
          </cell>
          <cell r="I409" t="str">
            <v>REGIMEN SIMPLIFICADO</v>
          </cell>
          <cell r="J409" t="str">
            <v>CL 47 A 28 70 IN 103 BRR BELALCAZAR</v>
          </cell>
          <cell r="K409" t="str">
            <v>11001</v>
          </cell>
          <cell r="L409" t="str">
            <v>BOGOTA DC</v>
          </cell>
          <cell r="M409" t="str">
            <v>3112286811</v>
          </cell>
        </row>
        <row r="410">
          <cell r="A410">
            <v>7760340</v>
          </cell>
          <cell r="B410" t="str">
            <v/>
          </cell>
          <cell r="C410" t="str">
            <v/>
          </cell>
          <cell r="D410" t="str">
            <v>CC</v>
          </cell>
          <cell r="E410" t="str">
            <v>JOSE EMILIO</v>
          </cell>
          <cell r="F410" t="str">
            <v>CISNEROS FIGUEROA</v>
          </cell>
          <cell r="G410" t="str">
            <v>CISNEROS FIGUEROA JOSE EMILIO</v>
          </cell>
          <cell r="H410" t="str">
            <v>RESI</v>
          </cell>
          <cell r="I410" t="str">
            <v>REGIMEN SIMPLIFICADO</v>
          </cell>
          <cell r="J410" t="str">
            <v>VRD PAVANAY</v>
          </cell>
          <cell r="K410" t="str">
            <v>99624</v>
          </cell>
          <cell r="L410" t="str">
            <v>SANTA ROSALÍA</v>
          </cell>
          <cell r="M410" t="str">
            <v>3114412000</v>
          </cell>
        </row>
        <row r="411">
          <cell r="A411">
            <v>7760390</v>
          </cell>
          <cell r="B411" t="str">
            <v>3</v>
          </cell>
          <cell r="C411" t="str">
            <v/>
          </cell>
          <cell r="D411" t="str">
            <v>NP</v>
          </cell>
          <cell r="E411" t="str">
            <v>JAIR HAMID</v>
          </cell>
          <cell r="F411" t="str">
            <v>DUARTE</v>
          </cell>
          <cell r="G411" t="str">
            <v>DUARTE JAIR HAMID</v>
          </cell>
          <cell r="H411" t="str">
            <v>RESI</v>
          </cell>
          <cell r="I411" t="str">
            <v>REGIMEN SIMPLIFICADO</v>
          </cell>
          <cell r="J411" t="str">
            <v>CL 6   25   95 BRR PUEBLO NUEVO</v>
          </cell>
          <cell r="K411" t="str">
            <v>99624</v>
          </cell>
          <cell r="L411" t="str">
            <v>SANTA ROSALÍA</v>
          </cell>
          <cell r="M411" t="str">
            <v>3219433512</v>
          </cell>
        </row>
        <row r="412">
          <cell r="A412">
            <v>7760586</v>
          </cell>
          <cell r="B412" t="str">
            <v>1</v>
          </cell>
          <cell r="C412" t="str">
            <v/>
          </cell>
          <cell r="D412" t="str">
            <v>NP</v>
          </cell>
          <cell r="E412" t="str">
            <v>PLACIDO</v>
          </cell>
          <cell r="F412" t="str">
            <v>REQUINIVA MORENO</v>
          </cell>
          <cell r="G412" t="str">
            <v>REQUINIVA MORENO PLACIDO</v>
          </cell>
          <cell r="H412" t="str">
            <v>RESI</v>
          </cell>
          <cell r="I412" t="str">
            <v>REGIMEN SIMPLIFICADO</v>
          </cell>
          <cell r="J412" t="str">
            <v>BRR CENTRO</v>
          </cell>
          <cell r="K412" t="str">
            <v>99624</v>
          </cell>
          <cell r="L412" t="str">
            <v>SANTA ROSALÍA</v>
          </cell>
          <cell r="M412" t="str">
            <v>3143131439</v>
          </cell>
        </row>
        <row r="413">
          <cell r="A413">
            <v>8111668</v>
          </cell>
          <cell r="B413" t="str">
            <v/>
          </cell>
          <cell r="C413" t="str">
            <v/>
          </cell>
          <cell r="D413" t="str">
            <v>CC</v>
          </cell>
          <cell r="E413" t="str">
            <v>ABELARDO</v>
          </cell>
          <cell r="F413" t="str">
            <v>CARUPIA</v>
          </cell>
          <cell r="G413" t="str">
            <v>CARUPIA ABELARDO</v>
          </cell>
          <cell r="H413" t="str">
            <v>RESI</v>
          </cell>
          <cell r="I413" t="str">
            <v>REGIMEN SIMPLIFICADO</v>
          </cell>
          <cell r="J413" t="str">
            <v>XXX</v>
          </cell>
          <cell r="K413" t="str">
            <v>17001</v>
          </cell>
          <cell r="L413" t="str">
            <v>MANIZALES</v>
          </cell>
          <cell r="M413" t="str">
            <v>XXX</v>
          </cell>
        </row>
        <row r="414">
          <cell r="A414">
            <v>8162073</v>
          </cell>
          <cell r="B414" t="str">
            <v/>
          </cell>
          <cell r="C414" t="str">
            <v/>
          </cell>
          <cell r="D414" t="str">
            <v>CC</v>
          </cell>
          <cell r="E414" t="str">
            <v>ANGELO GIOVANNY</v>
          </cell>
          <cell r="F414" t="str">
            <v>CASTAÑO CONDE</v>
          </cell>
          <cell r="G414" t="str">
            <v>ANGELO GIOVANNY CASTAÑO CONDE</v>
          </cell>
          <cell r="H414" t="str">
            <v>FUNC</v>
          </cell>
          <cell r="I414" t="str">
            <v>FUNCIONARIO</v>
          </cell>
          <cell r="J414" t="str">
            <v>AP 402 BRR EDIF AYACUCHO MILAN</v>
          </cell>
          <cell r="K414" t="str">
            <v>17001</v>
          </cell>
          <cell r="L414" t="str">
            <v>MANIZALES</v>
          </cell>
          <cell r="M414" t="str">
            <v>3006748367</v>
          </cell>
        </row>
        <row r="415">
          <cell r="A415">
            <v>8295564</v>
          </cell>
          <cell r="B415" t="str">
            <v>7</v>
          </cell>
          <cell r="C415" t="str">
            <v/>
          </cell>
          <cell r="D415" t="str">
            <v>NP</v>
          </cell>
          <cell r="E415" t="str">
            <v>SERGIO DE JESUS</v>
          </cell>
          <cell r="F415" t="str">
            <v>RESTREPO FERNANDEZ</v>
          </cell>
          <cell r="G415" t="str">
            <v>RESTREPO FERNANDEZ SERGIO DE JESUS</v>
          </cell>
          <cell r="H415" t="str">
            <v>RECO</v>
          </cell>
          <cell r="I415" t="str">
            <v>REGIMEN COMUN</v>
          </cell>
          <cell r="J415" t="str">
            <v xml:space="preserve"> CL 15  SUR 48 A   9</v>
          </cell>
          <cell r="K415" t="str">
            <v>05001</v>
          </cell>
          <cell r="L415" t="str">
            <v>MEDELLÍN</v>
          </cell>
          <cell r="M415" t="str">
            <v>4482087</v>
          </cell>
        </row>
        <row r="416">
          <cell r="A416">
            <v>8359923</v>
          </cell>
          <cell r="B416" t="str">
            <v>4</v>
          </cell>
          <cell r="C416" t="str">
            <v/>
          </cell>
          <cell r="D416" t="str">
            <v>NP</v>
          </cell>
          <cell r="E416" t="str">
            <v>DIEGO ALEXANDER</v>
          </cell>
          <cell r="F416" t="str">
            <v>RENDON BERNAL</v>
          </cell>
          <cell r="G416" t="str">
            <v>RENDON BERNAL DIEGO ALEXANDER</v>
          </cell>
          <cell r="H416" t="str">
            <v>RESI</v>
          </cell>
          <cell r="I416" t="str">
            <v>REGIMEN SIMPLIFICADO</v>
          </cell>
          <cell r="J416" t="str">
            <v>CL 82 71 A 104</v>
          </cell>
          <cell r="K416" t="str">
            <v>05001</v>
          </cell>
          <cell r="L416" t="str">
            <v>MEDELLÍN</v>
          </cell>
          <cell r="M416" t="str">
            <v>5838321</v>
          </cell>
        </row>
        <row r="417">
          <cell r="A417">
            <v>8373369</v>
          </cell>
          <cell r="B417" t="str">
            <v>1</v>
          </cell>
          <cell r="C417" t="str">
            <v/>
          </cell>
          <cell r="D417" t="str">
            <v>NP</v>
          </cell>
          <cell r="E417" t="str">
            <v>OTONIEL</v>
          </cell>
          <cell r="F417" t="str">
            <v>FUENTES SEPULVEDA</v>
          </cell>
          <cell r="G417" t="str">
            <v>FUENTES SEPULVEDA OTONIEL</v>
          </cell>
          <cell r="H417" t="str">
            <v>RESI</v>
          </cell>
          <cell r="I417" t="str">
            <v>REGIMEN SIMPLIFICADO</v>
          </cell>
          <cell r="J417" t="str">
            <v>CL 9 2 A 20 URB URANIA</v>
          </cell>
          <cell r="K417" t="str">
            <v>97001</v>
          </cell>
          <cell r="L417" t="str">
            <v>MITÚ</v>
          </cell>
          <cell r="M417" t="str">
            <v>3118376443</v>
          </cell>
        </row>
        <row r="418">
          <cell r="A418">
            <v>8398222</v>
          </cell>
          <cell r="B418" t="str">
            <v/>
          </cell>
          <cell r="C418" t="str">
            <v/>
          </cell>
          <cell r="D418" t="str">
            <v>CC</v>
          </cell>
          <cell r="E418" t="str">
            <v>JAIME</v>
          </cell>
          <cell r="F418" t="str">
            <v>AGUDELO SALAZAR</v>
          </cell>
          <cell r="G418" t="str">
            <v>AGUDELO SALAZAR JAIME</v>
          </cell>
          <cell r="H418" t="str">
            <v>FUNC</v>
          </cell>
          <cell r="I418" t="str">
            <v>FUNCIONARIO</v>
          </cell>
          <cell r="J418" t="str">
            <v>CR 23 A   74   283 TORRES DE POSITANO</v>
          </cell>
          <cell r="K418" t="str">
            <v>17001</v>
          </cell>
          <cell r="L418" t="str">
            <v>MANIZALES</v>
          </cell>
          <cell r="M418" t="str">
            <v>3113344530</v>
          </cell>
        </row>
        <row r="419">
          <cell r="A419">
            <v>8426728</v>
          </cell>
          <cell r="B419" t="str">
            <v/>
          </cell>
          <cell r="C419" t="str">
            <v/>
          </cell>
          <cell r="D419" t="str">
            <v>CC</v>
          </cell>
          <cell r="E419" t="str">
            <v>JOSÉ JOAQUÍN</v>
          </cell>
          <cell r="F419" t="str">
            <v>GALVIS LÓPEZ</v>
          </cell>
          <cell r="G419" t="str">
            <v>GALVIS LÓPEZ JOSÉ JOAQUÍN</v>
          </cell>
          <cell r="H419" t="str">
            <v>RESI</v>
          </cell>
          <cell r="I419" t="str">
            <v>REGIMEN SIMPLIFICADO</v>
          </cell>
          <cell r="J419" t="str">
            <v>MCP FLORENCIA</v>
          </cell>
          <cell r="K419" t="str">
            <v>19290</v>
          </cell>
          <cell r="L419" t="str">
            <v>FLORENCIA</v>
          </cell>
          <cell r="M419" t="str">
            <v>SIN NRO</v>
          </cell>
        </row>
        <row r="420">
          <cell r="A420">
            <v>8436767</v>
          </cell>
          <cell r="B420" t="str">
            <v/>
          </cell>
          <cell r="C420" t="str">
            <v/>
          </cell>
          <cell r="D420" t="str">
            <v>CC</v>
          </cell>
          <cell r="E420" t="str">
            <v>CARLOS ARTURO</v>
          </cell>
          <cell r="F420" t="str">
            <v>GARCIA HERRERA</v>
          </cell>
          <cell r="G420" t="str">
            <v>GARCIA HERRERA CARLOS ARTURO</v>
          </cell>
          <cell r="H420" t="str">
            <v>RESI</v>
          </cell>
          <cell r="I420" t="str">
            <v>REGIMEN SIMPLIFICADO</v>
          </cell>
          <cell r="J420" t="str">
            <v>CL VIA AL AEROPUERTO DE ACANDI</v>
          </cell>
          <cell r="K420" t="str">
            <v>27006</v>
          </cell>
          <cell r="L420" t="str">
            <v>ACANDÍ</v>
          </cell>
          <cell r="M420" t="str">
            <v>3103828701</v>
          </cell>
        </row>
        <row r="421">
          <cell r="A421">
            <v>8534492</v>
          </cell>
          <cell r="B421" t="str">
            <v/>
          </cell>
          <cell r="C421" t="str">
            <v/>
          </cell>
          <cell r="D421" t="str">
            <v>CC</v>
          </cell>
          <cell r="E421" t="str">
            <v>CARLOS ENRIQUE</v>
          </cell>
          <cell r="F421" t="str">
            <v>GOMEZ RIPPE</v>
          </cell>
          <cell r="G421" t="str">
            <v>GOMEZ RIPPE CARLOS ENRIQUE</v>
          </cell>
          <cell r="H421" t="str">
            <v>FUNC</v>
          </cell>
          <cell r="I421" t="str">
            <v>FUNCIONARIO</v>
          </cell>
          <cell r="J421" t="str">
            <v xml:space="preserve">CLLE 91 N  64 58                        </v>
          </cell>
          <cell r="K421" t="str">
            <v>08001</v>
          </cell>
          <cell r="L421" t="str">
            <v>BARRANQUILLA</v>
          </cell>
          <cell r="M421" t="str">
            <v>3692124</v>
          </cell>
        </row>
        <row r="422">
          <cell r="A422">
            <v>8667058</v>
          </cell>
          <cell r="B422" t="str">
            <v/>
          </cell>
          <cell r="C422" t="str">
            <v/>
          </cell>
          <cell r="D422" t="str">
            <v>CC</v>
          </cell>
          <cell r="E422" t="str">
            <v>EFRAIN ALBERTO</v>
          </cell>
          <cell r="F422" t="str">
            <v>CANDANOZA SILVA</v>
          </cell>
          <cell r="G422" t="str">
            <v>CANDANOZA SILVA EFRAIN ALBERTO</v>
          </cell>
          <cell r="H422" t="str">
            <v>RESI</v>
          </cell>
          <cell r="I422" t="str">
            <v>REGIMEN SIMPLIFICADO</v>
          </cell>
          <cell r="J422" t="str">
            <v>CALLE 54 N 44-70</v>
          </cell>
          <cell r="K422" t="str">
            <v>08001</v>
          </cell>
          <cell r="L422" t="str">
            <v>BARRANQUILLA</v>
          </cell>
          <cell r="M422" t="str">
            <v>0000000</v>
          </cell>
        </row>
        <row r="423">
          <cell r="A423">
            <v>8681135</v>
          </cell>
          <cell r="B423" t="str">
            <v>6</v>
          </cell>
          <cell r="C423" t="str">
            <v/>
          </cell>
          <cell r="D423" t="str">
            <v>NP</v>
          </cell>
          <cell r="E423" t="str">
            <v>NIXON ROGER</v>
          </cell>
          <cell r="F423" t="str">
            <v>PEREZ ESCOLAR</v>
          </cell>
          <cell r="G423" t="str">
            <v>PEREZ ESCOLAR NIXON ROGER</v>
          </cell>
          <cell r="H423" t="str">
            <v>RECO</v>
          </cell>
          <cell r="I423" t="str">
            <v>REGIMEN COMUN</v>
          </cell>
          <cell r="J423" t="str">
            <v xml:space="preserve"> AV 15  17 81 CA 14</v>
          </cell>
          <cell r="K423" t="str">
            <v>25175</v>
          </cell>
          <cell r="L423" t="str">
            <v>CHÍA</v>
          </cell>
          <cell r="M423" t="str">
            <v>8624864</v>
          </cell>
        </row>
        <row r="424">
          <cell r="A424">
            <v>8703713</v>
          </cell>
          <cell r="B424" t="str">
            <v/>
          </cell>
          <cell r="C424" t="str">
            <v/>
          </cell>
          <cell r="D424" t="str">
            <v>CC</v>
          </cell>
          <cell r="E424" t="str">
            <v>VICENTE</v>
          </cell>
          <cell r="F424" t="str">
            <v>NUÑEZ ALMANZA</v>
          </cell>
          <cell r="G424" t="str">
            <v>NUÑEZ ALMANZA VICENTE</v>
          </cell>
          <cell r="H424" t="str">
            <v>RESI</v>
          </cell>
          <cell r="I424" t="str">
            <v>REGIMEN SIMPLIFICADO</v>
          </cell>
          <cell r="J424" t="str">
            <v>CR 48 N 70-188</v>
          </cell>
          <cell r="K424" t="str">
            <v>08001</v>
          </cell>
          <cell r="L424" t="str">
            <v>BARRANQUILLA</v>
          </cell>
          <cell r="M424" t="str">
            <v>3682183</v>
          </cell>
        </row>
        <row r="425">
          <cell r="A425">
            <v>8704425</v>
          </cell>
          <cell r="B425" t="str">
            <v/>
          </cell>
          <cell r="C425" t="str">
            <v/>
          </cell>
          <cell r="D425" t="str">
            <v>CC</v>
          </cell>
          <cell r="E425" t="str">
            <v>HUMBERTO RAFAEL</v>
          </cell>
          <cell r="F425" t="str">
            <v>TORRES</v>
          </cell>
          <cell r="G425" t="str">
            <v>TORRES HUMBERTO RAFAEL</v>
          </cell>
          <cell r="H425" t="str">
            <v>RESI</v>
          </cell>
          <cell r="I425" t="str">
            <v>REGIMEN SIMPLIFICADO</v>
          </cell>
          <cell r="J425" t="str">
            <v>Barranquilla</v>
          </cell>
          <cell r="K425" t="str">
            <v>17001</v>
          </cell>
          <cell r="L425" t="str">
            <v>MANIZALES</v>
          </cell>
          <cell r="M425" t="str">
            <v>na</v>
          </cell>
        </row>
        <row r="426">
          <cell r="A426">
            <v>8710812</v>
          </cell>
          <cell r="B426" t="str">
            <v>1</v>
          </cell>
          <cell r="C426" t="str">
            <v/>
          </cell>
          <cell r="D426" t="str">
            <v>NP</v>
          </cell>
          <cell r="E426" t="str">
            <v>GUILLERMO ENRIQUE</v>
          </cell>
          <cell r="F426" t="str">
            <v>RUIZ MACKENNEY</v>
          </cell>
          <cell r="G426" t="str">
            <v>RUIZ MACKENNEY GUILLERMO ENRIQUE</v>
          </cell>
          <cell r="H426" t="str">
            <v>NORE</v>
          </cell>
          <cell r="I426" t="str">
            <v>NO RESPONSABLE DE IVA</v>
          </cell>
          <cell r="J426" t="str">
            <v>CR 11 A 17 51 AP 301</v>
          </cell>
          <cell r="K426" t="str">
            <v>15759</v>
          </cell>
          <cell r="L426" t="str">
            <v>SOGAMOSO</v>
          </cell>
          <cell r="M426" t="str">
            <v>7751548</v>
          </cell>
        </row>
        <row r="427">
          <cell r="A427">
            <v>8733239</v>
          </cell>
          <cell r="B427" t="str">
            <v>8</v>
          </cell>
          <cell r="C427" t="str">
            <v/>
          </cell>
          <cell r="D427" t="str">
            <v>NP</v>
          </cell>
          <cell r="E427" t="str">
            <v>JORGE MARIANO</v>
          </cell>
          <cell r="F427" t="str">
            <v>MARTINEZ SUAREZ</v>
          </cell>
          <cell r="G427" t="str">
            <v>MARTINEZ SUAREZ JORGE MARIANO</v>
          </cell>
          <cell r="H427" t="str">
            <v>RECO</v>
          </cell>
          <cell r="I427" t="str">
            <v>REGIMEN COMUN</v>
          </cell>
          <cell r="J427" t="str">
            <v>CR 59 C   79   412</v>
          </cell>
          <cell r="K427" t="str">
            <v>08001</v>
          </cell>
          <cell r="L427" t="str">
            <v>BARRANQUILLA</v>
          </cell>
          <cell r="M427" t="str">
            <v>3114167734</v>
          </cell>
        </row>
        <row r="428">
          <cell r="A428">
            <v>8740262</v>
          </cell>
          <cell r="B428" t="str">
            <v/>
          </cell>
          <cell r="C428" t="str">
            <v/>
          </cell>
          <cell r="D428" t="str">
            <v>CC</v>
          </cell>
          <cell r="E428" t="str">
            <v>DANILO</v>
          </cell>
          <cell r="F428" t="str">
            <v>SALAS</v>
          </cell>
          <cell r="G428" t="str">
            <v>SALAS DANILO</v>
          </cell>
          <cell r="H428" t="str">
            <v>RESI</v>
          </cell>
          <cell r="I428" t="str">
            <v>REGIMEN SIMPLIFICADO</v>
          </cell>
          <cell r="J428" t="str">
            <v>BARRANQUILLA</v>
          </cell>
          <cell r="K428" t="str">
            <v>08001</v>
          </cell>
          <cell r="L428" t="str">
            <v>BARRANQUILLA</v>
          </cell>
          <cell r="M428" t="str">
            <v>XXX</v>
          </cell>
        </row>
        <row r="429">
          <cell r="A429">
            <v>8769100</v>
          </cell>
          <cell r="B429" t="str">
            <v>9</v>
          </cell>
          <cell r="C429" t="str">
            <v/>
          </cell>
          <cell r="D429" t="str">
            <v>NP</v>
          </cell>
          <cell r="E429" t="str">
            <v>LUIS CARLOS</v>
          </cell>
          <cell r="F429" t="str">
            <v>VERGARA BRACAMONTE</v>
          </cell>
          <cell r="G429" t="str">
            <v>VERGARA BRACAMONTE LUIS CARLOS</v>
          </cell>
          <cell r="H429" t="str">
            <v>RESI</v>
          </cell>
          <cell r="I429" t="str">
            <v>REGIMEN SIMPLIFICADO</v>
          </cell>
          <cell r="J429" t="str">
            <v>CL 34   9 D 25 BRR LAS PALMAS</v>
          </cell>
          <cell r="K429" t="str">
            <v>08001</v>
          </cell>
          <cell r="L429" t="str">
            <v>BARRANQUILLA</v>
          </cell>
          <cell r="M429" t="str">
            <v>3634201</v>
          </cell>
        </row>
        <row r="430">
          <cell r="A430">
            <v>8815275</v>
          </cell>
          <cell r="B430" t="str">
            <v>6</v>
          </cell>
          <cell r="C430" t="str">
            <v/>
          </cell>
          <cell r="D430" t="str">
            <v>NP</v>
          </cell>
          <cell r="E430" t="str">
            <v>JAIME ALBERTO</v>
          </cell>
          <cell r="F430" t="str">
            <v>OSORIO GARCIA</v>
          </cell>
          <cell r="G430" t="str">
            <v>OSORIO GARCIA JAIME ALBERTO</v>
          </cell>
          <cell r="H430" t="str">
            <v>RESI</v>
          </cell>
          <cell r="I430" t="str">
            <v>REGIMEN SIMPLIFICADO</v>
          </cell>
          <cell r="J430" t="str">
            <v>CR 36 96 C 47 BRR LA ENEA</v>
          </cell>
          <cell r="K430" t="str">
            <v>17001</v>
          </cell>
          <cell r="L430" t="str">
            <v>MANIZALES</v>
          </cell>
          <cell r="M430" t="str">
            <v>3008933453</v>
          </cell>
        </row>
        <row r="431">
          <cell r="A431">
            <v>8827617</v>
          </cell>
          <cell r="B431" t="str">
            <v/>
          </cell>
          <cell r="C431" t="str">
            <v/>
          </cell>
          <cell r="D431" t="str">
            <v>CC</v>
          </cell>
          <cell r="E431" t="str">
            <v>ALBEIRO</v>
          </cell>
          <cell r="F431" t="str">
            <v>ORTEGA VEGA</v>
          </cell>
          <cell r="G431" t="str">
            <v>ORTEGA VEGA ALBEIRO</v>
          </cell>
          <cell r="H431" t="str">
            <v>RESI</v>
          </cell>
          <cell r="I431" t="str">
            <v>REGIMEN SIMPLIFICADO</v>
          </cell>
          <cell r="J431" t="str">
            <v>VRD MIRALINDO</v>
          </cell>
          <cell r="K431" t="str">
            <v>13244</v>
          </cell>
          <cell r="L431" t="str">
            <v>EL CARMEN DE BOLÍVAR</v>
          </cell>
          <cell r="M431" t="str">
            <v>3144156126</v>
          </cell>
        </row>
        <row r="432">
          <cell r="A432">
            <v>8828689</v>
          </cell>
          <cell r="B432" t="str">
            <v/>
          </cell>
          <cell r="C432" t="str">
            <v/>
          </cell>
          <cell r="D432" t="str">
            <v>CC</v>
          </cell>
          <cell r="E432" t="str">
            <v>MIGUEL ANTONIO</v>
          </cell>
          <cell r="F432" t="str">
            <v>TORRECILLA ARRIOLA</v>
          </cell>
          <cell r="G432" t="str">
            <v>MIGUEL ANTONIO TORRECILLA ARRIOLA</v>
          </cell>
          <cell r="H432" t="str">
            <v>RESI</v>
          </cell>
          <cell r="I432" t="str">
            <v>REGIMEN SIMPLIFICADO</v>
          </cell>
          <cell r="J432" t="str">
            <v>VRD LA PALUA</v>
          </cell>
          <cell r="K432" t="str">
            <v>13670</v>
          </cell>
          <cell r="L432" t="str">
            <v>SAN PABLO</v>
          </cell>
          <cell r="M432" t="str">
            <v>3125800234</v>
          </cell>
        </row>
        <row r="433">
          <cell r="A433">
            <v>8999999</v>
          </cell>
          <cell r="B433" t="str">
            <v/>
          </cell>
          <cell r="C433" t="str">
            <v/>
          </cell>
          <cell r="D433" t="str">
            <v>CC</v>
          </cell>
          <cell r="E433" t="str">
            <v>ACTIVOS NO DEVOLUTIVOS</v>
          </cell>
          <cell r="F433" t="str">
            <v>GENSA</v>
          </cell>
          <cell r="G433" t="str">
            <v>GENSA ACTIVOS NO DEVOLUTIVOS</v>
          </cell>
          <cell r="H433" t="str">
            <v>FUNC</v>
          </cell>
          <cell r="I433" t="str">
            <v>FUNCIONARIO</v>
          </cell>
          <cell r="J433" t="str">
            <v>CRA 23 No 64B 33</v>
          </cell>
          <cell r="K433" t="str">
            <v>17001</v>
          </cell>
          <cell r="L433" t="str">
            <v>MANIZALES</v>
          </cell>
          <cell r="M433" t="str">
            <v>8756262</v>
          </cell>
        </row>
        <row r="434">
          <cell r="A434">
            <v>9048579</v>
          </cell>
          <cell r="B434" t="str">
            <v>2</v>
          </cell>
          <cell r="C434" t="str">
            <v/>
          </cell>
          <cell r="D434" t="str">
            <v>NP</v>
          </cell>
          <cell r="E434" t="str">
            <v>HECTOR FERNANDO</v>
          </cell>
          <cell r="F434" t="str">
            <v>BARRAGAN MUJICA</v>
          </cell>
          <cell r="G434" t="str">
            <v>BARRAGAN MUJICA HECTOR FERNANDO</v>
          </cell>
          <cell r="H434" t="str">
            <v>RECO</v>
          </cell>
          <cell r="I434" t="str">
            <v>REGIMEN COMUN</v>
          </cell>
          <cell r="J434" t="str">
            <v>CL 123   10 A 12 AP 203</v>
          </cell>
          <cell r="K434" t="str">
            <v>17001</v>
          </cell>
          <cell r="L434" t="str">
            <v>MANIZALES</v>
          </cell>
          <cell r="M434" t="str">
            <v>7598476</v>
          </cell>
        </row>
        <row r="435">
          <cell r="A435">
            <v>9096634</v>
          </cell>
          <cell r="B435" t="str">
            <v>4</v>
          </cell>
          <cell r="C435" t="str">
            <v/>
          </cell>
          <cell r="D435" t="str">
            <v>NP</v>
          </cell>
          <cell r="E435" t="str">
            <v>ULISES</v>
          </cell>
          <cell r="F435" t="str">
            <v>PEREZ LABIOSA</v>
          </cell>
          <cell r="G435" t="str">
            <v>PEREZ LABIOSA ULISES</v>
          </cell>
          <cell r="H435" t="str">
            <v>RESI</v>
          </cell>
          <cell r="I435" t="str">
            <v>REGIMEN SIMPLIFICADO</v>
          </cell>
          <cell r="J435" t="str">
            <v>CR 7 11 55</v>
          </cell>
          <cell r="K435" t="str">
            <v>17174</v>
          </cell>
          <cell r="L435" t="str">
            <v>CHINCHINÁ</v>
          </cell>
          <cell r="M435" t="str">
            <v>8507688</v>
          </cell>
        </row>
        <row r="436">
          <cell r="A436">
            <v>9162316</v>
          </cell>
          <cell r="B436" t="str">
            <v/>
          </cell>
          <cell r="C436" t="str">
            <v/>
          </cell>
          <cell r="D436" t="str">
            <v>CC</v>
          </cell>
          <cell r="E436" t="str">
            <v>ENEIL</v>
          </cell>
          <cell r="F436" t="str">
            <v>SOTO SOTO</v>
          </cell>
          <cell r="G436" t="str">
            <v>SOTO SOTO ENEIL</v>
          </cell>
          <cell r="H436" t="str">
            <v>NORE</v>
          </cell>
          <cell r="I436" t="str">
            <v>NO RESPONSABLE DE IVA</v>
          </cell>
          <cell r="J436" t="str">
            <v>BUCARAMANGA PALENQUE</v>
          </cell>
          <cell r="K436" t="str">
            <v>17001</v>
          </cell>
          <cell r="L436" t="str">
            <v>MANIZALES</v>
          </cell>
          <cell r="M436" t="str">
            <v>8756262</v>
          </cell>
        </row>
        <row r="437">
          <cell r="A437">
            <v>9292833</v>
          </cell>
          <cell r="B437" t="str">
            <v/>
          </cell>
          <cell r="C437" t="str">
            <v/>
          </cell>
          <cell r="D437" t="str">
            <v>CC</v>
          </cell>
          <cell r="E437" t="str">
            <v>JOSE ANGEL</v>
          </cell>
          <cell r="F437" t="str">
            <v>BELLO VECINO</v>
          </cell>
          <cell r="G437" t="str">
            <v>BELLO VECINO JOSE ANGEL</v>
          </cell>
          <cell r="H437" t="str">
            <v>RCPN</v>
          </cell>
          <cell r="I437" t="str">
            <v>RESPONSABLE IVA PERSONA NATURAL</v>
          </cell>
          <cell r="J437" t="str">
            <v>MLL</v>
          </cell>
          <cell r="K437" t="str">
            <v>27006</v>
          </cell>
          <cell r="L437" t="str">
            <v>ACANDÍ</v>
          </cell>
          <cell r="M437" t="str">
            <v>3148248166</v>
          </cell>
        </row>
        <row r="438">
          <cell r="A438">
            <v>9332644</v>
          </cell>
          <cell r="B438" t="str">
            <v/>
          </cell>
          <cell r="C438" t="str">
            <v/>
          </cell>
          <cell r="D438" t="str">
            <v>CC</v>
          </cell>
          <cell r="E438" t="str">
            <v>HELMER</v>
          </cell>
          <cell r="F438" t="str">
            <v>PINILLA MARTINEZ</v>
          </cell>
          <cell r="G438" t="str">
            <v>PINILLA MARTINEZ HELMER</v>
          </cell>
          <cell r="H438" t="str">
            <v>RESI</v>
          </cell>
          <cell r="I438" t="str">
            <v>REGIMEN SIMPLIFICADO</v>
          </cell>
          <cell r="J438" t="str">
            <v>CL 33   6   97</v>
          </cell>
          <cell r="K438" t="str">
            <v>85001</v>
          </cell>
          <cell r="L438" t="str">
            <v>YOPAL</v>
          </cell>
          <cell r="M438" t="str">
            <v>3124804721</v>
          </cell>
        </row>
        <row r="439">
          <cell r="A439">
            <v>9375350</v>
          </cell>
          <cell r="B439" t="str">
            <v>5</v>
          </cell>
          <cell r="C439" t="str">
            <v/>
          </cell>
          <cell r="D439" t="str">
            <v>NP</v>
          </cell>
          <cell r="E439" t="str">
            <v>EDWIN DARIO</v>
          </cell>
          <cell r="F439" t="str">
            <v>CARDENAS RODRIGUEZ</v>
          </cell>
          <cell r="G439" t="str">
            <v>CARDENAS RODRIGUEZ EDWIN DARIO</v>
          </cell>
          <cell r="H439" t="str">
            <v>RESI</v>
          </cell>
          <cell r="I439" t="str">
            <v>REGIMEN SIMPLIFICADO</v>
          </cell>
          <cell r="J439" t="str">
            <v>CL 15 119 A 07 TO 9 AP 604</v>
          </cell>
          <cell r="K439" t="str">
            <v>11001</v>
          </cell>
          <cell r="L439" t="str">
            <v>BOGOTA DC</v>
          </cell>
          <cell r="M439" t="str">
            <v>3107804959</v>
          </cell>
        </row>
        <row r="440">
          <cell r="A440">
            <v>9390029</v>
          </cell>
          <cell r="B440" t="str">
            <v>8</v>
          </cell>
          <cell r="C440" t="str">
            <v/>
          </cell>
          <cell r="D440" t="str">
            <v>NP</v>
          </cell>
          <cell r="E440" t="str">
            <v>JUAN GABRIEL</v>
          </cell>
          <cell r="F440" t="str">
            <v>BOHORQUEZ VARGAS</v>
          </cell>
          <cell r="G440" t="str">
            <v>BOHORQUEZ VARGAS JUAN GABRIEL</v>
          </cell>
          <cell r="H440" t="str">
            <v>RESI</v>
          </cell>
          <cell r="I440" t="str">
            <v>REGIMEN SIMPLIFICADO</v>
          </cell>
          <cell r="J440" t="str">
            <v>CL 40   29   00</v>
          </cell>
          <cell r="K440" t="str">
            <v>85001</v>
          </cell>
          <cell r="L440" t="str">
            <v>YOPAL</v>
          </cell>
          <cell r="M440" t="str">
            <v>3118096786</v>
          </cell>
        </row>
        <row r="441">
          <cell r="A441">
            <v>9395159</v>
          </cell>
          <cell r="B441" t="str">
            <v>1</v>
          </cell>
          <cell r="C441" t="str">
            <v/>
          </cell>
          <cell r="D441" t="str">
            <v>NP</v>
          </cell>
          <cell r="E441" t="str">
            <v>JENRY</v>
          </cell>
          <cell r="F441" t="str">
            <v>MONTAÑA HERNANDEZ</v>
          </cell>
          <cell r="G441" t="str">
            <v>MONTAÑA HERNANDEZ JENRY</v>
          </cell>
          <cell r="H441" t="str">
            <v>NORE</v>
          </cell>
          <cell r="I441" t="str">
            <v>NO RESPONSABLE DE IVA</v>
          </cell>
          <cell r="J441" t="str">
            <v>CR 23 A 22-61</v>
          </cell>
          <cell r="K441" t="str">
            <v>15516</v>
          </cell>
          <cell r="L441" t="str">
            <v>PAIPA</v>
          </cell>
          <cell r="M441" t="str">
            <v>3118882845</v>
          </cell>
        </row>
        <row r="442">
          <cell r="A442">
            <v>9395254</v>
          </cell>
          <cell r="B442" t="str">
            <v/>
          </cell>
          <cell r="C442" t="str">
            <v/>
          </cell>
          <cell r="D442" t="str">
            <v>CC</v>
          </cell>
          <cell r="E442" t="str">
            <v>PEDRO ANTONIO</v>
          </cell>
          <cell r="F442" t="str">
            <v>ROJAS VILLAMIL</v>
          </cell>
          <cell r="G442" t="str">
            <v>ROJAS VILLAMIL PEDRO ANTONIO</v>
          </cell>
          <cell r="H442" t="str">
            <v>FUNC</v>
          </cell>
          <cell r="I442" t="str">
            <v>FUNCIONARIO</v>
          </cell>
          <cell r="J442" t="str">
            <v>BARRIO ALAMOS MZ F CASA 8 DUITAMA</v>
          </cell>
          <cell r="K442" t="str">
            <v>15238</v>
          </cell>
          <cell r="L442" t="str">
            <v>DUITAMA</v>
          </cell>
          <cell r="M442" t="str">
            <v>3208544303</v>
          </cell>
        </row>
        <row r="443">
          <cell r="A443">
            <v>9395322</v>
          </cell>
          <cell r="B443" t="str">
            <v/>
          </cell>
          <cell r="C443" t="str">
            <v/>
          </cell>
          <cell r="D443" t="str">
            <v>CC</v>
          </cell>
          <cell r="E443" t="str">
            <v>OLIVERIO</v>
          </cell>
          <cell r="F443" t="str">
            <v>BARRERA PEREZ</v>
          </cell>
          <cell r="G443" t="str">
            <v>BARRERA PEREZ OLIVERIO</v>
          </cell>
          <cell r="H443" t="str">
            <v>FUNC</v>
          </cell>
          <cell r="I443" t="str">
            <v>FUNCIONARIO</v>
          </cell>
          <cell r="J443" t="str">
            <v>CR 19 N 2 A 16 BRR LOS ARRAYANES</v>
          </cell>
          <cell r="K443" t="str">
            <v>15759</v>
          </cell>
          <cell r="L443" t="str">
            <v>SOGAMOSO</v>
          </cell>
          <cell r="M443" t="str">
            <v>3142357567</v>
          </cell>
        </row>
        <row r="444">
          <cell r="A444">
            <v>9396355</v>
          </cell>
          <cell r="B444" t="str">
            <v>1</v>
          </cell>
          <cell r="C444" t="str">
            <v/>
          </cell>
          <cell r="D444" t="str">
            <v>NP</v>
          </cell>
          <cell r="E444" t="str">
            <v>JESUS ALFONSO</v>
          </cell>
          <cell r="F444" t="str">
            <v>LOPEZ BARRERA</v>
          </cell>
          <cell r="G444" t="str">
            <v>LOPEZ BARRERA JESUS ALFONSO</v>
          </cell>
          <cell r="H444" t="str">
            <v>RECO</v>
          </cell>
          <cell r="I444" t="str">
            <v>REGIMEN COMUN</v>
          </cell>
          <cell r="J444" t="str">
            <v>VRD BATTA</v>
          </cell>
          <cell r="K444" t="str">
            <v>15759</v>
          </cell>
          <cell r="L444" t="str">
            <v>SOGAMOSO</v>
          </cell>
          <cell r="M444" t="str">
            <v>3219113412</v>
          </cell>
        </row>
        <row r="445">
          <cell r="A445">
            <v>9396755</v>
          </cell>
          <cell r="B445" t="str">
            <v/>
          </cell>
          <cell r="C445" t="str">
            <v/>
          </cell>
          <cell r="D445" t="str">
            <v>CC</v>
          </cell>
          <cell r="E445" t="str">
            <v>WILLIAM HENRY</v>
          </cell>
          <cell r="F445" t="str">
            <v>CARRILLO SILVA</v>
          </cell>
          <cell r="G445" t="str">
            <v>WILLIAM HENRY CARRILLO SILVA</v>
          </cell>
          <cell r="H445" t="str">
            <v>FUNC</v>
          </cell>
          <cell r="I445" t="str">
            <v>FUNCIONARIO</v>
          </cell>
          <cell r="J445" t="str">
            <v>CL 18   09   11</v>
          </cell>
          <cell r="K445" t="str">
            <v>15516</v>
          </cell>
          <cell r="L445" t="str">
            <v>PAIPA</v>
          </cell>
          <cell r="M445" t="str">
            <v>3134562864</v>
          </cell>
        </row>
        <row r="446">
          <cell r="A446">
            <v>9397600</v>
          </cell>
          <cell r="B446" t="str">
            <v>6</v>
          </cell>
          <cell r="C446" t="str">
            <v/>
          </cell>
          <cell r="D446" t="str">
            <v>NP</v>
          </cell>
          <cell r="E446" t="str">
            <v>EDGAR OCTAVIO</v>
          </cell>
          <cell r="F446" t="str">
            <v>PEREZ VANEGAS</v>
          </cell>
          <cell r="G446" t="str">
            <v>PEREZ VANEGAS EDGAR OCTAVIO</v>
          </cell>
          <cell r="H446" t="str">
            <v>RECO</v>
          </cell>
          <cell r="I446" t="str">
            <v>REGIMEN COMUN</v>
          </cell>
          <cell r="J446" t="str">
            <v xml:space="preserve"> CR 11 B  58 B 16 BRR GUSTAVO JIMENEZ</v>
          </cell>
          <cell r="K446" t="str">
            <v>15759</v>
          </cell>
          <cell r="L446" t="str">
            <v>SOGAMOSO</v>
          </cell>
          <cell r="M446" t="str">
            <v>3202307970</v>
          </cell>
        </row>
        <row r="447">
          <cell r="A447">
            <v>9397909</v>
          </cell>
          <cell r="B447" t="str">
            <v/>
          </cell>
          <cell r="C447" t="str">
            <v/>
          </cell>
          <cell r="D447" t="str">
            <v>CC</v>
          </cell>
          <cell r="E447" t="str">
            <v>ROSELMIR</v>
          </cell>
          <cell r="F447" t="str">
            <v>OPINTO CARREÑO</v>
          </cell>
          <cell r="G447" t="str">
            <v>OPINTO CARREÑO ROSELMIR</v>
          </cell>
          <cell r="H447" t="str">
            <v>RESI</v>
          </cell>
          <cell r="I447" t="str">
            <v>REGIMEN SIMPLIFICADO</v>
          </cell>
          <cell r="J447" t="str">
            <v>CRA 21 14  63</v>
          </cell>
          <cell r="K447" t="str">
            <v>85001</v>
          </cell>
          <cell r="L447" t="str">
            <v>YOPAL</v>
          </cell>
          <cell r="M447" t="str">
            <v>8756262</v>
          </cell>
        </row>
        <row r="448">
          <cell r="A448">
            <v>9397926</v>
          </cell>
          <cell r="B448" t="str">
            <v>1</v>
          </cell>
          <cell r="C448" t="str">
            <v/>
          </cell>
          <cell r="D448" t="str">
            <v>NP</v>
          </cell>
          <cell r="E448" t="str">
            <v>PEDRO</v>
          </cell>
          <cell r="F448" t="str">
            <v>GALVIS WILCHES</v>
          </cell>
          <cell r="G448" t="str">
            <v>GALVIS WILCHES PEDRO</v>
          </cell>
          <cell r="H448" t="str">
            <v>RESI</v>
          </cell>
          <cell r="I448" t="str">
            <v>REGIMEN SIMPLIFICADO</v>
          </cell>
          <cell r="J448" t="str">
            <v xml:space="preserve">CR 10 BIS 21 32 SUR                    </v>
          </cell>
          <cell r="K448" t="str">
            <v>15759</v>
          </cell>
          <cell r="L448" t="str">
            <v>SOGAMOSO</v>
          </cell>
          <cell r="M448" t="str">
            <v>8977591</v>
          </cell>
        </row>
        <row r="449">
          <cell r="A449">
            <v>9398467</v>
          </cell>
          <cell r="B449" t="str">
            <v>7</v>
          </cell>
          <cell r="C449" t="str">
            <v/>
          </cell>
          <cell r="D449" t="str">
            <v>NP</v>
          </cell>
          <cell r="E449" t="str">
            <v>JORGE IGNACIO</v>
          </cell>
          <cell r="F449" t="str">
            <v>LOPEZ BARRERA</v>
          </cell>
          <cell r="G449" t="str">
            <v>LOPEZ BARRERA JORGE IGNACIO</v>
          </cell>
          <cell r="H449" t="str">
            <v>RECO</v>
          </cell>
          <cell r="I449" t="str">
            <v>REGIMEN COMUN</v>
          </cell>
          <cell r="J449" t="str">
            <v>CR 18 14 56</v>
          </cell>
          <cell r="K449" t="str">
            <v>15516</v>
          </cell>
          <cell r="L449" t="str">
            <v>PAIPA</v>
          </cell>
          <cell r="M449" t="str">
            <v>3115226720</v>
          </cell>
        </row>
        <row r="450">
          <cell r="A450">
            <v>9399867</v>
          </cell>
          <cell r="B450" t="str">
            <v>4</v>
          </cell>
          <cell r="C450" t="str">
            <v/>
          </cell>
          <cell r="D450" t="str">
            <v>NP</v>
          </cell>
          <cell r="E450" t="str">
            <v>JOSE EDIBERTO</v>
          </cell>
          <cell r="F450" t="str">
            <v>CUSBA TIBADUIZA</v>
          </cell>
          <cell r="G450" t="str">
            <v>CUSBA TIBADUIZA JOSE EDIBERTO</v>
          </cell>
          <cell r="H450" t="str">
            <v>REOR</v>
          </cell>
          <cell r="I450" t="str">
            <v>RENTA REGIMEN ORDINARIO</v>
          </cell>
          <cell r="J450" t="str">
            <v xml:space="preserve"> CR 11 24 15 AP 303 B ED PINARES DEL PARQUE</v>
          </cell>
          <cell r="K450" t="str">
            <v>15759</v>
          </cell>
          <cell r="L450" t="str">
            <v>SOGAMOSO</v>
          </cell>
          <cell r="M450" t="str">
            <v>3144115651</v>
          </cell>
        </row>
        <row r="451">
          <cell r="A451">
            <v>9430761</v>
          </cell>
          <cell r="B451" t="str">
            <v>4</v>
          </cell>
          <cell r="C451" t="str">
            <v/>
          </cell>
          <cell r="D451" t="str">
            <v>NP</v>
          </cell>
          <cell r="E451" t="str">
            <v>RAMIRO</v>
          </cell>
          <cell r="F451" t="str">
            <v>GOMEZ LOPEZ</v>
          </cell>
          <cell r="G451" t="str">
            <v>GOMEZ LOPEZ RAMIRO</v>
          </cell>
          <cell r="H451" t="str">
            <v>NORE</v>
          </cell>
          <cell r="I451" t="str">
            <v>NO RESPONSABLE DE IVA</v>
          </cell>
          <cell r="J451" t="str">
            <v>CR 14 A 13 85</v>
          </cell>
          <cell r="K451" t="str">
            <v>85001</v>
          </cell>
          <cell r="L451" t="str">
            <v>YOPAL</v>
          </cell>
          <cell r="M451" t="str">
            <v>3114683461</v>
          </cell>
        </row>
        <row r="452">
          <cell r="A452">
            <v>9430967</v>
          </cell>
          <cell r="B452" t="str">
            <v/>
          </cell>
          <cell r="C452" t="str">
            <v/>
          </cell>
          <cell r="D452" t="str">
            <v>CC</v>
          </cell>
          <cell r="E452" t="str">
            <v>JUAN GABRIEL</v>
          </cell>
          <cell r="F452" t="str">
            <v>PLAZAS SANABRIA</v>
          </cell>
          <cell r="G452" t="str">
            <v>PLAZAS SANABRIA JUAN GABRIEL</v>
          </cell>
          <cell r="H452" t="str">
            <v>RESI</v>
          </cell>
          <cell r="I452" t="str">
            <v>REGIMEN SIMPLIFICADO</v>
          </cell>
          <cell r="J452" t="str">
            <v>CL 23 A   28   05</v>
          </cell>
          <cell r="K452" t="str">
            <v>85001</v>
          </cell>
          <cell r="L452" t="str">
            <v>YOPAL</v>
          </cell>
          <cell r="M452" t="str">
            <v>3183836457</v>
          </cell>
        </row>
        <row r="453">
          <cell r="A453">
            <v>9431205</v>
          </cell>
          <cell r="B453" t="str">
            <v>5</v>
          </cell>
          <cell r="C453" t="str">
            <v/>
          </cell>
          <cell r="D453" t="str">
            <v>NP</v>
          </cell>
          <cell r="E453" t="str">
            <v>CAMILO ANDRES</v>
          </cell>
          <cell r="F453" t="str">
            <v>PIRAJAN ARANGUREN</v>
          </cell>
          <cell r="G453" t="str">
            <v>PIRAJAN ARANGUREN CAMILO ANDRES</v>
          </cell>
          <cell r="H453" t="str">
            <v>RESI</v>
          </cell>
          <cell r="I453" t="str">
            <v>REGIMEN SIMPLIFICADO</v>
          </cell>
          <cell r="J453" t="str">
            <v>CL 15   15   59</v>
          </cell>
          <cell r="K453" t="str">
            <v>85001</v>
          </cell>
          <cell r="L453" t="str">
            <v>YOPAL</v>
          </cell>
          <cell r="M453" t="str">
            <v>3138642717</v>
          </cell>
        </row>
        <row r="454">
          <cell r="A454">
            <v>9431653</v>
          </cell>
          <cell r="B454" t="str">
            <v>1</v>
          </cell>
          <cell r="C454" t="str">
            <v/>
          </cell>
          <cell r="D454" t="str">
            <v>NP</v>
          </cell>
          <cell r="E454" t="str">
            <v>MIGUEL ANGEL</v>
          </cell>
          <cell r="F454" t="str">
            <v>HERNANDEZ RINCON</v>
          </cell>
          <cell r="G454" t="str">
            <v>HERNANDEZ RINCON MIGUEL ANGEL</v>
          </cell>
          <cell r="H454" t="str">
            <v>RESI</v>
          </cell>
          <cell r="I454" t="str">
            <v>REGIMEN SIMPLIFICADO</v>
          </cell>
          <cell r="J454" t="str">
            <v>CL 8  22  93  BRR SAN MARTIN</v>
          </cell>
          <cell r="K454" t="str">
            <v>85001</v>
          </cell>
          <cell r="L454" t="str">
            <v>YOPAL</v>
          </cell>
          <cell r="M454" t="str">
            <v>3102595133</v>
          </cell>
        </row>
        <row r="455">
          <cell r="A455">
            <v>9431854</v>
          </cell>
          <cell r="B455" t="str">
            <v>5</v>
          </cell>
          <cell r="C455" t="str">
            <v/>
          </cell>
          <cell r="D455" t="str">
            <v>NP</v>
          </cell>
          <cell r="E455" t="str">
            <v>JHON JAIVER</v>
          </cell>
          <cell r="F455" t="str">
            <v>PEREZ CARDENAS</v>
          </cell>
          <cell r="G455" t="str">
            <v>PEREZ CARDENAS JHON JAIVER</v>
          </cell>
          <cell r="H455" t="str">
            <v>RESI</v>
          </cell>
          <cell r="I455" t="str">
            <v>REGIMEN SIMPLIFICADO</v>
          </cell>
          <cell r="J455" t="str">
            <v>CR 20  16 66</v>
          </cell>
          <cell r="K455" t="str">
            <v>85001</v>
          </cell>
          <cell r="L455" t="str">
            <v>YOPAL</v>
          </cell>
          <cell r="M455" t="str">
            <v>6354885</v>
          </cell>
        </row>
        <row r="456">
          <cell r="A456">
            <v>9431934</v>
          </cell>
          <cell r="B456" t="str">
            <v>6</v>
          </cell>
          <cell r="C456" t="str">
            <v/>
          </cell>
          <cell r="D456" t="str">
            <v>NP</v>
          </cell>
          <cell r="E456" t="str">
            <v>CARLOS DIDIER</v>
          </cell>
          <cell r="F456" t="str">
            <v>ALVAREZ LOPEZ</v>
          </cell>
          <cell r="G456" t="str">
            <v>ALVAREZ LOPEZ CARLOS DIDIER</v>
          </cell>
          <cell r="H456" t="str">
            <v>RESI</v>
          </cell>
          <cell r="I456" t="str">
            <v>REGIMEN SIMPLIFICADO</v>
          </cell>
          <cell r="J456" t="str">
            <v>VRD EL TIGRE FCA VILLA RICA</v>
          </cell>
          <cell r="K456" t="str">
            <v>85001</v>
          </cell>
          <cell r="L456" t="str">
            <v>YOPAL</v>
          </cell>
          <cell r="M456" t="str">
            <v>3118567865</v>
          </cell>
        </row>
        <row r="457">
          <cell r="A457">
            <v>9432905</v>
          </cell>
          <cell r="B457" t="str">
            <v>7</v>
          </cell>
          <cell r="C457" t="str">
            <v/>
          </cell>
          <cell r="D457" t="str">
            <v>NP</v>
          </cell>
          <cell r="E457" t="str">
            <v>JIMY ALEXANDER</v>
          </cell>
          <cell r="F457" t="str">
            <v>VILLARREAL FERNANDEZ</v>
          </cell>
          <cell r="G457" t="str">
            <v>JIMY ALEXANDER VILLARREAL FERNANDEZ</v>
          </cell>
          <cell r="H457" t="str">
            <v>IMVE</v>
          </cell>
          <cell r="I457" t="str">
            <v>IMPUESTO SOBRE LAS VENTAS</v>
          </cell>
          <cell r="J457" t="str">
            <v>CL 18 CR 2 12</v>
          </cell>
          <cell r="K457" t="str">
            <v>97001</v>
          </cell>
          <cell r="L457" t="str">
            <v>MITÚ</v>
          </cell>
          <cell r="M457" t="str">
            <v>3164908922</v>
          </cell>
        </row>
        <row r="458">
          <cell r="A458">
            <v>9433857</v>
          </cell>
          <cell r="B458" t="str">
            <v/>
          </cell>
          <cell r="C458" t="str">
            <v/>
          </cell>
          <cell r="D458" t="str">
            <v>CC</v>
          </cell>
          <cell r="E458" t="str">
            <v>ARLEY GUILLERMO</v>
          </cell>
          <cell r="F458" t="str">
            <v>NIÑO PONGUTA</v>
          </cell>
          <cell r="G458" t="str">
            <v>NIÑO PONGUTA ARLEY GUILLERMO</v>
          </cell>
          <cell r="H458" t="str">
            <v>RESI</v>
          </cell>
          <cell r="I458" t="str">
            <v>REGIMEN SIMPLIFICADO</v>
          </cell>
          <cell r="J458" t="str">
            <v>CL 35   12 A   16</v>
          </cell>
          <cell r="K458" t="str">
            <v>85001</v>
          </cell>
          <cell r="L458" t="str">
            <v>YOPAL</v>
          </cell>
          <cell r="M458" t="str">
            <v>3115278665</v>
          </cell>
        </row>
        <row r="459">
          <cell r="A459">
            <v>9434619</v>
          </cell>
          <cell r="B459" t="str">
            <v/>
          </cell>
          <cell r="C459" t="str">
            <v/>
          </cell>
          <cell r="D459" t="str">
            <v>CC</v>
          </cell>
          <cell r="E459" t="str">
            <v>EDWARD BENILDO</v>
          </cell>
          <cell r="F459" t="str">
            <v>GOMEZ GARCIA</v>
          </cell>
          <cell r="G459" t="str">
            <v>EDWARD BENILDO GOMEZ GARCIA</v>
          </cell>
          <cell r="H459" t="str">
            <v>FUNC</v>
          </cell>
          <cell r="I459" t="str">
            <v>FUNCIONARIO</v>
          </cell>
          <cell r="J459" t="str">
            <v>CR 12 B   26   53</v>
          </cell>
          <cell r="K459" t="str">
            <v>85001</v>
          </cell>
          <cell r="L459" t="str">
            <v>YOPAL</v>
          </cell>
          <cell r="M459" t="str">
            <v>3204012660</v>
          </cell>
        </row>
        <row r="460">
          <cell r="A460">
            <v>9434936</v>
          </cell>
          <cell r="B460" t="str">
            <v>4</v>
          </cell>
          <cell r="C460" t="str">
            <v/>
          </cell>
          <cell r="D460" t="str">
            <v>NP</v>
          </cell>
          <cell r="E460" t="str">
            <v>GELMAN</v>
          </cell>
          <cell r="F460" t="str">
            <v>CALDERON TAQUIBA</v>
          </cell>
          <cell r="G460" t="str">
            <v>CALDERON TAQUIBA GELMAN</v>
          </cell>
          <cell r="H460" t="str">
            <v>NORE</v>
          </cell>
          <cell r="I460" t="str">
            <v>NO RESPONSABLE DE IVA</v>
          </cell>
          <cell r="J460" t="str">
            <v>CL 25 15 13</v>
          </cell>
          <cell r="K460" t="str">
            <v>85001</v>
          </cell>
          <cell r="L460" t="str">
            <v>YOPAL</v>
          </cell>
          <cell r="M460" t="str">
            <v>3223187008</v>
          </cell>
        </row>
        <row r="461">
          <cell r="A461">
            <v>9510164</v>
          </cell>
          <cell r="B461" t="str">
            <v>0</v>
          </cell>
          <cell r="C461" t="str">
            <v/>
          </cell>
          <cell r="D461" t="str">
            <v>NP</v>
          </cell>
          <cell r="E461" t="str">
            <v xml:space="preserve">VICENTE </v>
          </cell>
          <cell r="F461" t="str">
            <v>GARCIA GOMEZ</v>
          </cell>
          <cell r="G461" t="str">
            <v>VICENTE GARCIA GOMEZ</v>
          </cell>
          <cell r="H461" t="str">
            <v>RESI</v>
          </cell>
          <cell r="I461" t="str">
            <v>REGIMEN SIMPLIFICADO</v>
          </cell>
          <cell r="J461" t="str">
            <v>CR 11 A   23 14</v>
          </cell>
          <cell r="K461" t="str">
            <v>15759</v>
          </cell>
          <cell r="L461" t="str">
            <v>SOGAMOSO</v>
          </cell>
          <cell r="M461" t="str">
            <v>7719747</v>
          </cell>
        </row>
        <row r="462">
          <cell r="A462">
            <v>9510710</v>
          </cell>
          <cell r="B462" t="str">
            <v>2</v>
          </cell>
          <cell r="C462" t="str">
            <v/>
          </cell>
          <cell r="D462" t="str">
            <v>NP</v>
          </cell>
          <cell r="E462" t="str">
            <v>PEDRO ARTURO</v>
          </cell>
          <cell r="F462" t="str">
            <v>ALARCON</v>
          </cell>
          <cell r="G462" t="str">
            <v>ALARCON PEDRO ARTURO</v>
          </cell>
          <cell r="H462" t="str">
            <v>RESI</v>
          </cell>
          <cell r="I462" t="str">
            <v>REGIMEN SIMPLIFICADO</v>
          </cell>
          <cell r="J462" t="str">
            <v xml:space="preserve"> VRD COMBACHICA  SEC ALTO JIMENEZ</v>
          </cell>
          <cell r="K462" t="str">
            <v>15759</v>
          </cell>
          <cell r="L462" t="str">
            <v>SOGAMOSO</v>
          </cell>
          <cell r="M462" t="str">
            <v>3102907611</v>
          </cell>
        </row>
        <row r="463">
          <cell r="A463">
            <v>9513337</v>
          </cell>
          <cell r="B463" t="str">
            <v>1</v>
          </cell>
          <cell r="C463" t="str">
            <v/>
          </cell>
          <cell r="D463" t="str">
            <v>NP</v>
          </cell>
          <cell r="E463" t="str">
            <v>ROBERTO</v>
          </cell>
          <cell r="F463" t="str">
            <v>GONZALEZ CUTA</v>
          </cell>
          <cell r="G463" t="str">
            <v>GONZALEZ CUTA ROBERTO</v>
          </cell>
          <cell r="H463" t="str">
            <v>RECO</v>
          </cell>
          <cell r="I463" t="str">
            <v>REGIMEN COMUN</v>
          </cell>
          <cell r="J463" t="str">
            <v>KM 1 NOMBRE VIA UN PAIPA</v>
          </cell>
          <cell r="K463" t="str">
            <v>15516</v>
          </cell>
          <cell r="L463" t="str">
            <v>PAIPA</v>
          </cell>
          <cell r="M463" t="str">
            <v>7850215</v>
          </cell>
        </row>
        <row r="464">
          <cell r="A464">
            <v>9513495</v>
          </cell>
          <cell r="B464" t="str">
            <v>7</v>
          </cell>
          <cell r="C464" t="str">
            <v/>
          </cell>
          <cell r="D464" t="str">
            <v>NP</v>
          </cell>
          <cell r="E464" t="str">
            <v>PASCUAL</v>
          </cell>
          <cell r="F464" t="str">
            <v>PEREZ CARDENAS</v>
          </cell>
          <cell r="G464" t="str">
            <v>PEREZ CARDENAS PASCUAL</v>
          </cell>
          <cell r="H464" t="str">
            <v>RECO</v>
          </cell>
          <cell r="I464" t="str">
            <v>REGIMEN COMUN</v>
          </cell>
          <cell r="J464" t="str">
            <v>VRD PEDREGAL  SEC LA INDEPENDENCIA</v>
          </cell>
          <cell r="K464" t="str">
            <v>15759</v>
          </cell>
          <cell r="L464" t="str">
            <v>SOGAMOSO</v>
          </cell>
          <cell r="M464" t="str">
            <v>3112306899</v>
          </cell>
        </row>
        <row r="465">
          <cell r="A465">
            <v>9513926</v>
          </cell>
          <cell r="B465" t="str">
            <v>1</v>
          </cell>
          <cell r="C465" t="str">
            <v/>
          </cell>
          <cell r="D465" t="str">
            <v>NP</v>
          </cell>
          <cell r="E465" t="str">
            <v>JOSE INDALECIO</v>
          </cell>
          <cell r="F465" t="str">
            <v>MATEUS MATEUS</v>
          </cell>
          <cell r="G465" t="str">
            <v>MATEUS MATEUS JOSE INDALECIO</v>
          </cell>
          <cell r="H465" t="str">
            <v>REOR</v>
          </cell>
          <cell r="I465" t="str">
            <v>RENTA REGIMEN ORDINARIO</v>
          </cell>
          <cell r="J465" t="str">
            <v>CR 23  23 80</v>
          </cell>
          <cell r="K465" t="str">
            <v>15516</v>
          </cell>
          <cell r="L465" t="str">
            <v>PAIPA</v>
          </cell>
          <cell r="M465" t="str">
            <v>7852371</v>
          </cell>
        </row>
        <row r="466">
          <cell r="A466">
            <v>9515973</v>
          </cell>
          <cell r="B466" t="str">
            <v>5</v>
          </cell>
          <cell r="C466" t="str">
            <v/>
          </cell>
          <cell r="D466" t="str">
            <v>NP</v>
          </cell>
          <cell r="E466" t="str">
            <v>JULIO RAMON</v>
          </cell>
          <cell r="F466" t="str">
            <v>RODRIGUEZ CASTELBLANCO</v>
          </cell>
          <cell r="G466" t="str">
            <v>RODRIGUEZ CASTELBLANCO JULIO RAMON</v>
          </cell>
          <cell r="H466" t="str">
            <v>RECO</v>
          </cell>
          <cell r="I466" t="str">
            <v>REGIMEN COMUN</v>
          </cell>
          <cell r="J466" t="str">
            <v>VRD OMBACHITA  SEC ALTO JIMENEZ</v>
          </cell>
          <cell r="K466" t="str">
            <v>15759</v>
          </cell>
          <cell r="L466" t="str">
            <v>SOGAMOSO</v>
          </cell>
          <cell r="M466" t="str">
            <v>31032767118</v>
          </cell>
        </row>
        <row r="467">
          <cell r="A467">
            <v>9516749</v>
          </cell>
          <cell r="B467" t="str">
            <v>6</v>
          </cell>
          <cell r="C467" t="str">
            <v/>
          </cell>
          <cell r="D467" t="str">
            <v>NP</v>
          </cell>
          <cell r="E467" t="str">
            <v>JOSE MARÍA</v>
          </cell>
          <cell r="F467" t="str">
            <v>CHAPARRO MONGUI</v>
          </cell>
          <cell r="G467" t="str">
            <v>CHAPARRO MONGUI JOSE MARÍA</v>
          </cell>
          <cell r="H467" t="str">
            <v>NORE</v>
          </cell>
          <cell r="I467" t="str">
            <v>NO RESPONSABLE DE IVA</v>
          </cell>
          <cell r="J467" t="str">
            <v>CL 14 A 16 51</v>
          </cell>
          <cell r="K467" t="str">
            <v>15759</v>
          </cell>
          <cell r="L467" t="str">
            <v>SOGAMOSO</v>
          </cell>
          <cell r="M467" t="str">
            <v>3115758790</v>
          </cell>
        </row>
        <row r="468">
          <cell r="A468">
            <v>9517899</v>
          </cell>
          <cell r="B468" t="str">
            <v>7</v>
          </cell>
          <cell r="C468" t="str">
            <v/>
          </cell>
          <cell r="D468" t="str">
            <v>NP</v>
          </cell>
          <cell r="E468" t="str">
            <v>JACOBO</v>
          </cell>
          <cell r="F468" t="str">
            <v>ALARCON LEMUS</v>
          </cell>
          <cell r="G468" t="str">
            <v>ALARCON LEMUS JACOBO</v>
          </cell>
          <cell r="H468" t="str">
            <v>RESI</v>
          </cell>
          <cell r="I468" t="str">
            <v>REGIMEN SIMPLIFICADO</v>
          </cell>
          <cell r="J468" t="str">
            <v xml:space="preserve"> CR 16  19 31</v>
          </cell>
          <cell r="K468" t="str">
            <v>15759</v>
          </cell>
          <cell r="L468" t="str">
            <v>SOGAMOSO</v>
          </cell>
          <cell r="M468" t="str">
            <v>7750305</v>
          </cell>
        </row>
        <row r="469">
          <cell r="A469">
            <v>9518139</v>
          </cell>
          <cell r="B469" t="str">
            <v>2</v>
          </cell>
          <cell r="C469" t="str">
            <v/>
          </cell>
          <cell r="D469" t="str">
            <v>NP</v>
          </cell>
          <cell r="E469" t="str">
            <v>MIGUEL RICARDO</v>
          </cell>
          <cell r="F469" t="str">
            <v>CASTRO MOGOLLON</v>
          </cell>
          <cell r="G469" t="str">
            <v>CASTRO MOGOLLON MIGUEL RICARDO</v>
          </cell>
          <cell r="H469" t="str">
            <v>REOR</v>
          </cell>
          <cell r="I469" t="str">
            <v>RENTA REGIMEN ORDINARIO</v>
          </cell>
          <cell r="J469" t="str">
            <v>CR 10 A N 28 09 AP 701</v>
          </cell>
          <cell r="K469" t="str">
            <v>15238</v>
          </cell>
          <cell r="L469" t="str">
            <v>DUITAMA</v>
          </cell>
          <cell r="M469" t="str">
            <v>31032003971</v>
          </cell>
        </row>
        <row r="470">
          <cell r="A470">
            <v>9518199</v>
          </cell>
          <cell r="B470" t="str">
            <v>4</v>
          </cell>
          <cell r="C470" t="str">
            <v/>
          </cell>
          <cell r="D470" t="str">
            <v>NP</v>
          </cell>
          <cell r="E470" t="str">
            <v>CARLOS ARTURO</v>
          </cell>
          <cell r="F470" t="str">
            <v>RINCON CELY</v>
          </cell>
          <cell r="G470" t="str">
            <v>CARLOS ARTURO RINCON CELY</v>
          </cell>
          <cell r="H470" t="str">
            <v>REOR</v>
          </cell>
          <cell r="I470" t="str">
            <v>RENTA REGIMEN ORDINARIO</v>
          </cell>
          <cell r="J470" t="str">
            <v>CR 16 8 30</v>
          </cell>
          <cell r="K470" t="str">
            <v>15759</v>
          </cell>
          <cell r="L470" t="str">
            <v>SOGAMOSO</v>
          </cell>
          <cell r="M470" t="str">
            <v>7750416</v>
          </cell>
        </row>
        <row r="471">
          <cell r="A471">
            <v>9518492</v>
          </cell>
          <cell r="B471" t="str">
            <v>8</v>
          </cell>
          <cell r="C471" t="str">
            <v/>
          </cell>
          <cell r="D471" t="str">
            <v>NP</v>
          </cell>
          <cell r="E471" t="str">
            <v>JOSE GUILLERMO</v>
          </cell>
          <cell r="F471" t="str">
            <v>HURTADO VEGA</v>
          </cell>
          <cell r="G471" t="str">
            <v>HURTADO VEGA JOSE GUILLERMO</v>
          </cell>
          <cell r="H471" t="str">
            <v>NORE</v>
          </cell>
          <cell r="I471" t="str">
            <v>NO RESPONSABLE DE IVA</v>
          </cell>
          <cell r="J471" t="str">
            <v>CR 15 17 50</v>
          </cell>
          <cell r="K471" t="str">
            <v>15759</v>
          </cell>
          <cell r="L471" t="str">
            <v>SOGAMOSO</v>
          </cell>
          <cell r="M471" t="str">
            <v>3112654374</v>
          </cell>
        </row>
        <row r="472">
          <cell r="A472">
            <v>9519547</v>
          </cell>
          <cell r="B472" t="str">
            <v>9</v>
          </cell>
          <cell r="C472" t="str">
            <v/>
          </cell>
          <cell r="D472" t="str">
            <v>NP</v>
          </cell>
          <cell r="E472" t="str">
            <v>MARCO JULIO</v>
          </cell>
          <cell r="F472" t="str">
            <v>MARTINEZ BARRERA</v>
          </cell>
          <cell r="G472" t="str">
            <v>MARTINEZ BARRERA MARCO JULIO</v>
          </cell>
          <cell r="H472" t="str">
            <v>RECO</v>
          </cell>
          <cell r="I472" t="str">
            <v>REGIMEN COMUN</v>
          </cell>
          <cell r="J472" t="str">
            <v>CL 2 B 8 65</v>
          </cell>
          <cell r="K472" t="str">
            <v>15759</v>
          </cell>
          <cell r="L472" t="str">
            <v>SOGAMOSO</v>
          </cell>
          <cell r="M472" t="str">
            <v>3203401813</v>
          </cell>
        </row>
        <row r="473">
          <cell r="A473">
            <v>9519697</v>
          </cell>
          <cell r="B473" t="str">
            <v>5</v>
          </cell>
          <cell r="C473" t="str">
            <v/>
          </cell>
          <cell r="D473" t="str">
            <v>NP</v>
          </cell>
          <cell r="E473" t="str">
            <v>LUIS EDUARDO</v>
          </cell>
          <cell r="F473" t="str">
            <v>SUAREZ CELY</v>
          </cell>
          <cell r="G473" t="str">
            <v>SUAREZ CELY LUIS EDUARDO</v>
          </cell>
          <cell r="H473" t="str">
            <v>RECO</v>
          </cell>
          <cell r="I473" t="str">
            <v>REGIMEN COMUN</v>
          </cell>
          <cell r="J473" t="str">
            <v>CL 26   22   25</v>
          </cell>
          <cell r="K473" t="str">
            <v>15516</v>
          </cell>
          <cell r="L473" t="str">
            <v>PAIPA</v>
          </cell>
          <cell r="M473" t="str">
            <v>7852869</v>
          </cell>
        </row>
        <row r="474">
          <cell r="A474">
            <v>9520102</v>
          </cell>
          <cell r="B474" t="str">
            <v>7</v>
          </cell>
          <cell r="C474" t="str">
            <v/>
          </cell>
          <cell r="D474" t="str">
            <v>NP</v>
          </cell>
          <cell r="E474" t="str">
            <v>JUAN HELY</v>
          </cell>
          <cell r="F474" t="str">
            <v>FAJARDO PEREZ</v>
          </cell>
          <cell r="G474" t="str">
            <v>JUAN HELY FAJARDO PEREZ</v>
          </cell>
          <cell r="H474" t="str">
            <v>REOR</v>
          </cell>
          <cell r="I474" t="str">
            <v>RENTA REGIMEN ORDINARIO</v>
          </cell>
          <cell r="J474" t="str">
            <v>VDA DICHO  AUTOPISTA</v>
          </cell>
          <cell r="K474" t="str">
            <v>15491</v>
          </cell>
          <cell r="L474" t="str">
            <v>NOBSA</v>
          </cell>
          <cell r="M474" t="str">
            <v>3152290699</v>
          </cell>
        </row>
        <row r="475">
          <cell r="A475">
            <v>9520526</v>
          </cell>
          <cell r="B475" t="str">
            <v>6</v>
          </cell>
          <cell r="C475" t="str">
            <v/>
          </cell>
          <cell r="D475" t="str">
            <v>NP</v>
          </cell>
          <cell r="E475" t="str">
            <v>JOAQUIN</v>
          </cell>
          <cell r="F475" t="str">
            <v>CASTRO RINCON</v>
          </cell>
          <cell r="G475" t="str">
            <v>CASTRO RINCON JOAQUIN</v>
          </cell>
          <cell r="H475" t="str">
            <v>RESI</v>
          </cell>
          <cell r="I475" t="str">
            <v>REGIMEN SIMPLIFICADO</v>
          </cell>
          <cell r="J475" t="str">
            <v>VDA REYES PATRIA</v>
          </cell>
          <cell r="K475" t="str">
            <v>15215</v>
          </cell>
          <cell r="L475" t="str">
            <v>CORRALES</v>
          </cell>
          <cell r="M475" t="str">
            <v>3107720238</v>
          </cell>
        </row>
        <row r="476">
          <cell r="A476">
            <v>9521904</v>
          </cell>
          <cell r="B476" t="str">
            <v/>
          </cell>
          <cell r="C476" t="str">
            <v/>
          </cell>
          <cell r="D476" t="str">
            <v>CC</v>
          </cell>
          <cell r="E476" t="str">
            <v>OSCAR HENRY</v>
          </cell>
          <cell r="F476" t="str">
            <v>GUTIERREZ ORDUZ</v>
          </cell>
          <cell r="G476" t="str">
            <v>OSCAR HENRY GUTIERREZ ORDUZ</v>
          </cell>
          <cell r="H476" t="str">
            <v>FUNC</v>
          </cell>
          <cell r="I476" t="str">
            <v>FUNCIONARIO</v>
          </cell>
          <cell r="J476" t="str">
            <v>CR  1 NO 41A 48</v>
          </cell>
          <cell r="K476" t="str">
            <v>15516</v>
          </cell>
          <cell r="L476" t="str">
            <v>PAIPA</v>
          </cell>
          <cell r="M476" t="str">
            <v>3146425657</v>
          </cell>
        </row>
        <row r="477">
          <cell r="A477">
            <v>9522739</v>
          </cell>
          <cell r="B477" t="str">
            <v/>
          </cell>
          <cell r="C477" t="str">
            <v/>
          </cell>
          <cell r="D477" t="str">
            <v>CC</v>
          </cell>
          <cell r="E477" t="str">
            <v>ALONSO</v>
          </cell>
          <cell r="F477" t="str">
            <v>PERALTA PATINO</v>
          </cell>
          <cell r="G477" t="str">
            <v>PERALTA PATINO ALONSO</v>
          </cell>
          <cell r="H477" t="str">
            <v>FUNC</v>
          </cell>
          <cell r="I477" t="str">
            <v>FUNCIONARIO</v>
          </cell>
          <cell r="J477" t="str">
            <v>CARRERA 17 No 17-20 DUITAMA</v>
          </cell>
          <cell r="K477" t="str">
            <v>15238</v>
          </cell>
          <cell r="L477" t="str">
            <v>DUITAMA</v>
          </cell>
          <cell r="M477" t="str">
            <v>3107876945</v>
          </cell>
        </row>
        <row r="478">
          <cell r="A478">
            <v>9523074</v>
          </cell>
          <cell r="B478" t="str">
            <v/>
          </cell>
          <cell r="C478" t="str">
            <v/>
          </cell>
          <cell r="D478" t="str">
            <v>CC</v>
          </cell>
          <cell r="E478" t="str">
            <v>ORLANDO</v>
          </cell>
          <cell r="F478" t="str">
            <v>ALARCON BAYONA</v>
          </cell>
          <cell r="G478" t="str">
            <v>ALARCON BAYONA ORLANDO</v>
          </cell>
          <cell r="H478" t="str">
            <v>FUNC</v>
          </cell>
          <cell r="I478" t="str">
            <v>FUNCIONARIO</v>
          </cell>
          <cell r="J478" t="str">
            <v>CL 34 N 23 93 BRR ANTONIO GALAN</v>
          </cell>
          <cell r="K478" t="str">
            <v>15759</v>
          </cell>
          <cell r="L478" t="str">
            <v>SOGAMOSO</v>
          </cell>
          <cell r="M478" t="str">
            <v>3112278862</v>
          </cell>
        </row>
        <row r="479">
          <cell r="A479">
            <v>9524365</v>
          </cell>
          <cell r="B479" t="str">
            <v/>
          </cell>
          <cell r="C479" t="str">
            <v/>
          </cell>
          <cell r="D479" t="str">
            <v>CC</v>
          </cell>
          <cell r="E479" t="str">
            <v>JOSÉ GONZALO</v>
          </cell>
          <cell r="F479" t="str">
            <v>BARRERA DIAZ</v>
          </cell>
          <cell r="G479" t="str">
            <v>BARRERA DIAZ JOSÉ GONZALO</v>
          </cell>
          <cell r="H479" t="str">
            <v>RESI</v>
          </cell>
          <cell r="I479" t="str">
            <v>REGIMEN SIMPLIFICADO</v>
          </cell>
          <cell r="J479" t="str">
            <v>MD SOGAMOSO</v>
          </cell>
          <cell r="K479" t="str">
            <v>15759</v>
          </cell>
          <cell r="L479" t="str">
            <v>SOGAMOSO</v>
          </cell>
          <cell r="M479" t="str">
            <v>SIN NRO</v>
          </cell>
        </row>
        <row r="480">
          <cell r="A480">
            <v>9524869</v>
          </cell>
          <cell r="B480" t="str">
            <v>5</v>
          </cell>
          <cell r="C480" t="str">
            <v/>
          </cell>
          <cell r="D480" t="str">
            <v>NP</v>
          </cell>
          <cell r="E480" t="str">
            <v>GONZALO</v>
          </cell>
          <cell r="F480" t="str">
            <v>SALAMANCA</v>
          </cell>
          <cell r="G480" t="str">
            <v>SALAMANCA GONZALO</v>
          </cell>
          <cell r="H480" t="str">
            <v>RCPN</v>
          </cell>
          <cell r="I480" t="str">
            <v>RESPONSABLE IVA PERSONA NATURAL</v>
          </cell>
          <cell r="J480" t="str">
            <v>DG 59 66 113</v>
          </cell>
          <cell r="K480" t="str">
            <v>15759</v>
          </cell>
          <cell r="L480" t="str">
            <v>SOGAMOSO</v>
          </cell>
          <cell r="M480" t="str">
            <v>7700384</v>
          </cell>
        </row>
        <row r="481">
          <cell r="A481">
            <v>9524944</v>
          </cell>
          <cell r="B481" t="str">
            <v>1</v>
          </cell>
          <cell r="C481" t="str">
            <v/>
          </cell>
          <cell r="D481" t="str">
            <v>NP</v>
          </cell>
          <cell r="E481" t="str">
            <v>RICARDO</v>
          </cell>
          <cell r="F481" t="str">
            <v>ORDUZ CHAPARRO</v>
          </cell>
          <cell r="G481" t="str">
            <v>ORDUZ CHAPARRO RICARDO</v>
          </cell>
          <cell r="H481" t="str">
            <v>RESI</v>
          </cell>
          <cell r="I481" t="str">
            <v>REGIMEN SIMPLIFICADO</v>
          </cell>
          <cell r="J481" t="str">
            <v xml:space="preserve"> CL 48 SEC LINEA FERREA LA RAMADA</v>
          </cell>
          <cell r="K481" t="str">
            <v>15759</v>
          </cell>
          <cell r="L481" t="str">
            <v>SOGAMOSO</v>
          </cell>
          <cell r="M481" t="str">
            <v>310 340 3577</v>
          </cell>
        </row>
        <row r="482">
          <cell r="A482">
            <v>9525073</v>
          </cell>
          <cell r="B482" t="str">
            <v>4</v>
          </cell>
          <cell r="C482" t="str">
            <v/>
          </cell>
          <cell r="D482" t="str">
            <v>NP</v>
          </cell>
          <cell r="E482" t="str">
            <v>MILLER</v>
          </cell>
          <cell r="F482" t="str">
            <v>PEREZ ANGEL</v>
          </cell>
          <cell r="G482" t="str">
            <v>PEREZ ANGEL MILLER</v>
          </cell>
          <cell r="H482" t="str">
            <v>REOR</v>
          </cell>
          <cell r="I482" t="str">
            <v>RENTA REGIMEN ORDINARIO</v>
          </cell>
          <cell r="J482" t="str">
            <v xml:space="preserve"> CL 20  9 28 BRR LOS ALISOS</v>
          </cell>
          <cell r="K482" t="str">
            <v>15759</v>
          </cell>
          <cell r="L482" t="str">
            <v>SOGAMOSO</v>
          </cell>
          <cell r="M482" t="str">
            <v>7750049</v>
          </cell>
        </row>
        <row r="483">
          <cell r="A483">
            <v>9525294</v>
          </cell>
          <cell r="B483" t="str">
            <v/>
          </cell>
          <cell r="C483" t="str">
            <v/>
          </cell>
          <cell r="D483" t="str">
            <v>CC</v>
          </cell>
          <cell r="E483" t="str">
            <v>REINALDO</v>
          </cell>
          <cell r="F483" t="str">
            <v>CARDENAS RIOS</v>
          </cell>
          <cell r="G483" t="str">
            <v>CARDENAS RIOS REINALDO</v>
          </cell>
          <cell r="H483" t="str">
            <v>FUNC</v>
          </cell>
          <cell r="I483" t="str">
            <v>FUNCIONARIO</v>
          </cell>
          <cell r="J483" t="str">
            <v>CL 7 A N 14 A 37 BRR EL ROSARIO</v>
          </cell>
          <cell r="K483" t="str">
            <v>15759</v>
          </cell>
          <cell r="L483" t="str">
            <v>SOGAMOSO</v>
          </cell>
          <cell r="M483" t="str">
            <v>3208544331</v>
          </cell>
        </row>
        <row r="484">
          <cell r="A484">
            <v>9526881</v>
          </cell>
          <cell r="B484" t="str">
            <v>3</v>
          </cell>
          <cell r="C484" t="str">
            <v/>
          </cell>
          <cell r="D484" t="str">
            <v>NP</v>
          </cell>
          <cell r="E484" t="str">
            <v>JOSE ANTONIO</v>
          </cell>
          <cell r="F484" t="str">
            <v>LOPEZ BARRERA</v>
          </cell>
          <cell r="G484" t="str">
            <v>JOSE ANTONIO LOPEZ BARRERA</v>
          </cell>
          <cell r="H484" t="str">
            <v>RESI</v>
          </cell>
          <cell r="I484" t="str">
            <v>REGIMEN SIMPLIFICADO</v>
          </cell>
          <cell r="J484" t="str">
            <v>CR 10 C 34-08</v>
          </cell>
          <cell r="K484" t="str">
            <v>15759</v>
          </cell>
          <cell r="L484" t="str">
            <v>SOGAMOSO</v>
          </cell>
          <cell r="M484" t="str">
            <v>7719504</v>
          </cell>
        </row>
        <row r="485">
          <cell r="A485">
            <v>9527086</v>
          </cell>
          <cell r="B485" t="str">
            <v>9</v>
          </cell>
          <cell r="C485" t="str">
            <v/>
          </cell>
          <cell r="D485" t="str">
            <v>NP</v>
          </cell>
          <cell r="E485" t="str">
            <v>OLIVERIO</v>
          </cell>
          <cell r="F485" t="str">
            <v>JIMENEZ OROZCO</v>
          </cell>
          <cell r="G485" t="str">
            <v>JIMENEZ OROZCO OLIVERIO</v>
          </cell>
          <cell r="H485" t="str">
            <v>RECO</v>
          </cell>
          <cell r="I485" t="str">
            <v>REGIMEN COMUN</v>
          </cell>
          <cell r="J485" t="str">
            <v>CL 9 18 30</v>
          </cell>
          <cell r="K485" t="str">
            <v>15238</v>
          </cell>
          <cell r="L485" t="str">
            <v>DUITAMA</v>
          </cell>
          <cell r="M485" t="str">
            <v>7744137</v>
          </cell>
        </row>
        <row r="486">
          <cell r="A486">
            <v>9527309</v>
          </cell>
          <cell r="B486" t="str">
            <v>6</v>
          </cell>
          <cell r="C486" t="str">
            <v/>
          </cell>
          <cell r="D486" t="str">
            <v>NP</v>
          </cell>
          <cell r="E486" t="str">
            <v>SIGIFREDO</v>
          </cell>
          <cell r="F486" t="str">
            <v>PRECIADO BARRERA</v>
          </cell>
          <cell r="G486" t="str">
            <v>PRECIADO BARRERA SIGIFREDO</v>
          </cell>
          <cell r="H486" t="str">
            <v>RECO</v>
          </cell>
          <cell r="I486" t="str">
            <v>REGIMEN COMUN</v>
          </cell>
          <cell r="J486" t="str">
            <v xml:space="preserve"> CL 15  16 A  95</v>
          </cell>
          <cell r="K486" t="str">
            <v>15759</v>
          </cell>
          <cell r="L486" t="str">
            <v>SOGAMOSO</v>
          </cell>
          <cell r="M486" t="str">
            <v>7715506</v>
          </cell>
        </row>
        <row r="487">
          <cell r="A487">
            <v>9527374</v>
          </cell>
          <cell r="B487" t="str">
            <v/>
          </cell>
          <cell r="C487" t="str">
            <v/>
          </cell>
          <cell r="D487" t="str">
            <v>CC</v>
          </cell>
          <cell r="E487" t="str">
            <v>RAFAEL ANTONIO</v>
          </cell>
          <cell r="F487" t="str">
            <v>MEDINA RODRIGUEZ</v>
          </cell>
          <cell r="G487" t="str">
            <v>MEDINA RODRIGUEZ RAFAEL ANTONIO</v>
          </cell>
          <cell r="H487" t="str">
            <v>FUNC</v>
          </cell>
          <cell r="I487" t="str">
            <v>FUNCIONARIO</v>
          </cell>
          <cell r="J487" t="str">
            <v>DIAGONAL 30 No 12B - 104  BALCONES DE SAN LUIS PAIPA</v>
          </cell>
          <cell r="K487" t="str">
            <v>15516</v>
          </cell>
          <cell r="L487" t="str">
            <v>PAIPA</v>
          </cell>
          <cell r="M487" t="str">
            <v>3112144103</v>
          </cell>
        </row>
        <row r="488">
          <cell r="A488">
            <v>9527380</v>
          </cell>
          <cell r="B488" t="str">
            <v/>
          </cell>
          <cell r="C488" t="str">
            <v/>
          </cell>
          <cell r="D488" t="str">
            <v>CC</v>
          </cell>
          <cell r="E488" t="str">
            <v>LUIS EDUARDO</v>
          </cell>
          <cell r="F488" t="str">
            <v>GOMEZ FONSECA</v>
          </cell>
          <cell r="G488" t="str">
            <v>GOMEZ FONSECA LUIS EDUARDO</v>
          </cell>
          <cell r="H488" t="str">
            <v>RESI</v>
          </cell>
          <cell r="I488" t="str">
            <v>REGIMEN SIMPLIFICADO</v>
          </cell>
          <cell r="J488" t="str">
            <v>TRINIDAD</v>
          </cell>
          <cell r="K488" t="str">
            <v>85430</v>
          </cell>
          <cell r="L488" t="str">
            <v>TRINIDAD</v>
          </cell>
          <cell r="M488" t="str">
            <v>3115218963</v>
          </cell>
        </row>
        <row r="489">
          <cell r="A489">
            <v>9528976</v>
          </cell>
          <cell r="B489" t="str">
            <v>3</v>
          </cell>
          <cell r="C489" t="str">
            <v/>
          </cell>
          <cell r="D489" t="str">
            <v>NP</v>
          </cell>
          <cell r="E489" t="str">
            <v>RAFAEL ANTONIO</v>
          </cell>
          <cell r="F489" t="str">
            <v>NIÑO TAPIAS</v>
          </cell>
          <cell r="G489" t="str">
            <v>RAFAEL ANTONIO NIÑO TAPIAS</v>
          </cell>
          <cell r="H489" t="str">
            <v>RECO</v>
          </cell>
          <cell r="I489" t="str">
            <v>REGIMEN COMUN</v>
          </cell>
          <cell r="J489" t="str">
            <v>CR 8 28 A  60</v>
          </cell>
          <cell r="K489" t="str">
            <v>15759</v>
          </cell>
          <cell r="L489" t="str">
            <v>SOGAMOSO</v>
          </cell>
          <cell r="M489" t="str">
            <v>7720877</v>
          </cell>
        </row>
        <row r="490">
          <cell r="A490">
            <v>9528986</v>
          </cell>
          <cell r="B490" t="str">
            <v/>
          </cell>
          <cell r="C490" t="str">
            <v/>
          </cell>
          <cell r="D490" t="str">
            <v>CC</v>
          </cell>
          <cell r="E490" t="str">
            <v>VICTOR MANUEL</v>
          </cell>
          <cell r="F490" t="str">
            <v>PINEDA AFRICANO</v>
          </cell>
          <cell r="G490" t="str">
            <v>PINEDA AFRICANO VICTOR MANUEL</v>
          </cell>
          <cell r="H490" t="str">
            <v>FUNC</v>
          </cell>
          <cell r="I490" t="str">
            <v>FUNCIONARIO</v>
          </cell>
          <cell r="J490" t="str">
            <v>CR 18 N 6 39 BRR LA PRADERA</v>
          </cell>
          <cell r="K490" t="str">
            <v>15759</v>
          </cell>
          <cell r="L490" t="str">
            <v>SOGAMOSO</v>
          </cell>
          <cell r="M490" t="str">
            <v>3144331557</v>
          </cell>
        </row>
        <row r="491">
          <cell r="A491">
            <v>9529032</v>
          </cell>
          <cell r="B491" t="str">
            <v>0</v>
          </cell>
          <cell r="C491" t="str">
            <v/>
          </cell>
          <cell r="D491" t="str">
            <v>NP</v>
          </cell>
          <cell r="E491" t="str">
            <v>JOSE ALBERTO</v>
          </cell>
          <cell r="F491" t="str">
            <v>CARDENAS MEDINA</v>
          </cell>
          <cell r="G491" t="str">
            <v>CARDENAS MEDINA JOSE ALBERTO</v>
          </cell>
          <cell r="H491" t="str">
            <v>RECO</v>
          </cell>
          <cell r="I491" t="str">
            <v>REGIMEN COMUN</v>
          </cell>
          <cell r="J491" t="str">
            <v>CL 11 A 18 35</v>
          </cell>
          <cell r="K491" t="str">
            <v>15238</v>
          </cell>
          <cell r="L491" t="str">
            <v>DUITAMA</v>
          </cell>
          <cell r="M491" t="str">
            <v>3114752813</v>
          </cell>
        </row>
        <row r="492">
          <cell r="A492">
            <v>9529247</v>
          </cell>
          <cell r="B492" t="str">
            <v>7</v>
          </cell>
          <cell r="C492" t="str">
            <v/>
          </cell>
          <cell r="D492" t="str">
            <v>NP</v>
          </cell>
          <cell r="E492" t="str">
            <v>SEGUNDO AGUSTIN</v>
          </cell>
          <cell r="F492" t="str">
            <v>CHAPARRO PULIDO</v>
          </cell>
          <cell r="G492" t="str">
            <v>CHAPARRO PULIDO SEGUNDO AGUSTIN</v>
          </cell>
          <cell r="H492" t="str">
            <v>RESI</v>
          </cell>
          <cell r="I492" t="str">
            <v>REGIMEN SIMPLIFICADO</v>
          </cell>
          <cell r="J492" t="str">
            <v>CL 25   1 C 38 BRR AMERICAS</v>
          </cell>
          <cell r="K492" t="str">
            <v>18001</v>
          </cell>
          <cell r="L492" t="str">
            <v>FLORENCIA</v>
          </cell>
          <cell r="M492" t="str">
            <v>3204650334</v>
          </cell>
        </row>
        <row r="493">
          <cell r="A493">
            <v>9529807</v>
          </cell>
          <cell r="B493" t="str">
            <v>1</v>
          </cell>
          <cell r="C493" t="str">
            <v/>
          </cell>
          <cell r="D493" t="str">
            <v>NP</v>
          </cell>
          <cell r="E493" t="str">
            <v>JOSÉ MARÍA</v>
          </cell>
          <cell r="F493" t="str">
            <v>MONTAÑEZ MONTAÑEZ</v>
          </cell>
          <cell r="G493" t="str">
            <v>MONTAÑEZ MONTAÑEZ JOSÉ MARÍA</v>
          </cell>
          <cell r="H493" t="str">
            <v>RECO</v>
          </cell>
          <cell r="I493" t="str">
            <v>REGIMEN COMUN</v>
          </cell>
          <cell r="J493" t="str">
            <v>CL 56  11 E  66</v>
          </cell>
          <cell r="K493" t="str">
            <v>15759</v>
          </cell>
          <cell r="L493" t="str">
            <v>SOGAMOSO</v>
          </cell>
          <cell r="M493" t="str">
            <v>3115923251</v>
          </cell>
        </row>
        <row r="494">
          <cell r="A494">
            <v>9530003</v>
          </cell>
          <cell r="B494" t="str">
            <v>9</v>
          </cell>
          <cell r="C494" t="str">
            <v/>
          </cell>
          <cell r="D494" t="str">
            <v>NP</v>
          </cell>
          <cell r="E494" t="str">
            <v xml:space="preserve">LUIS HERNAN </v>
          </cell>
          <cell r="F494" t="str">
            <v xml:space="preserve">LOPEZ HERNANDEZ </v>
          </cell>
          <cell r="G494" t="str">
            <v>LUIS HERNAN LOPEZ HERNANDEZ</v>
          </cell>
          <cell r="H494" t="str">
            <v>RESI</v>
          </cell>
          <cell r="I494" t="str">
            <v>REGIMEN SIMPLIFICADO</v>
          </cell>
          <cell r="J494" t="str">
            <v>CL 31   10   05 BRR SAN CRISTOBAL</v>
          </cell>
          <cell r="K494" t="str">
            <v>15759</v>
          </cell>
          <cell r="L494" t="str">
            <v>SOGAMOSO</v>
          </cell>
          <cell r="M494" t="str">
            <v>3112813224</v>
          </cell>
        </row>
        <row r="495">
          <cell r="A495">
            <v>9530010</v>
          </cell>
          <cell r="B495" t="str">
            <v/>
          </cell>
          <cell r="C495" t="str">
            <v/>
          </cell>
          <cell r="D495" t="str">
            <v>CC</v>
          </cell>
          <cell r="E495" t="str">
            <v>CARLOS ALBERTO</v>
          </cell>
          <cell r="F495" t="str">
            <v>PÉREZ RIVERA</v>
          </cell>
          <cell r="G495" t="str">
            <v>PÉREZ RIVERA CARLOS ALBERTO</v>
          </cell>
          <cell r="H495" t="str">
            <v>FUNC</v>
          </cell>
          <cell r="I495" t="str">
            <v>FUNCIONARIO</v>
          </cell>
          <cell r="J495" t="str">
            <v>CR 17 N 173 52</v>
          </cell>
          <cell r="K495" t="str">
            <v>15757</v>
          </cell>
          <cell r="L495" t="str">
            <v>SOCHA</v>
          </cell>
          <cell r="M495" t="str">
            <v>3107740525</v>
          </cell>
        </row>
        <row r="496">
          <cell r="A496">
            <v>9531106</v>
          </cell>
          <cell r="B496" t="str">
            <v>3</v>
          </cell>
          <cell r="C496" t="str">
            <v/>
          </cell>
          <cell r="D496" t="str">
            <v>NP</v>
          </cell>
          <cell r="E496" t="str">
            <v>FELIX ISMAEL</v>
          </cell>
          <cell r="F496" t="str">
            <v>PARRA CORREDOR</v>
          </cell>
          <cell r="G496" t="str">
            <v>PARRA CORREDOR FELIX ISMAEL</v>
          </cell>
          <cell r="H496" t="str">
            <v>REOR</v>
          </cell>
          <cell r="I496" t="str">
            <v>RENTA REGIMEN ORDINARIO</v>
          </cell>
          <cell r="J496" t="str">
            <v>VDA REYES PATRIA</v>
          </cell>
          <cell r="K496" t="str">
            <v>15215</v>
          </cell>
          <cell r="L496" t="str">
            <v>CORRALES</v>
          </cell>
          <cell r="M496" t="str">
            <v>3112190588</v>
          </cell>
        </row>
        <row r="497">
          <cell r="A497">
            <v>9531281</v>
          </cell>
          <cell r="B497" t="str">
            <v>4</v>
          </cell>
          <cell r="C497" t="str">
            <v/>
          </cell>
          <cell r="D497" t="str">
            <v>NP</v>
          </cell>
          <cell r="E497" t="str">
            <v>MANUEL EDGARDO</v>
          </cell>
          <cell r="F497" t="str">
            <v>SUAREZ VEGA</v>
          </cell>
          <cell r="G497" t="str">
            <v>SUAREZ VEGA MANUEL EDGARDO</v>
          </cell>
          <cell r="H497" t="str">
            <v>RECO</v>
          </cell>
          <cell r="I497" t="str">
            <v>REGIMEN COMUN</v>
          </cell>
          <cell r="J497" t="str">
            <v>CR 20 11 28 SOGAMOSO</v>
          </cell>
          <cell r="K497" t="str">
            <v>15759</v>
          </cell>
          <cell r="L497" t="str">
            <v>SOGAMOSO</v>
          </cell>
          <cell r="M497" t="str">
            <v>7702281</v>
          </cell>
        </row>
        <row r="498">
          <cell r="A498">
            <v>9531413</v>
          </cell>
          <cell r="B498" t="str">
            <v/>
          </cell>
          <cell r="C498" t="str">
            <v/>
          </cell>
          <cell r="D498" t="str">
            <v>CC</v>
          </cell>
          <cell r="E498" t="str">
            <v>MANUEL ANTONIO</v>
          </cell>
          <cell r="F498" t="str">
            <v>VARGAS MONTANEZ</v>
          </cell>
          <cell r="G498" t="str">
            <v>VARGAS MONTANEZ MANUEL ANTONIO</v>
          </cell>
          <cell r="H498" t="str">
            <v>FUNC</v>
          </cell>
          <cell r="I498" t="str">
            <v>FUNCIONARIO</v>
          </cell>
          <cell r="J498" t="str">
            <v>sin direcci¿n</v>
          </cell>
          <cell r="K498" t="str">
            <v>17001</v>
          </cell>
          <cell r="L498" t="str">
            <v>MANIZALES</v>
          </cell>
          <cell r="M498" t="str">
            <v>0000</v>
          </cell>
        </row>
        <row r="499">
          <cell r="A499">
            <v>9531454</v>
          </cell>
          <cell r="B499" t="str">
            <v/>
          </cell>
          <cell r="C499" t="str">
            <v/>
          </cell>
          <cell r="D499" t="str">
            <v>CC</v>
          </cell>
          <cell r="E499" t="str">
            <v>LUIS IGNACIO</v>
          </cell>
          <cell r="F499" t="str">
            <v>BARRERA RINCON</v>
          </cell>
          <cell r="G499" t="str">
            <v>BARRERA RINCON LUIS IGNACIO</v>
          </cell>
          <cell r="H499" t="str">
            <v>FUNC</v>
          </cell>
          <cell r="I499" t="str">
            <v>FUNCIONARIO</v>
          </cell>
          <cell r="J499" t="str">
            <v>CR 12 D N 46 C 05</v>
          </cell>
          <cell r="K499" t="str">
            <v>15759</v>
          </cell>
          <cell r="L499" t="str">
            <v>SOGAMOSO</v>
          </cell>
          <cell r="M499" t="str">
            <v>3213708109</v>
          </cell>
        </row>
        <row r="500">
          <cell r="A500">
            <v>9532304</v>
          </cell>
          <cell r="B500" t="str">
            <v/>
          </cell>
          <cell r="C500" t="str">
            <v/>
          </cell>
          <cell r="D500" t="str">
            <v>CC</v>
          </cell>
          <cell r="E500" t="str">
            <v>GUILLERMO</v>
          </cell>
          <cell r="F500" t="str">
            <v>NARANJO RODRIGUEZ</v>
          </cell>
          <cell r="G500" t="str">
            <v>NARANJO RODRIGUEZ GUILLERMO</v>
          </cell>
          <cell r="H500" t="str">
            <v>FUNC</v>
          </cell>
          <cell r="I500" t="str">
            <v>FUNCIONARIO</v>
          </cell>
          <cell r="J500" t="str">
            <v>CR 38 N 10 A 26 BRR SOGALLANO</v>
          </cell>
          <cell r="K500" t="str">
            <v>15759</v>
          </cell>
          <cell r="L500" t="str">
            <v>SOGAMOSO</v>
          </cell>
          <cell r="M500" t="str">
            <v>3214463314</v>
          </cell>
        </row>
        <row r="501">
          <cell r="A501">
            <v>9533088</v>
          </cell>
          <cell r="B501" t="str">
            <v>8</v>
          </cell>
          <cell r="C501" t="str">
            <v/>
          </cell>
          <cell r="D501" t="str">
            <v>NP</v>
          </cell>
          <cell r="E501" t="str">
            <v>ANGELMIRO</v>
          </cell>
          <cell r="F501" t="str">
            <v>CUSBA BALLESTEROS</v>
          </cell>
          <cell r="G501" t="str">
            <v>CUSBA BALLESTEROS ANGELMIRO</v>
          </cell>
          <cell r="H501" t="str">
            <v>RESI</v>
          </cell>
          <cell r="I501" t="str">
            <v>REGIMEN SIMPLIFICADO</v>
          </cell>
          <cell r="J501" t="str">
            <v>CL 6 3 56</v>
          </cell>
          <cell r="K501" t="str">
            <v>15491</v>
          </cell>
          <cell r="L501" t="str">
            <v>NOBSA</v>
          </cell>
          <cell r="M501" t="str">
            <v>3114628169</v>
          </cell>
        </row>
        <row r="502">
          <cell r="A502">
            <v>9533807</v>
          </cell>
          <cell r="B502" t="str">
            <v>7</v>
          </cell>
          <cell r="C502" t="str">
            <v/>
          </cell>
          <cell r="D502" t="str">
            <v>NP</v>
          </cell>
          <cell r="E502" t="str">
            <v>WILSON ALEXANDER</v>
          </cell>
          <cell r="F502" t="str">
            <v>ESPINOSA VILLAREAL</v>
          </cell>
          <cell r="G502" t="str">
            <v>ESPINOSA VILLAREAL WILSON ALEXANDER</v>
          </cell>
          <cell r="H502" t="str">
            <v>RCPN</v>
          </cell>
          <cell r="I502" t="str">
            <v>RESPONSABLE IVA PERSONA NATURAL</v>
          </cell>
          <cell r="J502" t="str">
            <v>CL 14  16-28</v>
          </cell>
          <cell r="K502" t="str">
            <v>15238</v>
          </cell>
          <cell r="L502" t="str">
            <v>DUITAMA</v>
          </cell>
          <cell r="M502" t="str">
            <v>7605596</v>
          </cell>
        </row>
        <row r="503">
          <cell r="A503">
            <v>9534529</v>
          </cell>
          <cell r="B503" t="str">
            <v>9</v>
          </cell>
          <cell r="C503" t="str">
            <v/>
          </cell>
          <cell r="D503" t="str">
            <v>NP</v>
          </cell>
          <cell r="E503" t="str">
            <v>MAURICIO</v>
          </cell>
          <cell r="F503" t="str">
            <v>CALA PEREZ</v>
          </cell>
          <cell r="G503" t="str">
            <v>CALA PEREZ MAURICIO</v>
          </cell>
          <cell r="H503" t="str">
            <v>RECO</v>
          </cell>
          <cell r="I503" t="str">
            <v>REGIMEN COMUN</v>
          </cell>
          <cell r="J503" t="str">
            <v>CL 23   8   27 BRR EL BOSQUE</v>
          </cell>
          <cell r="K503" t="str">
            <v>85001</v>
          </cell>
          <cell r="L503" t="str">
            <v>YOPAL</v>
          </cell>
          <cell r="M503" t="str">
            <v>3102841962</v>
          </cell>
        </row>
        <row r="504">
          <cell r="A504">
            <v>9534638</v>
          </cell>
          <cell r="B504" t="str">
            <v>3</v>
          </cell>
          <cell r="C504" t="str">
            <v/>
          </cell>
          <cell r="D504" t="str">
            <v>NP</v>
          </cell>
          <cell r="E504" t="str">
            <v>ORLANDO</v>
          </cell>
          <cell r="F504" t="str">
            <v>DIAZ CHAPARRO</v>
          </cell>
          <cell r="G504" t="str">
            <v>DIAZ CHAPARRO ORLANDO</v>
          </cell>
          <cell r="H504" t="str">
            <v>RECO</v>
          </cell>
          <cell r="I504" t="str">
            <v>REGIMEN COMUN</v>
          </cell>
          <cell r="J504" t="str">
            <v xml:space="preserve">CL 66 20 210                         </v>
          </cell>
          <cell r="K504" t="str">
            <v>15759</v>
          </cell>
          <cell r="L504" t="str">
            <v>SOGAMOSO</v>
          </cell>
          <cell r="M504" t="str">
            <v>7778201</v>
          </cell>
        </row>
        <row r="505">
          <cell r="A505">
            <v>9534685</v>
          </cell>
          <cell r="B505" t="str">
            <v>1</v>
          </cell>
          <cell r="C505" t="str">
            <v/>
          </cell>
          <cell r="D505" t="str">
            <v>NP</v>
          </cell>
          <cell r="E505" t="str">
            <v>NELSON DE JESUS</v>
          </cell>
          <cell r="F505" t="str">
            <v>MEDINA MERCHAN</v>
          </cell>
          <cell r="G505" t="str">
            <v>MEDINA MERCHAN NELSON DE JESUS</v>
          </cell>
          <cell r="H505" t="str">
            <v>RESI</v>
          </cell>
          <cell r="I505" t="str">
            <v>REGIMEN SIMPLIFICADO</v>
          </cell>
          <cell r="J505" t="str">
            <v>CR 8 A 18  50 AP 301</v>
          </cell>
          <cell r="K505" t="str">
            <v>15759</v>
          </cell>
          <cell r="L505" t="str">
            <v>SOGAMOSO</v>
          </cell>
          <cell r="M505" t="str">
            <v>3202736019</v>
          </cell>
        </row>
        <row r="506">
          <cell r="A506">
            <v>9536261</v>
          </cell>
          <cell r="B506" t="str">
            <v>1</v>
          </cell>
          <cell r="C506" t="str">
            <v/>
          </cell>
          <cell r="D506" t="str">
            <v>NP</v>
          </cell>
          <cell r="E506" t="str">
            <v>JOSE ARISTIDES</v>
          </cell>
          <cell r="F506" t="str">
            <v>MANCIPE GARAY</v>
          </cell>
          <cell r="G506" t="str">
            <v>MANCIPE GARAY JOSE ARISTIDES/MONTALLANTAS MANCIPE</v>
          </cell>
          <cell r="H506" t="str">
            <v>RESI</v>
          </cell>
          <cell r="I506" t="str">
            <v>REGIMEN SIMPLIFICADO</v>
          </cell>
          <cell r="J506" t="str">
            <v>KM 103 VIA TUNJA -BOGOTA</v>
          </cell>
          <cell r="K506" t="str">
            <v>11001</v>
          </cell>
          <cell r="L506" t="str">
            <v>BOGOTA DC</v>
          </cell>
          <cell r="M506" t="str">
            <v>3204943681</v>
          </cell>
        </row>
        <row r="507">
          <cell r="A507">
            <v>9590072</v>
          </cell>
          <cell r="B507" t="str">
            <v>3</v>
          </cell>
          <cell r="C507" t="str">
            <v/>
          </cell>
          <cell r="D507" t="str">
            <v>NP</v>
          </cell>
          <cell r="E507" t="str">
            <v>ALVARO</v>
          </cell>
          <cell r="F507" t="str">
            <v>RODRIGUEZ  ALBARRAN</v>
          </cell>
          <cell r="G507" t="str">
            <v>RODRIGUEZ  ALBARRAN ALVARO</v>
          </cell>
          <cell r="H507" t="str">
            <v>RESI</v>
          </cell>
          <cell r="I507" t="str">
            <v>REGIMEN SIMPLIFICADO</v>
          </cell>
          <cell r="J507" t="str">
            <v>CL 10 18 A 03</v>
          </cell>
          <cell r="K507" t="str">
            <v>15238</v>
          </cell>
          <cell r="L507" t="str">
            <v>DUITAMA</v>
          </cell>
          <cell r="M507" t="str">
            <v>3142466492</v>
          </cell>
        </row>
        <row r="508">
          <cell r="A508">
            <v>9650391</v>
          </cell>
          <cell r="B508" t="str">
            <v>6</v>
          </cell>
          <cell r="C508" t="str">
            <v/>
          </cell>
          <cell r="D508" t="str">
            <v>NP</v>
          </cell>
          <cell r="E508" t="str">
            <v>POLICARPO</v>
          </cell>
          <cell r="F508" t="str">
            <v>ESPINOSA RODRIGUEZ</v>
          </cell>
          <cell r="G508" t="str">
            <v>ESPINOSA RODRIGUEZ POLICARPO</v>
          </cell>
          <cell r="H508" t="str">
            <v>RESI</v>
          </cell>
          <cell r="I508" t="str">
            <v>REGIMEN SIMPLIFICADO</v>
          </cell>
          <cell r="J508" t="str">
            <v>CL 5   2   32</v>
          </cell>
          <cell r="K508" t="str">
            <v>85430</v>
          </cell>
          <cell r="L508" t="str">
            <v>TRINIDAD</v>
          </cell>
          <cell r="M508" t="str">
            <v>6371045</v>
          </cell>
        </row>
        <row r="509">
          <cell r="A509">
            <v>9651102</v>
          </cell>
          <cell r="B509" t="str">
            <v/>
          </cell>
          <cell r="C509" t="str">
            <v/>
          </cell>
          <cell r="D509" t="str">
            <v>CC</v>
          </cell>
          <cell r="E509" t="str">
            <v>JOSE CRISTOBAL</v>
          </cell>
          <cell r="F509" t="str">
            <v>MUNAR CASTRO</v>
          </cell>
          <cell r="G509" t="str">
            <v>MUNAR CASTRO JOSE CRISTOBAL</v>
          </cell>
          <cell r="H509" t="str">
            <v>RESI</v>
          </cell>
          <cell r="I509" t="str">
            <v>REGIMEN SIMPLIFICADO</v>
          </cell>
          <cell r="J509" t="str">
            <v>VRD LAS CAÑAS FCA MATA DE PALMA</v>
          </cell>
          <cell r="K509" t="str">
            <v>85325</v>
          </cell>
          <cell r="L509" t="str">
            <v>SAN LUIS DE PALENQUE</v>
          </cell>
          <cell r="M509" t="str">
            <v>3214352380</v>
          </cell>
        </row>
        <row r="510">
          <cell r="A510">
            <v>9651126</v>
          </cell>
          <cell r="B510" t="str">
            <v>5</v>
          </cell>
          <cell r="C510" t="str">
            <v/>
          </cell>
          <cell r="D510" t="str">
            <v>NP</v>
          </cell>
          <cell r="E510" t="str">
            <v>LUIS FELIPE</v>
          </cell>
          <cell r="F510" t="str">
            <v>MENDOZA</v>
          </cell>
          <cell r="G510" t="str">
            <v>MENDOZA LUIS FELIPE</v>
          </cell>
          <cell r="H510" t="str">
            <v>RECO</v>
          </cell>
          <cell r="I510" t="str">
            <v>REGIMEN COMUN</v>
          </cell>
          <cell r="J510" t="str">
            <v>CR 22   8   90</v>
          </cell>
          <cell r="K510" t="str">
            <v>85001</v>
          </cell>
          <cell r="L510" t="str">
            <v>YOPAL</v>
          </cell>
          <cell r="M510" t="str">
            <v>3115138886</v>
          </cell>
        </row>
        <row r="511">
          <cell r="A511">
            <v>9651820</v>
          </cell>
          <cell r="B511" t="str">
            <v/>
          </cell>
          <cell r="C511" t="str">
            <v/>
          </cell>
          <cell r="D511" t="str">
            <v>CC</v>
          </cell>
          <cell r="E511" t="str">
            <v>JULIO ROBERTO</v>
          </cell>
          <cell r="F511" t="str">
            <v>HERNANDEZ VALERO</v>
          </cell>
          <cell r="G511" t="str">
            <v>HERNANDEZ VALERO JULIO ROBERTO</v>
          </cell>
          <cell r="H511" t="str">
            <v>REOR</v>
          </cell>
          <cell r="I511" t="str">
            <v>RENTA REGIMEN ORDINARIO</v>
          </cell>
          <cell r="J511" t="str">
            <v>CR 4   3   16</v>
          </cell>
          <cell r="K511" t="str">
            <v>85325</v>
          </cell>
          <cell r="L511" t="str">
            <v>SAN LUIS DE PALENQUE</v>
          </cell>
          <cell r="M511" t="str">
            <v>3213724617</v>
          </cell>
        </row>
        <row r="512">
          <cell r="A512">
            <v>9652126</v>
          </cell>
          <cell r="B512" t="str">
            <v/>
          </cell>
          <cell r="C512" t="str">
            <v/>
          </cell>
          <cell r="D512" t="str">
            <v>CC</v>
          </cell>
          <cell r="E512" t="str">
            <v>JOSE MODESTO</v>
          </cell>
          <cell r="F512" t="str">
            <v>PEREZ</v>
          </cell>
          <cell r="G512" t="str">
            <v>PEREZ JOSE MODESTO</v>
          </cell>
          <cell r="H512" t="str">
            <v>RESI</v>
          </cell>
          <cell r="I512" t="str">
            <v>REGIMEN SIMPLIFICADO</v>
          </cell>
          <cell r="J512" t="str">
            <v>VRD BOCAS DEL PAUTO</v>
          </cell>
          <cell r="K512" t="str">
            <v>85430</v>
          </cell>
          <cell r="L512" t="str">
            <v>TRINIDAD</v>
          </cell>
          <cell r="M512" t="str">
            <v>8756262</v>
          </cell>
        </row>
        <row r="513">
          <cell r="A513">
            <v>9652444</v>
          </cell>
          <cell r="B513" t="str">
            <v/>
          </cell>
          <cell r="C513" t="str">
            <v/>
          </cell>
          <cell r="D513" t="str">
            <v>CC</v>
          </cell>
          <cell r="E513" t="str">
            <v>CARLOS URIEL</v>
          </cell>
          <cell r="F513" t="str">
            <v>RINCON</v>
          </cell>
          <cell r="G513" t="str">
            <v>RINCON CARLOS URIEL</v>
          </cell>
          <cell r="H513" t="str">
            <v>RESI</v>
          </cell>
          <cell r="I513" t="str">
            <v>REGIMEN SIMPLIFICADO</v>
          </cell>
          <cell r="J513" t="str">
            <v>PD LA ESCONDIDA</v>
          </cell>
          <cell r="K513" t="str">
            <v>85001</v>
          </cell>
          <cell r="L513" t="str">
            <v>YOPAL</v>
          </cell>
          <cell r="M513" t="str">
            <v>9999999</v>
          </cell>
        </row>
        <row r="514">
          <cell r="A514">
            <v>9652793</v>
          </cell>
          <cell r="B514" t="str">
            <v>2</v>
          </cell>
          <cell r="C514" t="str">
            <v/>
          </cell>
          <cell r="D514" t="str">
            <v>NP</v>
          </cell>
          <cell r="E514" t="str">
            <v>OVIDIO LEON</v>
          </cell>
          <cell r="F514" t="str">
            <v>RIAÑO</v>
          </cell>
          <cell r="G514" t="str">
            <v>RIAÑO OVIDIO LEON</v>
          </cell>
          <cell r="H514" t="str">
            <v>RESI</v>
          </cell>
          <cell r="I514" t="str">
            <v>REGIMEN SIMPLIFICADO</v>
          </cell>
          <cell r="J514" t="str">
            <v>CR 7 24 60</v>
          </cell>
          <cell r="K514" t="str">
            <v>85001</v>
          </cell>
          <cell r="L514" t="str">
            <v>YOPAL</v>
          </cell>
          <cell r="M514" t="str">
            <v>3144442562</v>
          </cell>
        </row>
        <row r="515">
          <cell r="A515">
            <v>9654093</v>
          </cell>
          <cell r="B515" t="str">
            <v/>
          </cell>
          <cell r="C515" t="str">
            <v/>
          </cell>
          <cell r="D515" t="str">
            <v>CC</v>
          </cell>
          <cell r="E515" t="str">
            <v>DUMAR</v>
          </cell>
          <cell r="F515" t="str">
            <v>CHAPARRO BARRAGAN</v>
          </cell>
          <cell r="G515" t="str">
            <v>CHAPARRO BARRAGAN DUMAR</v>
          </cell>
          <cell r="H515" t="str">
            <v>RESI</v>
          </cell>
          <cell r="I515" t="str">
            <v>REGIMEN SIMPLIFICADO</v>
          </cell>
          <cell r="J515" t="str">
            <v>VRD MATA DE SANTOS FCA LA BRAMADORA</v>
          </cell>
          <cell r="K515" t="str">
            <v>85001</v>
          </cell>
          <cell r="L515" t="str">
            <v>YOPAL</v>
          </cell>
          <cell r="M515" t="str">
            <v>3104142787</v>
          </cell>
        </row>
        <row r="516">
          <cell r="A516">
            <v>9654240</v>
          </cell>
          <cell r="B516" t="str">
            <v>0</v>
          </cell>
          <cell r="C516" t="str">
            <v/>
          </cell>
          <cell r="D516" t="str">
            <v>NP</v>
          </cell>
          <cell r="E516" t="str">
            <v>JESUS ENRIQUE</v>
          </cell>
          <cell r="F516" t="str">
            <v>TUPANTEVE REYES</v>
          </cell>
          <cell r="G516" t="str">
            <v>TUPANTEVE REYES JESUS ENRIQUE</v>
          </cell>
          <cell r="H516" t="str">
            <v>RESI</v>
          </cell>
          <cell r="I516" t="str">
            <v>REGIMEN SIMPLIFICADO</v>
          </cell>
          <cell r="J516" t="str">
            <v>VRD SAN FRANCISCO FCA EL BEJUCO</v>
          </cell>
          <cell r="K516" t="str">
            <v>85325</v>
          </cell>
          <cell r="L516" t="str">
            <v>SAN LUIS DE PALENQUE</v>
          </cell>
          <cell r="M516" t="str">
            <v>3118342021</v>
          </cell>
        </row>
        <row r="517">
          <cell r="A517">
            <v>9654567</v>
          </cell>
          <cell r="B517" t="str">
            <v/>
          </cell>
          <cell r="C517" t="str">
            <v/>
          </cell>
          <cell r="D517" t="str">
            <v>CC</v>
          </cell>
          <cell r="E517" t="str">
            <v>OMAR</v>
          </cell>
          <cell r="F517" t="str">
            <v>NAVARRO</v>
          </cell>
          <cell r="G517" t="str">
            <v>NAVARRO OMAR</v>
          </cell>
          <cell r="H517" t="str">
            <v>RESI</v>
          </cell>
          <cell r="I517" t="str">
            <v>REGIMEN SIMPLIFICADO</v>
          </cell>
          <cell r="J517" t="str">
            <v>VRD COREA</v>
          </cell>
          <cell r="K517" t="str">
            <v>85225</v>
          </cell>
          <cell r="L517" t="str">
            <v>NUNCHÍA</v>
          </cell>
          <cell r="M517" t="str">
            <v>3106086835</v>
          </cell>
        </row>
        <row r="518">
          <cell r="A518">
            <v>9654785</v>
          </cell>
          <cell r="B518" t="str">
            <v/>
          </cell>
          <cell r="C518" t="str">
            <v/>
          </cell>
          <cell r="D518" t="str">
            <v>CC</v>
          </cell>
          <cell r="E518" t="str">
            <v>ALVARO</v>
          </cell>
          <cell r="F518" t="str">
            <v>GALAN</v>
          </cell>
          <cell r="G518" t="str">
            <v>GALAN ALVARO</v>
          </cell>
          <cell r="H518" t="str">
            <v>REOR</v>
          </cell>
          <cell r="I518" t="str">
            <v>RENTA REGIMEN ORDINARIO</v>
          </cell>
          <cell r="J518" t="str">
            <v>VRD COREA</v>
          </cell>
          <cell r="K518" t="str">
            <v>85225</v>
          </cell>
          <cell r="L518" t="str">
            <v>NUNCHÍA</v>
          </cell>
          <cell r="M518" t="str">
            <v>3202276497</v>
          </cell>
        </row>
        <row r="519">
          <cell r="A519">
            <v>9655328</v>
          </cell>
          <cell r="B519" t="str">
            <v>4</v>
          </cell>
          <cell r="C519" t="str">
            <v/>
          </cell>
          <cell r="D519" t="str">
            <v>NP</v>
          </cell>
          <cell r="E519" t="str">
            <v>JAIME ERALDO</v>
          </cell>
          <cell r="F519" t="str">
            <v>PRECIADO</v>
          </cell>
          <cell r="G519" t="str">
            <v>PRECIADO JAIME ERALDO</v>
          </cell>
          <cell r="H519" t="str">
            <v>RESI</v>
          </cell>
          <cell r="I519" t="str">
            <v>REGIMEN SIMPLIFICADO</v>
          </cell>
          <cell r="J519" t="str">
            <v>TV 26   34 A   05</v>
          </cell>
          <cell r="K519" t="str">
            <v>85001</v>
          </cell>
          <cell r="L519" t="str">
            <v>YOPAL</v>
          </cell>
          <cell r="M519" t="str">
            <v>6348364</v>
          </cell>
        </row>
        <row r="520">
          <cell r="A520">
            <v>9655485</v>
          </cell>
          <cell r="B520" t="str">
            <v>2</v>
          </cell>
          <cell r="C520" t="str">
            <v/>
          </cell>
          <cell r="D520" t="str">
            <v>NP</v>
          </cell>
          <cell r="E520" t="str">
            <v>JOSE EDER</v>
          </cell>
          <cell r="F520" t="str">
            <v>CUTA BOLIVAR</v>
          </cell>
          <cell r="G520" t="str">
            <v>CUTA BOLIVAR JOSE EDER</v>
          </cell>
          <cell r="H520" t="str">
            <v>RESI</v>
          </cell>
          <cell r="I520" t="str">
            <v>REGIMEN SIMPLIFICADO</v>
          </cell>
          <cell r="J520" t="str">
            <v>CR 11   25   75</v>
          </cell>
          <cell r="K520" t="str">
            <v>85001</v>
          </cell>
          <cell r="L520" t="str">
            <v>YOPAL</v>
          </cell>
          <cell r="M520" t="str">
            <v>6354983</v>
          </cell>
        </row>
        <row r="521">
          <cell r="A521">
            <v>9656218</v>
          </cell>
          <cell r="B521" t="str">
            <v>7</v>
          </cell>
          <cell r="C521" t="str">
            <v/>
          </cell>
          <cell r="D521" t="str">
            <v>NP</v>
          </cell>
          <cell r="E521" t="str">
            <v>DIDIO NICOLAS</v>
          </cell>
          <cell r="F521" t="str">
            <v>ARENAS ZARATE</v>
          </cell>
          <cell r="G521" t="str">
            <v>ARENAS ZARATE DIDIO NICOLAS</v>
          </cell>
          <cell r="H521" t="str">
            <v>IMVE</v>
          </cell>
          <cell r="I521" t="str">
            <v>IMPUESTO SOBRE LAS VENTAS</v>
          </cell>
          <cell r="J521" t="str">
            <v>CL 24 12 26</v>
          </cell>
          <cell r="K521" t="str">
            <v>85001</v>
          </cell>
          <cell r="L521" t="str">
            <v>YOPAL</v>
          </cell>
          <cell r="M521" t="str">
            <v>6358700</v>
          </cell>
        </row>
        <row r="522">
          <cell r="A522">
            <v>9656299</v>
          </cell>
          <cell r="B522" t="str">
            <v>3</v>
          </cell>
          <cell r="C522" t="str">
            <v/>
          </cell>
          <cell r="D522" t="str">
            <v>NP</v>
          </cell>
          <cell r="E522" t="str">
            <v>JAVIER YESID</v>
          </cell>
          <cell r="F522" t="str">
            <v>DUARTE TUAY</v>
          </cell>
          <cell r="G522" t="str">
            <v>DUARTE TUAY JAVIER YESID</v>
          </cell>
          <cell r="H522" t="str">
            <v>RESI</v>
          </cell>
          <cell r="I522" t="str">
            <v>REGIMEN SIMPLIFICADO</v>
          </cell>
          <cell r="J522" t="str">
            <v>CR 12 B   26   45</v>
          </cell>
          <cell r="K522" t="str">
            <v>85001</v>
          </cell>
          <cell r="L522" t="str">
            <v>YOPAL</v>
          </cell>
          <cell r="M522" t="str">
            <v>3143024400</v>
          </cell>
        </row>
        <row r="523">
          <cell r="A523">
            <v>9657414</v>
          </cell>
          <cell r="B523" t="str">
            <v>9</v>
          </cell>
          <cell r="C523" t="str">
            <v/>
          </cell>
          <cell r="D523" t="str">
            <v>NP</v>
          </cell>
          <cell r="E523" t="str">
            <v>YADER</v>
          </cell>
          <cell r="F523" t="str">
            <v>DUARTE TUAY</v>
          </cell>
          <cell r="G523" t="str">
            <v>DUARTE TUAY YADER</v>
          </cell>
          <cell r="H523" t="str">
            <v>RESI</v>
          </cell>
          <cell r="I523" t="str">
            <v>REGIMEN SIMPLIFICADO</v>
          </cell>
          <cell r="J523" t="str">
            <v>DG 14   8 E 46</v>
          </cell>
          <cell r="K523" t="str">
            <v>85001</v>
          </cell>
          <cell r="L523" t="str">
            <v>YOPAL</v>
          </cell>
          <cell r="M523" t="str">
            <v>6354329</v>
          </cell>
        </row>
        <row r="524">
          <cell r="A524">
            <v>9657475</v>
          </cell>
          <cell r="B524" t="str">
            <v>8</v>
          </cell>
          <cell r="C524" t="str">
            <v/>
          </cell>
          <cell r="D524" t="str">
            <v>NP</v>
          </cell>
          <cell r="E524" t="str">
            <v>REGULO</v>
          </cell>
          <cell r="F524" t="str">
            <v>VARGAS PRIETO</v>
          </cell>
          <cell r="G524" t="str">
            <v>VARGAS PRIETO REGULO</v>
          </cell>
          <cell r="H524" t="str">
            <v>RECO</v>
          </cell>
          <cell r="I524" t="str">
            <v>REGIMEN COMUN</v>
          </cell>
          <cell r="J524" t="str">
            <v>CL 6   3   29</v>
          </cell>
          <cell r="K524" t="str">
            <v>85430</v>
          </cell>
          <cell r="L524" t="str">
            <v>TRINIDAD</v>
          </cell>
          <cell r="M524" t="str">
            <v>6371119</v>
          </cell>
        </row>
        <row r="525">
          <cell r="A525">
            <v>9657727</v>
          </cell>
          <cell r="B525" t="str">
            <v>9</v>
          </cell>
          <cell r="C525" t="str">
            <v/>
          </cell>
          <cell r="D525" t="str">
            <v>NP</v>
          </cell>
          <cell r="E525" t="str">
            <v>VICTOR NERBEY</v>
          </cell>
          <cell r="F525" t="str">
            <v>GALAN CARDENAS</v>
          </cell>
          <cell r="G525" t="str">
            <v>GALAN CARDENAS VICTOR NERBEY</v>
          </cell>
          <cell r="H525" t="str">
            <v>RESI</v>
          </cell>
          <cell r="I525" t="str">
            <v>REGIMEN SIMPLIFICADO</v>
          </cell>
          <cell r="J525" t="str">
            <v>CL 24   28   109</v>
          </cell>
          <cell r="K525" t="str">
            <v>85001</v>
          </cell>
          <cell r="L525" t="str">
            <v>YOPAL</v>
          </cell>
          <cell r="M525" t="str">
            <v>6355976</v>
          </cell>
        </row>
        <row r="526">
          <cell r="A526">
            <v>9658124</v>
          </cell>
          <cell r="B526" t="str">
            <v>2</v>
          </cell>
          <cell r="C526" t="str">
            <v/>
          </cell>
          <cell r="D526" t="str">
            <v>NP</v>
          </cell>
          <cell r="E526" t="str">
            <v>MARTIN SEUDIEL</v>
          </cell>
          <cell r="F526" t="str">
            <v>GOMEZ TUAY</v>
          </cell>
          <cell r="G526" t="str">
            <v>GOMEZ TUAY MARTIN SEUDIEL</v>
          </cell>
          <cell r="H526" t="str">
            <v>RESI</v>
          </cell>
          <cell r="I526" t="str">
            <v>REGIMEN SIMPLIFICADO</v>
          </cell>
          <cell r="J526" t="str">
            <v>VRD SAN FRANCISCO FCA COSTA AZUL</v>
          </cell>
          <cell r="K526" t="str">
            <v>85325</v>
          </cell>
          <cell r="L526" t="str">
            <v>SAN LUIS DE PALENQUE</v>
          </cell>
          <cell r="M526" t="str">
            <v>3219421570</v>
          </cell>
        </row>
        <row r="527">
          <cell r="A527">
            <v>9658352</v>
          </cell>
          <cell r="B527" t="str">
            <v>5</v>
          </cell>
          <cell r="C527" t="str">
            <v/>
          </cell>
          <cell r="D527" t="str">
            <v>NP</v>
          </cell>
          <cell r="E527" t="str">
            <v>POLICARPO</v>
          </cell>
          <cell r="F527" t="str">
            <v>NIÑO MARTINEZ</v>
          </cell>
          <cell r="G527" t="str">
            <v>NIÑO MARTINEZ POLICARPO</v>
          </cell>
          <cell r="H527" t="str">
            <v>RESI</v>
          </cell>
          <cell r="I527" t="str">
            <v>REGIMEN SIMPLIFICADO</v>
          </cell>
          <cell r="J527" t="str">
            <v>LOS COMUNEROS</v>
          </cell>
          <cell r="K527" t="str">
            <v>94001</v>
          </cell>
          <cell r="L527" t="str">
            <v>INÍRIDA</v>
          </cell>
          <cell r="M527" t="str">
            <v>3125220255</v>
          </cell>
        </row>
        <row r="528">
          <cell r="A528">
            <v>9658469</v>
          </cell>
          <cell r="B528" t="str">
            <v/>
          </cell>
          <cell r="C528" t="str">
            <v/>
          </cell>
          <cell r="D528" t="str">
            <v>CC</v>
          </cell>
          <cell r="E528" t="str">
            <v>DONALDO</v>
          </cell>
          <cell r="F528" t="str">
            <v>GAMEZ OLIVEROS</v>
          </cell>
          <cell r="G528" t="str">
            <v>GAMEZ OLIVEROS DONALDO</v>
          </cell>
          <cell r="H528" t="str">
            <v>RESI</v>
          </cell>
          <cell r="I528" t="str">
            <v>REGIMEN SIMPLIFICADO</v>
          </cell>
          <cell r="J528" t="str">
            <v>CL 36 20 42</v>
          </cell>
          <cell r="K528" t="str">
            <v>50001</v>
          </cell>
          <cell r="L528" t="str">
            <v>VILLAVICENCIO</v>
          </cell>
          <cell r="M528" t="str">
            <v>3112650023</v>
          </cell>
        </row>
        <row r="529">
          <cell r="A529">
            <v>9658992</v>
          </cell>
          <cell r="B529" t="str">
            <v>9</v>
          </cell>
          <cell r="C529" t="str">
            <v/>
          </cell>
          <cell r="D529" t="str">
            <v>NP</v>
          </cell>
          <cell r="E529" t="str">
            <v>JOSE ALEXANDER</v>
          </cell>
          <cell r="F529" t="str">
            <v>VIANCHA JAIME</v>
          </cell>
          <cell r="G529" t="str">
            <v>VIANCHA JAIME JOSE ALEXANDER</v>
          </cell>
          <cell r="H529" t="str">
            <v>RESI</v>
          </cell>
          <cell r="I529" t="str">
            <v>REGIMEN SIMPLIFICADO</v>
          </cell>
          <cell r="J529" t="str">
            <v>CL 30   6   94</v>
          </cell>
          <cell r="K529" t="str">
            <v>85001</v>
          </cell>
          <cell r="L529" t="str">
            <v>YOPAL</v>
          </cell>
          <cell r="M529" t="str">
            <v>6322486</v>
          </cell>
        </row>
        <row r="530">
          <cell r="A530">
            <v>9659226</v>
          </cell>
          <cell r="B530" t="str">
            <v/>
          </cell>
          <cell r="C530" t="str">
            <v/>
          </cell>
          <cell r="D530" t="str">
            <v>CC</v>
          </cell>
          <cell r="E530" t="str">
            <v>HENRY</v>
          </cell>
          <cell r="F530" t="str">
            <v>OLMOS FERIAS</v>
          </cell>
          <cell r="G530" t="str">
            <v>OLMOS FERIAS HENRY</v>
          </cell>
          <cell r="H530" t="str">
            <v>RESI</v>
          </cell>
          <cell r="I530" t="str">
            <v>REGIMEN SIMPLIFICADO</v>
          </cell>
          <cell r="J530" t="str">
            <v>VRD EL MEREY FCA BAHAMAS</v>
          </cell>
          <cell r="K530" t="str">
            <v>85325</v>
          </cell>
          <cell r="L530" t="str">
            <v>SAN LUIS DE PALENQUE</v>
          </cell>
          <cell r="M530" t="str">
            <v>3106488576</v>
          </cell>
        </row>
        <row r="531">
          <cell r="A531">
            <v>9659424</v>
          </cell>
          <cell r="B531" t="str">
            <v/>
          </cell>
          <cell r="C531" t="str">
            <v/>
          </cell>
          <cell r="D531" t="str">
            <v>CC</v>
          </cell>
          <cell r="E531" t="str">
            <v>MARLON ALEXAND</v>
          </cell>
          <cell r="F531" t="str">
            <v>GARCIA MOSQUERA</v>
          </cell>
          <cell r="G531" t="str">
            <v>MARLON ALEXAND GARCIA MOSQUERA</v>
          </cell>
          <cell r="H531" t="str">
            <v>FUNC</v>
          </cell>
          <cell r="I531" t="str">
            <v>FUNCIONARIO</v>
          </cell>
          <cell r="J531" t="str">
            <v>CL 27   12   40 BRR LA UN</v>
          </cell>
          <cell r="K531" t="str">
            <v>15516</v>
          </cell>
          <cell r="L531" t="str">
            <v>PAIPA</v>
          </cell>
          <cell r="M531" t="str">
            <v>3115218963</v>
          </cell>
        </row>
        <row r="532">
          <cell r="A532">
            <v>9671255</v>
          </cell>
          <cell r="B532" t="str">
            <v>2</v>
          </cell>
          <cell r="C532" t="str">
            <v/>
          </cell>
          <cell r="D532" t="str">
            <v>NP</v>
          </cell>
          <cell r="E532" t="str">
            <v xml:space="preserve">URIEL </v>
          </cell>
          <cell r="F532" t="str">
            <v>ORTIZ MARIN</v>
          </cell>
          <cell r="G532" t="str">
            <v>URIEL ORTIZ MARIN</v>
          </cell>
          <cell r="H532" t="str">
            <v>RECO</v>
          </cell>
          <cell r="I532" t="str">
            <v>REGIMEN COMUN</v>
          </cell>
          <cell r="J532" t="str">
            <v xml:space="preserve">CR 23 N 64B 33                     </v>
          </cell>
          <cell r="K532" t="str">
            <v>17001</v>
          </cell>
          <cell r="L532" t="str">
            <v>MANIZALES</v>
          </cell>
          <cell r="M532" t="str">
            <v>8756262</v>
          </cell>
        </row>
        <row r="533">
          <cell r="A533">
            <v>9733328</v>
          </cell>
          <cell r="B533" t="str">
            <v>9</v>
          </cell>
          <cell r="C533" t="str">
            <v/>
          </cell>
          <cell r="D533" t="str">
            <v>NP</v>
          </cell>
          <cell r="E533" t="str">
            <v>JAINIVER</v>
          </cell>
          <cell r="F533" t="str">
            <v>QUINTERO</v>
          </cell>
          <cell r="G533" t="str">
            <v>QUINTERO JAINIVER</v>
          </cell>
          <cell r="H533" t="str">
            <v>NORE</v>
          </cell>
          <cell r="I533" t="str">
            <v>NO RESPONSABLE DE IVA</v>
          </cell>
          <cell r="J533" t="str">
            <v>VDA LAS MERCEDES CORR FLORENCIA</v>
          </cell>
          <cell r="K533" t="str">
            <v>17662</v>
          </cell>
          <cell r="L533" t="str">
            <v>SAMANÁ</v>
          </cell>
          <cell r="M533" t="str">
            <v>3225697237</v>
          </cell>
        </row>
        <row r="534">
          <cell r="A534">
            <v>9845237</v>
          </cell>
          <cell r="B534" t="str">
            <v>8</v>
          </cell>
          <cell r="C534" t="str">
            <v/>
          </cell>
          <cell r="D534" t="str">
            <v>NP</v>
          </cell>
          <cell r="E534" t="str">
            <v>MARIANO</v>
          </cell>
          <cell r="F534" t="str">
            <v>MEDINA RESTREPO</v>
          </cell>
          <cell r="G534" t="str">
            <v>MEDINA RESTREPO MARIANO</v>
          </cell>
          <cell r="H534" t="str">
            <v>IMVE</v>
          </cell>
          <cell r="I534" t="str">
            <v>IMPUESTO SOBRE LAS VENTAS</v>
          </cell>
          <cell r="J534" t="str">
            <v>CLL 61  23  29</v>
          </cell>
          <cell r="K534" t="str">
            <v>17001</v>
          </cell>
          <cell r="L534" t="str">
            <v>MANIZALES</v>
          </cell>
          <cell r="M534" t="str">
            <v>3108400190</v>
          </cell>
        </row>
        <row r="535">
          <cell r="A535">
            <v>9847317</v>
          </cell>
          <cell r="B535" t="str">
            <v>8</v>
          </cell>
          <cell r="C535" t="str">
            <v/>
          </cell>
          <cell r="D535" t="str">
            <v>NP</v>
          </cell>
          <cell r="E535" t="str">
            <v>GUSTAVO ADOLFO</v>
          </cell>
          <cell r="F535" t="str">
            <v>PEREZ AGUDELO</v>
          </cell>
          <cell r="G535" t="str">
            <v>PEREZ AGUDELO GUSTAVO ADOLFO</v>
          </cell>
          <cell r="H535" t="str">
            <v>RESI</v>
          </cell>
          <cell r="I535" t="str">
            <v>REGIMEN SIMPLIFICADO</v>
          </cell>
          <cell r="J535" t="str">
            <v xml:space="preserve"> CL 12 A  13 A 75  AP 210  BRR CAMPOHERMOSO</v>
          </cell>
          <cell r="K535" t="str">
            <v>17001</v>
          </cell>
          <cell r="L535" t="str">
            <v>MANIZALES</v>
          </cell>
          <cell r="M535" t="str">
            <v>8710239</v>
          </cell>
        </row>
        <row r="536">
          <cell r="A536">
            <v>9847663</v>
          </cell>
          <cell r="B536" t="str">
            <v/>
          </cell>
          <cell r="C536" t="str">
            <v/>
          </cell>
          <cell r="D536" t="str">
            <v>CC</v>
          </cell>
          <cell r="E536" t="str">
            <v>HUBER ESMER</v>
          </cell>
          <cell r="F536" t="str">
            <v>LONDOÑO LONDOÑO</v>
          </cell>
          <cell r="G536" t="str">
            <v>LONDOÑO LONDOÑO HUBER ESMER</v>
          </cell>
          <cell r="H536" t="str">
            <v>FUNC</v>
          </cell>
          <cell r="I536" t="str">
            <v>FUNCIONARIO</v>
          </cell>
          <cell r="J536" t="str">
            <v>CL 61 N 24 C 19</v>
          </cell>
          <cell r="K536" t="str">
            <v>17001</v>
          </cell>
          <cell r="L536" t="str">
            <v>MANIZALES</v>
          </cell>
          <cell r="M536" t="str">
            <v>3016038833</v>
          </cell>
        </row>
        <row r="537">
          <cell r="A537">
            <v>9850560</v>
          </cell>
          <cell r="B537" t="str">
            <v/>
          </cell>
          <cell r="C537" t="str">
            <v/>
          </cell>
          <cell r="D537" t="str">
            <v>CC</v>
          </cell>
          <cell r="E537" t="str">
            <v>FREDDY ALBERTO</v>
          </cell>
          <cell r="F537" t="str">
            <v>SANCHEZ OCAMPO</v>
          </cell>
          <cell r="G537" t="str">
            <v>SANCHEZ OCAMPO FREDDY ALBERTO</v>
          </cell>
          <cell r="H537" t="str">
            <v>FUNC</v>
          </cell>
          <cell r="I537" t="str">
            <v>FUNCIONARIO</v>
          </cell>
          <cell r="J537" t="str">
            <v>CR 22   44   68 AP 504</v>
          </cell>
          <cell r="K537" t="str">
            <v>17001</v>
          </cell>
          <cell r="L537" t="str">
            <v>MANIZALES</v>
          </cell>
          <cell r="M537" t="str">
            <v>3117944657</v>
          </cell>
        </row>
        <row r="538">
          <cell r="A538">
            <v>9855440</v>
          </cell>
          <cell r="B538" t="str">
            <v>1</v>
          </cell>
          <cell r="C538" t="str">
            <v/>
          </cell>
          <cell r="D538" t="str">
            <v>NP</v>
          </cell>
          <cell r="E538" t="str">
            <v>LUIS ALBERTO</v>
          </cell>
          <cell r="F538" t="str">
            <v>FRANCO MU¿OZ</v>
          </cell>
          <cell r="G538" t="str">
            <v>FRANCO MUÑOZ LUIS ALBERTO</v>
          </cell>
          <cell r="H538" t="str">
            <v>RESI</v>
          </cell>
          <cell r="I538" t="str">
            <v>REGIMEN SIMPLIFICADO</v>
          </cell>
          <cell r="J538" t="str">
            <v>CR 13 16 47 AP 301</v>
          </cell>
          <cell r="K538" t="str">
            <v>17001</v>
          </cell>
          <cell r="L538" t="str">
            <v>MANIZALES</v>
          </cell>
          <cell r="M538" t="str">
            <v>3103218847</v>
          </cell>
        </row>
        <row r="539">
          <cell r="A539">
            <v>9855624</v>
          </cell>
          <cell r="B539" t="str">
            <v/>
          </cell>
          <cell r="C539" t="str">
            <v/>
          </cell>
          <cell r="D539" t="str">
            <v>CC</v>
          </cell>
          <cell r="E539" t="str">
            <v>ARLEY</v>
          </cell>
          <cell r="F539" t="str">
            <v>MUÑOZ</v>
          </cell>
          <cell r="G539" t="str">
            <v>MUÑOZ ARLEY</v>
          </cell>
          <cell r="H539" t="str">
            <v>RESI</v>
          </cell>
          <cell r="I539" t="str">
            <v>REGIMEN SIMPLIFICADO</v>
          </cell>
          <cell r="J539" t="str">
            <v>MCP PENSILVANIA</v>
          </cell>
          <cell r="K539" t="str">
            <v>17541</v>
          </cell>
          <cell r="L539" t="str">
            <v>PENSILVANIA</v>
          </cell>
          <cell r="M539" t="str">
            <v>SIN TELÉFONO</v>
          </cell>
        </row>
        <row r="540">
          <cell r="A540">
            <v>9856930</v>
          </cell>
          <cell r="B540" t="str">
            <v/>
          </cell>
          <cell r="C540" t="str">
            <v/>
          </cell>
          <cell r="D540" t="str">
            <v>CC</v>
          </cell>
          <cell r="E540" t="str">
            <v>JAIME ALONSO</v>
          </cell>
          <cell r="F540" t="str">
            <v>HURTADO RAMIREZ</v>
          </cell>
          <cell r="G540" t="str">
            <v>HURTADO RAMIREZ JAIME ALONSO</v>
          </cell>
          <cell r="H540" t="str">
            <v>NORE</v>
          </cell>
          <cell r="I540" t="str">
            <v>NO RESPONSABLE DE IVA</v>
          </cell>
          <cell r="J540" t="str">
            <v>MCP PENSILVANIA</v>
          </cell>
          <cell r="K540" t="str">
            <v>17541</v>
          </cell>
          <cell r="L540" t="str">
            <v>PENSILVANIA</v>
          </cell>
          <cell r="M540" t="str">
            <v>NO REGISTRA</v>
          </cell>
        </row>
        <row r="541">
          <cell r="A541">
            <v>9857043</v>
          </cell>
          <cell r="B541" t="str">
            <v>8</v>
          </cell>
          <cell r="C541" t="str">
            <v/>
          </cell>
          <cell r="D541" t="str">
            <v>NP</v>
          </cell>
          <cell r="E541" t="str">
            <v>CARLOS ALBERTO</v>
          </cell>
          <cell r="F541" t="str">
            <v>ARANGO ALZATE</v>
          </cell>
          <cell r="G541" t="str">
            <v>ARANGO ALZATE CARLOS ALBERTO</v>
          </cell>
          <cell r="H541" t="str">
            <v>NORE</v>
          </cell>
          <cell r="I541" t="str">
            <v>NO RESPONSABLE DE IVA</v>
          </cell>
          <cell r="J541" t="str">
            <v xml:space="preserve"> CR 6 N° 7-62</v>
          </cell>
          <cell r="K541" t="str">
            <v>17541</v>
          </cell>
          <cell r="L541" t="str">
            <v>PENSILVANIA</v>
          </cell>
          <cell r="M541" t="str">
            <v>3103097439</v>
          </cell>
        </row>
        <row r="542">
          <cell r="A542">
            <v>9857753</v>
          </cell>
          <cell r="B542" t="str">
            <v>9</v>
          </cell>
          <cell r="C542" t="str">
            <v/>
          </cell>
          <cell r="D542" t="str">
            <v>NP</v>
          </cell>
          <cell r="E542" t="str">
            <v>CARLOMAN</v>
          </cell>
          <cell r="F542" t="str">
            <v>LONDOÑO LLANO</v>
          </cell>
          <cell r="G542" t="str">
            <v>LONDOÑO LLANO CARLOMAN</v>
          </cell>
          <cell r="H542" t="str">
            <v>RECO</v>
          </cell>
          <cell r="I542" t="str">
            <v>REGIMEN COMUN</v>
          </cell>
          <cell r="J542" t="str">
            <v>CR 20 26 55</v>
          </cell>
          <cell r="K542" t="str">
            <v>17001</v>
          </cell>
          <cell r="L542" t="str">
            <v>MANIZALES</v>
          </cell>
          <cell r="M542" t="str">
            <v>8723761</v>
          </cell>
        </row>
        <row r="543">
          <cell r="A543">
            <v>9859790</v>
          </cell>
          <cell r="B543" t="str">
            <v>0</v>
          </cell>
          <cell r="C543" t="str">
            <v/>
          </cell>
          <cell r="D543" t="str">
            <v>NP</v>
          </cell>
          <cell r="E543" t="str">
            <v>FABIO</v>
          </cell>
          <cell r="F543" t="str">
            <v>MARÍN HENAO</v>
          </cell>
          <cell r="G543" t="str">
            <v>MARÍN HENAO FABIO</v>
          </cell>
          <cell r="H543" t="str">
            <v>NORE</v>
          </cell>
          <cell r="I543" t="str">
            <v>NO RESPONSABLE DE IVA</v>
          </cell>
          <cell r="J543" t="str">
            <v>VDA PUEBLO NUEVO CORR ARBOLEDA</v>
          </cell>
          <cell r="K543" t="str">
            <v>17541</v>
          </cell>
          <cell r="L543" t="str">
            <v>PENSILVANIA</v>
          </cell>
          <cell r="M543" t="str">
            <v>3104991322</v>
          </cell>
        </row>
        <row r="544">
          <cell r="A544">
            <v>9859830</v>
          </cell>
          <cell r="B544" t="str">
            <v/>
          </cell>
          <cell r="C544" t="str">
            <v/>
          </cell>
          <cell r="D544" t="str">
            <v>CC</v>
          </cell>
          <cell r="E544" t="str">
            <v>DANIEL CAMILO</v>
          </cell>
          <cell r="F544" t="str">
            <v>GUTIERREZ LOPEZ</v>
          </cell>
          <cell r="G544" t="str">
            <v>GUTIERREZ LOPEZ DANIEL CAMILO</v>
          </cell>
          <cell r="H544" t="str">
            <v>FUNC</v>
          </cell>
          <cell r="I544" t="str">
            <v>FUNCIONARIO</v>
          </cell>
          <cell r="J544" t="str">
            <v>KRA 28B #66-40 APT 503</v>
          </cell>
          <cell r="K544" t="str">
            <v>17001</v>
          </cell>
          <cell r="L544" t="str">
            <v>MANIZALES</v>
          </cell>
          <cell r="M544" t="str">
            <v>3106346475</v>
          </cell>
        </row>
        <row r="545">
          <cell r="A545">
            <v>9859855</v>
          </cell>
          <cell r="B545" t="str">
            <v>0</v>
          </cell>
          <cell r="C545" t="str">
            <v/>
          </cell>
          <cell r="D545" t="str">
            <v>NP</v>
          </cell>
          <cell r="E545" t="str">
            <v>DIEGO ALONSO</v>
          </cell>
          <cell r="F545" t="str">
            <v>ARBOLEDA GALLEGO</v>
          </cell>
          <cell r="G545" t="str">
            <v>ARBOLEDA GALLEGO DIEGO ALONSO</v>
          </cell>
          <cell r="H545" t="str">
            <v>NORE</v>
          </cell>
          <cell r="I545" t="str">
            <v>NO RESPONSABLE DE IVA</v>
          </cell>
          <cell r="J545" t="str">
            <v xml:space="preserve"> CL 39 SUR 5 A 25</v>
          </cell>
          <cell r="K545" t="str">
            <v>11001</v>
          </cell>
          <cell r="L545" t="str">
            <v>BOGOTA DC</v>
          </cell>
          <cell r="M545" t="str">
            <v>3224074440</v>
          </cell>
        </row>
        <row r="546">
          <cell r="A546">
            <v>9859872</v>
          </cell>
          <cell r="B546" t="str">
            <v/>
          </cell>
          <cell r="C546" t="str">
            <v/>
          </cell>
          <cell r="D546" t="str">
            <v>CC</v>
          </cell>
          <cell r="E546" t="str">
            <v>JESUS IVAN</v>
          </cell>
          <cell r="F546" t="str">
            <v>OSPINA ATEHORTUA</v>
          </cell>
          <cell r="G546" t="str">
            <v>OSPINA ATEHORTUA JESUS IVAN</v>
          </cell>
          <cell r="H546" t="str">
            <v>FUNC</v>
          </cell>
          <cell r="I546" t="str">
            <v>FUNCIONARIO</v>
          </cell>
          <cell r="J546" t="str">
            <v>CR 22 N 67 A 199</v>
          </cell>
          <cell r="K546" t="str">
            <v>17001</v>
          </cell>
          <cell r="L546" t="str">
            <v>MANIZALES</v>
          </cell>
          <cell r="M546" t="str">
            <v>3103759216</v>
          </cell>
        </row>
        <row r="547">
          <cell r="A547">
            <v>9859987</v>
          </cell>
          <cell r="B547" t="str">
            <v>4</v>
          </cell>
          <cell r="C547" t="str">
            <v/>
          </cell>
          <cell r="D547" t="str">
            <v>NP</v>
          </cell>
          <cell r="E547" t="str">
            <v>YURMAN ALEXANDER</v>
          </cell>
          <cell r="F547" t="str">
            <v>ZULUAGA TORO</v>
          </cell>
          <cell r="G547" t="str">
            <v>ZULUAGA TORO YURMAN ALEXANDER</v>
          </cell>
          <cell r="H547" t="str">
            <v>NORE</v>
          </cell>
          <cell r="I547" t="str">
            <v>NO RESPONSABLE DE IVA</v>
          </cell>
          <cell r="J547" t="str">
            <v>SEC PLAZUELA</v>
          </cell>
          <cell r="K547" t="str">
            <v>17541</v>
          </cell>
          <cell r="L547" t="str">
            <v>PENSILVANIA</v>
          </cell>
          <cell r="M547" t="str">
            <v>3104746161</v>
          </cell>
        </row>
        <row r="548">
          <cell r="A548">
            <v>9866437</v>
          </cell>
          <cell r="B548" t="str">
            <v/>
          </cell>
          <cell r="C548" t="str">
            <v/>
          </cell>
          <cell r="D548" t="str">
            <v>CC</v>
          </cell>
          <cell r="E548" t="str">
            <v>MILTON CESAR</v>
          </cell>
          <cell r="F548" t="str">
            <v>SANCHEZ NIETO</v>
          </cell>
          <cell r="G548" t="str">
            <v>SANCHEZ NIETO MILTON CESAR</v>
          </cell>
          <cell r="H548" t="str">
            <v>RESI</v>
          </cell>
          <cell r="I548" t="str">
            <v>REGIMEN SIMPLIFICADO</v>
          </cell>
          <cell r="J548" t="str">
            <v>XXX</v>
          </cell>
          <cell r="K548" t="str">
            <v>66456</v>
          </cell>
          <cell r="L548" t="str">
            <v>MISTRATÓ</v>
          </cell>
          <cell r="M548" t="str">
            <v>XXX</v>
          </cell>
        </row>
        <row r="549">
          <cell r="A549">
            <v>9873111</v>
          </cell>
          <cell r="B549" t="str">
            <v/>
          </cell>
          <cell r="C549" t="str">
            <v/>
          </cell>
          <cell r="D549" t="str">
            <v>CC</v>
          </cell>
          <cell r="E549" t="str">
            <v>JAIME EDUARDO</v>
          </cell>
          <cell r="F549" t="str">
            <v>PERDOMO PERDOMO</v>
          </cell>
          <cell r="G549" t="str">
            <v>PERDOMO PERDOMO JAIME EDUARDO</v>
          </cell>
          <cell r="H549" t="str">
            <v>NORE</v>
          </cell>
          <cell r="I549" t="str">
            <v>NO RESPONSABLE DE IVA</v>
          </cell>
          <cell r="J549" t="str">
            <v>CL 5  14 35 LC 103</v>
          </cell>
          <cell r="K549" t="str">
            <v>16</v>
          </cell>
          <cell r="L549" t="str">
            <v>RISARALDA</v>
          </cell>
          <cell r="M549" t="str">
            <v>3207492368</v>
          </cell>
        </row>
        <row r="550">
          <cell r="A550">
            <v>9873994</v>
          </cell>
          <cell r="B550" t="str">
            <v/>
          </cell>
          <cell r="C550" t="str">
            <v/>
          </cell>
          <cell r="D550" t="str">
            <v>CC</v>
          </cell>
          <cell r="E550" t="str">
            <v xml:space="preserve">JULIAN DAVID </v>
          </cell>
          <cell r="F550" t="str">
            <v>MARTINEZ GARCIA</v>
          </cell>
          <cell r="G550" t="str">
            <v xml:space="preserve">MARTINEZ GARCIA JULIAN DAVID </v>
          </cell>
          <cell r="H550" t="str">
            <v>FUNC</v>
          </cell>
          <cell r="I550" t="str">
            <v>FUNCIONARIO</v>
          </cell>
          <cell r="J550" t="str">
            <v>CL 73    17   23  BL 2B AP 101</v>
          </cell>
          <cell r="K550" t="str">
            <v>15516</v>
          </cell>
          <cell r="L550" t="str">
            <v>PAIPA</v>
          </cell>
          <cell r="M550" t="str">
            <v>8751492</v>
          </cell>
        </row>
        <row r="551">
          <cell r="A551">
            <v>9910143</v>
          </cell>
          <cell r="B551" t="str">
            <v>2</v>
          </cell>
          <cell r="C551" t="str">
            <v/>
          </cell>
          <cell r="D551" t="str">
            <v>NP</v>
          </cell>
          <cell r="E551" t="str">
            <v>CARLOS HERNANDO</v>
          </cell>
          <cell r="F551" t="str">
            <v>CRUZ CHAURRA</v>
          </cell>
          <cell r="G551" t="str">
            <v>CRUZ CHAURRA CARLOS HERNANDO</v>
          </cell>
          <cell r="H551" t="str">
            <v>RESI</v>
          </cell>
          <cell r="I551" t="str">
            <v>REGIMEN SIMPLIFICADO</v>
          </cell>
          <cell r="J551" t="str">
            <v>CR 28C 68 64</v>
          </cell>
          <cell r="K551" t="str">
            <v>17001</v>
          </cell>
          <cell r="L551" t="str">
            <v>MANIZALES</v>
          </cell>
          <cell r="M551" t="str">
            <v>3113411632</v>
          </cell>
        </row>
        <row r="552">
          <cell r="A552">
            <v>9930210</v>
          </cell>
          <cell r="B552" t="str">
            <v>3</v>
          </cell>
          <cell r="C552" t="str">
            <v/>
          </cell>
          <cell r="D552" t="str">
            <v>NP</v>
          </cell>
          <cell r="E552" t="str">
            <v>OSCAR MAURICIO</v>
          </cell>
          <cell r="F552" t="str">
            <v>BALLESTEROS OSSA</v>
          </cell>
          <cell r="G552" t="str">
            <v>BALLESTEROS OSSA OSCAR MAURICIO</v>
          </cell>
          <cell r="H552" t="str">
            <v>RESI</v>
          </cell>
          <cell r="I552" t="str">
            <v>REGIMEN SIMPLIFICADO</v>
          </cell>
          <cell r="J552" t="str">
            <v>KM 4 VRD BOQUIA</v>
          </cell>
          <cell r="K552" t="str">
            <v>63690</v>
          </cell>
          <cell r="L552" t="str">
            <v>SALENTO</v>
          </cell>
          <cell r="M552" t="str">
            <v>3146642198</v>
          </cell>
        </row>
        <row r="553">
          <cell r="A553">
            <v>9971547</v>
          </cell>
          <cell r="B553" t="str">
            <v/>
          </cell>
          <cell r="C553" t="str">
            <v/>
          </cell>
          <cell r="D553" t="str">
            <v>CC</v>
          </cell>
          <cell r="E553" t="str">
            <v>SERGIO ROBERT</v>
          </cell>
          <cell r="F553" t="str">
            <v>DE LOS RIOS JIMENEZ</v>
          </cell>
          <cell r="G553" t="str">
            <v>DE LOS RIOS JIMENEZ SERGIO ROBERT</v>
          </cell>
          <cell r="H553" t="str">
            <v>FUNC</v>
          </cell>
          <cell r="I553" t="str">
            <v>FUNCIONARIO</v>
          </cell>
          <cell r="J553" t="str">
            <v>CL 11 B   10   38 BRR POPULAR</v>
          </cell>
          <cell r="K553" t="str">
            <v>17001</v>
          </cell>
          <cell r="L553" t="str">
            <v>MANIZALES</v>
          </cell>
          <cell r="M553" t="str">
            <v>3207332850</v>
          </cell>
        </row>
        <row r="554">
          <cell r="A554">
            <v>9975545</v>
          </cell>
          <cell r="B554" t="str">
            <v>9</v>
          </cell>
          <cell r="C554" t="str">
            <v/>
          </cell>
          <cell r="D554" t="str">
            <v>NP</v>
          </cell>
          <cell r="E554" t="str">
            <v>VICTOR RENAN</v>
          </cell>
          <cell r="F554" t="str">
            <v>LOPEZ CARDONA</v>
          </cell>
          <cell r="G554" t="str">
            <v>LOPEZ CARDONA VICTOR RENAN</v>
          </cell>
          <cell r="H554" t="str">
            <v>RESI</v>
          </cell>
          <cell r="I554" t="str">
            <v>REGIMEN SIMPLIFICADO</v>
          </cell>
          <cell r="J554" t="str">
            <v>CR 23 65 11 LC 413</v>
          </cell>
          <cell r="K554" t="str">
            <v>17001</v>
          </cell>
          <cell r="L554" t="str">
            <v>MANIZALES</v>
          </cell>
          <cell r="M554" t="str">
            <v>8756152</v>
          </cell>
        </row>
        <row r="555">
          <cell r="A555">
            <v>9975563</v>
          </cell>
          <cell r="B555" t="str">
            <v/>
          </cell>
          <cell r="C555" t="str">
            <v/>
          </cell>
          <cell r="D555" t="str">
            <v>CC</v>
          </cell>
          <cell r="E555" t="str">
            <v>GUSTAVO ADOLFO</v>
          </cell>
          <cell r="F555" t="str">
            <v>GONZALEZ ESCOBAR</v>
          </cell>
          <cell r="G555" t="str">
            <v>GONZALEZ ESCOBAR GUSTAVO ADOLFO</v>
          </cell>
          <cell r="H555" t="str">
            <v>FUNC</v>
          </cell>
          <cell r="I555" t="str">
            <v>FUNCIONARIO</v>
          </cell>
          <cell r="J555" t="str">
            <v>CL 4 A 34 4 05</v>
          </cell>
          <cell r="K555" t="str">
            <v>17001</v>
          </cell>
          <cell r="L555" t="str">
            <v>MANIZALES</v>
          </cell>
          <cell r="M555" t="str">
            <v>3176422072</v>
          </cell>
        </row>
        <row r="556">
          <cell r="A556">
            <v>9976675</v>
          </cell>
          <cell r="B556" t="str">
            <v>2</v>
          </cell>
          <cell r="C556" t="str">
            <v/>
          </cell>
          <cell r="D556" t="str">
            <v>NP</v>
          </cell>
          <cell r="E556" t="str">
            <v>HERNAN DARIO</v>
          </cell>
          <cell r="F556" t="str">
            <v>AVILA AGUDELO</v>
          </cell>
          <cell r="G556" t="str">
            <v>AVILA AGUDELO HERNAN DARIO</v>
          </cell>
          <cell r="H556" t="str">
            <v>RESI</v>
          </cell>
          <cell r="I556" t="str">
            <v>REGIMEN SIMPLIFICADO</v>
          </cell>
          <cell r="J556" t="str">
            <v>CR 17   2   39</v>
          </cell>
          <cell r="K556" t="str">
            <v>17873</v>
          </cell>
          <cell r="L556" t="str">
            <v>VILLAMARÍA</v>
          </cell>
          <cell r="M556" t="str">
            <v>8756262</v>
          </cell>
        </row>
        <row r="557">
          <cell r="A557">
            <v>9976727</v>
          </cell>
          <cell r="B557" t="str">
            <v>7</v>
          </cell>
          <cell r="C557" t="str">
            <v/>
          </cell>
          <cell r="D557" t="str">
            <v>NP</v>
          </cell>
          <cell r="E557" t="str">
            <v>JORGE ANDRES</v>
          </cell>
          <cell r="F557" t="str">
            <v>ARANDA CORREA</v>
          </cell>
          <cell r="G557" t="str">
            <v>ARANDA CORREA JORGE ANDRES</v>
          </cell>
          <cell r="H557" t="str">
            <v>RESI</v>
          </cell>
          <cell r="I557" t="str">
            <v>REGIMEN SIMPLIFICADO</v>
          </cell>
          <cell r="J557" t="str">
            <v xml:space="preserve"> AV ALBERTO MENDOZA HOYOS  87 02</v>
          </cell>
          <cell r="K557" t="str">
            <v>17001</v>
          </cell>
          <cell r="L557" t="str">
            <v>MANIZALES</v>
          </cell>
          <cell r="M557" t="str">
            <v>3216060429</v>
          </cell>
        </row>
        <row r="558">
          <cell r="A558">
            <v>9976925</v>
          </cell>
          <cell r="B558" t="str">
            <v/>
          </cell>
          <cell r="C558" t="str">
            <v/>
          </cell>
          <cell r="D558" t="str">
            <v>CC</v>
          </cell>
          <cell r="E558" t="str">
            <v>ANDRES FELIPE</v>
          </cell>
          <cell r="F558" t="str">
            <v>ALZATE MOLINA</v>
          </cell>
          <cell r="G558" t="str">
            <v>ALZATE MOLINA ANDRES FELIPE</v>
          </cell>
          <cell r="H558" t="str">
            <v>FUNC</v>
          </cell>
          <cell r="I558" t="str">
            <v>FUNCIONARIO</v>
          </cell>
          <cell r="J558" t="str">
            <v>CL 12   04   79</v>
          </cell>
          <cell r="K558" t="str">
            <v>17001</v>
          </cell>
          <cell r="L558" t="str">
            <v>MANIZALES</v>
          </cell>
          <cell r="M558" t="str">
            <v>8734159</v>
          </cell>
        </row>
        <row r="559">
          <cell r="A559">
            <v>9976940</v>
          </cell>
          <cell r="B559" t="str">
            <v/>
          </cell>
          <cell r="C559" t="str">
            <v/>
          </cell>
          <cell r="D559" t="str">
            <v>CC</v>
          </cell>
          <cell r="E559" t="str">
            <v>JUAN ALEJANDRO</v>
          </cell>
          <cell r="F559" t="str">
            <v>IDARRAGA LONDOÑO</v>
          </cell>
          <cell r="G559" t="str">
            <v>IDARRAGA LONDOÑO JUAN ALEJANDRO</v>
          </cell>
          <cell r="H559" t="str">
            <v>FUNC</v>
          </cell>
          <cell r="I559" t="str">
            <v>FUNCIONARIO</v>
          </cell>
          <cell r="J559" t="str">
            <v>CL 6 B   10   42 BRR EL PORTAL CA 10</v>
          </cell>
          <cell r="K559" t="str">
            <v>17001</v>
          </cell>
          <cell r="L559" t="str">
            <v>MANIZALES</v>
          </cell>
          <cell r="M559" t="str">
            <v>3104722642</v>
          </cell>
        </row>
        <row r="560">
          <cell r="A560">
            <v>9977064</v>
          </cell>
          <cell r="B560" t="str">
            <v>7</v>
          </cell>
          <cell r="C560" t="str">
            <v/>
          </cell>
          <cell r="D560" t="str">
            <v>NP</v>
          </cell>
          <cell r="E560" t="str">
            <v>JORMAN FELIPE</v>
          </cell>
          <cell r="F560" t="str">
            <v>TORRES OSPINA</v>
          </cell>
          <cell r="G560" t="str">
            <v>TORRES OSPINA JORMAN FELIPE</v>
          </cell>
          <cell r="H560" t="str">
            <v>RESI</v>
          </cell>
          <cell r="I560" t="str">
            <v>REGIMEN SIMPLIFICADO</v>
          </cell>
          <cell r="J560" t="str">
            <v>CR 23 70 A 97 AP 502</v>
          </cell>
          <cell r="K560" t="str">
            <v>17001</v>
          </cell>
          <cell r="L560" t="str">
            <v>MANIZALES</v>
          </cell>
          <cell r="M560" t="str">
            <v>3148213597</v>
          </cell>
        </row>
        <row r="561">
          <cell r="A561">
            <v>10007736</v>
          </cell>
          <cell r="B561" t="str">
            <v/>
          </cell>
          <cell r="C561" t="str">
            <v/>
          </cell>
          <cell r="D561" t="str">
            <v>CC</v>
          </cell>
          <cell r="E561" t="str">
            <v>WILMAR HERNANDO</v>
          </cell>
          <cell r="F561" t="str">
            <v>RAMIREZ LOPEZ</v>
          </cell>
          <cell r="G561" t="str">
            <v>RAMIREZ LOPEZ WILMAR HERNANDO</v>
          </cell>
          <cell r="H561" t="str">
            <v>RESI</v>
          </cell>
          <cell r="I561" t="str">
            <v>REGIMEN SIMPLIFICADO</v>
          </cell>
          <cell r="J561" t="str">
            <v>CR 16 B 25 22 BRR CENTENARIO</v>
          </cell>
          <cell r="K561" t="str">
            <v>66001</v>
          </cell>
          <cell r="L561" t="str">
            <v>PEREIRA</v>
          </cell>
          <cell r="M561" t="str">
            <v>3122180180</v>
          </cell>
        </row>
        <row r="562">
          <cell r="A562">
            <v>10012722</v>
          </cell>
          <cell r="B562" t="str">
            <v>8</v>
          </cell>
          <cell r="C562" t="str">
            <v/>
          </cell>
          <cell r="D562" t="str">
            <v>NP</v>
          </cell>
          <cell r="E562" t="str">
            <v>CARLOS ANDRES</v>
          </cell>
          <cell r="F562" t="str">
            <v>PINILLA MONTOYA</v>
          </cell>
          <cell r="G562" t="str">
            <v>PINILLA MONTOYA CARLOS ANDRES</v>
          </cell>
          <cell r="H562" t="str">
            <v>RECO</v>
          </cell>
          <cell r="I562" t="str">
            <v>REGIMEN COMUN</v>
          </cell>
          <cell r="J562" t="str">
            <v>CR 15 13 35 LC 1</v>
          </cell>
          <cell r="K562" t="str">
            <v>66001</v>
          </cell>
          <cell r="L562" t="str">
            <v>PEREIRA</v>
          </cell>
          <cell r="M562" t="str">
            <v>3359494</v>
          </cell>
        </row>
        <row r="563">
          <cell r="A563">
            <v>10014269</v>
          </cell>
          <cell r="B563" t="str">
            <v>1</v>
          </cell>
          <cell r="C563" t="str">
            <v/>
          </cell>
          <cell r="D563" t="str">
            <v>NP</v>
          </cell>
          <cell r="E563" t="str">
            <v>DANIEL</v>
          </cell>
          <cell r="F563" t="str">
            <v>AGUDELO QUINTANA</v>
          </cell>
          <cell r="G563" t="str">
            <v>AGUDELO QUINTANA DANIEL</v>
          </cell>
          <cell r="H563" t="str">
            <v>RESI</v>
          </cell>
          <cell r="I563" t="str">
            <v>REGIMEN SIMPLIFICADO</v>
          </cell>
          <cell r="J563" t="str">
            <v>CL  76 19 45</v>
          </cell>
          <cell r="K563" t="str">
            <v>17001</v>
          </cell>
          <cell r="L563" t="str">
            <v>MANIZALES</v>
          </cell>
          <cell r="M563" t="str">
            <v>3017841081</v>
          </cell>
        </row>
        <row r="564">
          <cell r="A564">
            <v>10020873</v>
          </cell>
          <cell r="B564" t="str">
            <v/>
          </cell>
          <cell r="C564" t="str">
            <v/>
          </cell>
          <cell r="D564" t="str">
            <v>CC</v>
          </cell>
          <cell r="E564" t="str">
            <v>CARLOS ANDRES</v>
          </cell>
          <cell r="F564" t="str">
            <v>AGUIRRE GI</v>
          </cell>
          <cell r="G564" t="str">
            <v>CARLOS ANDRES AGUIRRE GI</v>
          </cell>
          <cell r="H564" t="str">
            <v>FUNC</v>
          </cell>
          <cell r="I564" t="str">
            <v>FUNCIONARIO</v>
          </cell>
          <cell r="J564" t="str">
            <v>AV SUR CL 86 JARDINES NOGAL PERE</v>
          </cell>
          <cell r="K564" t="str">
            <v>66001</v>
          </cell>
          <cell r="L564" t="str">
            <v>PEREIRA</v>
          </cell>
          <cell r="M564" t="str">
            <v>3148901336</v>
          </cell>
        </row>
        <row r="565">
          <cell r="A565">
            <v>10025331</v>
          </cell>
          <cell r="B565" t="str">
            <v>8</v>
          </cell>
          <cell r="C565" t="str">
            <v/>
          </cell>
          <cell r="D565" t="str">
            <v>NP</v>
          </cell>
          <cell r="E565" t="str">
            <v>JOSE ALVARO</v>
          </cell>
          <cell r="F565" t="str">
            <v>HINCAPIE CASTRILLON</v>
          </cell>
          <cell r="G565" t="str">
            <v>HINCAPIE CASTRILLON JOSE ALVARO</v>
          </cell>
          <cell r="H565" t="str">
            <v>RESI</v>
          </cell>
          <cell r="I565" t="str">
            <v>REGIMEN SIMPLIFICADO</v>
          </cell>
          <cell r="J565" t="str">
            <v>CL 5 22  93 AP 201</v>
          </cell>
          <cell r="K565" t="str">
            <v>17001</v>
          </cell>
          <cell r="L565" t="str">
            <v>MANIZALES</v>
          </cell>
          <cell r="M565" t="str">
            <v>3122281139</v>
          </cell>
        </row>
        <row r="566">
          <cell r="A566">
            <v>10026913</v>
          </cell>
          <cell r="B566" t="str">
            <v/>
          </cell>
          <cell r="C566" t="str">
            <v/>
          </cell>
          <cell r="D566" t="str">
            <v>CC</v>
          </cell>
          <cell r="E566" t="str">
            <v>JULIAN</v>
          </cell>
          <cell r="F566" t="str">
            <v>ZAPATA CORREA</v>
          </cell>
          <cell r="G566" t="str">
            <v>ZAPATA CORREA JULIAN</v>
          </cell>
          <cell r="H566" t="str">
            <v>RESI</v>
          </cell>
          <cell r="I566" t="str">
            <v>REGIMEN SIMPLIFICADO</v>
          </cell>
          <cell r="J566" t="str">
            <v>MCP PUERTO RICO</v>
          </cell>
          <cell r="K566" t="str">
            <v>18592</v>
          </cell>
          <cell r="L566" t="str">
            <v>PUERTO RICO</v>
          </cell>
          <cell r="M566" t="str">
            <v>NO PRESENTA</v>
          </cell>
        </row>
        <row r="567">
          <cell r="A567">
            <v>10028800</v>
          </cell>
          <cell r="B567" t="str">
            <v>4</v>
          </cell>
          <cell r="C567" t="str">
            <v/>
          </cell>
          <cell r="D567" t="str">
            <v>NP</v>
          </cell>
          <cell r="E567" t="str">
            <v>JUAN GABRIEL</v>
          </cell>
          <cell r="F567" t="str">
            <v>MARISCAL JIMENEZ</v>
          </cell>
          <cell r="G567" t="str">
            <v>JUAN GABRIEL MARISCAL JIMENEZ</v>
          </cell>
          <cell r="H567" t="str">
            <v>RCPN</v>
          </cell>
          <cell r="I567" t="str">
            <v>RESPONSABLE IVA PERSONA NATURAL</v>
          </cell>
          <cell r="J567" t="str">
            <v>TV 72 16 54 AP A 2 TO 7</v>
          </cell>
          <cell r="K567" t="str">
            <v>17001</v>
          </cell>
          <cell r="L567" t="str">
            <v>MANIZALES</v>
          </cell>
          <cell r="M567" t="str">
            <v>8904394</v>
          </cell>
        </row>
        <row r="568">
          <cell r="A568">
            <v>10032677</v>
          </cell>
          <cell r="B568" t="str">
            <v/>
          </cell>
          <cell r="C568" t="str">
            <v/>
          </cell>
          <cell r="D568" t="str">
            <v>CC</v>
          </cell>
          <cell r="E568" t="str">
            <v>GENTIL AUGUSTO</v>
          </cell>
          <cell r="F568" t="str">
            <v>VILLEGAS FLOREZ</v>
          </cell>
          <cell r="G568" t="str">
            <v>VILLEGAS FLOREZ GENTIL AUGUSTO</v>
          </cell>
          <cell r="H568" t="str">
            <v>FUNC</v>
          </cell>
          <cell r="I568" t="str">
            <v>FUNCIONARIO</v>
          </cell>
          <cell r="J568" t="str">
            <v>CL 30 BIS   5   30</v>
          </cell>
          <cell r="K568" t="str">
            <v>66001</v>
          </cell>
          <cell r="L568" t="str">
            <v>PEREIRA</v>
          </cell>
          <cell r="M568" t="str">
            <v>3219212678</v>
          </cell>
        </row>
        <row r="569">
          <cell r="A569">
            <v>10071588</v>
          </cell>
          <cell r="B569" t="str">
            <v>9</v>
          </cell>
          <cell r="C569" t="str">
            <v/>
          </cell>
          <cell r="D569" t="str">
            <v>NP</v>
          </cell>
          <cell r="E569" t="str">
            <v xml:space="preserve">CARLOS EUGENIO </v>
          </cell>
          <cell r="F569" t="str">
            <v>MARTINEZ JACQUIN</v>
          </cell>
          <cell r="G569" t="str">
            <v>MARTINEZ JACQUIN CARLOS EUGENIO</v>
          </cell>
          <cell r="H569" t="str">
            <v>RESI</v>
          </cell>
          <cell r="I569" t="str">
            <v>REGIMEN SIMPLIFICADO</v>
          </cell>
          <cell r="J569" t="str">
            <v>CR 18 148 64 IN 2</v>
          </cell>
          <cell r="K569" t="str">
            <v>03</v>
          </cell>
          <cell r="L569" t="str">
            <v>BOGOTA</v>
          </cell>
          <cell r="M569" t="str">
            <v>3206776272</v>
          </cell>
        </row>
        <row r="570">
          <cell r="A570">
            <v>10082699</v>
          </cell>
          <cell r="B570" t="str">
            <v>5</v>
          </cell>
          <cell r="C570" t="str">
            <v/>
          </cell>
          <cell r="D570" t="str">
            <v>NP</v>
          </cell>
          <cell r="E570" t="str">
            <v>ORLANDO DE JESUS</v>
          </cell>
          <cell r="F570" t="str">
            <v>CARVAJAL</v>
          </cell>
          <cell r="G570" t="str">
            <v>CARVAJAL ORLANDO DE JESUS</v>
          </cell>
          <cell r="H570" t="str">
            <v>RESI</v>
          </cell>
          <cell r="I570" t="str">
            <v>REGIMEN SIMPLIFICADO</v>
          </cell>
          <cell r="J570" t="str">
            <v>CR 12   19   22 PQ CEN</v>
          </cell>
          <cell r="K570" t="str">
            <v>66001</v>
          </cell>
          <cell r="L570" t="str">
            <v>PEREIRA</v>
          </cell>
          <cell r="M570" t="str">
            <v>3343919</v>
          </cell>
        </row>
        <row r="571">
          <cell r="A571">
            <v>10089820</v>
          </cell>
          <cell r="B571" t="str">
            <v>2</v>
          </cell>
          <cell r="C571" t="str">
            <v/>
          </cell>
          <cell r="D571" t="str">
            <v>NP</v>
          </cell>
          <cell r="E571" t="str">
            <v>GONZALO</v>
          </cell>
          <cell r="F571" t="str">
            <v>RESTREPO FRANCO</v>
          </cell>
          <cell r="G571" t="str">
            <v>RESTREPO FRANCO GONZALO</v>
          </cell>
          <cell r="H571" t="str">
            <v>RECO</v>
          </cell>
          <cell r="I571" t="str">
            <v>REGIMEN COMUN</v>
          </cell>
          <cell r="J571" t="str">
            <v xml:space="preserve"> CR 7  29 38 AP 401</v>
          </cell>
          <cell r="K571" t="str">
            <v>66001</v>
          </cell>
          <cell r="L571" t="str">
            <v>PEREIRA</v>
          </cell>
          <cell r="M571" t="str">
            <v>8401203</v>
          </cell>
        </row>
        <row r="572">
          <cell r="A572">
            <v>10090265</v>
          </cell>
          <cell r="B572" t="str">
            <v>6</v>
          </cell>
          <cell r="C572" t="str">
            <v/>
          </cell>
          <cell r="D572" t="str">
            <v>NP</v>
          </cell>
          <cell r="E572" t="str">
            <v>ALVARO</v>
          </cell>
          <cell r="F572" t="str">
            <v>ALZATE LOPEZ</v>
          </cell>
          <cell r="G572" t="str">
            <v>ALZATE LOPEZ ALVARO</v>
          </cell>
          <cell r="H572" t="str">
            <v>RCPN</v>
          </cell>
          <cell r="I572" t="str">
            <v>RESPONSABLE IVA PERSONA NATURAL</v>
          </cell>
          <cell r="J572" t="str">
            <v>CL 92 25 81 TO 5 AP 804 CON TORRES DE VALGARDA</v>
          </cell>
          <cell r="K572" t="str">
            <v>17001</v>
          </cell>
          <cell r="L572" t="str">
            <v>MANIZALES</v>
          </cell>
          <cell r="M572" t="str">
            <v>3113007317</v>
          </cell>
        </row>
        <row r="573">
          <cell r="A573">
            <v>10094328</v>
          </cell>
          <cell r="B573" t="str">
            <v>1</v>
          </cell>
          <cell r="C573" t="str">
            <v/>
          </cell>
          <cell r="D573" t="str">
            <v>NP</v>
          </cell>
          <cell r="E573" t="str">
            <v>CARLOS ALBERTO</v>
          </cell>
          <cell r="F573" t="str">
            <v>CASTAÑO CARDONA</v>
          </cell>
          <cell r="G573" t="str">
            <v>CASTAÑO CARDONA CARLOS ALBERTO</v>
          </cell>
          <cell r="H573" t="str">
            <v>NORE</v>
          </cell>
          <cell r="I573" t="str">
            <v>NO RESPONSABLE DE IVA</v>
          </cell>
          <cell r="J573" t="str">
            <v>MZ L CA 17 URB EL CARDAL</v>
          </cell>
          <cell r="K573" t="str">
            <v>66001</v>
          </cell>
          <cell r="L573" t="str">
            <v>PEREIRA</v>
          </cell>
          <cell r="M573" t="str">
            <v>3234973</v>
          </cell>
        </row>
        <row r="574">
          <cell r="A574">
            <v>10105741</v>
          </cell>
          <cell r="B574" t="str">
            <v/>
          </cell>
          <cell r="C574" t="str">
            <v/>
          </cell>
          <cell r="D574" t="str">
            <v>CC</v>
          </cell>
          <cell r="E574" t="str">
            <v>JORGE ORLANDO</v>
          </cell>
          <cell r="F574" t="str">
            <v>DUQUE HENAO</v>
          </cell>
          <cell r="G574" t="str">
            <v>DUQUE HENAO JORGE ORLANDO</v>
          </cell>
          <cell r="H574" t="str">
            <v>FUNC</v>
          </cell>
          <cell r="I574" t="str">
            <v>FUNCIONARIO</v>
          </cell>
          <cell r="J574" t="str">
            <v>CR 12 23 41</v>
          </cell>
          <cell r="K574" t="str">
            <v>17001</v>
          </cell>
          <cell r="L574" t="str">
            <v>MANIZALES</v>
          </cell>
          <cell r="M574" t="str">
            <v>3108528552</v>
          </cell>
        </row>
        <row r="575">
          <cell r="A575">
            <v>10109191</v>
          </cell>
          <cell r="B575" t="str">
            <v/>
          </cell>
          <cell r="C575" t="str">
            <v/>
          </cell>
          <cell r="D575" t="str">
            <v>CC</v>
          </cell>
          <cell r="E575" t="str">
            <v>OMAR</v>
          </cell>
          <cell r="F575" t="str">
            <v>VALENCIA RESTREPO</v>
          </cell>
          <cell r="G575" t="str">
            <v>OMAR VALENCIA RESTREPO</v>
          </cell>
          <cell r="H575" t="str">
            <v>FUNC</v>
          </cell>
          <cell r="I575" t="str">
            <v>FUNCIONARIO</v>
          </cell>
          <cell r="J575" t="str">
            <v>CL 31   14   19 AP 403</v>
          </cell>
          <cell r="K575" t="str">
            <v>11001</v>
          </cell>
          <cell r="L575" t="str">
            <v>BOGOTA DC</v>
          </cell>
          <cell r="M575" t="str">
            <v>2322690</v>
          </cell>
        </row>
        <row r="576">
          <cell r="A576">
            <v>10109569</v>
          </cell>
          <cell r="B576" t="str">
            <v/>
          </cell>
          <cell r="C576" t="str">
            <v/>
          </cell>
          <cell r="D576" t="str">
            <v>CC</v>
          </cell>
          <cell r="E576" t="str">
            <v>NELSON</v>
          </cell>
          <cell r="F576" t="str">
            <v>RUSSI HOLGUIN</v>
          </cell>
          <cell r="G576" t="str">
            <v>RUSSI HOLGUIN NELSON</v>
          </cell>
          <cell r="H576" t="str">
            <v>RCPN</v>
          </cell>
          <cell r="I576" t="str">
            <v>RESPONSABLE IVA PERSONA NATURAL</v>
          </cell>
          <cell r="J576" t="str">
            <v>AVENIDA 30 DE AGOSTO  NO 28-02</v>
          </cell>
          <cell r="K576" t="str">
            <v>66001</v>
          </cell>
          <cell r="L576" t="str">
            <v>PEREIRA</v>
          </cell>
          <cell r="M576" t="str">
            <v>3295661</v>
          </cell>
        </row>
        <row r="577">
          <cell r="A577">
            <v>10114280</v>
          </cell>
          <cell r="B577" t="str">
            <v/>
          </cell>
          <cell r="C577" t="str">
            <v/>
          </cell>
          <cell r="D577" t="str">
            <v>CC</v>
          </cell>
          <cell r="E577" t="str">
            <v>ALBEIRO DE JESUS</v>
          </cell>
          <cell r="F577" t="str">
            <v>RIOS CAÑAS</v>
          </cell>
          <cell r="G577" t="str">
            <v>ALBEIRO DE JESUS RIOS CAÑAS</v>
          </cell>
          <cell r="H577" t="str">
            <v>FUNC</v>
          </cell>
          <cell r="I577" t="str">
            <v>FUNCIONARIO</v>
          </cell>
          <cell r="J577" t="str">
            <v>CL 63    23   53 TORRE BARLOVENTO AP 502</v>
          </cell>
          <cell r="K577" t="str">
            <v>17001</v>
          </cell>
          <cell r="L577" t="str">
            <v>MANIZALES</v>
          </cell>
          <cell r="M577" t="str">
            <v>3146618388</v>
          </cell>
        </row>
        <row r="578">
          <cell r="A578">
            <v>10131889</v>
          </cell>
          <cell r="B578" t="str">
            <v>9</v>
          </cell>
          <cell r="C578" t="str">
            <v/>
          </cell>
          <cell r="D578" t="str">
            <v>NP</v>
          </cell>
          <cell r="E578" t="str">
            <v>CARLOS MARIO</v>
          </cell>
          <cell r="F578" t="str">
            <v>ZAPATA RAMIREZ</v>
          </cell>
          <cell r="G578" t="str">
            <v>ZAPATA RAMIREZ CARLOS MARIO</v>
          </cell>
          <cell r="H578" t="str">
            <v>RECO</v>
          </cell>
          <cell r="I578" t="str">
            <v>REGIMEN COMUN</v>
          </cell>
          <cell r="J578" t="str">
            <v>AV 30 DE AGOSTO 68 125 CON CAÑAVERAL 1 CA 91</v>
          </cell>
          <cell r="K578" t="str">
            <v>66001</v>
          </cell>
          <cell r="L578" t="str">
            <v>PEREIRA</v>
          </cell>
          <cell r="M578" t="str">
            <v>3451741</v>
          </cell>
        </row>
        <row r="579">
          <cell r="A579">
            <v>10140817</v>
          </cell>
          <cell r="B579" t="str">
            <v>7</v>
          </cell>
          <cell r="C579" t="str">
            <v/>
          </cell>
          <cell r="D579" t="str">
            <v>NP</v>
          </cell>
          <cell r="E579" t="str">
            <v>FEDERICO GUILLERMO</v>
          </cell>
          <cell r="F579" t="str">
            <v>GIRALDO RICAURTE</v>
          </cell>
          <cell r="G579" t="str">
            <v>GIRALDO RICAURTE FEDERICO GUILLERMO</v>
          </cell>
          <cell r="H579" t="str">
            <v>RECO</v>
          </cell>
          <cell r="I579" t="str">
            <v>REGIMEN COMUN</v>
          </cell>
          <cell r="J579" t="str">
            <v xml:space="preserve"> CR 7 18 21 OF 310</v>
          </cell>
          <cell r="K579" t="str">
            <v>66001</v>
          </cell>
          <cell r="L579" t="str">
            <v>PEREIRA</v>
          </cell>
          <cell r="M579" t="str">
            <v>3357504</v>
          </cell>
        </row>
        <row r="580">
          <cell r="A580">
            <v>10163541</v>
          </cell>
          <cell r="B580" t="str">
            <v>9</v>
          </cell>
          <cell r="C580" t="str">
            <v/>
          </cell>
          <cell r="D580" t="str">
            <v>NP</v>
          </cell>
          <cell r="E580" t="str">
            <v>EDUARDO ALBERTO</v>
          </cell>
          <cell r="F580" t="str">
            <v>CIFUENTES RAMIREZ</v>
          </cell>
          <cell r="G580" t="str">
            <v>CIFUENTES RAMIREZ EDUARDO ALBERTO</v>
          </cell>
          <cell r="H580" t="str">
            <v>RECO</v>
          </cell>
          <cell r="I580" t="str">
            <v>REGIMEN COMUN</v>
          </cell>
          <cell r="J580" t="str">
            <v>CL 22 21 50 PARQUE BOLIVAR</v>
          </cell>
          <cell r="K580" t="str">
            <v>17001</v>
          </cell>
          <cell r="L580" t="str">
            <v>MANIZALES</v>
          </cell>
          <cell r="M580" t="str">
            <v>3218118839</v>
          </cell>
        </row>
        <row r="581">
          <cell r="A581">
            <v>10168495</v>
          </cell>
          <cell r="B581" t="str">
            <v>0</v>
          </cell>
          <cell r="C581" t="str">
            <v/>
          </cell>
          <cell r="D581" t="str">
            <v>NP</v>
          </cell>
          <cell r="E581" t="str">
            <v>DARIO ANTONIO</v>
          </cell>
          <cell r="F581" t="str">
            <v>CARVAJAL RINCON</v>
          </cell>
          <cell r="G581" t="str">
            <v>CARVAJAL RINCON DARIO ANTONIO</v>
          </cell>
          <cell r="H581" t="str">
            <v>RESI</v>
          </cell>
          <cell r="I581" t="str">
            <v>REGIMEN SIMPLIFICADO</v>
          </cell>
          <cell r="J581" t="str">
            <v>CORR SAN MIGUEL</v>
          </cell>
          <cell r="K581" t="str">
            <v>05756</v>
          </cell>
          <cell r="L581" t="str">
            <v>SONSON</v>
          </cell>
          <cell r="M581" t="str">
            <v>3128880041</v>
          </cell>
        </row>
        <row r="582">
          <cell r="A582">
            <v>10168753</v>
          </cell>
          <cell r="B582" t="str">
            <v/>
          </cell>
          <cell r="C582" t="str">
            <v/>
          </cell>
          <cell r="D582" t="str">
            <v>CC</v>
          </cell>
          <cell r="E582" t="str">
            <v>ALVARO</v>
          </cell>
          <cell r="F582" t="str">
            <v>VERGARA CASTAÑO</v>
          </cell>
          <cell r="G582" t="str">
            <v>VERGARA CASTAÑO ALVARO</v>
          </cell>
          <cell r="H582" t="str">
            <v>RESI</v>
          </cell>
          <cell r="I582" t="str">
            <v>REGIMEN SIMPLIFICADO</v>
          </cell>
          <cell r="J582" t="str">
            <v>CALLE 17 N 06-101</v>
          </cell>
          <cell r="K582" t="str">
            <v>19290</v>
          </cell>
          <cell r="L582" t="str">
            <v>FLORENCIA</v>
          </cell>
          <cell r="M582" t="str">
            <v>3115389160</v>
          </cell>
        </row>
        <row r="583">
          <cell r="A583">
            <v>10170715</v>
          </cell>
          <cell r="B583" t="str">
            <v/>
          </cell>
          <cell r="C583" t="str">
            <v/>
          </cell>
          <cell r="D583" t="str">
            <v>CC</v>
          </cell>
          <cell r="E583" t="str">
            <v>NESTOR MARINO</v>
          </cell>
          <cell r="F583" t="str">
            <v>GARCIA DUQUE</v>
          </cell>
          <cell r="G583" t="str">
            <v>GARCIA DUQUE NESTOR MARINO</v>
          </cell>
          <cell r="H583" t="str">
            <v>RESI</v>
          </cell>
          <cell r="I583" t="str">
            <v>REGIMEN SIMPLIFICADO</v>
          </cell>
          <cell r="J583" t="str">
            <v>VRD SANTA MARIA</v>
          </cell>
          <cell r="K583" t="str">
            <v>17380</v>
          </cell>
          <cell r="L583" t="str">
            <v>LA DORADA</v>
          </cell>
          <cell r="M583" t="str">
            <v>3105244138</v>
          </cell>
        </row>
        <row r="584">
          <cell r="A584">
            <v>10173118</v>
          </cell>
          <cell r="B584" t="str">
            <v>9</v>
          </cell>
          <cell r="C584" t="str">
            <v/>
          </cell>
          <cell r="D584" t="str">
            <v>NP</v>
          </cell>
          <cell r="E584" t="str">
            <v>JORGE IVAN</v>
          </cell>
          <cell r="F584" t="str">
            <v>CASTELLANOS QUICENO</v>
          </cell>
          <cell r="G584" t="str">
            <v>CASTELLANOS QUICENO JORGE IVAN</v>
          </cell>
          <cell r="H584" t="str">
            <v>NORE</v>
          </cell>
          <cell r="I584" t="str">
            <v>NO RESPONSABLE DE IVA</v>
          </cell>
          <cell r="J584" t="str">
            <v>CL 69 28 C 24 BRR PALERMO</v>
          </cell>
          <cell r="K584" t="str">
            <v>17001</v>
          </cell>
          <cell r="L584" t="str">
            <v>MANIZALES</v>
          </cell>
          <cell r="M584" t="str">
            <v>3117471328</v>
          </cell>
        </row>
        <row r="585">
          <cell r="A585">
            <v>10178182</v>
          </cell>
          <cell r="B585" t="str">
            <v>3</v>
          </cell>
          <cell r="C585" t="str">
            <v/>
          </cell>
          <cell r="D585" t="str">
            <v>NP</v>
          </cell>
          <cell r="E585" t="str">
            <v>JOSE ERNEY</v>
          </cell>
          <cell r="F585" t="str">
            <v>TANGARIFE HERRERA</v>
          </cell>
          <cell r="G585" t="str">
            <v>TANGARIFE HERRERA JOSE ERNEY</v>
          </cell>
          <cell r="H585" t="str">
            <v>RESI</v>
          </cell>
          <cell r="I585" t="str">
            <v>REGIMEN SIMPLIFICADO</v>
          </cell>
          <cell r="J585" t="str">
            <v>C SAN DIEGO VRD RIACHUELO- CASERIO</v>
          </cell>
          <cell r="K585" t="str">
            <v>17662</v>
          </cell>
          <cell r="L585" t="str">
            <v>SAMANÁ</v>
          </cell>
          <cell r="M585" t="str">
            <v>3146064783</v>
          </cell>
        </row>
        <row r="586">
          <cell r="A586">
            <v>10179381</v>
          </cell>
          <cell r="B586" t="str">
            <v>7</v>
          </cell>
          <cell r="C586" t="str">
            <v/>
          </cell>
          <cell r="D586" t="str">
            <v>NP</v>
          </cell>
          <cell r="E586" t="str">
            <v>BERNARDO</v>
          </cell>
          <cell r="F586" t="str">
            <v>QUINERO CARDENAS</v>
          </cell>
          <cell r="G586" t="str">
            <v>QUINERO CARDENAS BERNARDO</v>
          </cell>
          <cell r="H586" t="str">
            <v>NORE</v>
          </cell>
          <cell r="I586" t="str">
            <v>NO RESPONSABLE DE IVA</v>
          </cell>
          <cell r="J586" t="str">
            <v>CORR SAN MIGUEL BRR SANTISIMA TRINIDAD SEC COLEGIO</v>
          </cell>
          <cell r="K586" t="str">
            <v>11</v>
          </cell>
          <cell r="L586" t="str">
            <v>ANTIOQUIA</v>
          </cell>
          <cell r="M586" t="str">
            <v>31362292</v>
          </cell>
        </row>
        <row r="587">
          <cell r="A587">
            <v>10179433</v>
          </cell>
          <cell r="B587" t="str">
            <v>1</v>
          </cell>
          <cell r="C587" t="str">
            <v/>
          </cell>
          <cell r="D587" t="str">
            <v>NP</v>
          </cell>
          <cell r="E587" t="str">
            <v>HORACIO</v>
          </cell>
          <cell r="F587" t="str">
            <v>MARIN HERRERA</v>
          </cell>
          <cell r="G587" t="str">
            <v>MARIN HERRERA HORACIO</v>
          </cell>
          <cell r="H587" t="str">
            <v>RESI</v>
          </cell>
          <cell r="I587" t="str">
            <v>REGIMEN SIMPLIFICADO</v>
          </cell>
          <cell r="J587" t="str">
            <v>C BERLIN</v>
          </cell>
          <cell r="K587" t="str">
            <v>17662</v>
          </cell>
          <cell r="L587" t="str">
            <v>SAMANÁ</v>
          </cell>
          <cell r="M587" t="str">
            <v>3128842225</v>
          </cell>
        </row>
        <row r="588">
          <cell r="A588">
            <v>10185735</v>
          </cell>
          <cell r="B588" t="str">
            <v>5</v>
          </cell>
          <cell r="C588" t="str">
            <v/>
          </cell>
          <cell r="D588" t="str">
            <v>NP</v>
          </cell>
          <cell r="E588" t="str">
            <v>RAFAEL NOLBERTO</v>
          </cell>
          <cell r="F588" t="str">
            <v>PINZÓN PATIÑO</v>
          </cell>
          <cell r="G588" t="str">
            <v>PINZÓN PATIÑO RAFAEL NOLBERTO</v>
          </cell>
          <cell r="H588" t="str">
            <v>IMVE</v>
          </cell>
          <cell r="I588" t="str">
            <v>IMPUESTO SOBRE LAS VENTAS</v>
          </cell>
          <cell r="J588" t="str">
            <v>CR 2 7 89</v>
          </cell>
          <cell r="K588" t="str">
            <v>17380</v>
          </cell>
          <cell r="L588" t="str">
            <v>LA DORADA</v>
          </cell>
          <cell r="M588" t="str">
            <v>8576539</v>
          </cell>
        </row>
        <row r="589">
          <cell r="A589">
            <v>10187062</v>
          </cell>
          <cell r="B589" t="str">
            <v>6</v>
          </cell>
          <cell r="C589" t="str">
            <v/>
          </cell>
          <cell r="D589" t="str">
            <v>NP</v>
          </cell>
          <cell r="E589" t="str">
            <v>ALESANDER</v>
          </cell>
          <cell r="F589" t="str">
            <v>ALZATE ALZATE</v>
          </cell>
          <cell r="G589" t="str">
            <v>ALZATE ALZATE ALESANDER</v>
          </cell>
          <cell r="H589" t="str">
            <v>RESI</v>
          </cell>
          <cell r="I589" t="str">
            <v>REGIMEN SIMPLIFICADO</v>
          </cell>
          <cell r="J589" t="str">
            <v>C SAN MIGUEL</v>
          </cell>
          <cell r="K589" t="str">
            <v>05756</v>
          </cell>
          <cell r="L589" t="str">
            <v>SONSON</v>
          </cell>
          <cell r="M589" t="str">
            <v>3217735043</v>
          </cell>
        </row>
        <row r="590">
          <cell r="A590">
            <v>10187091</v>
          </cell>
          <cell r="B590" t="str">
            <v>1</v>
          </cell>
          <cell r="C590" t="str">
            <v/>
          </cell>
          <cell r="D590" t="str">
            <v>NP</v>
          </cell>
          <cell r="E590" t="str">
            <v xml:space="preserve">EDGAR </v>
          </cell>
          <cell r="F590" t="str">
            <v>CUPITRA FLOREZ</v>
          </cell>
          <cell r="G590" t="str">
            <v>EDGAR CUPITRA FLOREZ</v>
          </cell>
          <cell r="H590" t="str">
            <v>RECO</v>
          </cell>
          <cell r="I590" t="str">
            <v>REGIMEN COMUN</v>
          </cell>
          <cell r="J590" t="str">
            <v xml:space="preserve">VRD LA HABANA SAN MIGUEL             </v>
          </cell>
          <cell r="K590" t="str">
            <v>05001</v>
          </cell>
          <cell r="L590" t="str">
            <v>MEDELLÍN</v>
          </cell>
          <cell r="M590" t="str">
            <v>3146034744</v>
          </cell>
        </row>
        <row r="591">
          <cell r="A591">
            <v>10188688</v>
          </cell>
          <cell r="B591" t="str">
            <v>0</v>
          </cell>
          <cell r="C591" t="str">
            <v/>
          </cell>
          <cell r="D591" t="str">
            <v>NP</v>
          </cell>
          <cell r="E591" t="str">
            <v>EFRAIN DE JESUS</v>
          </cell>
          <cell r="F591" t="str">
            <v>ALVAREZ ZULUAGA</v>
          </cell>
          <cell r="G591" t="str">
            <v>ALVAREZ ZULUAGA EFRAIN DE JESUS</v>
          </cell>
          <cell r="H591" t="str">
            <v>RESI</v>
          </cell>
          <cell r="I591" t="str">
            <v>REGIMEN SIMPLIFICADO</v>
          </cell>
          <cell r="J591" t="str">
            <v>VRD GAVIOTA FCA EL BOSQUE C SAN DIEGO</v>
          </cell>
          <cell r="K591" t="str">
            <v>17662</v>
          </cell>
          <cell r="L591" t="str">
            <v>SAMANÁ</v>
          </cell>
          <cell r="M591" t="str">
            <v>3135082258</v>
          </cell>
        </row>
        <row r="592">
          <cell r="A592">
            <v>10189670</v>
          </cell>
          <cell r="B592" t="str">
            <v>3</v>
          </cell>
          <cell r="C592" t="str">
            <v/>
          </cell>
          <cell r="D592" t="str">
            <v>NP</v>
          </cell>
          <cell r="E592" t="str">
            <v>MAURICIO</v>
          </cell>
          <cell r="F592" t="str">
            <v>NIETO AVILA</v>
          </cell>
          <cell r="G592" t="str">
            <v>NIETO AVILA MAURICIO</v>
          </cell>
          <cell r="H592" t="str">
            <v>RESI</v>
          </cell>
          <cell r="I592" t="str">
            <v>REGIMEN SIMPLIFICADO</v>
          </cell>
          <cell r="J592" t="str">
            <v>CL 10 10 88 BRR LA SOLEDAD</v>
          </cell>
          <cell r="K592" t="str">
            <v>17380</v>
          </cell>
          <cell r="L592" t="str">
            <v>LA DORADA</v>
          </cell>
          <cell r="M592" t="str">
            <v>3104076159</v>
          </cell>
        </row>
        <row r="593">
          <cell r="A593">
            <v>10189904</v>
          </cell>
          <cell r="B593" t="str">
            <v>1</v>
          </cell>
          <cell r="C593" t="str">
            <v/>
          </cell>
          <cell r="D593" t="str">
            <v>NP</v>
          </cell>
          <cell r="E593" t="str">
            <v>YOHN FREDY</v>
          </cell>
          <cell r="F593" t="str">
            <v>ARCILA SOTO</v>
          </cell>
          <cell r="G593" t="str">
            <v>ARCILA SOTO YOHN FREDY</v>
          </cell>
          <cell r="H593" t="str">
            <v>IMVE</v>
          </cell>
          <cell r="I593" t="str">
            <v>IMPUESTO SOBRE LAS VENTAS</v>
          </cell>
          <cell r="J593" t="str">
            <v>CL 11 7 52 54 BRR SAN ANTONIO</v>
          </cell>
          <cell r="K593" t="str">
            <v>17380</v>
          </cell>
          <cell r="L593" t="str">
            <v>LA DORADA</v>
          </cell>
          <cell r="M593" t="str">
            <v>8576850</v>
          </cell>
        </row>
        <row r="594">
          <cell r="A594">
            <v>10210013</v>
          </cell>
          <cell r="B594" t="str">
            <v>3</v>
          </cell>
          <cell r="C594" t="str">
            <v/>
          </cell>
          <cell r="D594" t="str">
            <v>NP</v>
          </cell>
          <cell r="E594" t="str">
            <v>JOSE BERNARDO</v>
          </cell>
          <cell r="F594" t="str">
            <v>MARULANDA LOPEZ</v>
          </cell>
          <cell r="G594" t="str">
            <v>JOSE BERNARDO MARULANDA LOPEZ</v>
          </cell>
          <cell r="H594" t="str">
            <v>NORE</v>
          </cell>
          <cell r="I594" t="str">
            <v>NO RESPONSABLE DE IVA</v>
          </cell>
          <cell r="J594" t="str">
            <v>CR 24 23 15 APARTAESTUDIO</v>
          </cell>
          <cell r="K594" t="str">
            <v>17001</v>
          </cell>
          <cell r="L594" t="str">
            <v>MANIZALES</v>
          </cell>
          <cell r="M594" t="str">
            <v>3164013658</v>
          </cell>
        </row>
        <row r="595">
          <cell r="A595">
            <v>10211934</v>
          </cell>
          <cell r="B595" t="str">
            <v>6</v>
          </cell>
          <cell r="C595" t="str">
            <v/>
          </cell>
          <cell r="D595" t="str">
            <v>NP</v>
          </cell>
          <cell r="E595" t="str">
            <v>JOSE A.</v>
          </cell>
          <cell r="F595" t="str">
            <v>SALAZAR ZULUAGA</v>
          </cell>
          <cell r="G595" t="str">
            <v>SALAZAR ZULUAGA JOSE A.</v>
          </cell>
          <cell r="H595" t="str">
            <v>RECO</v>
          </cell>
          <cell r="I595" t="str">
            <v>REGIMEN COMUN</v>
          </cell>
          <cell r="J595" t="str">
            <v>CRA 23  66 06</v>
          </cell>
          <cell r="K595" t="str">
            <v>17001</v>
          </cell>
          <cell r="L595" t="str">
            <v>MANIZALES</v>
          </cell>
          <cell r="M595" t="str">
            <v>8900116</v>
          </cell>
        </row>
        <row r="596">
          <cell r="A596">
            <v>10212132</v>
          </cell>
          <cell r="B596" t="str">
            <v>0</v>
          </cell>
          <cell r="C596" t="str">
            <v/>
          </cell>
          <cell r="D596" t="str">
            <v>NP</v>
          </cell>
          <cell r="E596" t="str">
            <v>JOSE RODRIGO</v>
          </cell>
          <cell r="F596" t="str">
            <v>ALVAREZ</v>
          </cell>
          <cell r="G596" t="str">
            <v>ALVAREZ JOSE RODRIGO</v>
          </cell>
          <cell r="H596" t="str">
            <v>RECO</v>
          </cell>
          <cell r="I596" t="str">
            <v>REGIMEN COMUN</v>
          </cell>
          <cell r="J596" t="str">
            <v>CR 22 17 43</v>
          </cell>
          <cell r="K596" t="str">
            <v>17001</v>
          </cell>
          <cell r="L596" t="str">
            <v>MANIZALES</v>
          </cell>
          <cell r="M596" t="str">
            <v>68847153</v>
          </cell>
        </row>
        <row r="597">
          <cell r="A597">
            <v>10212671</v>
          </cell>
          <cell r="B597" t="str">
            <v>9</v>
          </cell>
          <cell r="C597" t="str">
            <v/>
          </cell>
          <cell r="D597" t="str">
            <v>NP</v>
          </cell>
          <cell r="E597" t="str">
            <v>JOSE FERNANDO</v>
          </cell>
          <cell r="F597" t="str">
            <v>BERMUDEZ ZULUAGA</v>
          </cell>
          <cell r="G597" t="str">
            <v>BERMUDEZ ZULUAGA JOSE FERNANDO</v>
          </cell>
          <cell r="H597" t="str">
            <v>RECO</v>
          </cell>
          <cell r="I597" t="str">
            <v>REGIMEN COMUN</v>
          </cell>
          <cell r="J597" t="str">
            <v xml:space="preserve">CL 58 22 15                          </v>
          </cell>
          <cell r="K597" t="str">
            <v>17001</v>
          </cell>
          <cell r="L597" t="str">
            <v>MANIZALES</v>
          </cell>
          <cell r="M597" t="str">
            <v>8823548</v>
          </cell>
        </row>
        <row r="598">
          <cell r="A598">
            <v>10213227</v>
          </cell>
          <cell r="B598" t="str">
            <v>6</v>
          </cell>
          <cell r="C598" t="str">
            <v/>
          </cell>
          <cell r="D598" t="str">
            <v>NP</v>
          </cell>
          <cell r="E598" t="str">
            <v>RAMIRO</v>
          </cell>
          <cell r="F598" t="str">
            <v>FRANCO MORENO</v>
          </cell>
          <cell r="G598" t="str">
            <v>FRANCO MORENO RAMIRO</v>
          </cell>
          <cell r="H598" t="str">
            <v>REOR</v>
          </cell>
          <cell r="I598" t="str">
            <v>RENTA REGIMEN ORDINARIO</v>
          </cell>
          <cell r="J598" t="str">
            <v>CR 25 16 20 AP 502</v>
          </cell>
          <cell r="K598" t="str">
            <v>17001</v>
          </cell>
          <cell r="L598" t="str">
            <v>MANIZALES</v>
          </cell>
          <cell r="M598" t="str">
            <v>8901378</v>
          </cell>
        </row>
        <row r="599">
          <cell r="A599">
            <v>10214032</v>
          </cell>
          <cell r="B599" t="str">
            <v>1</v>
          </cell>
          <cell r="C599" t="str">
            <v/>
          </cell>
          <cell r="D599" t="str">
            <v>NP</v>
          </cell>
          <cell r="E599" t="str">
            <v>JOSE FERNANDO</v>
          </cell>
          <cell r="F599" t="str">
            <v>NARANJO VALENCIA</v>
          </cell>
          <cell r="G599" t="str">
            <v>NARANJO VALENCIA JOSE FERNANDO</v>
          </cell>
          <cell r="H599" t="str">
            <v>IMVE</v>
          </cell>
          <cell r="I599" t="str">
            <v>IMPUESTO SOBRE LAS VENTAS</v>
          </cell>
          <cell r="J599" t="str">
            <v xml:space="preserve"> CL 22  22 26 OF 505</v>
          </cell>
          <cell r="K599" t="str">
            <v>17001</v>
          </cell>
          <cell r="L599" t="str">
            <v>MANIZALES</v>
          </cell>
          <cell r="M599" t="str">
            <v>8841031</v>
          </cell>
        </row>
        <row r="600">
          <cell r="A600">
            <v>10214604</v>
          </cell>
          <cell r="B600" t="str">
            <v>4</v>
          </cell>
          <cell r="C600" t="str">
            <v/>
          </cell>
          <cell r="D600" t="str">
            <v>NP</v>
          </cell>
          <cell r="E600" t="str">
            <v>JORGE ALBERTO</v>
          </cell>
          <cell r="F600" t="str">
            <v>GUTIERREZ JARAMILLO</v>
          </cell>
          <cell r="G600" t="str">
            <v>GUTIERREZ JARAMILLO JORGE ALBERTO</v>
          </cell>
          <cell r="H600" t="str">
            <v>RECO</v>
          </cell>
          <cell r="I600" t="str">
            <v>REGIMEN COMUN</v>
          </cell>
          <cell r="J600" t="str">
            <v>CR 21 30 03 OF 603</v>
          </cell>
          <cell r="K600" t="str">
            <v>17001</v>
          </cell>
          <cell r="L600" t="str">
            <v>MANIZALES</v>
          </cell>
          <cell r="M600" t="str">
            <v>8840060</v>
          </cell>
        </row>
        <row r="601">
          <cell r="A601">
            <v>10214735</v>
          </cell>
          <cell r="B601" t="str">
            <v>0</v>
          </cell>
          <cell r="C601" t="str">
            <v/>
          </cell>
          <cell r="D601" t="str">
            <v>NP</v>
          </cell>
          <cell r="E601" t="str">
            <v xml:space="preserve">WILLIAM </v>
          </cell>
          <cell r="F601" t="str">
            <v>PAREJA PAREJA</v>
          </cell>
          <cell r="G601" t="str">
            <v>WILLIAM PAREJA PAREJA</v>
          </cell>
          <cell r="H601" t="str">
            <v>RECO</v>
          </cell>
          <cell r="I601" t="str">
            <v>REGIMEN COMUN</v>
          </cell>
          <cell r="J601" t="str">
            <v xml:space="preserve">CR 23 N 64B 33                     </v>
          </cell>
          <cell r="K601" t="str">
            <v>17001</v>
          </cell>
          <cell r="L601" t="str">
            <v>MANIZALES</v>
          </cell>
          <cell r="M601" t="str">
            <v>8756262</v>
          </cell>
        </row>
        <row r="602">
          <cell r="A602">
            <v>10214890</v>
          </cell>
          <cell r="B602" t="str">
            <v>4</v>
          </cell>
          <cell r="C602" t="str">
            <v/>
          </cell>
          <cell r="D602" t="str">
            <v>NP</v>
          </cell>
          <cell r="E602" t="str">
            <v>GALLEGO NARANJO</v>
          </cell>
          <cell r="F602" t="str">
            <v>ALVARO HERNANDO</v>
          </cell>
          <cell r="G602" t="str">
            <v>ALVARO HERNANDO GALLEGO NARANJO</v>
          </cell>
          <cell r="H602" t="str">
            <v>NORE</v>
          </cell>
          <cell r="I602" t="str">
            <v>NO RESPONSABLE DE IVA</v>
          </cell>
          <cell r="J602" t="str">
            <v>CL  69 A  24 20 BRR PALERMO</v>
          </cell>
          <cell r="K602" t="str">
            <v>17001</v>
          </cell>
          <cell r="L602" t="str">
            <v>MANIZALES</v>
          </cell>
          <cell r="M602" t="str">
            <v>8873131</v>
          </cell>
        </row>
        <row r="603">
          <cell r="A603">
            <v>10215042</v>
          </cell>
          <cell r="B603" t="str">
            <v>1</v>
          </cell>
          <cell r="C603" t="str">
            <v/>
          </cell>
          <cell r="D603" t="str">
            <v>NP</v>
          </cell>
          <cell r="E603" t="str">
            <v>JUAN FELIPE</v>
          </cell>
          <cell r="F603" t="str">
            <v>PAREJA ARANGO</v>
          </cell>
          <cell r="G603" t="str">
            <v>JUAN FELIPE PAREJA ARANGO</v>
          </cell>
          <cell r="H603" t="str">
            <v>RECO</v>
          </cell>
          <cell r="I603" t="str">
            <v>REGIMEN COMUN</v>
          </cell>
          <cell r="J603" t="str">
            <v xml:space="preserve">CR 23 N 64B 33                     </v>
          </cell>
          <cell r="K603" t="str">
            <v>17001</v>
          </cell>
          <cell r="L603" t="str">
            <v>MANIZALES</v>
          </cell>
          <cell r="M603" t="str">
            <v>8756262</v>
          </cell>
        </row>
        <row r="604">
          <cell r="A604">
            <v>10215485</v>
          </cell>
          <cell r="B604" t="str">
            <v>9</v>
          </cell>
          <cell r="C604" t="str">
            <v/>
          </cell>
          <cell r="D604" t="str">
            <v>NP</v>
          </cell>
          <cell r="E604" t="str">
            <v>JESUS MARIA</v>
          </cell>
          <cell r="F604" t="str">
            <v>MONTES RINCON</v>
          </cell>
          <cell r="G604" t="str">
            <v>MONTES RINCON JESUS MARIA</v>
          </cell>
          <cell r="H604" t="str">
            <v>RECO</v>
          </cell>
          <cell r="I604" t="str">
            <v>REGIMEN COMUN</v>
          </cell>
          <cell r="J604" t="str">
            <v xml:space="preserve">CC PAR CALDAS NIVEL 7 LC SM1         </v>
          </cell>
          <cell r="K604" t="str">
            <v>17001</v>
          </cell>
          <cell r="L604" t="str">
            <v>MANIZALES</v>
          </cell>
          <cell r="M604" t="str">
            <v>8827507</v>
          </cell>
        </row>
        <row r="605">
          <cell r="A605">
            <v>10215549</v>
          </cell>
          <cell r="B605" t="str">
            <v>1</v>
          </cell>
          <cell r="C605" t="str">
            <v/>
          </cell>
          <cell r="D605" t="str">
            <v>NP</v>
          </cell>
          <cell r="E605" t="str">
            <v>JOSUE</v>
          </cell>
          <cell r="F605" t="str">
            <v>GALVIS RAMOS</v>
          </cell>
          <cell r="G605" t="str">
            <v>GALVIS RAMOS JOSUE</v>
          </cell>
          <cell r="H605" t="str">
            <v>RECO</v>
          </cell>
          <cell r="I605" t="str">
            <v>REGIMEN COMUN</v>
          </cell>
          <cell r="J605" t="str">
            <v>CR 23 63 15 OF 304</v>
          </cell>
          <cell r="K605" t="str">
            <v>17001</v>
          </cell>
          <cell r="L605" t="str">
            <v>MANIZALES</v>
          </cell>
          <cell r="M605" t="str">
            <v>812233</v>
          </cell>
        </row>
        <row r="606">
          <cell r="A606">
            <v>10215796</v>
          </cell>
          <cell r="B606" t="str">
            <v>4</v>
          </cell>
          <cell r="C606" t="str">
            <v/>
          </cell>
          <cell r="D606" t="str">
            <v>NP</v>
          </cell>
          <cell r="E606" t="str">
            <v>MARCO TULIO</v>
          </cell>
          <cell r="F606" t="str">
            <v>AGUIRRE JARAMILLO</v>
          </cell>
          <cell r="G606" t="str">
            <v>MARCO TULIO AGUIRRE JARAMILLO</v>
          </cell>
          <cell r="H606" t="str">
            <v>RESI</v>
          </cell>
          <cell r="I606" t="str">
            <v>REGIMEN SIMPLIFICADO</v>
          </cell>
          <cell r="J606" t="str">
            <v>CR 20 N 54 39</v>
          </cell>
          <cell r="K606" t="str">
            <v>17001</v>
          </cell>
          <cell r="L606" t="str">
            <v>MANIZALES</v>
          </cell>
          <cell r="M606" t="str">
            <v>8861229</v>
          </cell>
        </row>
        <row r="607">
          <cell r="A607">
            <v>10216103</v>
          </cell>
          <cell r="B607" t="str">
            <v>5</v>
          </cell>
          <cell r="C607" t="str">
            <v/>
          </cell>
          <cell r="D607" t="str">
            <v>NP</v>
          </cell>
          <cell r="E607" t="str">
            <v>CARLOS ALBERTO</v>
          </cell>
          <cell r="F607" t="str">
            <v>ARANGO MEJIA</v>
          </cell>
          <cell r="G607" t="str">
            <v>ARANGO MEJIA CARLOS ALBERTO</v>
          </cell>
          <cell r="H607" t="str">
            <v>IMVE</v>
          </cell>
          <cell r="I607" t="str">
            <v>IMPUESTO SOBRE LAS VENTAS</v>
          </cell>
          <cell r="J607" t="str">
            <v>CR 23 63 15 OF 1103 ED EL CASTILLO</v>
          </cell>
          <cell r="K607" t="str">
            <v>17001</v>
          </cell>
          <cell r="L607" t="str">
            <v>MANIZALES</v>
          </cell>
          <cell r="M607" t="str">
            <v>3113079137</v>
          </cell>
        </row>
        <row r="608">
          <cell r="A608">
            <v>10216302</v>
          </cell>
          <cell r="B608" t="str">
            <v>4</v>
          </cell>
          <cell r="C608" t="str">
            <v/>
          </cell>
          <cell r="D608" t="str">
            <v>NP</v>
          </cell>
          <cell r="E608" t="str">
            <v xml:space="preserve">OSCAR </v>
          </cell>
          <cell r="F608" t="str">
            <v>ROBLEDO MORA</v>
          </cell>
          <cell r="G608" t="str">
            <v>OSCAR ROBLEDO MORA</v>
          </cell>
          <cell r="H608" t="str">
            <v>RECO</v>
          </cell>
          <cell r="I608" t="str">
            <v>REGIMEN COMUN</v>
          </cell>
          <cell r="J608" t="str">
            <v>CR 25  66  10  AP 802 ED MATIZZ</v>
          </cell>
          <cell r="K608" t="str">
            <v>17001</v>
          </cell>
          <cell r="L608" t="str">
            <v>MANIZALES</v>
          </cell>
          <cell r="M608" t="str">
            <v>8870986</v>
          </cell>
        </row>
        <row r="609">
          <cell r="A609">
            <v>10216937</v>
          </cell>
          <cell r="B609" t="str">
            <v>0</v>
          </cell>
          <cell r="C609" t="str">
            <v/>
          </cell>
          <cell r="D609" t="str">
            <v>NP</v>
          </cell>
          <cell r="E609" t="str">
            <v>GILDARDO</v>
          </cell>
          <cell r="F609" t="str">
            <v xml:space="preserve"> OSPINA</v>
          </cell>
          <cell r="G609" t="str">
            <v xml:space="preserve"> OSPINA GILDARDO</v>
          </cell>
          <cell r="H609" t="str">
            <v>NORE</v>
          </cell>
          <cell r="I609" t="str">
            <v>NO RESPONSABLE DE IVA</v>
          </cell>
          <cell r="J609" t="str">
            <v>CR 26 49 64 P 2</v>
          </cell>
          <cell r="K609" t="str">
            <v>17001</v>
          </cell>
          <cell r="L609" t="str">
            <v>MANIZALES</v>
          </cell>
          <cell r="M609" t="str">
            <v>8902082</v>
          </cell>
        </row>
        <row r="610">
          <cell r="A610">
            <v>10219459</v>
          </cell>
          <cell r="B610" t="str">
            <v>5</v>
          </cell>
          <cell r="C610" t="str">
            <v/>
          </cell>
          <cell r="D610" t="str">
            <v>NP</v>
          </cell>
          <cell r="E610" t="str">
            <v>ANTONIO JOSE</v>
          </cell>
          <cell r="F610" t="str">
            <v>HENAO MARIN</v>
          </cell>
          <cell r="G610" t="str">
            <v>HENAO MARIN ANTONIO JOSE</v>
          </cell>
          <cell r="H610" t="str">
            <v>RECO</v>
          </cell>
          <cell r="I610" t="str">
            <v>REGIMEN COMUN</v>
          </cell>
          <cell r="J610" t="str">
            <v>CL 22  8  22  OF  202 ED CONSTRUYAMOS</v>
          </cell>
          <cell r="K610" t="str">
            <v>66001</v>
          </cell>
          <cell r="L610" t="str">
            <v>PEREIRA</v>
          </cell>
          <cell r="M610" t="str">
            <v>3182644525</v>
          </cell>
        </row>
        <row r="611">
          <cell r="A611">
            <v>10220119</v>
          </cell>
          <cell r="B611" t="str">
            <v>8</v>
          </cell>
          <cell r="C611" t="str">
            <v/>
          </cell>
          <cell r="D611" t="str">
            <v>NP</v>
          </cell>
          <cell r="E611" t="str">
            <v>HECTOR</v>
          </cell>
          <cell r="F611" t="str">
            <v>PULIDO UMAÑA</v>
          </cell>
          <cell r="G611" t="str">
            <v>PULIDO UMAÑA HECTOR</v>
          </cell>
          <cell r="H611" t="str">
            <v>RECO</v>
          </cell>
          <cell r="I611" t="str">
            <v>REGIMEN COMUN</v>
          </cell>
          <cell r="J611" t="str">
            <v xml:space="preserve">AV  COLON 14 33                         </v>
          </cell>
          <cell r="K611" t="str">
            <v>15001</v>
          </cell>
          <cell r="L611" t="str">
            <v>TUNJA</v>
          </cell>
          <cell r="M611" t="str">
            <v>3162898202</v>
          </cell>
        </row>
        <row r="612">
          <cell r="A612">
            <v>10220449</v>
          </cell>
          <cell r="B612" t="str">
            <v/>
          </cell>
          <cell r="C612" t="str">
            <v/>
          </cell>
          <cell r="D612" t="str">
            <v>CC</v>
          </cell>
          <cell r="E612" t="str">
            <v>GERARDO</v>
          </cell>
          <cell r="F612" t="str">
            <v>TABARES BEDOYA</v>
          </cell>
          <cell r="G612" t="str">
            <v>TABARES BEDOYA GERARDO</v>
          </cell>
          <cell r="H612" t="str">
            <v>FUNC</v>
          </cell>
          <cell r="I612" t="str">
            <v>FUNCIONARIO</v>
          </cell>
          <cell r="J612" t="str">
            <v>CR 01   08   06</v>
          </cell>
          <cell r="K612" t="str">
            <v>17001</v>
          </cell>
          <cell r="L612" t="str">
            <v>MANIZALES</v>
          </cell>
          <cell r="M612" t="str">
            <v>8534024</v>
          </cell>
        </row>
        <row r="613">
          <cell r="A613">
            <v>10220780</v>
          </cell>
          <cell r="B613" t="str">
            <v>7</v>
          </cell>
          <cell r="C613" t="str">
            <v/>
          </cell>
          <cell r="D613" t="str">
            <v>NP</v>
          </cell>
          <cell r="E613" t="str">
            <v>TULIO HERNAN</v>
          </cell>
          <cell r="F613" t="str">
            <v>VILLADA OSORIO</v>
          </cell>
          <cell r="G613" t="str">
            <v>VILLADA OSORIO TULIO HERNAN</v>
          </cell>
          <cell r="H613" t="str">
            <v>RESI</v>
          </cell>
          <cell r="I613" t="str">
            <v>REGIMEN SIMPLIFICADO</v>
          </cell>
          <cell r="J613" t="str">
            <v>CR 25 47 10 AP 302 AV PARALELA</v>
          </cell>
          <cell r="K613" t="str">
            <v>17001</v>
          </cell>
          <cell r="L613" t="str">
            <v>MANIZALES</v>
          </cell>
          <cell r="M613" t="str">
            <v>3113114939</v>
          </cell>
        </row>
        <row r="614">
          <cell r="A614">
            <v>10220984</v>
          </cell>
          <cell r="B614" t="str">
            <v>2</v>
          </cell>
          <cell r="C614" t="str">
            <v/>
          </cell>
          <cell r="D614" t="str">
            <v>NP</v>
          </cell>
          <cell r="E614" t="str">
            <v>JAIME</v>
          </cell>
          <cell r="F614" t="str">
            <v>GOMEZ IDARRAGA</v>
          </cell>
          <cell r="G614" t="str">
            <v>GOMEZ IDARRAGA JAIME</v>
          </cell>
          <cell r="H614" t="str">
            <v>RESI</v>
          </cell>
          <cell r="I614" t="str">
            <v>REGIMEN SIMPLIFICADO</v>
          </cell>
          <cell r="J614" t="str">
            <v>CR 12   62 A 11</v>
          </cell>
          <cell r="K614" t="str">
            <v>17001</v>
          </cell>
          <cell r="L614" t="str">
            <v>MANIZALES</v>
          </cell>
          <cell r="M614" t="str">
            <v>8761007</v>
          </cell>
        </row>
        <row r="615">
          <cell r="A615">
            <v>10222866</v>
          </cell>
          <cell r="B615" t="str">
            <v/>
          </cell>
          <cell r="C615" t="str">
            <v/>
          </cell>
          <cell r="D615" t="str">
            <v>CC</v>
          </cell>
          <cell r="E615" t="str">
            <v>LUIS ALBERTO</v>
          </cell>
          <cell r="F615" t="str">
            <v>GOMEZ TABAREZ</v>
          </cell>
          <cell r="G615" t="str">
            <v>GOMEZ TABAREZ LUIS ALBERTO</v>
          </cell>
          <cell r="H615" t="str">
            <v>FUNC</v>
          </cell>
          <cell r="I615" t="str">
            <v>FUNCIONARIO</v>
          </cell>
          <cell r="J615" t="str">
            <v>CR 09 C   48 H 17</v>
          </cell>
          <cell r="K615" t="str">
            <v>17001</v>
          </cell>
          <cell r="L615" t="str">
            <v>MANIZALES</v>
          </cell>
          <cell r="M615" t="str">
            <v>8761888</v>
          </cell>
        </row>
        <row r="616">
          <cell r="A616">
            <v>10223293</v>
          </cell>
          <cell r="B616" t="str">
            <v>5</v>
          </cell>
          <cell r="C616" t="str">
            <v/>
          </cell>
          <cell r="D616" t="str">
            <v>NP</v>
          </cell>
          <cell r="E616" t="str">
            <v>JORGE HERNÁN</v>
          </cell>
          <cell r="F616" t="str">
            <v>GARCÍA CUARTAS</v>
          </cell>
          <cell r="G616" t="str">
            <v>GARCÍA CUARTAS JORGE HERNÁN</v>
          </cell>
          <cell r="H616" t="str">
            <v>NORE</v>
          </cell>
          <cell r="I616" t="str">
            <v>NO RESPONSABLE DE IVA</v>
          </cell>
          <cell r="J616" t="str">
            <v>CL 72 27 68 CON HORIZONTES TO 3 APT 11 BRR PALERMO</v>
          </cell>
          <cell r="K616" t="str">
            <v>17001</v>
          </cell>
          <cell r="L616" t="str">
            <v>MANIZALES</v>
          </cell>
          <cell r="M616" t="str">
            <v>3122570723</v>
          </cell>
        </row>
        <row r="617">
          <cell r="A617">
            <v>10223323</v>
          </cell>
          <cell r="B617" t="str">
            <v>8</v>
          </cell>
          <cell r="C617" t="str">
            <v/>
          </cell>
          <cell r="D617" t="str">
            <v>NP</v>
          </cell>
          <cell r="E617" t="str">
            <v>MIGUEL ANGEL</v>
          </cell>
          <cell r="F617" t="str">
            <v>LLANO ALVAREZ</v>
          </cell>
          <cell r="G617" t="str">
            <v>LLANO ALVAREZ MIGUEL ANGEL</v>
          </cell>
          <cell r="H617" t="str">
            <v>RESI</v>
          </cell>
          <cell r="I617" t="str">
            <v>REGIMEN SIMPLIFICADO</v>
          </cell>
          <cell r="J617" t="str">
            <v xml:space="preserve"> CR 25 24 50</v>
          </cell>
          <cell r="K617" t="str">
            <v>17001</v>
          </cell>
          <cell r="L617" t="str">
            <v>MANIZALES</v>
          </cell>
          <cell r="M617" t="str">
            <v>8917927</v>
          </cell>
        </row>
        <row r="618">
          <cell r="A618">
            <v>10224155</v>
          </cell>
          <cell r="B618" t="str">
            <v>1</v>
          </cell>
          <cell r="C618" t="str">
            <v/>
          </cell>
          <cell r="D618" t="str">
            <v>NP</v>
          </cell>
          <cell r="E618" t="str">
            <v>IVAN DARIO</v>
          </cell>
          <cell r="F618" t="str">
            <v>GOEZ</v>
          </cell>
          <cell r="G618" t="str">
            <v>GOEZ IVAN DARIO</v>
          </cell>
          <cell r="H618" t="str">
            <v>RESI</v>
          </cell>
          <cell r="I618" t="str">
            <v>REGIMEN SIMPLIFICADO</v>
          </cell>
          <cell r="J618" t="str">
            <v>CR 13  9 79 AP 303</v>
          </cell>
          <cell r="K618" t="str">
            <v>17001</v>
          </cell>
          <cell r="L618" t="str">
            <v>MANIZALES</v>
          </cell>
          <cell r="M618" t="str">
            <v>3206749408</v>
          </cell>
        </row>
        <row r="619">
          <cell r="A619">
            <v>10224703</v>
          </cell>
          <cell r="B619" t="str">
            <v>8</v>
          </cell>
          <cell r="C619" t="str">
            <v/>
          </cell>
          <cell r="D619" t="str">
            <v>NP</v>
          </cell>
          <cell r="E619" t="str">
            <v>JAIME</v>
          </cell>
          <cell r="F619" t="str">
            <v>RAMIREZ GALLEGO</v>
          </cell>
          <cell r="G619" t="str">
            <v>RAMIREZ GALLEGO JAIME</v>
          </cell>
          <cell r="H619" t="str">
            <v>RESI</v>
          </cell>
          <cell r="I619" t="str">
            <v>REGIMEN SIMPLIFICADO</v>
          </cell>
          <cell r="J619" t="str">
            <v>CR 11 12 B 12</v>
          </cell>
          <cell r="K619" t="str">
            <v>17001</v>
          </cell>
          <cell r="L619" t="str">
            <v>MANIZALES</v>
          </cell>
          <cell r="M619" t="str">
            <v>8825513</v>
          </cell>
        </row>
        <row r="620">
          <cell r="A620">
            <v>10224929</v>
          </cell>
          <cell r="B620" t="str">
            <v/>
          </cell>
          <cell r="C620" t="str">
            <v/>
          </cell>
          <cell r="D620" t="str">
            <v>CC</v>
          </cell>
          <cell r="E620" t="str">
            <v>JOSE RODRIGO</v>
          </cell>
          <cell r="F620" t="str">
            <v>ARIAS OCAMPO</v>
          </cell>
          <cell r="G620" t="str">
            <v>ARIAS OCAMPO JOSE RODRIGO</v>
          </cell>
          <cell r="H620" t="str">
            <v>FUNC</v>
          </cell>
          <cell r="I620" t="str">
            <v>FUNCIONARIO</v>
          </cell>
          <cell r="J620" t="str">
            <v>PAIPA</v>
          </cell>
          <cell r="K620" t="str">
            <v>15516</v>
          </cell>
          <cell r="L620" t="str">
            <v>PAIPA</v>
          </cell>
          <cell r="M620" t="str">
            <v>000</v>
          </cell>
        </row>
        <row r="621">
          <cell r="A621">
            <v>10225557</v>
          </cell>
          <cell r="B621" t="str">
            <v>3</v>
          </cell>
          <cell r="C621" t="str">
            <v/>
          </cell>
          <cell r="D621" t="str">
            <v>NP</v>
          </cell>
          <cell r="E621" t="str">
            <v>OSCAR</v>
          </cell>
          <cell r="F621" t="str">
            <v>CORREA MARIN</v>
          </cell>
          <cell r="G621" t="str">
            <v>CORREA MARIN OSCAR</v>
          </cell>
          <cell r="H621" t="str">
            <v>RECO</v>
          </cell>
          <cell r="I621" t="str">
            <v>REGIMEN COMUN</v>
          </cell>
          <cell r="J621" t="str">
            <v>CR 1 57  110  CON PINARES DE LA FLORIDA CA 9</v>
          </cell>
          <cell r="K621" t="str">
            <v>17001</v>
          </cell>
          <cell r="L621" t="str">
            <v>MANIZALES</v>
          </cell>
          <cell r="M621" t="str">
            <v>3136958935</v>
          </cell>
        </row>
        <row r="622">
          <cell r="A622">
            <v>10225566</v>
          </cell>
          <cell r="B622" t="str">
            <v>1</v>
          </cell>
          <cell r="C622" t="str">
            <v/>
          </cell>
          <cell r="D622" t="str">
            <v>NP</v>
          </cell>
          <cell r="E622" t="str">
            <v>NELSON DE JESUS</v>
          </cell>
          <cell r="F622" t="str">
            <v>GONZALEZ C</v>
          </cell>
          <cell r="G622" t="str">
            <v>NELSON DE JESUS GONZALEZ C</v>
          </cell>
          <cell r="H622" t="str">
            <v>RECO</v>
          </cell>
          <cell r="I622" t="str">
            <v>REGIMEN COMUN</v>
          </cell>
          <cell r="J622" t="str">
            <v>Cl 66 23 118</v>
          </cell>
          <cell r="K622" t="str">
            <v>17001</v>
          </cell>
          <cell r="L622" t="str">
            <v>MANIZALES</v>
          </cell>
          <cell r="M622" t="str">
            <v>3108401796</v>
          </cell>
        </row>
        <row r="623">
          <cell r="A623">
            <v>10225646</v>
          </cell>
          <cell r="B623" t="str">
            <v>0</v>
          </cell>
          <cell r="C623" t="str">
            <v/>
          </cell>
          <cell r="D623" t="str">
            <v>NP</v>
          </cell>
          <cell r="E623" t="str">
            <v>LUIS ALBERTO</v>
          </cell>
          <cell r="F623" t="str">
            <v>GIRALDO VALENCIA</v>
          </cell>
          <cell r="G623" t="str">
            <v>GIRALDO VALENCIA LUIS ALBERTO</v>
          </cell>
          <cell r="H623" t="str">
            <v>NORE</v>
          </cell>
          <cell r="I623" t="str">
            <v>NO RESPONSABLE DE IVA</v>
          </cell>
          <cell r="J623" t="str">
            <v>CL 57 18 C 02</v>
          </cell>
          <cell r="K623" t="str">
            <v>17001</v>
          </cell>
          <cell r="L623" t="str">
            <v>MANIZALES</v>
          </cell>
          <cell r="M623" t="str">
            <v>8862557</v>
          </cell>
        </row>
        <row r="624">
          <cell r="A624">
            <v>10225687</v>
          </cell>
          <cell r="B624" t="str">
            <v/>
          </cell>
          <cell r="C624" t="str">
            <v/>
          </cell>
          <cell r="D624" t="str">
            <v>CC</v>
          </cell>
          <cell r="E624" t="str">
            <v>JAIME</v>
          </cell>
          <cell r="F624" t="str">
            <v>ROMAN</v>
          </cell>
          <cell r="G624" t="str">
            <v>ROMAN JAIME</v>
          </cell>
          <cell r="H624" t="str">
            <v>RESI</v>
          </cell>
          <cell r="I624" t="str">
            <v>REGIMEN SIMPLIFICADO</v>
          </cell>
          <cell r="J624" t="str">
            <v>CR 35 19-44</v>
          </cell>
          <cell r="K624" t="str">
            <v>17001</v>
          </cell>
          <cell r="L624" t="str">
            <v>MANIZALES</v>
          </cell>
          <cell r="M624" t="str">
            <v>3103709570</v>
          </cell>
        </row>
        <row r="625">
          <cell r="A625">
            <v>10227058</v>
          </cell>
          <cell r="B625" t="str">
            <v>9</v>
          </cell>
          <cell r="C625" t="str">
            <v/>
          </cell>
          <cell r="D625" t="str">
            <v>NP</v>
          </cell>
          <cell r="E625" t="str">
            <v>FERNANDO</v>
          </cell>
          <cell r="F625" t="str">
            <v>JIMENEZ GARCIA</v>
          </cell>
          <cell r="G625" t="str">
            <v>JIMENEZ GARCIA FERNANDO</v>
          </cell>
          <cell r="H625" t="str">
            <v>GRCO</v>
          </cell>
          <cell r="I625" t="str">
            <v>GRAN CONTRIBUYENTE</v>
          </cell>
          <cell r="J625" t="str">
            <v>CL 65 A 23 B 113</v>
          </cell>
          <cell r="K625" t="str">
            <v>17001</v>
          </cell>
          <cell r="L625" t="str">
            <v>MANIZALES</v>
          </cell>
          <cell r="M625" t="str">
            <v>8875360</v>
          </cell>
        </row>
        <row r="626">
          <cell r="A626">
            <v>10227083</v>
          </cell>
          <cell r="B626" t="str">
            <v>3</v>
          </cell>
          <cell r="C626" t="str">
            <v/>
          </cell>
          <cell r="D626" t="str">
            <v>NP</v>
          </cell>
          <cell r="E626" t="str">
            <v>ORLANDO</v>
          </cell>
          <cell r="F626" t="str">
            <v>MARIN GOMEZ</v>
          </cell>
          <cell r="G626" t="str">
            <v>MARIN GOMEZ ORLANDO</v>
          </cell>
          <cell r="H626" t="str">
            <v>RESI</v>
          </cell>
          <cell r="I626" t="str">
            <v>REGIMEN SIMPLIFICADO</v>
          </cell>
          <cell r="J626" t="str">
            <v>CARRERA 24 65 A 47</v>
          </cell>
          <cell r="K626" t="str">
            <v>17001</v>
          </cell>
          <cell r="L626" t="str">
            <v>MANIZALES</v>
          </cell>
          <cell r="M626" t="str">
            <v>8875369</v>
          </cell>
        </row>
        <row r="627">
          <cell r="A627">
            <v>10227383</v>
          </cell>
          <cell r="B627" t="str">
            <v>8</v>
          </cell>
          <cell r="C627" t="str">
            <v/>
          </cell>
          <cell r="D627" t="str">
            <v>NP</v>
          </cell>
          <cell r="E627" t="str">
            <v>GILBERTO</v>
          </cell>
          <cell r="F627" t="str">
            <v>VASQUEZ RODAS</v>
          </cell>
          <cell r="G627" t="str">
            <v>VASQUEZ RODAS GILBERTO</v>
          </cell>
          <cell r="H627" t="str">
            <v>RESI</v>
          </cell>
          <cell r="I627" t="str">
            <v>REGIMEN SIMPLIFICADO</v>
          </cell>
          <cell r="J627" t="str">
            <v>CR 23  15 38 P BRR CENTRO</v>
          </cell>
          <cell r="K627" t="str">
            <v>17001</v>
          </cell>
          <cell r="L627" t="str">
            <v>MANIZALES</v>
          </cell>
          <cell r="M627" t="str">
            <v>3127981847</v>
          </cell>
        </row>
        <row r="628">
          <cell r="A628">
            <v>10227492</v>
          </cell>
          <cell r="B628" t="str">
            <v>2</v>
          </cell>
          <cell r="C628" t="str">
            <v/>
          </cell>
          <cell r="D628" t="str">
            <v>NP</v>
          </cell>
          <cell r="E628" t="str">
            <v>MARINO</v>
          </cell>
          <cell r="F628" t="str">
            <v>HOYOS ZULUAGA</v>
          </cell>
          <cell r="G628" t="str">
            <v>HOYOS ZULUAGA MARINO</v>
          </cell>
          <cell r="H628" t="str">
            <v>RECO</v>
          </cell>
          <cell r="I628" t="str">
            <v>REGIMEN COMUN</v>
          </cell>
          <cell r="J628" t="str">
            <v>CL 70 20 15 AP 601 BRR ALTA SUIZA</v>
          </cell>
          <cell r="K628" t="str">
            <v>17001</v>
          </cell>
          <cell r="L628" t="str">
            <v>MANIZALES</v>
          </cell>
          <cell r="M628" t="str">
            <v>8848579</v>
          </cell>
        </row>
        <row r="629">
          <cell r="A629">
            <v>10227694</v>
          </cell>
          <cell r="B629" t="str">
            <v>3</v>
          </cell>
          <cell r="C629" t="str">
            <v/>
          </cell>
          <cell r="D629" t="str">
            <v>NP</v>
          </cell>
          <cell r="E629" t="str">
            <v xml:space="preserve">JORGE          </v>
          </cell>
          <cell r="F629" t="str">
            <v>JARAMILLO DURAN</v>
          </cell>
          <cell r="G629" t="str">
            <v>JARAMILLO DURAN JORGE</v>
          </cell>
          <cell r="H629" t="str">
            <v>RECO</v>
          </cell>
          <cell r="I629" t="str">
            <v>REGIMEN COMUN</v>
          </cell>
          <cell r="J629" t="str">
            <v>ED EL CASTILLO CR 23   63   15</v>
          </cell>
          <cell r="K629" t="str">
            <v>17001</v>
          </cell>
          <cell r="L629" t="str">
            <v>MANIZALES</v>
          </cell>
          <cell r="M629" t="str">
            <v>8863060</v>
          </cell>
        </row>
        <row r="630">
          <cell r="A630">
            <v>10227778</v>
          </cell>
          <cell r="B630" t="str">
            <v>3</v>
          </cell>
          <cell r="C630" t="str">
            <v/>
          </cell>
          <cell r="D630" t="str">
            <v>NP</v>
          </cell>
          <cell r="E630" t="str">
            <v>LEONARDO</v>
          </cell>
          <cell r="F630" t="str">
            <v>OROZCO OSORIO</v>
          </cell>
          <cell r="G630" t="str">
            <v>OROZCO OSORIO LEONARDO</v>
          </cell>
          <cell r="H630" t="str">
            <v>RESI</v>
          </cell>
          <cell r="I630" t="str">
            <v>REGIMEN SIMPLIFICADO</v>
          </cell>
          <cell r="J630" t="str">
            <v xml:space="preserve"> C  A  L  L  E A  20 55</v>
          </cell>
          <cell r="K630" t="str">
            <v>17001</v>
          </cell>
          <cell r="L630" t="str">
            <v>MANIZALES</v>
          </cell>
          <cell r="M630" t="str">
            <v>3117114682</v>
          </cell>
        </row>
        <row r="631">
          <cell r="A631">
            <v>10227869</v>
          </cell>
          <cell r="B631" t="str">
            <v>5</v>
          </cell>
          <cell r="C631" t="str">
            <v/>
          </cell>
          <cell r="D631" t="str">
            <v>NP</v>
          </cell>
          <cell r="E631" t="str">
            <v>GERMAN</v>
          </cell>
          <cell r="F631" t="str">
            <v>RIOS MARTINEZ</v>
          </cell>
          <cell r="G631" t="str">
            <v>RIOS MARTINEZ GERMAN</v>
          </cell>
          <cell r="H631" t="str">
            <v>NORE</v>
          </cell>
          <cell r="I631" t="str">
            <v>NO RESPONSABLE DE IVA</v>
          </cell>
          <cell r="J631" t="str">
            <v>CEL 13 NUCLEO 1  AP 301  BRR VILLAPILAR</v>
          </cell>
          <cell r="K631" t="str">
            <v>17001</v>
          </cell>
          <cell r="L631" t="str">
            <v>MANIZALES</v>
          </cell>
          <cell r="M631" t="str">
            <v>3104111725</v>
          </cell>
        </row>
        <row r="632">
          <cell r="A632">
            <v>10227979</v>
          </cell>
          <cell r="B632" t="str">
            <v/>
          </cell>
          <cell r="C632" t="str">
            <v/>
          </cell>
          <cell r="D632" t="str">
            <v>CC</v>
          </cell>
          <cell r="E632" t="str">
            <v xml:space="preserve">JAIME </v>
          </cell>
          <cell r="F632" t="str">
            <v>LOPEZ QUINTERO</v>
          </cell>
          <cell r="G632" t="str">
            <v>JAIME LOPEZ QUINTERO</v>
          </cell>
          <cell r="H632" t="str">
            <v>FUNC</v>
          </cell>
          <cell r="I632" t="str">
            <v>FUNCIONARIO</v>
          </cell>
          <cell r="J632" t="str">
            <v>CL 25   27 A 05 P 02</v>
          </cell>
          <cell r="K632" t="str">
            <v>17001</v>
          </cell>
          <cell r="L632" t="str">
            <v>MANIZALES</v>
          </cell>
          <cell r="M632" t="str">
            <v>3103249508</v>
          </cell>
        </row>
        <row r="633">
          <cell r="A633">
            <v>10228171</v>
          </cell>
          <cell r="B633" t="str">
            <v/>
          </cell>
          <cell r="C633" t="str">
            <v/>
          </cell>
          <cell r="D633" t="str">
            <v>CC</v>
          </cell>
          <cell r="E633" t="str">
            <v xml:space="preserve">JORGE ELIECER </v>
          </cell>
          <cell r="F633" t="str">
            <v>VALLEJO CASTAÑEDA</v>
          </cell>
          <cell r="G633" t="str">
            <v xml:space="preserve">VALLEJO CASTAÑEDA JORGE ELIECER </v>
          </cell>
          <cell r="H633" t="str">
            <v>FUNC</v>
          </cell>
          <cell r="I633" t="str">
            <v>FUNCIONARIO</v>
          </cell>
          <cell r="J633" t="str">
            <v>CL 66 E    40 A 40</v>
          </cell>
          <cell r="K633" t="str">
            <v>17001</v>
          </cell>
          <cell r="L633" t="str">
            <v>MANIZALES</v>
          </cell>
          <cell r="M633" t="str">
            <v>8827836</v>
          </cell>
        </row>
        <row r="634">
          <cell r="A634">
            <v>10228591</v>
          </cell>
          <cell r="B634" t="str">
            <v>8</v>
          </cell>
          <cell r="C634" t="str">
            <v/>
          </cell>
          <cell r="D634" t="str">
            <v>NP</v>
          </cell>
          <cell r="E634" t="str">
            <v>WILMAR</v>
          </cell>
          <cell r="F634" t="str">
            <v>TORRES LONDOÑO</v>
          </cell>
          <cell r="G634" t="str">
            <v>TORRES LONDOÑO WILMAR</v>
          </cell>
          <cell r="H634" t="str">
            <v>RESI</v>
          </cell>
          <cell r="I634" t="str">
            <v>REGIMEN SIMPLIFICADO</v>
          </cell>
          <cell r="J634" t="str">
            <v>CR 27 69 A 20 AP 101 ED LOS DELFINES</v>
          </cell>
          <cell r="K634" t="str">
            <v>17001</v>
          </cell>
          <cell r="L634" t="str">
            <v>MANIZALES</v>
          </cell>
          <cell r="M634" t="str">
            <v>3154108230</v>
          </cell>
        </row>
        <row r="635">
          <cell r="A635">
            <v>10228661</v>
          </cell>
          <cell r="B635" t="str">
            <v>5</v>
          </cell>
          <cell r="C635" t="str">
            <v/>
          </cell>
          <cell r="D635" t="str">
            <v>NP</v>
          </cell>
          <cell r="E635" t="str">
            <v>JUAN CARLOS</v>
          </cell>
          <cell r="F635" t="str">
            <v>CASTAÑO ARAQUE</v>
          </cell>
          <cell r="G635" t="str">
            <v>JUAN CARLOS CASTAÑO ARAQUE</v>
          </cell>
          <cell r="H635" t="str">
            <v>RECO</v>
          </cell>
          <cell r="I635" t="str">
            <v>REGIMEN COMUN</v>
          </cell>
          <cell r="J635" t="str">
            <v>CONJ CERROS DE LA ALHAMBRA  CASA 5</v>
          </cell>
          <cell r="K635" t="str">
            <v>17001</v>
          </cell>
          <cell r="L635" t="str">
            <v>MANIZALES</v>
          </cell>
          <cell r="M635" t="str">
            <v>8726180</v>
          </cell>
        </row>
        <row r="636">
          <cell r="A636">
            <v>10229021</v>
          </cell>
          <cell r="B636" t="str">
            <v/>
          </cell>
          <cell r="C636" t="str">
            <v/>
          </cell>
          <cell r="D636" t="str">
            <v>CC</v>
          </cell>
          <cell r="E636" t="str">
            <v>DARIO</v>
          </cell>
          <cell r="F636" t="str">
            <v>RESTREPÓ ANGEL</v>
          </cell>
          <cell r="G636" t="str">
            <v>RESTREPÓ ANGEL DARIO</v>
          </cell>
          <cell r="H636" t="str">
            <v>IMVE</v>
          </cell>
          <cell r="I636" t="str">
            <v>IMPUESTO SOBRE LAS VENTAS</v>
          </cell>
          <cell r="J636" t="str">
            <v>CR 6 5 37 BRR RENAN BARCO</v>
          </cell>
          <cell r="K636" t="str">
            <v>17495</v>
          </cell>
          <cell r="L636" t="str">
            <v>NORCASIA</v>
          </cell>
          <cell r="M636" t="str">
            <v>3146628420</v>
          </cell>
        </row>
        <row r="637">
          <cell r="A637">
            <v>10229539</v>
          </cell>
          <cell r="B637" t="str">
            <v>9</v>
          </cell>
          <cell r="C637" t="str">
            <v/>
          </cell>
          <cell r="D637" t="str">
            <v>NP</v>
          </cell>
          <cell r="E637" t="str">
            <v>JAIME EDUARDO</v>
          </cell>
          <cell r="F637" t="str">
            <v>ROBLEDO QUINTERO</v>
          </cell>
          <cell r="G637" t="str">
            <v>ROBLEDO QUINTERO JAIME EDUARDO</v>
          </cell>
          <cell r="H637" t="str">
            <v>RECO</v>
          </cell>
          <cell r="I637" t="str">
            <v>REGIMEN COMUN</v>
          </cell>
          <cell r="J637" t="str">
            <v>CL 48  24  22</v>
          </cell>
          <cell r="K637" t="str">
            <v>17001</v>
          </cell>
          <cell r="L637" t="str">
            <v>MANIZALES</v>
          </cell>
          <cell r="M637" t="str">
            <v>3217468779</v>
          </cell>
        </row>
        <row r="638">
          <cell r="A638">
            <v>10229662</v>
          </cell>
          <cell r="B638" t="str">
            <v>7</v>
          </cell>
          <cell r="C638" t="str">
            <v/>
          </cell>
          <cell r="D638" t="str">
            <v>NP</v>
          </cell>
          <cell r="E638" t="str">
            <v>HERNANDO ANTONIO</v>
          </cell>
          <cell r="F638" t="str">
            <v xml:space="preserve">GALVIS </v>
          </cell>
          <cell r="G638" t="str">
            <v>HERNANDO ANTONIO GALVIS Y/O EN FORMA GIMNASIO</v>
          </cell>
          <cell r="H638" t="str">
            <v>RECO</v>
          </cell>
          <cell r="I638" t="str">
            <v>REGIMEN COMUN</v>
          </cell>
          <cell r="J638" t="str">
            <v>CL  23 43 04 p 2</v>
          </cell>
          <cell r="K638" t="str">
            <v>17001</v>
          </cell>
          <cell r="L638" t="str">
            <v>MANIZALES</v>
          </cell>
          <cell r="M638" t="str">
            <v>3137591371</v>
          </cell>
        </row>
        <row r="639">
          <cell r="A639">
            <v>10230148</v>
          </cell>
          <cell r="B639" t="str">
            <v>4</v>
          </cell>
          <cell r="C639" t="str">
            <v/>
          </cell>
          <cell r="D639" t="str">
            <v>NP</v>
          </cell>
          <cell r="E639" t="str">
            <v>ANTONIO</v>
          </cell>
          <cell r="F639" t="str">
            <v>LONDOÑO CARVAJAL</v>
          </cell>
          <cell r="G639" t="str">
            <v>LONDOÑO CARVAJAL ANTONIO</v>
          </cell>
          <cell r="H639" t="str">
            <v>RECO</v>
          </cell>
          <cell r="I639" t="str">
            <v>REGIMEN COMUN</v>
          </cell>
          <cell r="J639" t="str">
            <v>CL 70 A   23   21</v>
          </cell>
          <cell r="K639" t="str">
            <v>17001</v>
          </cell>
          <cell r="L639" t="str">
            <v>MANIZALES</v>
          </cell>
          <cell r="M639" t="str">
            <v>8873162</v>
          </cell>
        </row>
        <row r="640">
          <cell r="A640">
            <v>10230163</v>
          </cell>
          <cell r="B640" t="str">
            <v/>
          </cell>
          <cell r="C640" t="str">
            <v/>
          </cell>
          <cell r="D640" t="str">
            <v>CC</v>
          </cell>
          <cell r="E640" t="str">
            <v>EDILBERTO</v>
          </cell>
          <cell r="F640" t="str">
            <v>AGUIRRE OROZCO</v>
          </cell>
          <cell r="G640" t="str">
            <v xml:space="preserve">AGUIRRE OROZCO EDILBERTO                                    </v>
          </cell>
          <cell r="H640" t="str">
            <v>FUNC</v>
          </cell>
          <cell r="I640" t="str">
            <v>FUNCIONARIO</v>
          </cell>
          <cell r="J640" t="str">
            <v>CR 20   63   53</v>
          </cell>
          <cell r="K640" t="str">
            <v>17001</v>
          </cell>
          <cell r="L640" t="str">
            <v>MANIZALES</v>
          </cell>
          <cell r="M640" t="str">
            <v>3148881690</v>
          </cell>
        </row>
        <row r="641">
          <cell r="A641">
            <v>10231322</v>
          </cell>
          <cell r="B641" t="str">
            <v>4</v>
          </cell>
          <cell r="C641" t="str">
            <v/>
          </cell>
          <cell r="D641" t="str">
            <v>NP</v>
          </cell>
          <cell r="E641" t="str">
            <v>LUIS UBALDO</v>
          </cell>
          <cell r="F641" t="str">
            <v>GALLO ROBAYO</v>
          </cell>
          <cell r="G641" t="str">
            <v>GALLO ROBAYO LUIS UBALDO</v>
          </cell>
          <cell r="H641" t="str">
            <v>IMVE</v>
          </cell>
          <cell r="I641" t="str">
            <v>IMPUESTO SOBRE LAS VENTAS</v>
          </cell>
          <cell r="J641" t="str">
            <v>CL 17 27 54</v>
          </cell>
          <cell r="K641" t="str">
            <v>17001</v>
          </cell>
          <cell r="L641" t="str">
            <v>MANIZALES</v>
          </cell>
          <cell r="M641" t="str">
            <v>8802613</v>
          </cell>
        </row>
        <row r="642">
          <cell r="A642">
            <v>10231375</v>
          </cell>
          <cell r="B642" t="str">
            <v/>
          </cell>
          <cell r="C642" t="str">
            <v/>
          </cell>
          <cell r="D642" t="str">
            <v>CC</v>
          </cell>
          <cell r="E642" t="str">
            <v>FABIO</v>
          </cell>
          <cell r="F642" t="str">
            <v>MEJIA SERNA</v>
          </cell>
          <cell r="G642" t="str">
            <v>FABIO MEJIA SERNA</v>
          </cell>
          <cell r="H642" t="str">
            <v>FUNC</v>
          </cell>
          <cell r="I642" t="str">
            <v>FUNCIONARIO</v>
          </cell>
          <cell r="J642" t="str">
            <v>CALLE 75 NO. 24 A-65 APTO. B4</v>
          </cell>
          <cell r="K642" t="str">
            <v>17001</v>
          </cell>
          <cell r="L642" t="str">
            <v>MANIZALES</v>
          </cell>
          <cell r="M642" t="str">
            <v>8868558</v>
          </cell>
        </row>
        <row r="643">
          <cell r="A643">
            <v>10231760</v>
          </cell>
          <cell r="B643" t="str">
            <v>7</v>
          </cell>
          <cell r="C643" t="str">
            <v/>
          </cell>
          <cell r="D643" t="str">
            <v>NP</v>
          </cell>
          <cell r="E643" t="str">
            <v>MARIA MARFA</v>
          </cell>
          <cell r="F643" t="str">
            <v>OSORIO GUTIERREZ</v>
          </cell>
          <cell r="G643" t="str">
            <v>MARIA MARFA OSORIO GUTIERREZ</v>
          </cell>
          <cell r="H643" t="str">
            <v>RECO</v>
          </cell>
          <cell r="I643" t="str">
            <v>REGIMEN COMUN</v>
          </cell>
          <cell r="J643" t="str">
            <v xml:space="preserve">CR 23 N 64B 33                     </v>
          </cell>
          <cell r="K643" t="str">
            <v>17001</v>
          </cell>
          <cell r="L643" t="str">
            <v>MANIZALES</v>
          </cell>
          <cell r="M643" t="str">
            <v>8756262</v>
          </cell>
        </row>
        <row r="644">
          <cell r="A644">
            <v>10232359</v>
          </cell>
          <cell r="B644" t="str">
            <v/>
          </cell>
          <cell r="C644" t="str">
            <v/>
          </cell>
          <cell r="D644" t="str">
            <v>CC</v>
          </cell>
          <cell r="E644" t="str">
            <v>MARIO TADEO</v>
          </cell>
          <cell r="F644" t="str">
            <v>PATIÑO GALINDO</v>
          </cell>
          <cell r="G644" t="str">
            <v>MARIO TADEO PATIÑO GALINDO</v>
          </cell>
          <cell r="H644" t="str">
            <v>FUNC</v>
          </cell>
          <cell r="I644" t="str">
            <v>FUNCIONARIO</v>
          </cell>
          <cell r="J644" t="str">
            <v>CR 27 N 50 50</v>
          </cell>
          <cell r="K644" t="str">
            <v>17001</v>
          </cell>
          <cell r="L644" t="str">
            <v>MANIZALES</v>
          </cell>
          <cell r="M644" t="str">
            <v>3128044818</v>
          </cell>
        </row>
        <row r="645">
          <cell r="A645">
            <v>10232980</v>
          </cell>
          <cell r="B645" t="str">
            <v/>
          </cell>
          <cell r="C645" t="str">
            <v/>
          </cell>
          <cell r="D645" t="str">
            <v>CC</v>
          </cell>
          <cell r="E645" t="str">
            <v>JOSE WILMAR</v>
          </cell>
          <cell r="F645" t="str">
            <v>JARAMILLO MORALES</v>
          </cell>
          <cell r="G645" t="str">
            <v>JARAMILLO MORALES JOSE WILMAR</v>
          </cell>
          <cell r="H645" t="str">
            <v>FUNC</v>
          </cell>
          <cell r="I645" t="str">
            <v>FUNCIONARIO</v>
          </cell>
          <cell r="J645" t="str">
            <v>CR 25 B 51 31</v>
          </cell>
          <cell r="K645" t="str">
            <v>17001</v>
          </cell>
          <cell r="L645" t="str">
            <v>MANIZALES</v>
          </cell>
          <cell r="M645" t="str">
            <v>3155772762</v>
          </cell>
        </row>
        <row r="646">
          <cell r="A646">
            <v>10233336</v>
          </cell>
          <cell r="B646" t="str">
            <v>6</v>
          </cell>
          <cell r="C646" t="str">
            <v/>
          </cell>
          <cell r="D646" t="str">
            <v>NP</v>
          </cell>
          <cell r="E646" t="str">
            <v>JOSE JAHIR</v>
          </cell>
          <cell r="F646" t="str">
            <v>ROJAS QUICENO</v>
          </cell>
          <cell r="G646" t="str">
            <v>ROJAS QUICENO JOSE JAHIR</v>
          </cell>
          <cell r="H646" t="str">
            <v>RESI</v>
          </cell>
          <cell r="I646" t="str">
            <v>REGIMEN SIMPLIFICADO</v>
          </cell>
          <cell r="J646" t="str">
            <v>CR 18  A  4  A 40  C S  2</v>
          </cell>
          <cell r="K646" t="str">
            <v>17001</v>
          </cell>
          <cell r="L646" t="str">
            <v>MANIZALES</v>
          </cell>
          <cell r="M646" t="str">
            <v>3207976945</v>
          </cell>
        </row>
        <row r="647">
          <cell r="A647">
            <v>10233543</v>
          </cell>
          <cell r="B647" t="str">
            <v>4</v>
          </cell>
          <cell r="C647" t="str">
            <v/>
          </cell>
          <cell r="D647" t="str">
            <v>NP</v>
          </cell>
          <cell r="E647" t="str">
            <v>JOSE ALONSO</v>
          </cell>
          <cell r="F647" t="str">
            <v>GIRALDO L.</v>
          </cell>
          <cell r="G647" t="str">
            <v>GIRALDO L. JOSE ALONSO</v>
          </cell>
          <cell r="H647" t="str">
            <v>RECO</v>
          </cell>
          <cell r="I647" t="str">
            <v>REGIMEN COMUN</v>
          </cell>
          <cell r="J647" t="str">
            <v>CR 23   26   16</v>
          </cell>
          <cell r="K647" t="str">
            <v>17001</v>
          </cell>
          <cell r="L647" t="str">
            <v>MANIZALES</v>
          </cell>
          <cell r="M647" t="str">
            <v>8842527</v>
          </cell>
        </row>
        <row r="648">
          <cell r="A648">
            <v>10233798</v>
          </cell>
          <cell r="B648" t="str">
            <v>5</v>
          </cell>
          <cell r="C648" t="str">
            <v/>
          </cell>
          <cell r="D648" t="str">
            <v>NP</v>
          </cell>
          <cell r="E648" t="str">
            <v>JAIME</v>
          </cell>
          <cell r="F648" t="str">
            <v>LOPEZ TRUJILLO</v>
          </cell>
          <cell r="G648" t="str">
            <v>LOPEZ TRUJILLO JAIME</v>
          </cell>
          <cell r="H648" t="str">
            <v>RESI</v>
          </cell>
          <cell r="I648" t="str">
            <v>REGIMEN SIMPLIFICADO</v>
          </cell>
          <cell r="J648" t="str">
            <v>CR 24   51   44</v>
          </cell>
          <cell r="K648" t="str">
            <v>17001</v>
          </cell>
          <cell r="L648" t="str">
            <v>MANIZALES</v>
          </cell>
          <cell r="M648" t="str">
            <v>8863513</v>
          </cell>
        </row>
        <row r="649">
          <cell r="A649">
            <v>10233812</v>
          </cell>
          <cell r="B649" t="str">
            <v>0</v>
          </cell>
          <cell r="C649" t="str">
            <v/>
          </cell>
          <cell r="D649" t="str">
            <v>NP</v>
          </cell>
          <cell r="E649" t="str">
            <v>GERMAN ANTONIO</v>
          </cell>
          <cell r="F649" t="str">
            <v>BEDOYA LONDOÑO</v>
          </cell>
          <cell r="G649" t="str">
            <v>GERMAN ANTONIO BEDOYA LONDOÑO</v>
          </cell>
          <cell r="H649" t="str">
            <v>RECO</v>
          </cell>
          <cell r="I649" t="str">
            <v>REGIMEN COMUN</v>
          </cell>
          <cell r="J649" t="str">
            <v>CL 27 21 21</v>
          </cell>
          <cell r="K649" t="str">
            <v>17001</v>
          </cell>
          <cell r="L649" t="str">
            <v>MANIZALES</v>
          </cell>
          <cell r="M649" t="str">
            <v>8840432</v>
          </cell>
        </row>
        <row r="650">
          <cell r="A650">
            <v>10233946</v>
          </cell>
          <cell r="B650" t="str">
            <v>9</v>
          </cell>
          <cell r="C650" t="str">
            <v/>
          </cell>
          <cell r="D650" t="str">
            <v>NP</v>
          </cell>
          <cell r="E650" t="str">
            <v>JOSE FERNANDO</v>
          </cell>
          <cell r="F650" t="str">
            <v>VALENCIA AYALA</v>
          </cell>
          <cell r="G650" t="str">
            <v>VALENCIA AYALA JOSE FERNANDO</v>
          </cell>
          <cell r="H650" t="str">
            <v>RESI</v>
          </cell>
          <cell r="I650" t="str">
            <v>REGIMEN SIMPLIFICADO</v>
          </cell>
          <cell r="J650" t="str">
            <v>CALLE 8 B NO 9C-76</v>
          </cell>
          <cell r="K650" t="str">
            <v>17001</v>
          </cell>
          <cell r="L650" t="str">
            <v>MANIZALES</v>
          </cell>
          <cell r="M650" t="str">
            <v>3104531798</v>
          </cell>
        </row>
        <row r="651">
          <cell r="A651">
            <v>10234249</v>
          </cell>
          <cell r="B651" t="str">
            <v>8</v>
          </cell>
          <cell r="C651" t="str">
            <v/>
          </cell>
          <cell r="D651" t="str">
            <v>NP</v>
          </cell>
          <cell r="E651" t="str">
            <v>JUAN MANUEL</v>
          </cell>
          <cell r="F651" t="str">
            <v>MORALES PARRA</v>
          </cell>
          <cell r="G651" t="str">
            <v>MORALES PARRA JUAN MANUEL</v>
          </cell>
          <cell r="H651" t="str">
            <v>RESI</v>
          </cell>
          <cell r="I651" t="str">
            <v>REGIMEN SIMPLIFICADO</v>
          </cell>
          <cell r="J651" t="str">
            <v>CL 12  8  26</v>
          </cell>
          <cell r="K651" t="str">
            <v>17001</v>
          </cell>
          <cell r="L651" t="str">
            <v>MANIZALES</v>
          </cell>
          <cell r="M651" t="str">
            <v>3138072585</v>
          </cell>
        </row>
        <row r="652">
          <cell r="A652">
            <v>10234548</v>
          </cell>
          <cell r="B652" t="str">
            <v/>
          </cell>
          <cell r="C652" t="str">
            <v/>
          </cell>
          <cell r="D652" t="str">
            <v>CC</v>
          </cell>
          <cell r="E652" t="str">
            <v>ARMANDO</v>
          </cell>
          <cell r="F652" t="str">
            <v>VARGAS HENAO</v>
          </cell>
          <cell r="G652" t="str">
            <v>VARGAS HENAO ARMANDO</v>
          </cell>
          <cell r="H652" t="str">
            <v>FUNC</v>
          </cell>
          <cell r="I652" t="str">
            <v>FUNCIONARIO</v>
          </cell>
          <cell r="J652" t="str">
            <v>CR 34   106   37</v>
          </cell>
          <cell r="K652" t="str">
            <v>17001</v>
          </cell>
          <cell r="L652" t="str">
            <v>MANIZALES</v>
          </cell>
          <cell r="M652" t="str">
            <v>8746772</v>
          </cell>
        </row>
        <row r="653">
          <cell r="A653">
            <v>10234708</v>
          </cell>
          <cell r="B653" t="str">
            <v>7</v>
          </cell>
          <cell r="C653" t="str">
            <v/>
          </cell>
          <cell r="D653" t="str">
            <v>NP</v>
          </cell>
          <cell r="E653" t="str">
            <v>JORGE</v>
          </cell>
          <cell r="F653" t="str">
            <v>RAMIREZ GALLEGO</v>
          </cell>
          <cell r="G653" t="str">
            <v>RAMIREZ GALLEGO JORGE</v>
          </cell>
          <cell r="H653" t="str">
            <v>RECO</v>
          </cell>
          <cell r="I653" t="str">
            <v>REGIMEN COMUN</v>
          </cell>
          <cell r="J653" t="str">
            <v>CR 21 16 44</v>
          </cell>
          <cell r="K653" t="str">
            <v>17001</v>
          </cell>
          <cell r="L653" t="str">
            <v>MANIZALES</v>
          </cell>
          <cell r="M653" t="str">
            <v>8802056</v>
          </cell>
        </row>
        <row r="654">
          <cell r="A654">
            <v>10235229</v>
          </cell>
          <cell r="B654" t="str">
            <v>5</v>
          </cell>
          <cell r="C654" t="str">
            <v/>
          </cell>
          <cell r="D654" t="str">
            <v>NP</v>
          </cell>
          <cell r="E654" t="str">
            <v>JAIRO DE JESUS</v>
          </cell>
          <cell r="F654" t="str">
            <v>ARCILA GARCIA</v>
          </cell>
          <cell r="G654" t="str">
            <v>ARCILA GARCIA JAIRO DE JESUS</v>
          </cell>
          <cell r="H654" t="str">
            <v>RESI</v>
          </cell>
          <cell r="I654" t="str">
            <v>REGIMEN SIMPLIFICADO</v>
          </cell>
          <cell r="J654" t="str">
            <v>VDA SAUSAGUA FCA EL DINDE</v>
          </cell>
          <cell r="K654" t="str">
            <v>17174</v>
          </cell>
          <cell r="L654" t="str">
            <v>CHINCHINÁ</v>
          </cell>
          <cell r="M654" t="str">
            <v>8810400</v>
          </cell>
        </row>
        <row r="655">
          <cell r="A655">
            <v>10235370</v>
          </cell>
          <cell r="B655" t="str">
            <v/>
          </cell>
          <cell r="C655" t="str">
            <v/>
          </cell>
          <cell r="D655" t="str">
            <v>CC</v>
          </cell>
          <cell r="E655" t="str">
            <v>DIEGO</v>
          </cell>
          <cell r="F655" t="str">
            <v>MORALES CASTAÑO</v>
          </cell>
          <cell r="G655" t="str">
            <v>MORALES CASTAÑO DIEGO</v>
          </cell>
          <cell r="H655" t="str">
            <v>RESI</v>
          </cell>
          <cell r="I655" t="str">
            <v>REGIMEN SIMPLIFICADO</v>
          </cell>
          <cell r="J655" t="str">
            <v>CL 31 N 9-113</v>
          </cell>
          <cell r="K655" t="str">
            <v>17001</v>
          </cell>
          <cell r="L655" t="str">
            <v>MANIZALES</v>
          </cell>
          <cell r="M655" t="str">
            <v>3104608955</v>
          </cell>
        </row>
        <row r="656">
          <cell r="A656">
            <v>10235510</v>
          </cell>
          <cell r="B656" t="str">
            <v>0</v>
          </cell>
          <cell r="C656" t="str">
            <v/>
          </cell>
          <cell r="D656" t="str">
            <v>NP</v>
          </cell>
          <cell r="E656" t="str">
            <v>LUIS MARIO</v>
          </cell>
          <cell r="F656" t="str">
            <v>GARCIA PIZARRO</v>
          </cell>
          <cell r="G656" t="str">
            <v>LUIS MARIO GARCIA PIZARRO</v>
          </cell>
          <cell r="H656" t="str">
            <v>RECO</v>
          </cell>
          <cell r="I656" t="str">
            <v>REGIMEN COMUN</v>
          </cell>
          <cell r="J656" t="str">
            <v xml:space="preserve">CR 23 N 64B 33                     </v>
          </cell>
          <cell r="K656" t="str">
            <v>17001</v>
          </cell>
          <cell r="L656" t="str">
            <v>MANIZALES</v>
          </cell>
          <cell r="M656" t="str">
            <v>8756262</v>
          </cell>
        </row>
        <row r="657">
          <cell r="A657">
            <v>10235539</v>
          </cell>
          <cell r="B657" t="str">
            <v>3</v>
          </cell>
          <cell r="C657" t="str">
            <v/>
          </cell>
          <cell r="D657" t="str">
            <v>NP</v>
          </cell>
          <cell r="E657" t="str">
            <v>RUBEN DARIO</v>
          </cell>
          <cell r="F657" t="str">
            <v>ROMAN ROMERO</v>
          </cell>
          <cell r="G657" t="str">
            <v>ROMAN ROMERO RUBEN DARIO</v>
          </cell>
          <cell r="H657" t="str">
            <v>IMVE</v>
          </cell>
          <cell r="I657" t="str">
            <v>IMPUESTO SOBRE LAS VENTAS</v>
          </cell>
          <cell r="J657" t="str">
            <v>CR 25  19   60</v>
          </cell>
          <cell r="K657" t="str">
            <v>17001</v>
          </cell>
          <cell r="L657" t="str">
            <v>MANIZALES</v>
          </cell>
          <cell r="M657" t="str">
            <v>8845020</v>
          </cell>
        </row>
        <row r="658">
          <cell r="A658">
            <v>10235787</v>
          </cell>
          <cell r="B658" t="str">
            <v>3</v>
          </cell>
          <cell r="C658" t="str">
            <v/>
          </cell>
          <cell r="D658" t="str">
            <v>NP</v>
          </cell>
          <cell r="E658" t="str">
            <v>GERMAN</v>
          </cell>
          <cell r="F658" t="str">
            <v>SALAZAR MEJÍA</v>
          </cell>
          <cell r="G658" t="str">
            <v>SALAZAR MEJÍA GERMAN</v>
          </cell>
          <cell r="H658" t="str">
            <v>RECO</v>
          </cell>
          <cell r="I658" t="str">
            <v>REGIMEN COMUN</v>
          </cell>
          <cell r="J658" t="str">
            <v xml:space="preserve"> KM 5 VIA AL MAGDALENA  CONJ RINCON DEL TREBOL  CA 7</v>
          </cell>
          <cell r="K658" t="str">
            <v>17001</v>
          </cell>
          <cell r="L658" t="str">
            <v>MANIZALES</v>
          </cell>
          <cell r="M658" t="str">
            <v>8858977</v>
          </cell>
        </row>
        <row r="659">
          <cell r="A659">
            <v>10235944</v>
          </cell>
          <cell r="B659" t="str">
            <v>3</v>
          </cell>
          <cell r="C659" t="str">
            <v/>
          </cell>
          <cell r="D659" t="str">
            <v>NP</v>
          </cell>
          <cell r="E659" t="str">
            <v>MARIO CESAR</v>
          </cell>
          <cell r="F659" t="str">
            <v>OTALVARO TREJOS</v>
          </cell>
          <cell r="G659" t="str">
            <v>OTALVARO TREJOS MARIO CESAR</v>
          </cell>
          <cell r="H659" t="str">
            <v>NORE</v>
          </cell>
          <cell r="I659" t="str">
            <v>NO RESPONSABLE DE IVA</v>
          </cell>
          <cell r="J659" t="str">
            <v>CR 23 57 86 AP 603 ED PALOGRANDE</v>
          </cell>
          <cell r="K659" t="str">
            <v>17001</v>
          </cell>
          <cell r="L659" t="str">
            <v>MANIZALES</v>
          </cell>
          <cell r="M659" t="str">
            <v>3112228922</v>
          </cell>
        </row>
        <row r="660">
          <cell r="A660">
            <v>10236306</v>
          </cell>
          <cell r="B660" t="str">
            <v/>
          </cell>
          <cell r="C660" t="str">
            <v/>
          </cell>
          <cell r="D660" t="str">
            <v>CC</v>
          </cell>
          <cell r="E660" t="str">
            <v xml:space="preserve">JUAN CARLOS </v>
          </cell>
          <cell r="F660" t="str">
            <v>ZULUAGA CARDONA</v>
          </cell>
          <cell r="G660" t="str">
            <v xml:space="preserve">ZULUAGA CARDONA JUAN CARLOS </v>
          </cell>
          <cell r="H660" t="str">
            <v>FUNC</v>
          </cell>
          <cell r="I660" t="str">
            <v>FUNCIONARIO</v>
          </cell>
          <cell r="J660" t="str">
            <v>CRA 26No 84-41 SIERRA BONITA CASA 42</v>
          </cell>
          <cell r="K660" t="str">
            <v>17001</v>
          </cell>
          <cell r="L660" t="str">
            <v>MANIZALES</v>
          </cell>
          <cell r="M660" t="str">
            <v>3108911630</v>
          </cell>
        </row>
        <row r="661">
          <cell r="A661">
            <v>10236362</v>
          </cell>
          <cell r="B661" t="str">
            <v>1</v>
          </cell>
          <cell r="C661" t="str">
            <v/>
          </cell>
          <cell r="D661" t="str">
            <v>NP</v>
          </cell>
          <cell r="E661" t="str">
            <v>LUIS FERNANDO</v>
          </cell>
          <cell r="F661" t="str">
            <v>FRANCO ACEVEDO</v>
          </cell>
          <cell r="G661" t="str">
            <v>LUIS FERNANDO FRANCO ACEVEDO</v>
          </cell>
          <cell r="H661" t="str">
            <v>RECO</v>
          </cell>
          <cell r="I661" t="str">
            <v>REGIMEN COMUN</v>
          </cell>
          <cell r="J661" t="str">
            <v xml:space="preserve">CR 22 62A 37 MANIZALES                  </v>
          </cell>
          <cell r="K661" t="str">
            <v>17001</v>
          </cell>
          <cell r="L661" t="str">
            <v>MANIZALES</v>
          </cell>
          <cell r="M661" t="str">
            <v>8859922</v>
          </cell>
        </row>
        <row r="662">
          <cell r="A662">
            <v>10236573</v>
          </cell>
          <cell r="B662" t="str">
            <v/>
          </cell>
          <cell r="C662" t="str">
            <v/>
          </cell>
          <cell r="D662" t="str">
            <v>CC</v>
          </cell>
          <cell r="E662" t="str">
            <v>GUSTAVO</v>
          </cell>
          <cell r="F662" t="str">
            <v>MORENO OROZCO</v>
          </cell>
          <cell r="G662" t="str">
            <v>MORENO OROZCO GUSTAVO</v>
          </cell>
          <cell r="H662" t="str">
            <v>FUNC</v>
          </cell>
          <cell r="I662" t="str">
            <v>FUNCIONARIO</v>
          </cell>
          <cell r="J662" t="str">
            <v xml:space="preserve">CR  36 N 11 11                         </v>
          </cell>
          <cell r="K662" t="str">
            <v>17001</v>
          </cell>
          <cell r="L662" t="str">
            <v>MANIZALES</v>
          </cell>
          <cell r="M662" t="str">
            <v>8738183</v>
          </cell>
        </row>
        <row r="663">
          <cell r="A663">
            <v>10236809</v>
          </cell>
          <cell r="B663" t="str">
            <v/>
          </cell>
          <cell r="C663" t="str">
            <v/>
          </cell>
          <cell r="D663" t="str">
            <v>CC</v>
          </cell>
          <cell r="E663" t="str">
            <v>GABRIEL</v>
          </cell>
          <cell r="F663" t="str">
            <v>MUÑOZ JARAMILLO</v>
          </cell>
          <cell r="G663" t="str">
            <v>MUÑOZ JARAMILLO GABRIEL</v>
          </cell>
          <cell r="H663" t="str">
            <v>FUNC</v>
          </cell>
          <cell r="I663" t="str">
            <v>FUNCIONARIO</v>
          </cell>
          <cell r="J663" t="str">
            <v>CL 68   23 B 21 BRR PALERMO</v>
          </cell>
          <cell r="K663" t="str">
            <v>17001</v>
          </cell>
          <cell r="L663" t="str">
            <v>MANIZALES</v>
          </cell>
          <cell r="M663" t="str">
            <v>7443093</v>
          </cell>
        </row>
        <row r="664">
          <cell r="A664">
            <v>10237309</v>
          </cell>
          <cell r="B664" t="str">
            <v/>
          </cell>
          <cell r="C664" t="str">
            <v/>
          </cell>
          <cell r="D664" t="str">
            <v>CC</v>
          </cell>
          <cell r="E664" t="str">
            <v>JOSE MARINO</v>
          </cell>
          <cell r="F664" t="str">
            <v>MARTINEZ VILLA</v>
          </cell>
          <cell r="G664" t="str">
            <v>MARTINEZ VILLA JOSE MARINO</v>
          </cell>
          <cell r="H664" t="str">
            <v>RECO</v>
          </cell>
          <cell r="I664" t="str">
            <v>REGIMEN COMUN</v>
          </cell>
          <cell r="J664" t="str">
            <v>CR 21  24 64</v>
          </cell>
          <cell r="K664" t="str">
            <v>17001</v>
          </cell>
          <cell r="L664" t="str">
            <v>MANIZALES</v>
          </cell>
          <cell r="M664" t="str">
            <v>3165282986</v>
          </cell>
        </row>
        <row r="665">
          <cell r="A665">
            <v>10237652</v>
          </cell>
          <cell r="B665" t="str">
            <v>7</v>
          </cell>
          <cell r="C665" t="str">
            <v/>
          </cell>
          <cell r="D665" t="str">
            <v>NP</v>
          </cell>
          <cell r="E665" t="str">
            <v>CARLOS GERMAN</v>
          </cell>
          <cell r="F665" t="str">
            <v>MEJIA CORDOBES</v>
          </cell>
          <cell r="G665" t="str">
            <v>MEJIA CORDOBES CARLOS GERMAN</v>
          </cell>
          <cell r="H665" t="str">
            <v>RECO</v>
          </cell>
          <cell r="I665" t="str">
            <v>REGIMEN COMUN</v>
          </cell>
          <cell r="J665" t="str">
            <v xml:space="preserve"> CR 21 30 03 OF 401</v>
          </cell>
          <cell r="K665" t="str">
            <v>17001</v>
          </cell>
          <cell r="L665" t="str">
            <v>MANIZALES</v>
          </cell>
          <cell r="M665" t="str">
            <v>8847858</v>
          </cell>
        </row>
        <row r="666">
          <cell r="A666">
            <v>10237738</v>
          </cell>
          <cell r="B666" t="str">
            <v>1</v>
          </cell>
          <cell r="C666" t="str">
            <v/>
          </cell>
          <cell r="D666" t="str">
            <v>NP</v>
          </cell>
          <cell r="E666" t="str">
            <v>NESTOR FABIO</v>
          </cell>
          <cell r="F666" t="str">
            <v>GARCIA LOPEZ</v>
          </cell>
          <cell r="G666" t="str">
            <v>GARCIA LOPEZ NESTOR FABIO</v>
          </cell>
          <cell r="H666" t="str">
            <v>RECO</v>
          </cell>
          <cell r="I666" t="str">
            <v>REGIMEN COMUN</v>
          </cell>
          <cell r="J666" t="str">
            <v>CL 18  8 A  09</v>
          </cell>
          <cell r="K666" t="str">
            <v>17174</v>
          </cell>
          <cell r="L666" t="str">
            <v>CHINCHINÁ</v>
          </cell>
          <cell r="M666" t="str">
            <v>8400172</v>
          </cell>
        </row>
        <row r="667">
          <cell r="A667">
            <v>10237879</v>
          </cell>
          <cell r="B667" t="str">
            <v>1</v>
          </cell>
          <cell r="C667" t="str">
            <v/>
          </cell>
          <cell r="D667" t="str">
            <v>NP</v>
          </cell>
          <cell r="E667" t="str">
            <v>MIGUEL ANGEL</v>
          </cell>
          <cell r="F667" t="str">
            <v>VEGA CARDONA</v>
          </cell>
          <cell r="G667" t="str">
            <v>VEGA CARDONA MIGUEL ANGEL</v>
          </cell>
          <cell r="H667" t="str">
            <v>NORE</v>
          </cell>
          <cell r="I667" t="str">
            <v>NO RESPONSABLE DE IVA</v>
          </cell>
          <cell r="J667" t="str">
            <v>CL 66 22 56</v>
          </cell>
          <cell r="K667" t="str">
            <v>17001</v>
          </cell>
          <cell r="L667" t="str">
            <v>MANIZALES</v>
          </cell>
          <cell r="M667" t="str">
            <v>3177649502</v>
          </cell>
        </row>
        <row r="668">
          <cell r="A668">
            <v>10238273</v>
          </cell>
          <cell r="B668" t="str">
            <v/>
          </cell>
          <cell r="C668" t="str">
            <v/>
          </cell>
          <cell r="D668" t="str">
            <v>CC</v>
          </cell>
          <cell r="E668" t="str">
            <v>JOSE JESUS</v>
          </cell>
          <cell r="F668" t="str">
            <v>ARIAS OROZCO</v>
          </cell>
          <cell r="G668" t="str">
            <v>ARIAS OROZCO JOSE JESUS</v>
          </cell>
          <cell r="H668" t="str">
            <v>RESI</v>
          </cell>
          <cell r="I668" t="str">
            <v>REGIMEN SIMPLIFICADO</v>
          </cell>
          <cell r="J668" t="str">
            <v>CL 22 22 26 OF 1210 ED DEL COMERCIO</v>
          </cell>
          <cell r="K668" t="str">
            <v>17001</v>
          </cell>
          <cell r="L668" t="str">
            <v>MANIZALES</v>
          </cell>
          <cell r="M668" t="str">
            <v>3108423374</v>
          </cell>
        </row>
        <row r="669">
          <cell r="A669">
            <v>10238330</v>
          </cell>
          <cell r="B669" t="str">
            <v>5</v>
          </cell>
          <cell r="C669" t="str">
            <v/>
          </cell>
          <cell r="D669" t="str">
            <v>NP</v>
          </cell>
          <cell r="E669" t="str">
            <v>CARLOS FERNANDO</v>
          </cell>
          <cell r="F669" t="str">
            <v>LOPEZ GUARNIZO</v>
          </cell>
          <cell r="G669" t="str">
            <v>LOPEZ GUARNIZO CARLOS FERNANDO</v>
          </cell>
          <cell r="H669" t="str">
            <v>IMVE</v>
          </cell>
          <cell r="I669" t="str">
            <v>IMPUESTO SOBRE LAS VENTAS</v>
          </cell>
          <cell r="J669" t="str">
            <v>CR 25 71 93 AP 604 T B</v>
          </cell>
          <cell r="K669" t="str">
            <v>17001</v>
          </cell>
          <cell r="L669" t="str">
            <v>MANIZALES</v>
          </cell>
          <cell r="M669" t="str">
            <v>3146194988</v>
          </cell>
        </row>
        <row r="670">
          <cell r="A670">
            <v>10238486</v>
          </cell>
          <cell r="B670" t="str">
            <v>5</v>
          </cell>
          <cell r="C670" t="str">
            <v/>
          </cell>
          <cell r="D670" t="str">
            <v>NP</v>
          </cell>
          <cell r="E670" t="str">
            <v>PEDRO PABLO</v>
          </cell>
          <cell r="F670" t="str">
            <v>CASTRILLON MEJIA</v>
          </cell>
          <cell r="G670" t="str">
            <v>CASTRILLON MEJIA PEDRO PABLO</v>
          </cell>
          <cell r="H670" t="str">
            <v>RECO</v>
          </cell>
          <cell r="I670" t="str">
            <v>REGIMEN COMUN</v>
          </cell>
          <cell r="J670" t="str">
            <v xml:space="preserve"> CR 84 13 B  11 BRR INGENIO</v>
          </cell>
          <cell r="K670" t="str">
            <v>76001</v>
          </cell>
          <cell r="L670" t="str">
            <v>CALI</v>
          </cell>
          <cell r="M670" t="str">
            <v>8835696</v>
          </cell>
        </row>
        <row r="671">
          <cell r="A671">
            <v>10238750</v>
          </cell>
          <cell r="B671" t="str">
            <v/>
          </cell>
          <cell r="C671" t="str">
            <v/>
          </cell>
          <cell r="D671" t="str">
            <v>CC</v>
          </cell>
          <cell r="E671" t="str">
            <v>JORGE ELIECER</v>
          </cell>
          <cell r="F671" t="str">
            <v>LATORRE GOMEZ</v>
          </cell>
          <cell r="G671" t="str">
            <v>JORGE ELIECER LATORRE GOMEZ</v>
          </cell>
          <cell r="H671" t="str">
            <v>FUNC</v>
          </cell>
          <cell r="I671" t="str">
            <v>FUNCIONARIO</v>
          </cell>
          <cell r="J671" t="str">
            <v>CL 49 NO  20 28 BRR EL SOL</v>
          </cell>
          <cell r="K671" t="str">
            <v>17001</v>
          </cell>
          <cell r="L671" t="str">
            <v>MANIZALES</v>
          </cell>
          <cell r="M671" t="str">
            <v>3113837974</v>
          </cell>
        </row>
        <row r="672">
          <cell r="A672">
            <v>10239445</v>
          </cell>
          <cell r="B672" t="str">
            <v/>
          </cell>
          <cell r="C672" t="str">
            <v/>
          </cell>
          <cell r="D672" t="str">
            <v>CC</v>
          </cell>
          <cell r="E672" t="str">
            <v>ALBERTO</v>
          </cell>
          <cell r="F672" t="str">
            <v>FRANCO RESTREPO</v>
          </cell>
          <cell r="G672" t="str">
            <v>ALBERTO FRANCO RESTREPO</v>
          </cell>
          <cell r="H672" t="str">
            <v>FUNC</v>
          </cell>
          <cell r="I672" t="str">
            <v>FUNCIONARIO</v>
          </cell>
          <cell r="J672" t="str">
            <v>CL 76A N21 33</v>
          </cell>
          <cell r="K672" t="str">
            <v>17001</v>
          </cell>
          <cell r="L672" t="str">
            <v>MANIZALES</v>
          </cell>
          <cell r="M672" t="str">
            <v>8801371</v>
          </cell>
        </row>
        <row r="673">
          <cell r="A673">
            <v>10240400</v>
          </cell>
          <cell r="B673" t="str">
            <v/>
          </cell>
          <cell r="C673" t="str">
            <v/>
          </cell>
          <cell r="D673" t="str">
            <v>CC</v>
          </cell>
          <cell r="E673" t="str">
            <v>JOSE FERNANDO</v>
          </cell>
          <cell r="F673" t="str">
            <v>OCAMPO TRUJILLO</v>
          </cell>
          <cell r="G673" t="str">
            <v>JOSE FERNANDO OCAMPO TRUJILLO</v>
          </cell>
          <cell r="H673" t="str">
            <v>FUNC</v>
          </cell>
          <cell r="I673" t="str">
            <v>FUNCIONARIO</v>
          </cell>
          <cell r="J673" t="str">
            <v>CARRERA 23 # 47-95 APTO 401</v>
          </cell>
          <cell r="K673" t="str">
            <v>17001</v>
          </cell>
          <cell r="L673" t="str">
            <v>MANIZALES</v>
          </cell>
          <cell r="M673" t="str">
            <v>8861306</v>
          </cell>
        </row>
        <row r="674">
          <cell r="A674">
            <v>10240675</v>
          </cell>
          <cell r="B674" t="str">
            <v>7</v>
          </cell>
          <cell r="C674" t="str">
            <v/>
          </cell>
          <cell r="D674" t="str">
            <v>NP</v>
          </cell>
          <cell r="E674" t="str">
            <v>CARLOS ALBERTO</v>
          </cell>
          <cell r="F674" t="str">
            <v>LOPEZ HERRERA</v>
          </cell>
          <cell r="G674" t="str">
            <v>LOPEZ HERRERA CARLOS ALBERTO</v>
          </cell>
          <cell r="H674" t="str">
            <v>RECO</v>
          </cell>
          <cell r="I674" t="str">
            <v>REGIMEN COMUN</v>
          </cell>
          <cell r="J674" t="str">
            <v>CL 48 C 21 44</v>
          </cell>
          <cell r="K674" t="str">
            <v>17001</v>
          </cell>
          <cell r="L674" t="str">
            <v>MANIZALES</v>
          </cell>
          <cell r="M674" t="str">
            <v>8851427</v>
          </cell>
        </row>
        <row r="675">
          <cell r="A675">
            <v>10240890</v>
          </cell>
          <cell r="B675" t="str">
            <v>4</v>
          </cell>
          <cell r="C675" t="str">
            <v/>
          </cell>
          <cell r="D675" t="str">
            <v>NP</v>
          </cell>
          <cell r="E675" t="str">
            <v>ARTURO</v>
          </cell>
          <cell r="F675" t="str">
            <v>JURADO ALVARAN</v>
          </cell>
          <cell r="G675" t="str">
            <v>JURADO ALVARAN ARTURO</v>
          </cell>
          <cell r="H675" t="str">
            <v>RECO</v>
          </cell>
          <cell r="I675" t="str">
            <v>REGIMEN COMUN</v>
          </cell>
          <cell r="J675" t="str">
            <v>CL 7 8 23</v>
          </cell>
          <cell r="K675" t="str">
            <v>17001</v>
          </cell>
          <cell r="L675" t="str">
            <v>MANIZALES</v>
          </cell>
          <cell r="M675" t="str">
            <v>8904711</v>
          </cell>
        </row>
        <row r="676">
          <cell r="A676">
            <v>10240969</v>
          </cell>
          <cell r="B676" t="str">
            <v>7</v>
          </cell>
          <cell r="C676" t="str">
            <v/>
          </cell>
          <cell r="D676" t="str">
            <v>NP</v>
          </cell>
          <cell r="E676" t="str">
            <v>JAIME ANTONIO</v>
          </cell>
          <cell r="F676" t="str">
            <v>OSORIO OSORIO</v>
          </cell>
          <cell r="G676" t="str">
            <v>JAIME ANTONIO OSORIO OSORIO</v>
          </cell>
          <cell r="H676" t="str">
            <v>RECO</v>
          </cell>
          <cell r="I676" t="str">
            <v>REGIMEN COMUN</v>
          </cell>
          <cell r="J676" t="str">
            <v>CR 21  62  52  BRR LA RAMBLA</v>
          </cell>
          <cell r="K676" t="str">
            <v>17001</v>
          </cell>
          <cell r="L676" t="str">
            <v>MANIZALES</v>
          </cell>
          <cell r="M676" t="str">
            <v>3113837272</v>
          </cell>
        </row>
        <row r="677">
          <cell r="A677">
            <v>10241102</v>
          </cell>
          <cell r="B677" t="str">
            <v>3</v>
          </cell>
          <cell r="C677" t="str">
            <v/>
          </cell>
          <cell r="D677" t="str">
            <v>NP</v>
          </cell>
          <cell r="E677" t="str">
            <v>CARLOS ALBERTO</v>
          </cell>
          <cell r="F677" t="str">
            <v>MONTOYA GONZALEZ</v>
          </cell>
          <cell r="G677" t="str">
            <v>MONTOYA GONZALEZ CARLOS ALBERTO</v>
          </cell>
          <cell r="H677" t="str">
            <v>RCPN</v>
          </cell>
          <cell r="I677" t="str">
            <v>RESPONSABLE IVA PERSONA NATURAL</v>
          </cell>
          <cell r="J677" t="str">
            <v xml:space="preserve"> CR 28 41 A  56</v>
          </cell>
          <cell r="K677" t="str">
            <v>17001</v>
          </cell>
          <cell r="L677" t="str">
            <v>MANIZALES</v>
          </cell>
          <cell r="M677" t="str">
            <v>8884305</v>
          </cell>
        </row>
        <row r="678">
          <cell r="A678">
            <v>10241197</v>
          </cell>
          <cell r="B678" t="str">
            <v/>
          </cell>
          <cell r="C678" t="str">
            <v/>
          </cell>
          <cell r="D678" t="str">
            <v>CC</v>
          </cell>
          <cell r="E678" t="str">
            <v>NELSON DE JESUS</v>
          </cell>
          <cell r="F678" t="str">
            <v>HERRERA H</v>
          </cell>
          <cell r="G678" t="str">
            <v>NELSON DE JESUS HERRERA H</v>
          </cell>
          <cell r="H678" t="str">
            <v>FUNC</v>
          </cell>
          <cell r="I678" t="str">
            <v>FUNCIONARIO</v>
          </cell>
          <cell r="J678" t="str">
            <v>CL 13   23   43</v>
          </cell>
          <cell r="K678" t="str">
            <v>17001</v>
          </cell>
          <cell r="L678" t="str">
            <v>MANIZALES</v>
          </cell>
          <cell r="M678" t="str">
            <v>3016665585</v>
          </cell>
        </row>
        <row r="679">
          <cell r="A679">
            <v>10241212</v>
          </cell>
          <cell r="B679" t="str">
            <v>5</v>
          </cell>
          <cell r="C679" t="str">
            <v/>
          </cell>
          <cell r="D679" t="str">
            <v>NP</v>
          </cell>
          <cell r="E679" t="str">
            <v>JOSE FERNANDO</v>
          </cell>
          <cell r="F679" t="str">
            <v>VILLEGAS ESTRADA</v>
          </cell>
          <cell r="G679" t="str">
            <v>VILLEGAS ESTRADA JOSE FERNANDO</v>
          </cell>
          <cell r="H679" t="str">
            <v>IMVE</v>
          </cell>
          <cell r="I679" t="str">
            <v>IMPUESTO SOBRE LAS VENTAS</v>
          </cell>
          <cell r="J679" t="str">
            <v>CR 16   4 B 12</v>
          </cell>
          <cell r="K679" t="str">
            <v>17001</v>
          </cell>
          <cell r="L679" t="str">
            <v>MANIZALES</v>
          </cell>
          <cell r="M679" t="str">
            <v>8891853</v>
          </cell>
        </row>
        <row r="680">
          <cell r="A680">
            <v>10241441</v>
          </cell>
          <cell r="B680" t="str">
            <v>5</v>
          </cell>
          <cell r="C680" t="str">
            <v/>
          </cell>
          <cell r="D680" t="str">
            <v>NP</v>
          </cell>
          <cell r="E680" t="str">
            <v>RICARDO</v>
          </cell>
          <cell r="F680" t="str">
            <v>ARANGO CARRILLO</v>
          </cell>
          <cell r="G680" t="str">
            <v>ARANGO CARRILLO RICARDO</v>
          </cell>
          <cell r="H680" t="str">
            <v>RECO</v>
          </cell>
          <cell r="I680" t="str">
            <v>REGIMEN COMUN</v>
          </cell>
          <cell r="J680" t="str">
            <v>CL 17 24 40 P 1</v>
          </cell>
          <cell r="K680" t="str">
            <v>17001</v>
          </cell>
          <cell r="L680" t="str">
            <v>MANIZALES</v>
          </cell>
          <cell r="M680" t="str">
            <v>8722848</v>
          </cell>
        </row>
        <row r="681">
          <cell r="A681">
            <v>10241462</v>
          </cell>
          <cell r="B681" t="str">
            <v>1</v>
          </cell>
          <cell r="C681" t="str">
            <v/>
          </cell>
          <cell r="D681" t="str">
            <v>NP</v>
          </cell>
          <cell r="E681" t="str">
            <v>MARIA DEL PILAR</v>
          </cell>
          <cell r="F681" t="str">
            <v>GIL VALENCIA</v>
          </cell>
          <cell r="G681" t="str">
            <v>MARIA DEL PILAR GIL VALENCIA</v>
          </cell>
          <cell r="H681" t="str">
            <v>RECO</v>
          </cell>
          <cell r="I681" t="str">
            <v>REGIMEN COMUN</v>
          </cell>
          <cell r="J681" t="str">
            <v xml:space="preserve">CR 23 N 64B 33                     </v>
          </cell>
          <cell r="K681" t="str">
            <v>17001</v>
          </cell>
          <cell r="L681" t="str">
            <v>MANIZALES</v>
          </cell>
          <cell r="M681" t="str">
            <v>8756262</v>
          </cell>
        </row>
        <row r="682">
          <cell r="A682">
            <v>10241525</v>
          </cell>
          <cell r="B682" t="str">
            <v>5</v>
          </cell>
          <cell r="C682" t="str">
            <v/>
          </cell>
          <cell r="D682" t="str">
            <v>NP</v>
          </cell>
          <cell r="E682" t="str">
            <v>SEIR</v>
          </cell>
          <cell r="F682" t="str">
            <v>DELGADO VALENCIA</v>
          </cell>
          <cell r="G682" t="str">
            <v>DELGADO VALENCIA SEIR</v>
          </cell>
          <cell r="H682" t="str">
            <v>RESI</v>
          </cell>
          <cell r="I682" t="str">
            <v>REGIMEN SIMPLIFICADO</v>
          </cell>
          <cell r="J682" t="str">
            <v>CR 31 10 A 04</v>
          </cell>
          <cell r="K682" t="str">
            <v>17001</v>
          </cell>
          <cell r="L682" t="str">
            <v>MANIZALES</v>
          </cell>
          <cell r="M682" t="str">
            <v>3127846709</v>
          </cell>
        </row>
        <row r="683">
          <cell r="A683">
            <v>10241823</v>
          </cell>
          <cell r="B683" t="str">
            <v/>
          </cell>
          <cell r="C683" t="str">
            <v/>
          </cell>
          <cell r="D683" t="str">
            <v>CC</v>
          </cell>
          <cell r="E683" t="str">
            <v>JHON JAIRO</v>
          </cell>
          <cell r="F683" t="str">
            <v>ARIAS BONILLA</v>
          </cell>
          <cell r="G683" t="str">
            <v>ARIAS BONILLA JHON JAIRO</v>
          </cell>
          <cell r="H683" t="str">
            <v>FUNC</v>
          </cell>
          <cell r="I683" t="str">
            <v>FUNCIONARIO</v>
          </cell>
          <cell r="J683" t="str">
            <v>CR 23   64 B   33</v>
          </cell>
          <cell r="K683" t="str">
            <v>17001</v>
          </cell>
          <cell r="L683" t="str">
            <v>MANIZALES</v>
          </cell>
          <cell r="M683" t="str">
            <v>8756262</v>
          </cell>
        </row>
        <row r="684">
          <cell r="A684">
            <v>10241964</v>
          </cell>
          <cell r="B684" t="str">
            <v/>
          </cell>
          <cell r="C684" t="str">
            <v/>
          </cell>
          <cell r="D684" t="str">
            <v>CC</v>
          </cell>
          <cell r="E684" t="str">
            <v>CARLOS ALBERTO</v>
          </cell>
          <cell r="F684" t="str">
            <v>VELEZ ARIAS</v>
          </cell>
          <cell r="G684" t="str">
            <v>VELEZ ARIAS CARLOS ALBERTO</v>
          </cell>
          <cell r="H684" t="str">
            <v>FUNC</v>
          </cell>
          <cell r="I684" t="str">
            <v>FUNCIONARIO</v>
          </cell>
          <cell r="J684" t="str">
            <v>CR 23   55  65 AP 301</v>
          </cell>
          <cell r="K684" t="str">
            <v>17001</v>
          </cell>
          <cell r="L684" t="str">
            <v>MANIZALES</v>
          </cell>
          <cell r="M684" t="str">
            <v>3105157024</v>
          </cell>
        </row>
        <row r="685">
          <cell r="A685">
            <v>10242192</v>
          </cell>
          <cell r="B685" t="str">
            <v>0</v>
          </cell>
          <cell r="C685" t="str">
            <v/>
          </cell>
          <cell r="D685" t="str">
            <v>NP</v>
          </cell>
          <cell r="E685" t="str">
            <v>GUILLERMO</v>
          </cell>
          <cell r="F685" t="str">
            <v>JARAMILLO DIAZ</v>
          </cell>
          <cell r="G685" t="str">
            <v>JARAMILLO DIAZ GUILLERMO</v>
          </cell>
          <cell r="H685" t="str">
            <v>RCPN</v>
          </cell>
          <cell r="I685" t="str">
            <v>RESPONSABLE IVA PERSONA NATURAL</v>
          </cell>
          <cell r="J685" t="str">
            <v xml:space="preserve"> CL 48 D  19 42</v>
          </cell>
          <cell r="K685" t="str">
            <v>17001</v>
          </cell>
          <cell r="L685" t="str">
            <v>MANIZALES</v>
          </cell>
          <cell r="M685" t="str">
            <v>8854081</v>
          </cell>
        </row>
        <row r="686">
          <cell r="A686">
            <v>10242455</v>
          </cell>
          <cell r="B686" t="str">
            <v>2</v>
          </cell>
          <cell r="C686" t="str">
            <v/>
          </cell>
          <cell r="D686" t="str">
            <v>NP</v>
          </cell>
          <cell r="E686" t="str">
            <v>JORGE ENRIQUE</v>
          </cell>
          <cell r="F686" t="str">
            <v>VILLEGAS ISAZA</v>
          </cell>
          <cell r="G686" t="str">
            <v>VILLEGAS ISAZA JORGE ENRIQUE</v>
          </cell>
          <cell r="H686" t="str">
            <v>IMVE</v>
          </cell>
          <cell r="I686" t="str">
            <v>IMPUESTO SOBRE LAS VENTAS</v>
          </cell>
          <cell r="J686" t="str">
            <v>CL 94 33 41</v>
          </cell>
          <cell r="K686" t="str">
            <v>17001</v>
          </cell>
          <cell r="L686" t="str">
            <v>MANIZALES</v>
          </cell>
          <cell r="M686" t="str">
            <v>8740769</v>
          </cell>
        </row>
        <row r="687">
          <cell r="A687">
            <v>10243065</v>
          </cell>
          <cell r="B687" t="str">
            <v/>
          </cell>
          <cell r="C687" t="str">
            <v/>
          </cell>
          <cell r="D687" t="str">
            <v>CC</v>
          </cell>
          <cell r="E687" t="str">
            <v>DIEGO</v>
          </cell>
          <cell r="F687" t="str">
            <v>GOMEZ TABARES</v>
          </cell>
          <cell r="G687" t="str">
            <v>GOMEZ TABARES DIEGO</v>
          </cell>
          <cell r="H687" t="str">
            <v>FUNC</v>
          </cell>
          <cell r="I687" t="str">
            <v>FUNCIONARIO</v>
          </cell>
          <cell r="J687" t="str">
            <v>CL 16 A   26   25</v>
          </cell>
          <cell r="K687" t="str">
            <v>17001</v>
          </cell>
          <cell r="L687" t="str">
            <v>MANIZALES</v>
          </cell>
          <cell r="M687" t="str">
            <v>8882774</v>
          </cell>
        </row>
        <row r="688">
          <cell r="A688">
            <v>10243343</v>
          </cell>
          <cell r="B688" t="str">
            <v/>
          </cell>
          <cell r="C688" t="str">
            <v/>
          </cell>
          <cell r="D688" t="str">
            <v>CC</v>
          </cell>
          <cell r="E688" t="str">
            <v>MARIO A</v>
          </cell>
          <cell r="F688" t="str">
            <v>ALVAREZ MORALES</v>
          </cell>
          <cell r="G688" t="str">
            <v>MARIO A ALVAREZ MORALES</v>
          </cell>
          <cell r="H688" t="str">
            <v>FUNC</v>
          </cell>
          <cell r="I688" t="str">
            <v>FUNCIONARIO</v>
          </cell>
          <cell r="J688" t="str">
            <v>CR 18 A   04 A   120 CA VILLA REAL III</v>
          </cell>
          <cell r="K688" t="str">
            <v>17001</v>
          </cell>
          <cell r="L688" t="str">
            <v>MANIZALES</v>
          </cell>
          <cell r="M688" t="str">
            <v>8890761</v>
          </cell>
        </row>
        <row r="689">
          <cell r="A689">
            <v>10243445</v>
          </cell>
          <cell r="B689" t="str">
            <v>3</v>
          </cell>
          <cell r="C689" t="str">
            <v/>
          </cell>
          <cell r="D689" t="str">
            <v>NP</v>
          </cell>
          <cell r="E689" t="str">
            <v>FRANCISCO JAVIER</v>
          </cell>
          <cell r="F689" t="str">
            <v>PATIÑO GOMEZ</v>
          </cell>
          <cell r="G689" t="str">
            <v>PATIÑO GOMEZ FRANCISCO JAVIER</v>
          </cell>
          <cell r="H689" t="str">
            <v>RECO</v>
          </cell>
          <cell r="I689" t="str">
            <v>REGIMEN COMUN</v>
          </cell>
          <cell r="J689" t="str">
            <v xml:space="preserve">CC PAR CALDAS                        </v>
          </cell>
          <cell r="K689" t="str">
            <v>17001</v>
          </cell>
          <cell r="L689" t="str">
            <v>MANIZALES</v>
          </cell>
          <cell r="M689" t="str">
            <v>8861213</v>
          </cell>
        </row>
        <row r="690">
          <cell r="A690">
            <v>10243596</v>
          </cell>
          <cell r="B690" t="str">
            <v/>
          </cell>
          <cell r="C690" t="str">
            <v/>
          </cell>
          <cell r="D690" t="str">
            <v>CC</v>
          </cell>
          <cell r="E690" t="str">
            <v>JESUS ARTURO</v>
          </cell>
          <cell r="F690" t="str">
            <v>ROMERO IBAÑEZ</v>
          </cell>
          <cell r="G690" t="str">
            <v>JESUS ARTURO ROMERO IBAÑEZ</v>
          </cell>
          <cell r="H690" t="str">
            <v>FUNC</v>
          </cell>
          <cell r="I690" t="str">
            <v>FUNCIONARIO</v>
          </cell>
          <cell r="J690" t="str">
            <v>CL 71 4 71 C 62</v>
          </cell>
          <cell r="K690" t="str">
            <v>17873</v>
          </cell>
          <cell r="L690" t="str">
            <v>VILLAMARÍA</v>
          </cell>
          <cell r="M690" t="str">
            <v>3144222204</v>
          </cell>
        </row>
        <row r="691">
          <cell r="A691">
            <v>10244340</v>
          </cell>
          <cell r="B691" t="str">
            <v>3</v>
          </cell>
          <cell r="C691" t="str">
            <v/>
          </cell>
          <cell r="D691" t="str">
            <v>NP</v>
          </cell>
          <cell r="E691" t="str">
            <v>ARIEL</v>
          </cell>
          <cell r="F691" t="str">
            <v>AGUIRRE CANO</v>
          </cell>
          <cell r="G691" t="str">
            <v>AGUIRRE CANO ARIEL</v>
          </cell>
          <cell r="H691" t="str">
            <v>RESI</v>
          </cell>
          <cell r="I691" t="str">
            <v>REGIMEN SIMPLIFICADO</v>
          </cell>
          <cell r="J691" t="str">
            <v xml:space="preserve"> CL 10 A  31 22</v>
          </cell>
          <cell r="K691" t="str">
            <v>17001</v>
          </cell>
          <cell r="L691" t="str">
            <v>MANIZALES</v>
          </cell>
          <cell r="M691" t="str">
            <v>8915431</v>
          </cell>
        </row>
        <row r="692">
          <cell r="A692">
            <v>10244519</v>
          </cell>
          <cell r="B692" t="str">
            <v>4</v>
          </cell>
          <cell r="C692" t="str">
            <v/>
          </cell>
          <cell r="D692" t="str">
            <v>NP</v>
          </cell>
          <cell r="E692" t="str">
            <v>GERMAN</v>
          </cell>
          <cell r="F692" t="str">
            <v>ALZATE MEJIA</v>
          </cell>
          <cell r="G692" t="str">
            <v>ALZATE MEJIA GERMAN</v>
          </cell>
          <cell r="H692" t="str">
            <v>RECO</v>
          </cell>
          <cell r="I692" t="str">
            <v>REGIMEN COMUN</v>
          </cell>
          <cell r="J692" t="str">
            <v>CR 22   66   15 AP 201</v>
          </cell>
          <cell r="K692" t="str">
            <v>17001</v>
          </cell>
          <cell r="L692" t="str">
            <v>MANIZALES</v>
          </cell>
          <cell r="M692" t="str">
            <v>3113210443</v>
          </cell>
        </row>
        <row r="693">
          <cell r="A693">
            <v>10245297</v>
          </cell>
          <cell r="B693" t="str">
            <v>9</v>
          </cell>
          <cell r="C693" t="str">
            <v/>
          </cell>
          <cell r="D693" t="str">
            <v>NP</v>
          </cell>
          <cell r="E693" t="str">
            <v>FRANCISCO ANCIZAR</v>
          </cell>
          <cell r="F693" t="str">
            <v>AGUIRRE CARDENAS</v>
          </cell>
          <cell r="G693" t="str">
            <v>AGUIRRE CARDENAS FRANCISCO ANCIZAR</v>
          </cell>
          <cell r="H693" t="str">
            <v>RESI</v>
          </cell>
          <cell r="I693" t="str">
            <v>REGIMEN SIMPLIFICADO</v>
          </cell>
          <cell r="J693" t="str">
            <v>CL 10   6   28</v>
          </cell>
          <cell r="K693" t="str">
            <v>17873</v>
          </cell>
          <cell r="L693" t="str">
            <v>VILLAMARÍA</v>
          </cell>
          <cell r="M693" t="str">
            <v>8771085</v>
          </cell>
        </row>
        <row r="694">
          <cell r="A694">
            <v>10245386</v>
          </cell>
          <cell r="B694" t="str">
            <v>6</v>
          </cell>
          <cell r="C694" t="str">
            <v/>
          </cell>
          <cell r="D694" t="str">
            <v>NP</v>
          </cell>
          <cell r="E694" t="str">
            <v>SEIR</v>
          </cell>
          <cell r="F694" t="str">
            <v>TABAREZ FLOREZ</v>
          </cell>
          <cell r="G694" t="str">
            <v>TABAREZ FLOREZ SEIR</v>
          </cell>
          <cell r="H694" t="str">
            <v>RESI</v>
          </cell>
          <cell r="I694" t="str">
            <v>REGIMEN SIMPLIFICADO</v>
          </cell>
          <cell r="J694" t="str">
            <v>CL 38 32 A 40 BL D AP 202</v>
          </cell>
          <cell r="K694" t="str">
            <v>17001</v>
          </cell>
          <cell r="L694" t="str">
            <v>MANIZALES</v>
          </cell>
          <cell r="M694" t="str">
            <v>3122218211</v>
          </cell>
        </row>
        <row r="695">
          <cell r="A695">
            <v>10245475</v>
          </cell>
          <cell r="B695" t="str">
            <v/>
          </cell>
          <cell r="C695" t="str">
            <v/>
          </cell>
          <cell r="D695" t="str">
            <v>CC</v>
          </cell>
          <cell r="E695" t="str">
            <v>EDUARDO</v>
          </cell>
          <cell r="F695" t="str">
            <v>TORO TRUJILLO</v>
          </cell>
          <cell r="G695" t="str">
            <v>TORO TRUJILLO EDUARDO</v>
          </cell>
          <cell r="H695" t="str">
            <v>FUNC</v>
          </cell>
          <cell r="I695" t="str">
            <v>FUNCIONARIO</v>
          </cell>
          <cell r="J695" t="str">
            <v>CR 12   14  15</v>
          </cell>
          <cell r="K695" t="str">
            <v>17001</v>
          </cell>
          <cell r="L695" t="str">
            <v>MANIZALES</v>
          </cell>
          <cell r="M695" t="str">
            <v>8827129</v>
          </cell>
        </row>
        <row r="696">
          <cell r="A696">
            <v>10246292</v>
          </cell>
          <cell r="B696" t="str">
            <v>7</v>
          </cell>
          <cell r="C696" t="str">
            <v/>
          </cell>
          <cell r="D696" t="str">
            <v>NP</v>
          </cell>
          <cell r="E696" t="str">
            <v xml:space="preserve">JAIRO </v>
          </cell>
          <cell r="F696" t="str">
            <v>BOTERO ALVAREZ</v>
          </cell>
          <cell r="G696" t="str">
            <v>JAIRO BOTERO ALVAREZ</v>
          </cell>
          <cell r="H696" t="str">
            <v>RECO</v>
          </cell>
          <cell r="I696" t="str">
            <v>REGIMEN COMUN</v>
          </cell>
          <cell r="J696" t="str">
            <v xml:space="preserve">CR 23 N 64B 33                     </v>
          </cell>
          <cell r="K696" t="str">
            <v>17001</v>
          </cell>
          <cell r="L696" t="str">
            <v>MANIZALES</v>
          </cell>
          <cell r="M696" t="str">
            <v>8756262</v>
          </cell>
        </row>
        <row r="697">
          <cell r="A697">
            <v>10246523</v>
          </cell>
          <cell r="B697" t="str">
            <v/>
          </cell>
          <cell r="C697" t="str">
            <v/>
          </cell>
          <cell r="D697" t="str">
            <v>CC</v>
          </cell>
          <cell r="E697" t="str">
            <v>LUIS FERNANDO</v>
          </cell>
          <cell r="F697" t="str">
            <v>MEJIA GOMEZ</v>
          </cell>
          <cell r="G697" t="str">
            <v>MEJIA GOMEZ LUIS FERNANDO</v>
          </cell>
          <cell r="H697" t="str">
            <v>FUNC</v>
          </cell>
          <cell r="I697" t="str">
            <v>FUNCIONARIO</v>
          </cell>
          <cell r="J697" t="str">
            <v xml:space="preserve">CL 70 23B 38 MANIZALES                  </v>
          </cell>
          <cell r="K697" t="str">
            <v>17001</v>
          </cell>
          <cell r="L697" t="str">
            <v>MANIZALES</v>
          </cell>
          <cell r="M697" t="str">
            <v>8873211</v>
          </cell>
        </row>
        <row r="698">
          <cell r="A698">
            <v>10246561</v>
          </cell>
          <cell r="B698" t="str">
            <v>3</v>
          </cell>
          <cell r="C698" t="str">
            <v/>
          </cell>
          <cell r="D698" t="str">
            <v>NP</v>
          </cell>
          <cell r="E698" t="str">
            <v>JUAN CARLOS</v>
          </cell>
          <cell r="F698" t="str">
            <v>ZULUAGA MAESE</v>
          </cell>
          <cell r="G698" t="str">
            <v>ZULUAGA MAESE JUAN CARLOS</v>
          </cell>
          <cell r="H698" t="str">
            <v>RECO</v>
          </cell>
          <cell r="I698" t="str">
            <v>REGIMEN COMUN</v>
          </cell>
          <cell r="J698" t="str">
            <v>CL 22 22 26 OF 704</v>
          </cell>
          <cell r="K698" t="str">
            <v>17001</v>
          </cell>
          <cell r="L698" t="str">
            <v>MANIZALES</v>
          </cell>
          <cell r="M698" t="str">
            <v>8849164</v>
          </cell>
        </row>
        <row r="699">
          <cell r="A699">
            <v>10246580</v>
          </cell>
          <cell r="B699" t="str">
            <v>3</v>
          </cell>
          <cell r="C699" t="str">
            <v/>
          </cell>
          <cell r="D699" t="str">
            <v>NP</v>
          </cell>
          <cell r="E699" t="str">
            <v>CARLOS ALBERTO</v>
          </cell>
          <cell r="F699" t="str">
            <v>LOPEZ L</v>
          </cell>
          <cell r="G699" t="str">
            <v>CARLOS ALBERTO LOPEZ L</v>
          </cell>
          <cell r="H699" t="str">
            <v>RECO</v>
          </cell>
          <cell r="I699" t="str">
            <v>REGIMEN COMUN</v>
          </cell>
          <cell r="J699" t="str">
            <v xml:space="preserve">CR 23 N 64B 33                     </v>
          </cell>
          <cell r="K699" t="str">
            <v>17001</v>
          </cell>
          <cell r="L699" t="str">
            <v>MANIZALES</v>
          </cell>
          <cell r="M699" t="str">
            <v>8756262</v>
          </cell>
        </row>
        <row r="700">
          <cell r="A700">
            <v>10246917</v>
          </cell>
          <cell r="B700" t="str">
            <v>1</v>
          </cell>
          <cell r="C700" t="str">
            <v/>
          </cell>
          <cell r="D700" t="str">
            <v>NP</v>
          </cell>
          <cell r="E700" t="str">
            <v>IVAN DE JESUS</v>
          </cell>
          <cell r="F700" t="str">
            <v>VALLEJO BERRIO</v>
          </cell>
          <cell r="G700" t="str">
            <v>VALLEJO BERRIO IVAN DE JESUS</v>
          </cell>
          <cell r="H700" t="str">
            <v>RESI</v>
          </cell>
          <cell r="I700" t="str">
            <v>REGIMEN SIMPLIFICADO</v>
          </cell>
          <cell r="J700" t="str">
            <v>CC SAN CANCIO LC 7 61</v>
          </cell>
          <cell r="K700" t="str">
            <v>17001</v>
          </cell>
          <cell r="L700" t="str">
            <v>MANIZALES</v>
          </cell>
          <cell r="M700" t="str">
            <v>3112223451</v>
          </cell>
        </row>
        <row r="701">
          <cell r="A701">
            <v>10247138</v>
          </cell>
          <cell r="B701" t="str">
            <v>5</v>
          </cell>
          <cell r="C701" t="str">
            <v/>
          </cell>
          <cell r="D701" t="str">
            <v>NP</v>
          </cell>
          <cell r="E701" t="str">
            <v>JAIRO</v>
          </cell>
          <cell r="F701" t="str">
            <v>JIMENEZ CAMPIÑO</v>
          </cell>
          <cell r="G701" t="str">
            <v>JIMENEZ CAMPIÑO JAIRO</v>
          </cell>
          <cell r="H701" t="str">
            <v>RESI</v>
          </cell>
          <cell r="I701" t="str">
            <v>REGIMEN SIMPLIFICADO</v>
          </cell>
          <cell r="J701" t="str">
            <v>CL 9 A 4 07 BRR SACATIN</v>
          </cell>
          <cell r="K701" t="str">
            <v>17001</v>
          </cell>
          <cell r="L701" t="str">
            <v>MANIZALES</v>
          </cell>
          <cell r="M701" t="str">
            <v>3128399651</v>
          </cell>
        </row>
        <row r="702">
          <cell r="A702">
            <v>10247143</v>
          </cell>
          <cell r="B702" t="str">
            <v/>
          </cell>
          <cell r="C702" t="str">
            <v/>
          </cell>
          <cell r="D702" t="str">
            <v>CC</v>
          </cell>
          <cell r="E702" t="str">
            <v>DANILO</v>
          </cell>
          <cell r="F702" t="str">
            <v>MEDINA VALDES</v>
          </cell>
          <cell r="G702" t="str">
            <v>DANILO MEDINA VALDES</v>
          </cell>
          <cell r="H702" t="str">
            <v>FUNC</v>
          </cell>
          <cell r="I702" t="str">
            <v>FUNCIONARIO</v>
          </cell>
          <cell r="J702" t="str">
            <v>CR 23   17   26 AP 201</v>
          </cell>
          <cell r="K702" t="str">
            <v>17001</v>
          </cell>
          <cell r="L702" t="str">
            <v>MANIZALES</v>
          </cell>
          <cell r="M702" t="str">
            <v>3137450831</v>
          </cell>
        </row>
        <row r="703">
          <cell r="A703">
            <v>10247338</v>
          </cell>
          <cell r="B703" t="str">
            <v>1</v>
          </cell>
          <cell r="C703" t="str">
            <v/>
          </cell>
          <cell r="D703" t="str">
            <v>NP</v>
          </cell>
          <cell r="E703" t="str">
            <v>ARGEMIRO</v>
          </cell>
          <cell r="F703" t="str">
            <v>RINCÓN ARANGO</v>
          </cell>
          <cell r="G703" t="str">
            <v>RINCÓN ARANGO ARGEMIRO</v>
          </cell>
          <cell r="H703" t="str">
            <v>NORE</v>
          </cell>
          <cell r="I703" t="str">
            <v>NO RESPONSABLE DE IVA</v>
          </cell>
          <cell r="J703" t="str">
            <v xml:space="preserve"> CL 46 22 18 AP 401</v>
          </cell>
          <cell r="K703" t="str">
            <v>17001</v>
          </cell>
          <cell r="L703" t="str">
            <v>MANIZALES</v>
          </cell>
          <cell r="M703" t="str">
            <v>3164799164</v>
          </cell>
        </row>
        <row r="704">
          <cell r="A704">
            <v>10247371</v>
          </cell>
          <cell r="B704" t="str">
            <v>5</v>
          </cell>
          <cell r="C704" t="str">
            <v/>
          </cell>
          <cell r="D704" t="str">
            <v>NP</v>
          </cell>
          <cell r="E704" t="str">
            <v>JOSE FERNANDO</v>
          </cell>
          <cell r="F704" t="str">
            <v>BOTERO SANCHEZ</v>
          </cell>
          <cell r="G704" t="str">
            <v>BOTERO SANCHEZ JOSE FERNANDO</v>
          </cell>
          <cell r="H704" t="str">
            <v>RECO</v>
          </cell>
          <cell r="I704" t="str">
            <v>REGIMEN COMUN</v>
          </cell>
          <cell r="J704" t="str">
            <v>CR 23  16 32</v>
          </cell>
          <cell r="K704" t="str">
            <v>17001</v>
          </cell>
          <cell r="L704" t="str">
            <v>MANIZALES</v>
          </cell>
          <cell r="M704" t="str">
            <v>8848078</v>
          </cell>
        </row>
        <row r="705">
          <cell r="A705">
            <v>10247486</v>
          </cell>
          <cell r="B705" t="str">
            <v>3</v>
          </cell>
          <cell r="C705" t="str">
            <v/>
          </cell>
          <cell r="D705" t="str">
            <v>NP</v>
          </cell>
          <cell r="E705" t="str">
            <v>JUAN MARIO</v>
          </cell>
          <cell r="F705" t="str">
            <v>RESTREPO GIRALDO</v>
          </cell>
          <cell r="G705" t="str">
            <v>RESTREPO GIRALDO JUAN MARIO</v>
          </cell>
          <cell r="H705" t="str">
            <v>RECO</v>
          </cell>
          <cell r="I705" t="str">
            <v>REGIMEN COMUN</v>
          </cell>
          <cell r="J705" t="str">
            <v>CR 23   61   26</v>
          </cell>
          <cell r="K705" t="str">
            <v>17001</v>
          </cell>
          <cell r="L705" t="str">
            <v>MANIZALES</v>
          </cell>
          <cell r="M705" t="str">
            <v>8862933</v>
          </cell>
        </row>
        <row r="706">
          <cell r="A706">
            <v>10247737</v>
          </cell>
          <cell r="B706" t="str">
            <v/>
          </cell>
          <cell r="C706" t="str">
            <v/>
          </cell>
          <cell r="D706" t="str">
            <v>CC</v>
          </cell>
          <cell r="E706" t="str">
            <v>LUIS EDUARDO</v>
          </cell>
          <cell r="F706" t="str">
            <v>RIOS OROZCO</v>
          </cell>
          <cell r="G706" t="str">
            <v>LUIS EDUARDO RIOS OROZCO</v>
          </cell>
          <cell r="H706" t="str">
            <v>FUNC</v>
          </cell>
          <cell r="I706" t="str">
            <v>FUNCIONARIO</v>
          </cell>
          <cell r="J706" t="str">
            <v>CL 36   25   46</v>
          </cell>
          <cell r="K706" t="str">
            <v>94001</v>
          </cell>
          <cell r="L706" t="str">
            <v>INÍRIDA</v>
          </cell>
          <cell r="M706" t="str">
            <v>3172650256</v>
          </cell>
        </row>
        <row r="707">
          <cell r="A707">
            <v>10247902</v>
          </cell>
          <cell r="B707" t="str">
            <v/>
          </cell>
          <cell r="C707" t="str">
            <v/>
          </cell>
          <cell r="D707" t="str">
            <v>CC</v>
          </cell>
          <cell r="E707" t="str">
            <v>JAIME LEON</v>
          </cell>
          <cell r="F707" t="str">
            <v>RUIZ LOPEZ</v>
          </cell>
          <cell r="G707" t="str">
            <v>RUIZ LOPEZ JAIME LEON</v>
          </cell>
          <cell r="H707" t="str">
            <v>FUNC</v>
          </cell>
          <cell r="I707" t="str">
            <v>FUNCIONARIO</v>
          </cell>
          <cell r="J707" t="str">
            <v>CALLE 105 27-30 MANIZALES</v>
          </cell>
          <cell r="K707" t="str">
            <v>97001</v>
          </cell>
          <cell r="L707" t="str">
            <v>MITÚ</v>
          </cell>
          <cell r="M707" t="str">
            <v>3188783612</v>
          </cell>
        </row>
        <row r="708">
          <cell r="A708">
            <v>10248685</v>
          </cell>
          <cell r="B708" t="str">
            <v/>
          </cell>
          <cell r="C708" t="str">
            <v/>
          </cell>
          <cell r="D708" t="str">
            <v>CC</v>
          </cell>
          <cell r="E708" t="str">
            <v>JORGE WILLIAM</v>
          </cell>
          <cell r="F708" t="str">
            <v>BERMUDEZ GAVIRIA</v>
          </cell>
          <cell r="G708" t="str">
            <v>BERMUDEZ GAVIRIA JORGE WILLIAM</v>
          </cell>
          <cell r="H708" t="str">
            <v>FUNC</v>
          </cell>
          <cell r="I708" t="str">
            <v>FUNCIONARIO</v>
          </cell>
          <cell r="J708" t="str">
            <v>CL 59 I I 7 BIS 09 BRR LA CUMBRE</v>
          </cell>
          <cell r="K708" t="str">
            <v>17001</v>
          </cell>
          <cell r="L708" t="str">
            <v>MANIZALES</v>
          </cell>
          <cell r="M708" t="str">
            <v>3158730709</v>
          </cell>
        </row>
        <row r="709">
          <cell r="A709">
            <v>10248736</v>
          </cell>
          <cell r="B709" t="str">
            <v/>
          </cell>
          <cell r="C709" t="str">
            <v/>
          </cell>
          <cell r="D709" t="str">
            <v>CC</v>
          </cell>
          <cell r="E709" t="str">
            <v>FREDY</v>
          </cell>
          <cell r="F709" t="str">
            <v>DUQUE ARIAS</v>
          </cell>
          <cell r="G709" t="str">
            <v>DUQUE ARIAS FREDY</v>
          </cell>
          <cell r="H709" t="str">
            <v>FUNC</v>
          </cell>
          <cell r="I709" t="str">
            <v>FUNCIONARIO</v>
          </cell>
          <cell r="J709" t="str">
            <v xml:space="preserve">CL 47 NO  27 33  APTO  001 B  </v>
          </cell>
          <cell r="K709" t="str">
            <v>17001</v>
          </cell>
          <cell r="L709" t="str">
            <v>MANIZALES</v>
          </cell>
          <cell r="M709" t="str">
            <v>3103753148</v>
          </cell>
        </row>
        <row r="710">
          <cell r="A710">
            <v>10249126</v>
          </cell>
          <cell r="B710" t="str">
            <v>6</v>
          </cell>
          <cell r="C710" t="str">
            <v/>
          </cell>
          <cell r="D710" t="str">
            <v>NP</v>
          </cell>
          <cell r="E710" t="str">
            <v>RUBEN DARIO</v>
          </cell>
          <cell r="F710" t="str">
            <v>MONTOYA RAMIREZ</v>
          </cell>
          <cell r="G710" t="str">
            <v>MONTOYA RAMIREZ RUBEN DARIO</v>
          </cell>
          <cell r="H710" t="str">
            <v>REOR</v>
          </cell>
          <cell r="I710" t="str">
            <v>RENTA REGIMEN ORDINARIO</v>
          </cell>
          <cell r="J710" t="str">
            <v>CR 25 66 10 AP 402 ED MATIZ</v>
          </cell>
          <cell r="K710" t="str">
            <v>17001</v>
          </cell>
          <cell r="L710" t="str">
            <v>MANIZALES</v>
          </cell>
          <cell r="M710" t="str">
            <v>3128669993</v>
          </cell>
        </row>
        <row r="711">
          <cell r="A711">
            <v>10251087</v>
          </cell>
          <cell r="B711" t="str">
            <v>3</v>
          </cell>
          <cell r="C711" t="str">
            <v/>
          </cell>
          <cell r="D711" t="str">
            <v>NP</v>
          </cell>
          <cell r="E711" t="str">
            <v>JORGE WILSON</v>
          </cell>
          <cell r="F711" t="str">
            <v>ARENAS DE LA PAVA</v>
          </cell>
          <cell r="G711" t="str">
            <v xml:space="preserve">ARENAS DE JORGE WILSON        </v>
          </cell>
          <cell r="H711" t="str">
            <v>RESI</v>
          </cell>
          <cell r="I711" t="str">
            <v>REGIMEN SIMPLIFICADO</v>
          </cell>
          <cell r="J711" t="str">
            <v xml:space="preserve">CL 21 9 22 BR CAMPOHERMOSO              </v>
          </cell>
          <cell r="K711" t="str">
            <v>17001</v>
          </cell>
          <cell r="L711" t="str">
            <v>MANIZALES</v>
          </cell>
          <cell r="M711" t="str">
            <v>8756262</v>
          </cell>
        </row>
        <row r="712">
          <cell r="A712">
            <v>10251270</v>
          </cell>
          <cell r="B712" t="str">
            <v>5</v>
          </cell>
          <cell r="C712" t="str">
            <v/>
          </cell>
          <cell r="D712" t="str">
            <v>NP</v>
          </cell>
          <cell r="E712" t="str">
            <v xml:space="preserve">OSCAR </v>
          </cell>
          <cell r="F712" t="str">
            <v>SALGADO VASQUEZ</v>
          </cell>
          <cell r="G712" t="str">
            <v>OSCAR SALGADO VASQUEZ</v>
          </cell>
          <cell r="H712" t="str">
            <v>RESI</v>
          </cell>
          <cell r="I712" t="str">
            <v>REGIMEN SIMPLIFICADO</v>
          </cell>
          <cell r="J712" t="str">
            <v xml:space="preserve">CL 66 30B 16 MANIZALES               </v>
          </cell>
          <cell r="K712" t="str">
            <v>17001</v>
          </cell>
          <cell r="L712" t="str">
            <v>MANIZALES</v>
          </cell>
          <cell r="M712" t="str">
            <v>8848578</v>
          </cell>
        </row>
        <row r="713">
          <cell r="A713">
            <v>10251274</v>
          </cell>
          <cell r="B713" t="str">
            <v>4</v>
          </cell>
          <cell r="C713" t="str">
            <v/>
          </cell>
          <cell r="D713" t="str">
            <v>NP</v>
          </cell>
          <cell r="E713" t="str">
            <v>HUMBERTO</v>
          </cell>
          <cell r="F713" t="str">
            <v>LONDOÑO BLANDON</v>
          </cell>
          <cell r="G713" t="str">
            <v>LONDOÑO BLANDON HUMBERTO</v>
          </cell>
          <cell r="H713" t="str">
            <v>REOR</v>
          </cell>
          <cell r="I713" t="str">
            <v>RENTA REGIMEN ORDINARIO</v>
          </cell>
          <cell r="J713" t="str">
            <v>CL 55 C 40 TO 3 AP 521 BRR PUENTE LARGO</v>
          </cell>
          <cell r="K713" t="str">
            <v>11001</v>
          </cell>
          <cell r="L713" t="str">
            <v>BOGOTA DC</v>
          </cell>
          <cell r="M713" t="str">
            <v>6178475</v>
          </cell>
        </row>
        <row r="714">
          <cell r="A714">
            <v>10251436</v>
          </cell>
          <cell r="B714" t="str">
            <v>0</v>
          </cell>
          <cell r="C714" t="str">
            <v/>
          </cell>
          <cell r="D714" t="str">
            <v>NP</v>
          </cell>
          <cell r="E714" t="str">
            <v>IVAN LEONARDO</v>
          </cell>
          <cell r="F714" t="str">
            <v>DUQUE VERA</v>
          </cell>
          <cell r="G714" t="str">
            <v>DUQUE VERA IVAN LEONARDO</v>
          </cell>
          <cell r="H714" t="str">
            <v>RESI</v>
          </cell>
          <cell r="I714" t="str">
            <v>REGIMEN SIMPLIFICADO</v>
          </cell>
          <cell r="J714" t="str">
            <v>CR 18 1 125</v>
          </cell>
          <cell r="K714" t="str">
            <v>17001</v>
          </cell>
          <cell r="L714" t="str">
            <v>MANIZALES</v>
          </cell>
          <cell r="M714" t="str">
            <v>8859535</v>
          </cell>
        </row>
        <row r="715">
          <cell r="A715">
            <v>10251532</v>
          </cell>
          <cell r="B715" t="str">
            <v>1</v>
          </cell>
          <cell r="C715" t="str">
            <v/>
          </cell>
          <cell r="D715" t="str">
            <v>NP</v>
          </cell>
          <cell r="E715" t="str">
            <v>GILBERTO</v>
          </cell>
          <cell r="F715" t="str">
            <v>CARDONA POSADA</v>
          </cell>
          <cell r="G715" t="str">
            <v>CARDONA POSADA GILBERTO</v>
          </cell>
          <cell r="H715" t="str">
            <v>NORE</v>
          </cell>
          <cell r="I715" t="str">
            <v>NO RESPONSABLE DE IVA</v>
          </cell>
          <cell r="J715" t="str">
            <v>CR 25  55 99</v>
          </cell>
          <cell r="K715" t="str">
            <v>17001</v>
          </cell>
          <cell r="L715" t="str">
            <v>MANIZALES</v>
          </cell>
          <cell r="M715" t="str">
            <v>3136344569</v>
          </cell>
        </row>
        <row r="716">
          <cell r="A716">
            <v>10251597</v>
          </cell>
          <cell r="B716" t="str">
            <v>8</v>
          </cell>
          <cell r="C716" t="str">
            <v/>
          </cell>
          <cell r="D716" t="str">
            <v>NP</v>
          </cell>
          <cell r="E716" t="str">
            <v>JHON WILSON</v>
          </cell>
          <cell r="F716" t="str">
            <v>PINEDA VALENCIA</v>
          </cell>
          <cell r="G716" t="str">
            <v>PINEDA VALENCIA JHON WILSON</v>
          </cell>
          <cell r="H716" t="str">
            <v>RECO</v>
          </cell>
          <cell r="I716" t="str">
            <v>REGIMEN COMUN</v>
          </cell>
          <cell r="J716" t="str">
            <v>CR 20   20   29 P 1</v>
          </cell>
          <cell r="K716" t="str">
            <v>17001</v>
          </cell>
          <cell r="L716" t="str">
            <v>MANIZALES</v>
          </cell>
          <cell r="M716" t="str">
            <v>8970576</v>
          </cell>
        </row>
        <row r="717">
          <cell r="A717">
            <v>10252566</v>
          </cell>
          <cell r="B717" t="str">
            <v>4</v>
          </cell>
          <cell r="C717" t="str">
            <v/>
          </cell>
          <cell r="D717" t="str">
            <v>NP</v>
          </cell>
          <cell r="E717" t="str">
            <v>JHON JAIRO</v>
          </cell>
          <cell r="F717" t="str">
            <v>GIRALDO RAMIREZ</v>
          </cell>
          <cell r="G717" t="str">
            <v>GIRALDO RAMIREZ JHON JAIRO</v>
          </cell>
          <cell r="H717" t="str">
            <v>RESI</v>
          </cell>
          <cell r="I717" t="str">
            <v>REGIMEN SIMPLIFICADO</v>
          </cell>
          <cell r="J717" t="str">
            <v>CL 10 A 7 A 28 ED SAN MIGUEL APTO 302</v>
          </cell>
          <cell r="K717" t="str">
            <v>17001</v>
          </cell>
          <cell r="L717" t="str">
            <v>MANIZALES</v>
          </cell>
          <cell r="M717" t="str">
            <v>3155416122</v>
          </cell>
        </row>
        <row r="718">
          <cell r="A718">
            <v>10253055</v>
          </cell>
          <cell r="B718" t="str">
            <v>7</v>
          </cell>
          <cell r="C718" t="str">
            <v/>
          </cell>
          <cell r="D718" t="str">
            <v>NP</v>
          </cell>
          <cell r="E718" t="str">
            <v>JOSE HENRRY</v>
          </cell>
          <cell r="F718" t="str">
            <v>OCAMPO GALVIS</v>
          </cell>
          <cell r="G718" t="str">
            <v>OCAMPO GALVIS JOSE HENRRY</v>
          </cell>
          <cell r="H718" t="str">
            <v>NORE</v>
          </cell>
          <cell r="I718" t="str">
            <v>NO RESPONSABLE DE IVA</v>
          </cell>
          <cell r="J718" t="str">
            <v>CL 35 25 35</v>
          </cell>
          <cell r="K718" t="str">
            <v>17001</v>
          </cell>
          <cell r="L718" t="str">
            <v>MANIZALES</v>
          </cell>
          <cell r="M718" t="str">
            <v>3182507783</v>
          </cell>
        </row>
        <row r="719">
          <cell r="A719">
            <v>10253056</v>
          </cell>
          <cell r="B719" t="str">
            <v>4</v>
          </cell>
          <cell r="C719" t="str">
            <v/>
          </cell>
          <cell r="D719" t="str">
            <v>NP</v>
          </cell>
          <cell r="E719" t="str">
            <v>JOSE HENRY</v>
          </cell>
          <cell r="F719" t="str">
            <v>OCAMPO GALVIS</v>
          </cell>
          <cell r="G719" t="str">
            <v>OCAMPO GALVIS JOSE HENRY</v>
          </cell>
          <cell r="H719" t="str">
            <v>NORE</v>
          </cell>
          <cell r="I719" t="str">
            <v>NO RESPONSABLE DE IVA</v>
          </cell>
          <cell r="J719" t="str">
            <v>CL 35  35  25</v>
          </cell>
          <cell r="K719" t="str">
            <v>17001</v>
          </cell>
          <cell r="L719" t="str">
            <v>MANIZALES</v>
          </cell>
          <cell r="M719" t="str">
            <v>3162507783</v>
          </cell>
        </row>
        <row r="720">
          <cell r="A720">
            <v>10253605</v>
          </cell>
          <cell r="B720" t="str">
            <v>8</v>
          </cell>
          <cell r="C720" t="str">
            <v/>
          </cell>
          <cell r="D720" t="str">
            <v>NP</v>
          </cell>
          <cell r="E720" t="str">
            <v>RODRIGO</v>
          </cell>
          <cell r="F720" t="str">
            <v>SALAZAR LARA</v>
          </cell>
          <cell r="G720" t="str">
            <v>SALAZAR LARA RODRIGO</v>
          </cell>
          <cell r="H720" t="str">
            <v>RECO</v>
          </cell>
          <cell r="I720" t="str">
            <v>REGIMEN COMUN</v>
          </cell>
          <cell r="J720" t="str">
            <v>CL 19 20 40</v>
          </cell>
          <cell r="K720" t="str">
            <v>17001</v>
          </cell>
          <cell r="L720" t="str">
            <v>MANIZALES</v>
          </cell>
          <cell r="M720" t="str">
            <v>8845914</v>
          </cell>
        </row>
        <row r="721">
          <cell r="A721">
            <v>10253664</v>
          </cell>
          <cell r="B721" t="str">
            <v/>
          </cell>
          <cell r="C721" t="str">
            <v/>
          </cell>
          <cell r="D721" t="str">
            <v>CC</v>
          </cell>
          <cell r="E721" t="str">
            <v>JORGE EDUARDO</v>
          </cell>
          <cell r="F721" t="str">
            <v>VARGAS OROZCO</v>
          </cell>
          <cell r="G721" t="str">
            <v>VARGAS OROZCO JORGE EDUARDO</v>
          </cell>
          <cell r="H721" t="str">
            <v>REOR</v>
          </cell>
          <cell r="I721" t="str">
            <v>RENTA REGIMEN ORDINARIO</v>
          </cell>
          <cell r="J721" t="str">
            <v>CR 13 A N 104-91 A 202 EDIF SANTA PAULA</v>
          </cell>
          <cell r="K721" t="str">
            <v>17001</v>
          </cell>
          <cell r="L721" t="str">
            <v>MANIZALES</v>
          </cell>
          <cell r="M721" t="str">
            <v>3166956106</v>
          </cell>
        </row>
        <row r="722">
          <cell r="A722">
            <v>10254070</v>
          </cell>
          <cell r="B722" t="str">
            <v>2</v>
          </cell>
          <cell r="C722" t="str">
            <v/>
          </cell>
          <cell r="D722" t="str">
            <v>NP</v>
          </cell>
          <cell r="E722" t="str">
            <v>RICARDO</v>
          </cell>
          <cell r="F722" t="str">
            <v>PEÑA HERNANDEZ</v>
          </cell>
          <cell r="G722" t="str">
            <v xml:space="preserve">PEÑA HERNANDEZ RICARDO                                      </v>
          </cell>
          <cell r="H722" t="str">
            <v>NORE</v>
          </cell>
          <cell r="I722" t="str">
            <v>NO RESPONSABLE DE IVA</v>
          </cell>
          <cell r="J722" t="str">
            <v>CR 18   73 A 03 AP 201</v>
          </cell>
          <cell r="K722" t="str">
            <v>17001</v>
          </cell>
          <cell r="L722" t="str">
            <v>MANIZALES</v>
          </cell>
          <cell r="M722" t="str">
            <v>3136512692</v>
          </cell>
        </row>
        <row r="723">
          <cell r="A723">
            <v>10254789</v>
          </cell>
          <cell r="B723" t="str">
            <v/>
          </cell>
          <cell r="C723" t="str">
            <v/>
          </cell>
          <cell r="D723" t="str">
            <v>CC</v>
          </cell>
          <cell r="E723" t="str">
            <v>RICARDO EMILIO</v>
          </cell>
          <cell r="F723" t="str">
            <v>LONDOÑO BOTERO</v>
          </cell>
          <cell r="G723" t="str">
            <v>LONDOÑO BOTERO RICARDO EMILIO</v>
          </cell>
          <cell r="H723" t="str">
            <v>FUNC</v>
          </cell>
          <cell r="I723" t="str">
            <v>FUNCIONARIO</v>
          </cell>
          <cell r="J723" t="str">
            <v>CR 23   66   64 ED BUENA VISTA AP 402</v>
          </cell>
          <cell r="K723" t="str">
            <v>17001</v>
          </cell>
          <cell r="L723" t="str">
            <v>MANIZALES</v>
          </cell>
          <cell r="M723" t="str">
            <v>8744216</v>
          </cell>
        </row>
        <row r="724">
          <cell r="A724">
            <v>10255151</v>
          </cell>
          <cell r="B724" t="str">
            <v>5</v>
          </cell>
          <cell r="C724" t="str">
            <v/>
          </cell>
          <cell r="D724" t="str">
            <v>NP</v>
          </cell>
          <cell r="E724" t="str">
            <v>VICTOR HUGO</v>
          </cell>
          <cell r="F724" t="str">
            <v>FRANCO AREVALO</v>
          </cell>
          <cell r="G724" t="str">
            <v>FRANCO AREVALO VICTOR HUGO</v>
          </cell>
          <cell r="H724" t="str">
            <v>RESI</v>
          </cell>
          <cell r="I724" t="str">
            <v>REGIMEN SIMPLIFICADO</v>
          </cell>
          <cell r="J724" t="str">
            <v>CR 7 M 53 21</v>
          </cell>
          <cell r="K724" t="str">
            <v>17001</v>
          </cell>
          <cell r="L724" t="str">
            <v>MANIZALES</v>
          </cell>
          <cell r="M724" t="str">
            <v>3207734620</v>
          </cell>
        </row>
        <row r="725">
          <cell r="A725">
            <v>10255469</v>
          </cell>
          <cell r="B725" t="str">
            <v/>
          </cell>
          <cell r="C725" t="str">
            <v/>
          </cell>
          <cell r="D725" t="str">
            <v>CC</v>
          </cell>
          <cell r="E725" t="str">
            <v>MARIO</v>
          </cell>
          <cell r="F725" t="str">
            <v>MEJIA LOPEZ</v>
          </cell>
          <cell r="G725" t="str">
            <v>MEJIA LOPEZ MARIO</v>
          </cell>
          <cell r="H725" t="str">
            <v>RESI</v>
          </cell>
          <cell r="I725" t="str">
            <v>REGIMEN SIMPLIFICADO</v>
          </cell>
          <cell r="J725" t="str">
            <v>CL 47 N 8-145</v>
          </cell>
          <cell r="K725" t="str">
            <v>17001</v>
          </cell>
          <cell r="L725" t="str">
            <v>MANIZALES</v>
          </cell>
          <cell r="M725" t="str">
            <v>8754345</v>
          </cell>
        </row>
        <row r="726">
          <cell r="A726">
            <v>10256129</v>
          </cell>
          <cell r="B726" t="str">
            <v/>
          </cell>
          <cell r="C726" t="str">
            <v/>
          </cell>
          <cell r="D726" t="str">
            <v>CC</v>
          </cell>
          <cell r="E726" t="str">
            <v>TONY</v>
          </cell>
          <cell r="F726" t="str">
            <v>JOZAME AMAR</v>
          </cell>
          <cell r="G726" t="str">
            <v>JOZAME AMAR TONY</v>
          </cell>
          <cell r="H726" t="str">
            <v>FUNC</v>
          </cell>
          <cell r="I726" t="str">
            <v>FUNCIONARIO</v>
          </cell>
          <cell r="J726" t="str">
            <v>CL 72 A N 27 A 60 TO 4 AP 202 CONJ MIRADOR DE LA COLINA</v>
          </cell>
          <cell r="K726" t="str">
            <v>17001</v>
          </cell>
          <cell r="L726" t="str">
            <v>MANIZALES</v>
          </cell>
          <cell r="M726" t="str">
            <v>3104377713</v>
          </cell>
        </row>
        <row r="727">
          <cell r="A727">
            <v>10256290</v>
          </cell>
          <cell r="B727" t="str">
            <v>5</v>
          </cell>
          <cell r="C727" t="str">
            <v/>
          </cell>
          <cell r="D727" t="str">
            <v>NP</v>
          </cell>
          <cell r="E727" t="str">
            <v>CARLOS ALBERTO</v>
          </cell>
          <cell r="F727" t="str">
            <v>GARCIA ALZATE</v>
          </cell>
          <cell r="G727" t="str">
            <v>CARLOS ALBERTO GARCIA ALZATE</v>
          </cell>
          <cell r="H727" t="str">
            <v>RECO</v>
          </cell>
          <cell r="I727" t="str">
            <v>REGIMEN COMUN</v>
          </cell>
          <cell r="J727" t="str">
            <v xml:space="preserve"> CL 66  23 B  159</v>
          </cell>
          <cell r="K727" t="str">
            <v>17001</v>
          </cell>
          <cell r="L727" t="str">
            <v>MANIZALES</v>
          </cell>
          <cell r="M727" t="str">
            <v>8875818</v>
          </cell>
        </row>
        <row r="728">
          <cell r="A728">
            <v>10256983</v>
          </cell>
          <cell r="B728" t="str">
            <v/>
          </cell>
          <cell r="C728" t="str">
            <v/>
          </cell>
          <cell r="D728" t="str">
            <v>CC</v>
          </cell>
          <cell r="E728" t="str">
            <v>JAIR</v>
          </cell>
          <cell r="F728" t="str">
            <v>ROMAN SALAZAR</v>
          </cell>
          <cell r="G728" t="str">
            <v>ROMAN SALAZAR JAIR</v>
          </cell>
          <cell r="H728" t="str">
            <v>RESI</v>
          </cell>
          <cell r="I728" t="str">
            <v>REGIMEN SIMPLIFICADO</v>
          </cell>
          <cell r="J728" t="str">
            <v>CALLE 67 A N 22-64 LC</v>
          </cell>
          <cell r="K728" t="str">
            <v>17001</v>
          </cell>
          <cell r="L728" t="str">
            <v>MANIZALES</v>
          </cell>
          <cell r="M728" t="str">
            <v>3116592365</v>
          </cell>
        </row>
        <row r="729">
          <cell r="A729">
            <v>10257879</v>
          </cell>
          <cell r="B729" t="str">
            <v/>
          </cell>
          <cell r="C729" t="str">
            <v/>
          </cell>
          <cell r="D729" t="str">
            <v>CC</v>
          </cell>
          <cell r="E729" t="str">
            <v>CRISTIAN</v>
          </cell>
          <cell r="F729" t="str">
            <v>GOMEZ JARAMILLO</v>
          </cell>
          <cell r="G729" t="str">
            <v>GOMEZ JARAMILLO CRISTIAN</v>
          </cell>
          <cell r="H729" t="str">
            <v>RESI</v>
          </cell>
          <cell r="I729" t="str">
            <v>REGIMEN SIMPLIFICADO</v>
          </cell>
          <cell r="J729" t="str">
            <v>CL 69 10 40</v>
          </cell>
          <cell r="K729" t="str">
            <v>17001</v>
          </cell>
          <cell r="L729" t="str">
            <v>MANIZALES</v>
          </cell>
          <cell r="M729" t="str">
            <v>8864754</v>
          </cell>
        </row>
        <row r="730">
          <cell r="A730">
            <v>10258065</v>
          </cell>
          <cell r="B730" t="str">
            <v>3</v>
          </cell>
          <cell r="C730" t="str">
            <v/>
          </cell>
          <cell r="D730" t="str">
            <v>NP</v>
          </cell>
          <cell r="E730" t="str">
            <v>JHON JAIME</v>
          </cell>
          <cell r="F730" t="str">
            <v>ALZATE ESPEJO</v>
          </cell>
          <cell r="G730" t="str">
            <v>ALZATE ESPEJO JHON JAIME</v>
          </cell>
          <cell r="H730" t="str">
            <v>RESI</v>
          </cell>
          <cell r="I730" t="str">
            <v>REGIMEN SIMPLIFICADO</v>
          </cell>
          <cell r="J730" t="str">
            <v xml:space="preserve"> CL 30  14 46 BRR SAN JOSE</v>
          </cell>
          <cell r="K730" t="str">
            <v>17001</v>
          </cell>
          <cell r="L730" t="str">
            <v>MANIZALES</v>
          </cell>
          <cell r="M730" t="str">
            <v>8804558</v>
          </cell>
        </row>
        <row r="731">
          <cell r="A731">
            <v>10258440</v>
          </cell>
          <cell r="B731" t="str">
            <v/>
          </cell>
          <cell r="C731" t="str">
            <v/>
          </cell>
          <cell r="D731" t="str">
            <v>CC</v>
          </cell>
          <cell r="E731" t="str">
            <v>GERMAN</v>
          </cell>
          <cell r="F731" t="str">
            <v>LOPEZ JIMENEZ</v>
          </cell>
          <cell r="G731" t="str">
            <v>LOPEZ JIMENEZ GERMAN</v>
          </cell>
          <cell r="H731" t="str">
            <v>FUNC</v>
          </cell>
          <cell r="I731" t="str">
            <v>FUNCIONARIO</v>
          </cell>
          <cell r="J731" t="str">
            <v>CL 66 N 27 A 06</v>
          </cell>
          <cell r="K731" t="str">
            <v>17001</v>
          </cell>
          <cell r="L731" t="str">
            <v>MANIZALES</v>
          </cell>
          <cell r="M731" t="str">
            <v>8871320</v>
          </cell>
        </row>
        <row r="732">
          <cell r="A732">
            <v>10258593</v>
          </cell>
          <cell r="B732" t="str">
            <v/>
          </cell>
          <cell r="C732" t="str">
            <v/>
          </cell>
          <cell r="D732" t="str">
            <v>CC</v>
          </cell>
          <cell r="E732" t="str">
            <v>JOSE GILBERTO</v>
          </cell>
          <cell r="F732" t="str">
            <v>RAMIREZ GONZALEZ</v>
          </cell>
          <cell r="G732" t="str">
            <v>RAMIREZ GONZALEZ JOSE GILBERTO</v>
          </cell>
          <cell r="H732" t="str">
            <v>NORE</v>
          </cell>
          <cell r="I732" t="str">
            <v>NO RESPONSABLE DE IVA</v>
          </cell>
          <cell r="J732" t="str">
            <v>MCP MANZANARES</v>
          </cell>
          <cell r="K732" t="str">
            <v>17433</v>
          </cell>
          <cell r="L732" t="str">
            <v>MANZANARES</v>
          </cell>
          <cell r="M732" t="str">
            <v>NO REGISTRA</v>
          </cell>
        </row>
        <row r="733">
          <cell r="A733">
            <v>10258807</v>
          </cell>
          <cell r="B733" t="str">
            <v>1</v>
          </cell>
          <cell r="C733" t="str">
            <v/>
          </cell>
          <cell r="D733" t="str">
            <v>NP</v>
          </cell>
          <cell r="E733" t="str">
            <v>JOSE FERNANDO</v>
          </cell>
          <cell r="F733" t="str">
            <v>BOTERO HINCAPIE</v>
          </cell>
          <cell r="G733" t="str">
            <v>BOTERO HINCAPIE JOSE FERNANDO Y/O ANDINA DE SERVICIOS</v>
          </cell>
          <cell r="H733" t="str">
            <v>RECO</v>
          </cell>
          <cell r="I733" t="str">
            <v>REGIMEN COMUN</v>
          </cell>
          <cell r="J733" t="str">
            <v>Cl 67 23 b 56</v>
          </cell>
          <cell r="K733" t="str">
            <v>17001</v>
          </cell>
          <cell r="L733" t="str">
            <v>MANIZALES</v>
          </cell>
          <cell r="M733" t="str">
            <v>8871000</v>
          </cell>
        </row>
        <row r="734">
          <cell r="A734">
            <v>10258926</v>
          </cell>
          <cell r="B734" t="str">
            <v>1</v>
          </cell>
          <cell r="C734" t="str">
            <v/>
          </cell>
          <cell r="D734" t="str">
            <v>NP</v>
          </cell>
          <cell r="E734" t="str">
            <v>JOSUE</v>
          </cell>
          <cell r="F734" t="str">
            <v>JARAMILLO OSORIO</v>
          </cell>
          <cell r="G734" t="str">
            <v>JARAMILLO OSORIO JOSUE</v>
          </cell>
          <cell r="H734" t="str">
            <v>RESI</v>
          </cell>
          <cell r="I734" t="str">
            <v>REGIMEN SIMPLIFICADO</v>
          </cell>
          <cell r="J734" t="str">
            <v>CR 37 49 F 33</v>
          </cell>
          <cell r="K734" t="str">
            <v>17001</v>
          </cell>
          <cell r="L734" t="str">
            <v>MANIZALES</v>
          </cell>
          <cell r="M734" t="str">
            <v>3206911949</v>
          </cell>
        </row>
        <row r="735">
          <cell r="A735">
            <v>10259291</v>
          </cell>
          <cell r="B735" t="str">
            <v/>
          </cell>
          <cell r="C735" t="str">
            <v/>
          </cell>
          <cell r="D735" t="str">
            <v>CC</v>
          </cell>
          <cell r="E735" t="str">
            <v>NESTOR JOSE</v>
          </cell>
          <cell r="F735" t="str">
            <v>MORENO BELTRAN</v>
          </cell>
          <cell r="G735" t="str">
            <v>MORENO BELTRAN NESTOR JOSE</v>
          </cell>
          <cell r="H735" t="str">
            <v>FUNC</v>
          </cell>
          <cell r="I735" t="str">
            <v>FUNCIONARIO</v>
          </cell>
          <cell r="J735" t="str">
            <v>CL 12 7 04</v>
          </cell>
          <cell r="K735" t="str">
            <v>17001</v>
          </cell>
          <cell r="L735" t="str">
            <v>MANIZALES</v>
          </cell>
          <cell r="M735" t="str">
            <v>3113094022</v>
          </cell>
        </row>
        <row r="736">
          <cell r="A736">
            <v>10260400</v>
          </cell>
          <cell r="B736" t="str">
            <v/>
          </cell>
          <cell r="C736" t="str">
            <v/>
          </cell>
          <cell r="D736" t="str">
            <v>CC</v>
          </cell>
          <cell r="E736" t="str">
            <v>HERNAN</v>
          </cell>
          <cell r="F736" t="str">
            <v>LOPEZ HOLGUIN</v>
          </cell>
          <cell r="G736" t="str">
            <v>LOPEZ HOLGUIN HERNAN</v>
          </cell>
          <cell r="H736" t="str">
            <v>FUNC</v>
          </cell>
          <cell r="I736" t="str">
            <v>FUNCIONARIO</v>
          </cell>
          <cell r="J736" t="str">
            <v>BRR LA LINDA SEC LA PALMA</v>
          </cell>
          <cell r="K736" t="str">
            <v>17001</v>
          </cell>
          <cell r="L736" t="str">
            <v>MANIZALES</v>
          </cell>
          <cell r="M736" t="str">
            <v>8708279</v>
          </cell>
        </row>
        <row r="737">
          <cell r="A737">
            <v>10260415</v>
          </cell>
          <cell r="B737" t="str">
            <v>4</v>
          </cell>
          <cell r="C737" t="str">
            <v/>
          </cell>
          <cell r="D737" t="str">
            <v>NP</v>
          </cell>
          <cell r="E737" t="str">
            <v>JOHN JAIRO</v>
          </cell>
          <cell r="F737" t="str">
            <v>LOPEZ BEDOYA</v>
          </cell>
          <cell r="G737" t="str">
            <v>LOPEZ BEDOYA JOHN JAIRO</v>
          </cell>
          <cell r="H737" t="str">
            <v>RESI</v>
          </cell>
          <cell r="I737" t="str">
            <v>REGIMEN SIMPLIFICADO</v>
          </cell>
          <cell r="J737" t="str">
            <v>CR 23   46   36 LC 2</v>
          </cell>
          <cell r="K737" t="str">
            <v>17001</v>
          </cell>
          <cell r="L737" t="str">
            <v>MANIZALES</v>
          </cell>
          <cell r="M737" t="str">
            <v>8863533</v>
          </cell>
        </row>
        <row r="738">
          <cell r="A738">
            <v>10260449</v>
          </cell>
          <cell r="B738" t="str">
            <v/>
          </cell>
          <cell r="C738" t="str">
            <v/>
          </cell>
          <cell r="D738" t="str">
            <v>CC</v>
          </cell>
          <cell r="E738" t="str">
            <v>CESAR ALBERTO</v>
          </cell>
          <cell r="F738" t="str">
            <v>GUTIERREZ GARCIA</v>
          </cell>
          <cell r="G738" t="str">
            <v>GUTIERREZ GARCIA CESAR ALBERTO</v>
          </cell>
          <cell r="H738" t="str">
            <v>FUNC</v>
          </cell>
          <cell r="I738" t="str">
            <v>FUNCIONARIO</v>
          </cell>
          <cell r="J738" t="str">
            <v>CL 4 D 35 21</v>
          </cell>
          <cell r="K738" t="str">
            <v>17001</v>
          </cell>
          <cell r="L738" t="str">
            <v>MANIZALES</v>
          </cell>
          <cell r="M738" t="str">
            <v>3205317005</v>
          </cell>
        </row>
        <row r="739">
          <cell r="A739">
            <v>10260613</v>
          </cell>
          <cell r="B739" t="str">
            <v>6</v>
          </cell>
          <cell r="C739" t="str">
            <v/>
          </cell>
          <cell r="D739" t="str">
            <v>NP</v>
          </cell>
          <cell r="E739" t="str">
            <v>ALCIDES</v>
          </cell>
          <cell r="F739" t="str">
            <v>RIOS SANCHEZ</v>
          </cell>
          <cell r="G739" t="str">
            <v>RIOS SANCHEZ ALCIDES</v>
          </cell>
          <cell r="H739" t="str">
            <v>RECO</v>
          </cell>
          <cell r="I739" t="str">
            <v>REGIMEN COMUN</v>
          </cell>
          <cell r="J739" t="str">
            <v>CL 94   33   22 BRR EL PINAR CA 14 B</v>
          </cell>
          <cell r="K739" t="str">
            <v>17001</v>
          </cell>
          <cell r="L739" t="str">
            <v>MANIZALES</v>
          </cell>
          <cell r="M739" t="str">
            <v>3113108695</v>
          </cell>
        </row>
        <row r="740">
          <cell r="A740">
            <v>10260845</v>
          </cell>
          <cell r="B740" t="str">
            <v/>
          </cell>
          <cell r="C740" t="str">
            <v/>
          </cell>
          <cell r="D740" t="str">
            <v>CC</v>
          </cell>
          <cell r="E740" t="str">
            <v>ALVARO ANTONIO</v>
          </cell>
          <cell r="F740" t="str">
            <v>GALLO ROBAYO</v>
          </cell>
          <cell r="G740" t="str">
            <v>GALLO ROBAYO ALVARO ANTONIO</v>
          </cell>
          <cell r="H740" t="str">
            <v>FUNC</v>
          </cell>
          <cell r="I740" t="str">
            <v>FUNCIONARIO</v>
          </cell>
          <cell r="J740" t="str">
            <v>CR 01 D   01   54   61 AP 04   102</v>
          </cell>
          <cell r="K740" t="str">
            <v>17001</v>
          </cell>
          <cell r="L740" t="str">
            <v>MANIZALES</v>
          </cell>
          <cell r="M740" t="str">
            <v>4490407</v>
          </cell>
        </row>
        <row r="741">
          <cell r="A741">
            <v>10260851</v>
          </cell>
          <cell r="B741" t="str">
            <v/>
          </cell>
          <cell r="C741" t="str">
            <v/>
          </cell>
          <cell r="D741" t="str">
            <v>CC</v>
          </cell>
          <cell r="E741" t="str">
            <v>GILDARDO DE JESUS</v>
          </cell>
          <cell r="F741" t="str">
            <v>LOPEZ ALZATE</v>
          </cell>
          <cell r="G741" t="str">
            <v>LOPEZ ALZATE GILDARDO DE JESUS</v>
          </cell>
          <cell r="H741" t="str">
            <v>FUNC</v>
          </cell>
          <cell r="I741" t="str">
            <v>FUNCIONARIO</v>
          </cell>
          <cell r="J741" t="str">
            <v>CR 21 58 A 24 AP 205</v>
          </cell>
          <cell r="K741" t="str">
            <v>17001</v>
          </cell>
          <cell r="L741" t="str">
            <v>MANIZALES</v>
          </cell>
          <cell r="M741" t="str">
            <v>8860441</v>
          </cell>
        </row>
        <row r="742">
          <cell r="A742">
            <v>10261354</v>
          </cell>
          <cell r="B742" t="str">
            <v>8</v>
          </cell>
          <cell r="C742" t="str">
            <v/>
          </cell>
          <cell r="D742" t="str">
            <v>NP</v>
          </cell>
          <cell r="E742" t="str">
            <v>JUAN CARLOS</v>
          </cell>
          <cell r="F742" t="str">
            <v>COTRINI FORERO</v>
          </cell>
          <cell r="G742" t="str">
            <v>COTRINI FORERO JUAN CARLOS</v>
          </cell>
          <cell r="H742" t="str">
            <v>RESI</v>
          </cell>
          <cell r="I742" t="str">
            <v>REGIMEN SIMPLIFICADO</v>
          </cell>
          <cell r="J742" t="str">
            <v>CR 25   2   21</v>
          </cell>
          <cell r="K742" t="str">
            <v>17001</v>
          </cell>
          <cell r="L742" t="str">
            <v>MANIZALES</v>
          </cell>
          <cell r="M742" t="str">
            <v>8826784</v>
          </cell>
        </row>
        <row r="743">
          <cell r="A743">
            <v>10261362</v>
          </cell>
          <cell r="B743" t="str">
            <v>7</v>
          </cell>
          <cell r="C743" t="str">
            <v/>
          </cell>
          <cell r="D743" t="str">
            <v>NP</v>
          </cell>
          <cell r="E743" t="str">
            <v>MAURICIO</v>
          </cell>
          <cell r="F743" t="str">
            <v>PARRA SANCHEZ</v>
          </cell>
          <cell r="G743" t="str">
            <v>PARRA SANCHEZ MAURICIO</v>
          </cell>
          <cell r="H743" t="str">
            <v>RECO</v>
          </cell>
          <cell r="I743" t="str">
            <v>REGIMEN COMUN</v>
          </cell>
          <cell r="J743" t="str">
            <v xml:space="preserve"> CL 12  3 97</v>
          </cell>
          <cell r="K743" t="str">
            <v>17001</v>
          </cell>
          <cell r="L743" t="str">
            <v>MANIZALES</v>
          </cell>
          <cell r="M743" t="str">
            <v>8830800</v>
          </cell>
        </row>
        <row r="744">
          <cell r="A744">
            <v>10261445</v>
          </cell>
          <cell r="B744" t="str">
            <v/>
          </cell>
          <cell r="C744" t="str">
            <v/>
          </cell>
          <cell r="D744" t="str">
            <v>CC</v>
          </cell>
          <cell r="E744" t="str">
            <v>NICOLAS</v>
          </cell>
          <cell r="F744" t="str">
            <v>ORTEGON ORTIZ</v>
          </cell>
          <cell r="G744" t="str">
            <v>ORTEGON ORTIZ NICOLAS</v>
          </cell>
          <cell r="H744" t="str">
            <v>FUNC</v>
          </cell>
          <cell r="I744" t="str">
            <v>FUNCIONARIO</v>
          </cell>
          <cell r="J744" t="str">
            <v>CALLE 67 9-20</v>
          </cell>
          <cell r="K744" t="str">
            <v>17001</v>
          </cell>
          <cell r="L744" t="str">
            <v>MANIZALES</v>
          </cell>
          <cell r="M744" t="str">
            <v>3154009967</v>
          </cell>
        </row>
        <row r="745">
          <cell r="A745">
            <v>10261891</v>
          </cell>
          <cell r="B745" t="str">
            <v/>
          </cell>
          <cell r="C745" t="str">
            <v/>
          </cell>
          <cell r="D745" t="str">
            <v>CC</v>
          </cell>
          <cell r="E745" t="str">
            <v>JAIRO ALBERTO</v>
          </cell>
          <cell r="F745" t="str">
            <v>HENAO TORRES</v>
          </cell>
          <cell r="G745" t="str">
            <v>HENAO TORRES JAIRO ALBERTO</v>
          </cell>
          <cell r="H745" t="str">
            <v>FUNC</v>
          </cell>
          <cell r="I745" t="str">
            <v>FUNCIONARIO</v>
          </cell>
          <cell r="J745" t="str">
            <v>CL 24   24   29</v>
          </cell>
          <cell r="K745" t="str">
            <v>17001</v>
          </cell>
          <cell r="L745" t="str">
            <v>MANIZALES</v>
          </cell>
          <cell r="M745" t="str">
            <v>8869057</v>
          </cell>
        </row>
        <row r="746">
          <cell r="A746">
            <v>10261892</v>
          </cell>
          <cell r="B746" t="str">
            <v>9</v>
          </cell>
          <cell r="C746" t="str">
            <v/>
          </cell>
          <cell r="D746" t="str">
            <v>NP</v>
          </cell>
          <cell r="E746" t="str">
            <v>JESUS ARMANDO</v>
          </cell>
          <cell r="F746" t="str">
            <v>GIRALDO CARDONA</v>
          </cell>
          <cell r="G746" t="str">
            <v>GIRALDO CARDONA JESUS ARMANDO</v>
          </cell>
          <cell r="H746" t="str">
            <v>NORE</v>
          </cell>
          <cell r="I746" t="str">
            <v>NO RESPONSABLE DE IVA</v>
          </cell>
          <cell r="J746" t="str">
            <v>CL 37 A 32 A 52 BRR ARRAYANES</v>
          </cell>
          <cell r="K746" t="str">
            <v>17001</v>
          </cell>
          <cell r="L746" t="str">
            <v>MANIZALES</v>
          </cell>
          <cell r="M746" t="str">
            <v>3206055645</v>
          </cell>
        </row>
        <row r="747">
          <cell r="A747">
            <v>10262252</v>
          </cell>
          <cell r="B747" t="str">
            <v>1</v>
          </cell>
          <cell r="C747" t="str">
            <v/>
          </cell>
          <cell r="D747" t="str">
            <v>NP</v>
          </cell>
          <cell r="E747" t="str">
            <v>JOSE ALBEIRO</v>
          </cell>
          <cell r="F747" t="str">
            <v>GALVEZ GALVEZ</v>
          </cell>
          <cell r="G747" t="str">
            <v>GALVEZ GALVEZ JOSE ALBEIRO</v>
          </cell>
          <cell r="H747" t="str">
            <v>RESI</v>
          </cell>
          <cell r="I747" t="str">
            <v>REGIMEN SIMPLIFICADO</v>
          </cell>
          <cell r="J747" t="str">
            <v>CR 11  A  63 A  66</v>
          </cell>
          <cell r="K747" t="str">
            <v>17001</v>
          </cell>
          <cell r="L747" t="str">
            <v>MANIZALES</v>
          </cell>
          <cell r="M747" t="str">
            <v>3154508740</v>
          </cell>
        </row>
        <row r="748">
          <cell r="A748">
            <v>10262347</v>
          </cell>
          <cell r="B748" t="str">
            <v/>
          </cell>
          <cell r="C748" t="str">
            <v/>
          </cell>
          <cell r="D748" t="str">
            <v>CC</v>
          </cell>
          <cell r="E748" t="str">
            <v>JUAN PABLO</v>
          </cell>
          <cell r="F748" t="str">
            <v>RODRIGUEZ OSPINA</v>
          </cell>
          <cell r="G748" t="str">
            <v>RODRIGUEZ OSPINA JUAN PABLO</v>
          </cell>
          <cell r="H748" t="str">
            <v>FUNC</v>
          </cell>
          <cell r="I748" t="str">
            <v>FUNCIONARIO</v>
          </cell>
          <cell r="J748" t="str">
            <v>CR. 21 #52A-59</v>
          </cell>
          <cell r="K748" t="str">
            <v>17001</v>
          </cell>
          <cell r="L748" t="str">
            <v>MANIZALES</v>
          </cell>
          <cell r="M748" t="str">
            <v>5656595</v>
          </cell>
        </row>
        <row r="749">
          <cell r="A749">
            <v>10262420</v>
          </cell>
          <cell r="B749" t="str">
            <v>0</v>
          </cell>
          <cell r="C749" t="str">
            <v/>
          </cell>
          <cell r="D749" t="str">
            <v>NP</v>
          </cell>
          <cell r="E749" t="str">
            <v>CARLOS AURELIO</v>
          </cell>
          <cell r="F749" t="str">
            <v>AGUIRRE OSORIO</v>
          </cell>
          <cell r="G749" t="str">
            <v>AGUIRRE OSORIO CARLOS AURELIO</v>
          </cell>
          <cell r="H749" t="str">
            <v>RESI</v>
          </cell>
          <cell r="I749" t="str">
            <v>REGIMEN SIMPLIFICADO</v>
          </cell>
          <cell r="J749" t="str">
            <v>CL 81 B 25 41 CONJ BOSQUES DE LA SIERRA CA 44</v>
          </cell>
          <cell r="K749" t="str">
            <v>17001</v>
          </cell>
          <cell r="L749" t="str">
            <v>MANIZALES</v>
          </cell>
          <cell r="M749" t="str">
            <v>3104251237</v>
          </cell>
        </row>
        <row r="750">
          <cell r="A750">
            <v>10262447</v>
          </cell>
          <cell r="B750" t="str">
            <v>9</v>
          </cell>
          <cell r="C750" t="str">
            <v/>
          </cell>
          <cell r="D750" t="str">
            <v>NP</v>
          </cell>
          <cell r="E750" t="str">
            <v>JORGE EDUARDO</v>
          </cell>
          <cell r="F750" t="str">
            <v>ARISTIZABAL ESCOBAR</v>
          </cell>
          <cell r="G750" t="str">
            <v>ARISTIZABAL ESCOBAR JORGE EDUARDO</v>
          </cell>
          <cell r="H750" t="str">
            <v>RESI</v>
          </cell>
          <cell r="I750" t="str">
            <v>REGIMEN SIMPLIFICADO</v>
          </cell>
          <cell r="J750" t="str">
            <v>CR 20  22 15 AP 303</v>
          </cell>
          <cell r="K750" t="str">
            <v>17001</v>
          </cell>
          <cell r="L750" t="str">
            <v>MANIZALES</v>
          </cell>
          <cell r="M750" t="str">
            <v>3206294366</v>
          </cell>
        </row>
        <row r="751">
          <cell r="A751">
            <v>10262670</v>
          </cell>
          <cell r="B751" t="str">
            <v>5</v>
          </cell>
          <cell r="C751" t="str">
            <v/>
          </cell>
          <cell r="D751" t="str">
            <v>NP</v>
          </cell>
          <cell r="E751" t="str">
            <v>JOSE ALBER</v>
          </cell>
          <cell r="F751" t="str">
            <v>GIRALDO HENAO</v>
          </cell>
          <cell r="G751" t="str">
            <v>GIRALDO HENAO JOSE ALBER</v>
          </cell>
          <cell r="H751" t="str">
            <v>RECO</v>
          </cell>
          <cell r="I751" t="str">
            <v>REGIMEN COMUN</v>
          </cell>
          <cell r="J751" t="str">
            <v>CR 25  27 A 46  AP 4  BRR ONDAS DE OTUN</v>
          </cell>
          <cell r="K751" t="str">
            <v>17001</v>
          </cell>
          <cell r="L751" t="str">
            <v>MANIZALES</v>
          </cell>
          <cell r="M751" t="str">
            <v>8830825</v>
          </cell>
        </row>
        <row r="752">
          <cell r="A752">
            <v>10262763</v>
          </cell>
          <cell r="B752" t="str">
            <v/>
          </cell>
          <cell r="C752" t="str">
            <v/>
          </cell>
          <cell r="D752" t="str">
            <v>CC</v>
          </cell>
          <cell r="E752" t="str">
            <v>JAVIER</v>
          </cell>
          <cell r="F752" t="str">
            <v>CARDONA SALAZAR</v>
          </cell>
          <cell r="G752" t="str">
            <v>CARDONA SALAZAR JAVIER</v>
          </cell>
          <cell r="H752" t="str">
            <v>FUNC</v>
          </cell>
          <cell r="I752" t="str">
            <v>FUNCIONARIO</v>
          </cell>
          <cell r="J752" t="str">
            <v>BRR MONTEVERDE CA   02 MCP VILLAMARIA</v>
          </cell>
          <cell r="K752" t="str">
            <v>17001</v>
          </cell>
          <cell r="L752" t="str">
            <v>MANIZALES</v>
          </cell>
          <cell r="M752" t="str">
            <v>8865919</v>
          </cell>
        </row>
        <row r="753">
          <cell r="A753">
            <v>10262871</v>
          </cell>
          <cell r="B753" t="str">
            <v>9</v>
          </cell>
          <cell r="C753" t="str">
            <v/>
          </cell>
          <cell r="D753" t="str">
            <v>NP</v>
          </cell>
          <cell r="E753" t="str">
            <v>JHON JAIRO</v>
          </cell>
          <cell r="F753" t="str">
            <v>VELASQUEZ  PATIÑO</v>
          </cell>
          <cell r="G753" t="str">
            <v>VELASQUEZ  PATIÑO JHON JAIRO</v>
          </cell>
          <cell r="H753" t="str">
            <v>RST</v>
          </cell>
          <cell r="I753" t="str">
            <v>REGIMEN SIMPLE DE TRIBUTACION</v>
          </cell>
          <cell r="J753" t="str">
            <v>KM 4 ANTIGUA VIA CHINCHINA</v>
          </cell>
          <cell r="K753" t="str">
            <v>17001</v>
          </cell>
          <cell r="L753" t="str">
            <v>MANIZALES</v>
          </cell>
          <cell r="M753" t="str">
            <v>3117191865</v>
          </cell>
        </row>
        <row r="754">
          <cell r="A754">
            <v>10262947</v>
          </cell>
          <cell r="B754" t="str">
            <v/>
          </cell>
          <cell r="C754" t="str">
            <v/>
          </cell>
          <cell r="D754" t="str">
            <v>CC</v>
          </cell>
          <cell r="E754" t="str">
            <v>JUAN DE JESUS</v>
          </cell>
          <cell r="F754" t="str">
            <v>GONZALEZ MONTES</v>
          </cell>
          <cell r="G754" t="str">
            <v>GONZALEZ MONTES JUAN DE JESUS</v>
          </cell>
          <cell r="H754" t="str">
            <v>FUNC</v>
          </cell>
          <cell r="I754" t="str">
            <v>FUNCIONARIO</v>
          </cell>
          <cell r="J754" t="str">
            <v>CALLE 67 No 33-12</v>
          </cell>
          <cell r="K754" t="str">
            <v>17001</v>
          </cell>
          <cell r="L754" t="str">
            <v>MANIZALES</v>
          </cell>
          <cell r="M754" t="str">
            <v>3116013053</v>
          </cell>
        </row>
        <row r="755">
          <cell r="A755">
            <v>10263190</v>
          </cell>
          <cell r="B755" t="str">
            <v>6</v>
          </cell>
          <cell r="C755" t="str">
            <v/>
          </cell>
          <cell r="D755" t="str">
            <v>NP</v>
          </cell>
          <cell r="E755" t="str">
            <v>JAIRO HERNANDO</v>
          </cell>
          <cell r="F755" t="str">
            <v>DUQUE ARCILA</v>
          </cell>
          <cell r="G755" t="str">
            <v>DUQUE ARCILA JAIRO HERNANDO</v>
          </cell>
          <cell r="H755" t="str">
            <v>RESI</v>
          </cell>
          <cell r="I755" t="str">
            <v>REGIMEN SIMPLIFICADO</v>
          </cell>
          <cell r="J755" t="str">
            <v>CR 23  56 A 81</v>
          </cell>
          <cell r="K755" t="str">
            <v>17001</v>
          </cell>
          <cell r="L755" t="str">
            <v>MANIZALES</v>
          </cell>
          <cell r="M755" t="str">
            <v>8862918</v>
          </cell>
        </row>
        <row r="756">
          <cell r="A756">
            <v>10263306</v>
          </cell>
          <cell r="B756" t="str">
            <v/>
          </cell>
          <cell r="C756" t="str">
            <v/>
          </cell>
          <cell r="D756" t="str">
            <v>CC</v>
          </cell>
          <cell r="E756" t="str">
            <v>JUAN CARLOS</v>
          </cell>
          <cell r="F756" t="str">
            <v>ZULUAGA CARDONA</v>
          </cell>
          <cell r="G756" t="str">
            <v>ZULUAGA CARDONA JUAN CARLOS</v>
          </cell>
          <cell r="H756" t="str">
            <v>FUNC</v>
          </cell>
          <cell r="I756" t="str">
            <v>FUNCIONARIO</v>
          </cell>
          <cell r="J756" t="str">
            <v>CRA 26 No 84-41 SIERRA BONITA CASA 42</v>
          </cell>
          <cell r="K756" t="str">
            <v>17001</v>
          </cell>
          <cell r="L756" t="str">
            <v>MANIZALES</v>
          </cell>
          <cell r="M756" t="str">
            <v>8587527</v>
          </cell>
        </row>
        <row r="757">
          <cell r="A757">
            <v>10263310</v>
          </cell>
          <cell r="B757" t="str">
            <v>3</v>
          </cell>
          <cell r="C757" t="str">
            <v/>
          </cell>
          <cell r="D757" t="str">
            <v>NP</v>
          </cell>
          <cell r="E757" t="str">
            <v>JOSE WILMAR</v>
          </cell>
          <cell r="F757" t="str">
            <v>PENAGOS SANCHEZ</v>
          </cell>
          <cell r="G757" t="str">
            <v>PENAGOS SANCHEZ JOSE WILMAR</v>
          </cell>
          <cell r="H757" t="str">
            <v>RESI</v>
          </cell>
          <cell r="I757" t="str">
            <v>REGIMEN SIMPLIFICADO</v>
          </cell>
          <cell r="J757" t="str">
            <v>CL 45 CR 24 Y 25 PT FLORES 7</v>
          </cell>
          <cell r="K757" t="str">
            <v>17001</v>
          </cell>
          <cell r="L757" t="str">
            <v>MANIZALES</v>
          </cell>
          <cell r="M757" t="str">
            <v>8859781</v>
          </cell>
        </row>
        <row r="758">
          <cell r="A758">
            <v>10263507</v>
          </cell>
          <cell r="B758" t="str">
            <v>7</v>
          </cell>
          <cell r="C758" t="str">
            <v/>
          </cell>
          <cell r="D758" t="str">
            <v>NP</v>
          </cell>
          <cell r="E758" t="str">
            <v>LUIS HERNANDO</v>
          </cell>
          <cell r="F758" t="str">
            <v>ARBOLEDA NARANJO</v>
          </cell>
          <cell r="G758" t="str">
            <v>ARBOLEDA NARANJO LUIS HERNANDO</v>
          </cell>
          <cell r="H758" t="str">
            <v>REOR</v>
          </cell>
          <cell r="I758" t="str">
            <v>RENTA REGIMEN ORDINARIO</v>
          </cell>
          <cell r="J758" t="str">
            <v>CR 25  53 A 133 AP 101</v>
          </cell>
          <cell r="K758" t="str">
            <v>17001</v>
          </cell>
          <cell r="L758" t="str">
            <v>MANIZALES</v>
          </cell>
          <cell r="M758" t="str">
            <v>3183608080</v>
          </cell>
        </row>
        <row r="759">
          <cell r="A759">
            <v>10263709</v>
          </cell>
          <cell r="B759" t="str">
            <v>8</v>
          </cell>
          <cell r="C759" t="str">
            <v/>
          </cell>
          <cell r="D759" t="str">
            <v>NP</v>
          </cell>
          <cell r="E759" t="str">
            <v>CALOS EDUARDO</v>
          </cell>
          <cell r="F759" t="str">
            <v>GIRALDO GOMEZ</v>
          </cell>
          <cell r="G759" t="str">
            <v>GIRALDO GOMEZ CALOS EDUARDO</v>
          </cell>
          <cell r="H759" t="str">
            <v>RESI</v>
          </cell>
          <cell r="I759" t="str">
            <v>REGIMEN SIMPLIFICADO</v>
          </cell>
          <cell r="J759" t="str">
            <v xml:space="preserve"> CL 70 B  23 B  115</v>
          </cell>
          <cell r="K759" t="str">
            <v>17001</v>
          </cell>
          <cell r="L759" t="str">
            <v>MANIZALES</v>
          </cell>
          <cell r="M759" t="str">
            <v>8872560</v>
          </cell>
        </row>
        <row r="760">
          <cell r="A760">
            <v>10263895</v>
          </cell>
          <cell r="B760" t="str">
            <v/>
          </cell>
          <cell r="C760" t="str">
            <v/>
          </cell>
          <cell r="D760" t="str">
            <v>CC</v>
          </cell>
          <cell r="E760" t="str">
            <v>CESAR AUGUSTO</v>
          </cell>
          <cell r="F760" t="str">
            <v>SUCERQUIA GALLEGO</v>
          </cell>
          <cell r="G760" t="str">
            <v>SUCERQUIA GALLEGO CESAR AUGUSTO</v>
          </cell>
          <cell r="H760" t="str">
            <v>FUNC</v>
          </cell>
          <cell r="I760" t="str">
            <v>FUNCIONARIO</v>
          </cell>
          <cell r="J760" t="str">
            <v>CR 129 54 75</v>
          </cell>
          <cell r="K760" t="str">
            <v>03</v>
          </cell>
          <cell r="L760" t="str">
            <v>BOGOTA</v>
          </cell>
          <cell r="M760" t="str">
            <v>3167701087</v>
          </cell>
        </row>
        <row r="761">
          <cell r="A761">
            <v>10264093</v>
          </cell>
          <cell r="B761" t="str">
            <v>4</v>
          </cell>
          <cell r="C761" t="str">
            <v/>
          </cell>
          <cell r="D761" t="str">
            <v>NP</v>
          </cell>
          <cell r="E761" t="str">
            <v>GUILLERMO</v>
          </cell>
          <cell r="F761" t="str">
            <v>GIRALDO BOTERO</v>
          </cell>
          <cell r="G761" t="str">
            <v>GIRALDO BOTERO GUILLERMO</v>
          </cell>
          <cell r="H761" t="str">
            <v>IMVE</v>
          </cell>
          <cell r="I761" t="str">
            <v>IMPUESTO SOBRE LAS VENTAS</v>
          </cell>
          <cell r="J761" t="str">
            <v>CR 21 58  57</v>
          </cell>
          <cell r="K761" t="str">
            <v>17001</v>
          </cell>
          <cell r="L761" t="str">
            <v>MANIZALES</v>
          </cell>
          <cell r="M761" t="str">
            <v>8857980</v>
          </cell>
        </row>
        <row r="762">
          <cell r="A762">
            <v>10264350</v>
          </cell>
          <cell r="B762" t="str">
            <v>2</v>
          </cell>
          <cell r="C762" t="str">
            <v/>
          </cell>
          <cell r="D762" t="str">
            <v>NP</v>
          </cell>
          <cell r="E762" t="str">
            <v>FERNANDO</v>
          </cell>
          <cell r="F762" t="str">
            <v>ARIAS BONILLA</v>
          </cell>
          <cell r="G762" t="str">
            <v>ARIAS BONILLA FERNANDO</v>
          </cell>
          <cell r="H762" t="str">
            <v>NORE</v>
          </cell>
          <cell r="I762" t="str">
            <v>NO RESPONSABLE DE IVA</v>
          </cell>
          <cell r="J762" t="str">
            <v>CL 99 A 42 F 211 TO 1 AP 1102 BRR MIRAMAR</v>
          </cell>
          <cell r="K762" t="str">
            <v>08001</v>
          </cell>
          <cell r="L762" t="str">
            <v>BARRANQUILLA</v>
          </cell>
          <cell r="M762" t="str">
            <v>3148881350</v>
          </cell>
        </row>
        <row r="763">
          <cell r="A763">
            <v>10264447</v>
          </cell>
          <cell r="B763" t="str">
            <v/>
          </cell>
          <cell r="C763" t="str">
            <v/>
          </cell>
          <cell r="D763" t="str">
            <v>CC</v>
          </cell>
          <cell r="E763" t="str">
            <v>ALBERTO</v>
          </cell>
          <cell r="F763" t="str">
            <v>URIBE ROBLEDO</v>
          </cell>
          <cell r="G763" t="str">
            <v>URIBE ROBLEDO ALBERTO</v>
          </cell>
          <cell r="H763" t="str">
            <v>RESI</v>
          </cell>
          <cell r="I763" t="str">
            <v>REGIMEN SIMPLIFICADO</v>
          </cell>
          <cell r="J763" t="str">
            <v>CL 65 N 23 A 55</v>
          </cell>
          <cell r="K763" t="str">
            <v>17001</v>
          </cell>
          <cell r="L763" t="str">
            <v>MANIZALES</v>
          </cell>
          <cell r="M763" t="str">
            <v>8873340</v>
          </cell>
        </row>
        <row r="764">
          <cell r="A764">
            <v>10264540</v>
          </cell>
          <cell r="B764" t="str">
            <v/>
          </cell>
          <cell r="C764" t="str">
            <v/>
          </cell>
          <cell r="D764" t="str">
            <v>CC</v>
          </cell>
          <cell r="E764" t="str">
            <v>EDGAR DE JESÚS</v>
          </cell>
          <cell r="F764" t="str">
            <v>GÓMEZ VALLEJO</v>
          </cell>
          <cell r="G764" t="str">
            <v>GÓMEZ VALLEJO EDGAR DE JESÚS</v>
          </cell>
          <cell r="H764" t="str">
            <v>FUNC</v>
          </cell>
          <cell r="I764" t="str">
            <v>FUNCIONARIO</v>
          </cell>
          <cell r="J764" t="str">
            <v>CR 23 75 A 14</v>
          </cell>
          <cell r="K764" t="str">
            <v>17001</v>
          </cell>
          <cell r="L764" t="str">
            <v>MANIZALES</v>
          </cell>
          <cell r="M764" t="str">
            <v>3012444193</v>
          </cell>
        </row>
        <row r="765">
          <cell r="A765">
            <v>10265396</v>
          </cell>
          <cell r="B765" t="str">
            <v>5</v>
          </cell>
          <cell r="C765" t="str">
            <v/>
          </cell>
          <cell r="D765" t="str">
            <v>NP</v>
          </cell>
          <cell r="E765" t="str">
            <v>GERARDO DE JESUS</v>
          </cell>
          <cell r="F765" t="str">
            <v>VANEGAS ALZATE</v>
          </cell>
          <cell r="G765" t="str">
            <v>VANEGAS ALZATE GERARDO DE JESUS</v>
          </cell>
          <cell r="H765" t="str">
            <v>RESI</v>
          </cell>
          <cell r="I765" t="str">
            <v>REGIMEN SIMPLIFICADO</v>
          </cell>
          <cell r="J765" t="str">
            <v>CR 10 57 E 43</v>
          </cell>
          <cell r="K765" t="str">
            <v>17001</v>
          </cell>
          <cell r="L765" t="str">
            <v>MANIZALES</v>
          </cell>
          <cell r="M765" t="str">
            <v>8828887</v>
          </cell>
        </row>
        <row r="766">
          <cell r="A766">
            <v>10265736</v>
          </cell>
          <cell r="B766" t="str">
            <v>6</v>
          </cell>
          <cell r="C766" t="str">
            <v/>
          </cell>
          <cell r="D766" t="str">
            <v>NP</v>
          </cell>
          <cell r="E766" t="str">
            <v>NELSON</v>
          </cell>
          <cell r="F766" t="str">
            <v>GETIAL CORREA</v>
          </cell>
          <cell r="G766" t="str">
            <v>GETIAL CORREA NELSON</v>
          </cell>
          <cell r="H766" t="str">
            <v>RESI</v>
          </cell>
          <cell r="I766" t="str">
            <v>REGIMEN SIMPLIFICADO</v>
          </cell>
          <cell r="J766" t="str">
            <v>CL 22 19 11</v>
          </cell>
          <cell r="K766" t="str">
            <v>17001</v>
          </cell>
          <cell r="L766" t="str">
            <v>MANIZALES</v>
          </cell>
          <cell r="M766" t="str">
            <v>8977110</v>
          </cell>
        </row>
        <row r="767">
          <cell r="A767">
            <v>10266039</v>
          </cell>
          <cell r="B767" t="str">
            <v/>
          </cell>
          <cell r="C767" t="str">
            <v/>
          </cell>
          <cell r="D767" t="str">
            <v>CC</v>
          </cell>
          <cell r="E767" t="str">
            <v>GERMAN JAVIER</v>
          </cell>
          <cell r="F767" t="str">
            <v>FORERO IDARRAGA</v>
          </cell>
          <cell r="G767" t="str">
            <v>FORERO IDARRAGA GERMAN JAVIER</v>
          </cell>
          <cell r="H767" t="str">
            <v>FUNC</v>
          </cell>
          <cell r="I767" t="str">
            <v>FUNCIONARIO</v>
          </cell>
          <cell r="J767" t="str">
            <v>CR 15   4 B   30 ED BALCONES LA FRANCIA</v>
          </cell>
          <cell r="K767" t="str">
            <v>17001</v>
          </cell>
          <cell r="L767" t="str">
            <v>MANIZALES</v>
          </cell>
          <cell r="M767" t="str">
            <v>8892157</v>
          </cell>
        </row>
        <row r="768">
          <cell r="A768">
            <v>10266357</v>
          </cell>
          <cell r="B768" t="str">
            <v>2</v>
          </cell>
          <cell r="C768" t="str">
            <v/>
          </cell>
          <cell r="D768" t="str">
            <v>NP</v>
          </cell>
          <cell r="E768" t="str">
            <v>MARTÍN ALONSO</v>
          </cell>
          <cell r="F768" t="str">
            <v>HENAO HOYOS</v>
          </cell>
          <cell r="G768" t="str">
            <v>HENAO HOYOS MARTÍN ALONSO</v>
          </cell>
          <cell r="H768" t="str">
            <v>RESI</v>
          </cell>
          <cell r="I768" t="str">
            <v>REGIMEN SIMPLIFICADO</v>
          </cell>
          <cell r="J768" t="str">
            <v>CR 23 56  25  BRR ROSALES</v>
          </cell>
          <cell r="K768" t="str">
            <v>17001</v>
          </cell>
          <cell r="L768" t="str">
            <v>MANIZALES</v>
          </cell>
          <cell r="M768" t="str">
            <v>3147917607</v>
          </cell>
        </row>
        <row r="769">
          <cell r="A769">
            <v>10266544</v>
          </cell>
          <cell r="B769" t="str">
            <v/>
          </cell>
          <cell r="C769" t="str">
            <v/>
          </cell>
          <cell r="D769" t="str">
            <v>CC</v>
          </cell>
          <cell r="E769" t="str">
            <v>ORLANDO</v>
          </cell>
          <cell r="F769" t="str">
            <v>MICOLTA GONZALEZ</v>
          </cell>
          <cell r="G769" t="str">
            <v>MICOLTA GONZALEZ ORLANDO</v>
          </cell>
          <cell r="H769" t="str">
            <v>FUNC</v>
          </cell>
          <cell r="I769" t="str">
            <v>FUNCIONARIO</v>
          </cell>
          <cell r="J769" t="str">
            <v>CR 21   76   33</v>
          </cell>
          <cell r="K769" t="str">
            <v>17001</v>
          </cell>
          <cell r="L769" t="str">
            <v>MANIZALES</v>
          </cell>
          <cell r="M769" t="str">
            <v>8873207</v>
          </cell>
        </row>
        <row r="770">
          <cell r="A770">
            <v>10266563</v>
          </cell>
          <cell r="B770" t="str">
            <v>3</v>
          </cell>
          <cell r="C770" t="str">
            <v/>
          </cell>
          <cell r="D770" t="str">
            <v>NP</v>
          </cell>
          <cell r="E770" t="str">
            <v>HECTOR JAVIER</v>
          </cell>
          <cell r="F770" t="str">
            <v>VILLEGAS LLANO</v>
          </cell>
          <cell r="G770" t="str">
            <v>VILLEGAS LLANO HECTOR JAVIER</v>
          </cell>
          <cell r="H770" t="str">
            <v>RECO</v>
          </cell>
          <cell r="I770" t="str">
            <v>REGIMEN COMUN</v>
          </cell>
          <cell r="J770" t="str">
            <v>CL 100 C  32 26</v>
          </cell>
          <cell r="K770" t="str">
            <v>17001</v>
          </cell>
          <cell r="L770" t="str">
            <v>MANIZALES</v>
          </cell>
          <cell r="M770" t="str">
            <v>3128666728</v>
          </cell>
        </row>
        <row r="771">
          <cell r="A771">
            <v>10266874</v>
          </cell>
          <cell r="B771" t="str">
            <v/>
          </cell>
          <cell r="C771" t="str">
            <v/>
          </cell>
          <cell r="D771" t="str">
            <v>CC</v>
          </cell>
          <cell r="E771" t="str">
            <v>RICARDO GERMÁN</v>
          </cell>
          <cell r="F771" t="str">
            <v>GALLO BENAVIDES</v>
          </cell>
          <cell r="G771" t="str">
            <v>GALLO BENAVIDES RICARDO GERMÁN</v>
          </cell>
          <cell r="H771" t="str">
            <v>FUNC</v>
          </cell>
          <cell r="I771" t="str">
            <v>FUNCIONARIO</v>
          </cell>
          <cell r="J771" t="str">
            <v>CL 53 C 26 A 105</v>
          </cell>
          <cell r="K771" t="str">
            <v>17001</v>
          </cell>
          <cell r="L771" t="str">
            <v>MANIZALES</v>
          </cell>
          <cell r="M771" t="str">
            <v>3148869800</v>
          </cell>
        </row>
        <row r="772">
          <cell r="A772">
            <v>10267031</v>
          </cell>
          <cell r="B772" t="str">
            <v>1</v>
          </cell>
          <cell r="C772" t="str">
            <v/>
          </cell>
          <cell r="D772" t="str">
            <v>NP</v>
          </cell>
          <cell r="E772" t="str">
            <v>MARTIN JULIAN</v>
          </cell>
          <cell r="F772" t="str">
            <v>OROZCO GOMEZ</v>
          </cell>
          <cell r="G772" t="str">
            <v>OROZCO GOMEZ MARTIN JULIAN</v>
          </cell>
          <cell r="H772" t="str">
            <v>NORE</v>
          </cell>
          <cell r="I772" t="str">
            <v>NO RESPONSABLE DE IVA</v>
          </cell>
          <cell r="J772" t="str">
            <v>CR 19 2 02 BRR LA FRANCIA</v>
          </cell>
          <cell r="K772" t="str">
            <v>17001</v>
          </cell>
          <cell r="L772" t="str">
            <v>MANIZALES</v>
          </cell>
          <cell r="M772" t="str">
            <v>3104223088</v>
          </cell>
        </row>
        <row r="773">
          <cell r="A773">
            <v>10267097</v>
          </cell>
          <cell r="B773" t="str">
            <v>7</v>
          </cell>
          <cell r="C773" t="str">
            <v/>
          </cell>
          <cell r="D773" t="str">
            <v>NP</v>
          </cell>
          <cell r="E773" t="str">
            <v>LUIS GUILLERMO</v>
          </cell>
          <cell r="F773" t="str">
            <v>BUITRAGO CASTRO</v>
          </cell>
          <cell r="G773" t="str">
            <v>BUITRAGO CASTRO LUIS GUILLERMO</v>
          </cell>
          <cell r="H773" t="str">
            <v>NORE</v>
          </cell>
          <cell r="I773" t="str">
            <v>NO RESPONSABLE DE IVA</v>
          </cell>
          <cell r="J773" t="str">
            <v>AC 10 A  NORTE   12 N  36</v>
          </cell>
          <cell r="K773" t="str">
            <v>76001</v>
          </cell>
          <cell r="L773" t="str">
            <v>CALI</v>
          </cell>
          <cell r="M773" t="str">
            <v>3155556887</v>
          </cell>
        </row>
        <row r="774">
          <cell r="A774">
            <v>10267113</v>
          </cell>
          <cell r="B774" t="str">
            <v/>
          </cell>
          <cell r="C774" t="str">
            <v/>
          </cell>
          <cell r="D774" t="str">
            <v>CC</v>
          </cell>
          <cell r="E774" t="str">
            <v>MARIO</v>
          </cell>
          <cell r="F774" t="str">
            <v>OSORIO RAMIREZ</v>
          </cell>
          <cell r="G774" t="str">
            <v>OSORIO RAMIREZ MARIO</v>
          </cell>
          <cell r="H774" t="str">
            <v>RESI</v>
          </cell>
          <cell r="I774" t="str">
            <v>REGIMEN SIMPLIFICADO</v>
          </cell>
          <cell r="J774" t="str">
            <v>CR8A 6 04</v>
          </cell>
          <cell r="K774" t="str">
            <v>17873</v>
          </cell>
          <cell r="L774" t="str">
            <v>VILLAMARÍA</v>
          </cell>
          <cell r="M774" t="str">
            <v>8771176</v>
          </cell>
        </row>
        <row r="775">
          <cell r="A775">
            <v>10267214</v>
          </cell>
          <cell r="B775" t="str">
            <v>2</v>
          </cell>
          <cell r="C775" t="str">
            <v/>
          </cell>
          <cell r="D775" t="str">
            <v>NP</v>
          </cell>
          <cell r="E775" t="str">
            <v>RUBEN DARIO</v>
          </cell>
          <cell r="F775" t="str">
            <v>BELTRAN PEREZ</v>
          </cell>
          <cell r="G775" t="str">
            <v>BELTRAN PEREZ RUBEN DARIO</v>
          </cell>
          <cell r="H775" t="str">
            <v>RESI</v>
          </cell>
          <cell r="I775" t="str">
            <v>REGIMEN SIMPLIFICADO</v>
          </cell>
          <cell r="J775" t="str">
            <v xml:space="preserve"> CL 73  A  17 38 B 01  AP 401</v>
          </cell>
          <cell r="K775" t="str">
            <v>17001</v>
          </cell>
          <cell r="L775" t="str">
            <v>MANIZALES</v>
          </cell>
          <cell r="M775" t="str">
            <v>8922472</v>
          </cell>
        </row>
        <row r="776">
          <cell r="A776">
            <v>10267498</v>
          </cell>
          <cell r="B776" t="str">
            <v>7</v>
          </cell>
          <cell r="C776" t="str">
            <v/>
          </cell>
          <cell r="D776" t="str">
            <v>NP</v>
          </cell>
          <cell r="E776" t="str">
            <v>JAIRO</v>
          </cell>
          <cell r="F776" t="str">
            <v>VILLEGAS ARANGO</v>
          </cell>
          <cell r="G776" t="str">
            <v>VILLEGAS ARANGO JAIRO</v>
          </cell>
          <cell r="H776" t="str">
            <v>IMVE</v>
          </cell>
          <cell r="I776" t="str">
            <v>IMPUESTO SOBRE LAS VENTAS</v>
          </cell>
          <cell r="J776" t="str">
            <v>CL 63   23   53</v>
          </cell>
          <cell r="K776" t="str">
            <v>17001</v>
          </cell>
          <cell r="L776" t="str">
            <v>MANIZALES</v>
          </cell>
          <cell r="M776" t="str">
            <v>8850003</v>
          </cell>
        </row>
        <row r="777">
          <cell r="A777">
            <v>10267507</v>
          </cell>
          <cell r="B777" t="str">
            <v>5</v>
          </cell>
          <cell r="C777" t="str">
            <v/>
          </cell>
          <cell r="D777" t="str">
            <v>NP</v>
          </cell>
          <cell r="E777" t="str">
            <v>CARLOS ALBERTO</v>
          </cell>
          <cell r="F777" t="str">
            <v>ORTIZ DUQUE</v>
          </cell>
          <cell r="G777" t="str">
            <v>ORTIZ DUQUE CARLOS ALBERTO</v>
          </cell>
          <cell r="H777" t="str">
            <v>RESI</v>
          </cell>
          <cell r="I777" t="str">
            <v>REGIMEN SIMPLIFICADO</v>
          </cell>
          <cell r="J777" t="str">
            <v>CR 23 64 B 33</v>
          </cell>
          <cell r="K777" t="str">
            <v>63001</v>
          </cell>
          <cell r="L777" t="str">
            <v>ARMENIA</v>
          </cell>
          <cell r="M777" t="str">
            <v>3117051304</v>
          </cell>
        </row>
        <row r="778">
          <cell r="A778">
            <v>10267528</v>
          </cell>
          <cell r="B778" t="str">
            <v/>
          </cell>
          <cell r="C778" t="str">
            <v/>
          </cell>
          <cell r="D778" t="str">
            <v>CC</v>
          </cell>
          <cell r="E778" t="str">
            <v>CARLOS ARTURO</v>
          </cell>
          <cell r="F778" t="str">
            <v>FRANCO CARDENAS</v>
          </cell>
          <cell r="G778" t="str">
            <v>FRANCO CARDENAS CARLOS ARTURO</v>
          </cell>
          <cell r="H778" t="str">
            <v>FUNC</v>
          </cell>
          <cell r="I778" t="str">
            <v>FUNCIONARIO</v>
          </cell>
          <cell r="J778" t="str">
            <v>CALLE 74A No 20-53</v>
          </cell>
          <cell r="K778" t="str">
            <v>17001</v>
          </cell>
          <cell r="L778" t="str">
            <v>MANIZALES</v>
          </cell>
          <cell r="M778" t="str">
            <v>3148888648</v>
          </cell>
        </row>
        <row r="779">
          <cell r="A779">
            <v>10267581</v>
          </cell>
          <cell r="B779" t="str">
            <v>0</v>
          </cell>
          <cell r="C779" t="str">
            <v/>
          </cell>
          <cell r="D779" t="str">
            <v>NP</v>
          </cell>
          <cell r="E779" t="str">
            <v>JORGE WILLIAM</v>
          </cell>
          <cell r="F779" t="str">
            <v>SANCHEZ GALLEGO</v>
          </cell>
          <cell r="G779" t="str">
            <v>SANCHEZ GALLEGO JORGE WILLIAM</v>
          </cell>
          <cell r="H779" t="str">
            <v>RESI</v>
          </cell>
          <cell r="I779" t="str">
            <v>REGIMEN SIMPLIFICADO</v>
          </cell>
          <cell r="J779" t="str">
            <v>CR 11  15 119 CONJ CAMPO HERMOSO APT 203</v>
          </cell>
          <cell r="K779" t="str">
            <v>17001</v>
          </cell>
          <cell r="L779" t="str">
            <v>MANIZALES</v>
          </cell>
          <cell r="M779" t="str">
            <v>8844022</v>
          </cell>
        </row>
        <row r="780">
          <cell r="A780">
            <v>10267664</v>
          </cell>
          <cell r="B780" t="str">
            <v/>
          </cell>
          <cell r="C780" t="str">
            <v/>
          </cell>
          <cell r="D780" t="str">
            <v>CC</v>
          </cell>
          <cell r="E780" t="str">
            <v>ANGELO</v>
          </cell>
          <cell r="F780" t="str">
            <v>PENAGOS ACOSTA</v>
          </cell>
          <cell r="G780" t="str">
            <v>PENAGOS ACOSTA ANGELO</v>
          </cell>
          <cell r="H780" t="str">
            <v>RESI</v>
          </cell>
          <cell r="I780" t="str">
            <v>REGIMEN SIMPLIFICADO</v>
          </cell>
          <cell r="J780" t="str">
            <v>CL 45 CR 23 PUESTO5</v>
          </cell>
          <cell r="K780" t="str">
            <v>17001</v>
          </cell>
          <cell r="L780" t="str">
            <v>MANIZALES</v>
          </cell>
          <cell r="M780" t="str">
            <v>8850770</v>
          </cell>
        </row>
        <row r="781">
          <cell r="A781">
            <v>10267747</v>
          </cell>
          <cell r="B781" t="str">
            <v>6</v>
          </cell>
          <cell r="C781" t="str">
            <v/>
          </cell>
          <cell r="D781" t="str">
            <v>NP</v>
          </cell>
          <cell r="E781" t="str">
            <v>JUAN CARLOS</v>
          </cell>
          <cell r="F781" t="str">
            <v xml:space="preserve">ECHEVERRY </v>
          </cell>
          <cell r="G781" t="str">
            <v>JUAN CARLOS ECHEVERRY</v>
          </cell>
          <cell r="H781" t="str">
            <v>RECO</v>
          </cell>
          <cell r="I781" t="str">
            <v>REGIMEN COMUN</v>
          </cell>
          <cell r="J781" t="str">
            <v>CR 34   25   31</v>
          </cell>
          <cell r="K781" t="str">
            <v>17001</v>
          </cell>
          <cell r="L781" t="str">
            <v>MANIZALES</v>
          </cell>
          <cell r="M781" t="str">
            <v>3103962240</v>
          </cell>
        </row>
        <row r="782">
          <cell r="A782">
            <v>10268321</v>
          </cell>
          <cell r="B782" t="str">
            <v>7</v>
          </cell>
          <cell r="C782" t="str">
            <v/>
          </cell>
          <cell r="D782" t="str">
            <v>NP</v>
          </cell>
          <cell r="E782" t="str">
            <v>GUSTAVO ADOLFO</v>
          </cell>
          <cell r="F782" t="str">
            <v>GONZALEZ CARDONA</v>
          </cell>
          <cell r="G782" t="str">
            <v>GONZALEZ CARDONA GUSTAVO ADOLFO</v>
          </cell>
          <cell r="H782" t="str">
            <v>NORE</v>
          </cell>
          <cell r="I782" t="str">
            <v>NO RESPONSABLE DE IVA</v>
          </cell>
          <cell r="J782" t="str">
            <v>CR 27 29 11</v>
          </cell>
          <cell r="K782" t="str">
            <v>17001</v>
          </cell>
          <cell r="L782" t="str">
            <v>MANIZALES</v>
          </cell>
          <cell r="M782" t="str">
            <v>8823472</v>
          </cell>
        </row>
        <row r="783">
          <cell r="A783">
            <v>10268373</v>
          </cell>
          <cell r="B783" t="str">
            <v>1</v>
          </cell>
          <cell r="C783" t="str">
            <v/>
          </cell>
          <cell r="D783" t="str">
            <v>NP</v>
          </cell>
          <cell r="E783" t="str">
            <v>FERNAN MAURICIO</v>
          </cell>
          <cell r="F783" t="str">
            <v>AGUIRRE MONTOYA</v>
          </cell>
          <cell r="G783" t="str">
            <v>AGUIRRE MONTOYA FERNAN MAURICIO</v>
          </cell>
          <cell r="H783" t="str">
            <v>RESI</v>
          </cell>
          <cell r="I783" t="str">
            <v>REGIMEN SIMPLIFICADO</v>
          </cell>
          <cell r="J783" t="str">
            <v>EN 7 VIA CERRITOS TACURUMBI CONJUNTO CAMPESTRE CA 18</v>
          </cell>
          <cell r="K783" t="str">
            <v>66001</v>
          </cell>
          <cell r="L783" t="str">
            <v>PEREIRA</v>
          </cell>
          <cell r="M783" t="str">
            <v>3206547</v>
          </cell>
        </row>
        <row r="784">
          <cell r="A784">
            <v>10268386</v>
          </cell>
          <cell r="B784" t="str">
            <v/>
          </cell>
          <cell r="C784" t="str">
            <v/>
          </cell>
          <cell r="D784" t="str">
            <v>CC</v>
          </cell>
          <cell r="E784" t="str">
            <v>JAMES</v>
          </cell>
          <cell r="F784" t="str">
            <v>ARISTIZABAL BOTERO</v>
          </cell>
          <cell r="G784" t="str">
            <v>ARISTIZABAL BOTERO JAMES</v>
          </cell>
          <cell r="H784" t="str">
            <v>FUNC</v>
          </cell>
          <cell r="I784" t="str">
            <v>FUNCIONARIO</v>
          </cell>
          <cell r="J784" t="str">
            <v>CL 46   5   55</v>
          </cell>
          <cell r="K784" t="str">
            <v>17001</v>
          </cell>
          <cell r="L784" t="str">
            <v>MANIZALES</v>
          </cell>
          <cell r="M784" t="str">
            <v>3146493097</v>
          </cell>
        </row>
        <row r="785">
          <cell r="A785">
            <v>10268584</v>
          </cell>
          <cell r="B785" t="str">
            <v/>
          </cell>
          <cell r="C785" t="str">
            <v/>
          </cell>
          <cell r="D785" t="str">
            <v>CC</v>
          </cell>
          <cell r="E785" t="str">
            <v>MAURICIO ALBERTO</v>
          </cell>
          <cell r="F785" t="str">
            <v>ALZATE SANCHEZ</v>
          </cell>
          <cell r="G785" t="str">
            <v>ALZATE SANCHEZ MAURICIO ALBERTO</v>
          </cell>
          <cell r="H785" t="str">
            <v>FUNC</v>
          </cell>
          <cell r="I785" t="str">
            <v>FUNCIONARIO</v>
          </cell>
          <cell r="J785" t="str">
            <v>CL 19   17   82</v>
          </cell>
          <cell r="K785" t="str">
            <v>17001</v>
          </cell>
          <cell r="L785" t="str">
            <v>MANIZALES</v>
          </cell>
          <cell r="M785" t="str">
            <v>3103732561</v>
          </cell>
        </row>
        <row r="786">
          <cell r="A786">
            <v>10269021</v>
          </cell>
          <cell r="B786" t="str">
            <v>7</v>
          </cell>
          <cell r="C786" t="str">
            <v/>
          </cell>
          <cell r="D786" t="str">
            <v>NP</v>
          </cell>
          <cell r="E786" t="str">
            <v>MARTIN JAHIR</v>
          </cell>
          <cell r="F786" t="str">
            <v>SANCHEZ GALLEGO</v>
          </cell>
          <cell r="G786" t="str">
            <v>SANCHEZ GALLEGO MARTIN JAHIR</v>
          </cell>
          <cell r="H786" t="str">
            <v>RESI</v>
          </cell>
          <cell r="I786" t="str">
            <v>REGIMEN SIMPLIFICADO</v>
          </cell>
          <cell r="J786" t="str">
            <v>CR 19 51 38 B BRR LA ARGENTINA</v>
          </cell>
          <cell r="K786" t="str">
            <v>17001</v>
          </cell>
          <cell r="L786" t="str">
            <v>MANIZALES</v>
          </cell>
          <cell r="M786" t="str">
            <v>3103989925</v>
          </cell>
        </row>
        <row r="787">
          <cell r="A787">
            <v>10269077</v>
          </cell>
          <cell r="B787" t="str">
            <v>9</v>
          </cell>
          <cell r="C787" t="str">
            <v/>
          </cell>
          <cell r="D787" t="str">
            <v>NP</v>
          </cell>
          <cell r="E787" t="str">
            <v>LUIS FERNANDO</v>
          </cell>
          <cell r="F787" t="str">
            <v>GUZMAN LATORRE</v>
          </cell>
          <cell r="G787" t="str">
            <v>GUZMAN LATORRE LUIS FERNANDO</v>
          </cell>
          <cell r="H787" t="str">
            <v>RECO</v>
          </cell>
          <cell r="I787" t="str">
            <v>REGIMEN COMUN</v>
          </cell>
          <cell r="J787" t="str">
            <v>KM 2 VIA AL MAGDALENA</v>
          </cell>
          <cell r="K787" t="str">
            <v>17001</v>
          </cell>
          <cell r="L787" t="str">
            <v>MANIZALES</v>
          </cell>
          <cell r="M787" t="str">
            <v>8743859</v>
          </cell>
        </row>
        <row r="788">
          <cell r="A788">
            <v>10269449</v>
          </cell>
          <cell r="B788" t="str">
            <v>5</v>
          </cell>
          <cell r="C788" t="str">
            <v/>
          </cell>
          <cell r="D788" t="str">
            <v>NP</v>
          </cell>
          <cell r="E788" t="str">
            <v>LUIS FERNANDO</v>
          </cell>
          <cell r="F788" t="str">
            <v>ARANZAZU VALENCIA</v>
          </cell>
          <cell r="G788" t="str">
            <v>ARANZAZU VALENCIA LUIS FERNANDO</v>
          </cell>
          <cell r="H788" t="str">
            <v>RESI</v>
          </cell>
          <cell r="I788" t="str">
            <v>REGIMEN SIMPLIFICADO</v>
          </cell>
          <cell r="J788" t="str">
            <v>CR 37 102B 09</v>
          </cell>
          <cell r="K788" t="str">
            <v>17001</v>
          </cell>
          <cell r="L788" t="str">
            <v>MANIZALES</v>
          </cell>
          <cell r="M788" t="str">
            <v>3182832281</v>
          </cell>
        </row>
        <row r="789">
          <cell r="A789">
            <v>10269735</v>
          </cell>
          <cell r="B789" t="str">
            <v>7</v>
          </cell>
          <cell r="C789" t="str">
            <v/>
          </cell>
          <cell r="D789" t="str">
            <v>NP</v>
          </cell>
          <cell r="E789" t="str">
            <v>JOSE ALBEIRO</v>
          </cell>
          <cell r="F789" t="str">
            <v>PATI¿O MONTES</v>
          </cell>
          <cell r="G789" t="str">
            <v>PATI¿O MONTES JOSE ALBEIRO</v>
          </cell>
          <cell r="H789" t="str">
            <v>RESI</v>
          </cell>
          <cell r="I789" t="str">
            <v>REGIMEN SIMPLIFICADO</v>
          </cell>
          <cell r="J789" t="str">
            <v>CR 23 A 64 36</v>
          </cell>
          <cell r="K789" t="str">
            <v>17001</v>
          </cell>
          <cell r="L789" t="str">
            <v>MANIZALES</v>
          </cell>
          <cell r="M789" t="str">
            <v>3155968582</v>
          </cell>
        </row>
        <row r="790">
          <cell r="A790">
            <v>10270141</v>
          </cell>
          <cell r="B790" t="str">
            <v>4</v>
          </cell>
          <cell r="C790" t="str">
            <v/>
          </cell>
          <cell r="D790" t="str">
            <v>NP</v>
          </cell>
          <cell r="E790" t="str">
            <v>HECTOR MARIO</v>
          </cell>
          <cell r="F790" t="str">
            <v>OSORIO VALLEJO</v>
          </cell>
          <cell r="G790" t="str">
            <v>OSORIO VALLEJO HECTOR MARIO</v>
          </cell>
          <cell r="H790" t="str">
            <v>RECO</v>
          </cell>
          <cell r="I790" t="str">
            <v>REGIMEN COMUN</v>
          </cell>
          <cell r="J790" t="str">
            <v>CR 2  23 319 CA 49  CONJ FLORIDA DEL CAMPO</v>
          </cell>
          <cell r="K790" t="str">
            <v>17001</v>
          </cell>
          <cell r="L790" t="str">
            <v>MANIZALES</v>
          </cell>
          <cell r="M790" t="str">
            <v>8812088</v>
          </cell>
        </row>
        <row r="791">
          <cell r="A791">
            <v>10270571</v>
          </cell>
          <cell r="B791" t="str">
            <v>8</v>
          </cell>
          <cell r="C791" t="str">
            <v/>
          </cell>
          <cell r="D791" t="str">
            <v>NP</v>
          </cell>
          <cell r="E791" t="str">
            <v>MARIO</v>
          </cell>
          <cell r="F791" t="str">
            <v>PINZON MEDINA</v>
          </cell>
          <cell r="G791" t="str">
            <v>PINZON MEDINA MARIO</v>
          </cell>
          <cell r="H791" t="str">
            <v>RESI</v>
          </cell>
          <cell r="I791" t="str">
            <v>REGIMEN SIMPLIFICADO</v>
          </cell>
          <cell r="J791" t="str">
            <v>CR 80 27 90 CA 7</v>
          </cell>
          <cell r="K791" t="str">
            <v>17001</v>
          </cell>
          <cell r="L791" t="str">
            <v>MANIZALES</v>
          </cell>
          <cell r="M791" t="str">
            <v>3117488924</v>
          </cell>
        </row>
        <row r="792">
          <cell r="A792">
            <v>10271281</v>
          </cell>
          <cell r="B792" t="str">
            <v>1</v>
          </cell>
          <cell r="C792" t="str">
            <v/>
          </cell>
          <cell r="D792" t="str">
            <v>NP</v>
          </cell>
          <cell r="E792" t="str">
            <v>ALBERTO</v>
          </cell>
          <cell r="F792" t="str">
            <v>ALVAREZ LOPEZ</v>
          </cell>
          <cell r="G792" t="str">
            <v>ALVAREZ LOPEZ ALBERTO</v>
          </cell>
          <cell r="H792" t="str">
            <v>RECO</v>
          </cell>
          <cell r="I792" t="str">
            <v>REGIMEN COMUN</v>
          </cell>
          <cell r="J792" t="str">
            <v>CL 64 A   21   10 LC 18 ED PORTAL DEL CABLE</v>
          </cell>
          <cell r="K792" t="str">
            <v>17001</v>
          </cell>
          <cell r="L792" t="str">
            <v>MANIZALES</v>
          </cell>
          <cell r="M792" t="str">
            <v>8852626</v>
          </cell>
        </row>
        <row r="793">
          <cell r="A793">
            <v>10271381</v>
          </cell>
          <cell r="B793" t="str">
            <v>1</v>
          </cell>
          <cell r="C793" t="str">
            <v/>
          </cell>
          <cell r="D793" t="str">
            <v>NP</v>
          </cell>
          <cell r="E793" t="str">
            <v>JOSE FERNANDO</v>
          </cell>
          <cell r="F793" t="str">
            <v>RODRIGUEZ LOPEZ</v>
          </cell>
          <cell r="G793" t="str">
            <v>JOSE FERNANDO RODRIGUEZ LOPEZ</v>
          </cell>
          <cell r="H793" t="str">
            <v>RECO</v>
          </cell>
          <cell r="I793" t="str">
            <v>REGIMEN COMUN</v>
          </cell>
          <cell r="J793" t="str">
            <v>CL 66A 9B 33</v>
          </cell>
          <cell r="K793" t="str">
            <v>17001</v>
          </cell>
          <cell r="L793" t="str">
            <v>MANIZALES</v>
          </cell>
          <cell r="M793" t="str">
            <v>8754785</v>
          </cell>
        </row>
        <row r="794">
          <cell r="A794">
            <v>10271422</v>
          </cell>
          <cell r="B794" t="str">
            <v>3</v>
          </cell>
          <cell r="C794" t="str">
            <v/>
          </cell>
          <cell r="D794" t="str">
            <v>NP</v>
          </cell>
          <cell r="E794" t="str">
            <v>FELIX ROBINSON</v>
          </cell>
          <cell r="F794" t="str">
            <v>GARCIA ARISTIZABAL</v>
          </cell>
          <cell r="G794" t="str">
            <v>GARCIA ARISTIZABAL FELIX ROBINSON</v>
          </cell>
          <cell r="H794" t="str">
            <v>RECO</v>
          </cell>
          <cell r="I794" t="str">
            <v>REGIMEN COMUN</v>
          </cell>
          <cell r="J794" t="str">
            <v>CR 21 N 71 29 AV KEVIN ANGEL, ALTA SUIZA</v>
          </cell>
          <cell r="K794" t="str">
            <v>17001</v>
          </cell>
          <cell r="L794" t="str">
            <v>MANIZALES</v>
          </cell>
          <cell r="M794" t="str">
            <v>8866619</v>
          </cell>
        </row>
        <row r="795">
          <cell r="A795">
            <v>10271675</v>
          </cell>
          <cell r="B795" t="str">
            <v>1</v>
          </cell>
          <cell r="C795" t="str">
            <v/>
          </cell>
          <cell r="D795" t="str">
            <v>NP</v>
          </cell>
          <cell r="E795" t="str">
            <v>JHON JAIRO</v>
          </cell>
          <cell r="F795" t="str">
            <v>GOMEZ VALENCIA</v>
          </cell>
          <cell r="G795" t="str">
            <v>GOMEZ VALENCIA JHON JAIRO</v>
          </cell>
          <cell r="H795" t="str">
            <v>RECO</v>
          </cell>
          <cell r="I795" t="str">
            <v>REGIMEN COMUN</v>
          </cell>
          <cell r="J795" t="str">
            <v>CR 18 22 38</v>
          </cell>
          <cell r="K795" t="str">
            <v>17001</v>
          </cell>
          <cell r="L795" t="str">
            <v>MANIZALES</v>
          </cell>
          <cell r="M795" t="str">
            <v>8846463</v>
          </cell>
        </row>
        <row r="796">
          <cell r="A796">
            <v>10271771</v>
          </cell>
          <cell r="B796" t="str">
            <v>9</v>
          </cell>
          <cell r="C796" t="str">
            <v/>
          </cell>
          <cell r="D796" t="str">
            <v>NP</v>
          </cell>
          <cell r="E796" t="str">
            <v>JESUS ALBERTO</v>
          </cell>
          <cell r="F796" t="str">
            <v>LOTERO ECHEVERRI</v>
          </cell>
          <cell r="G796" t="str">
            <v>LOTERO ECHEVERRI JESUS ALBERTO</v>
          </cell>
          <cell r="H796" t="str">
            <v>RECO</v>
          </cell>
          <cell r="I796" t="str">
            <v>REGIMEN COMUN</v>
          </cell>
          <cell r="J796" t="str">
            <v>CR 4 17 02 BRR LAS BRISAS</v>
          </cell>
          <cell r="K796" t="str">
            <v>97001</v>
          </cell>
          <cell r="L796" t="str">
            <v>MITÚ</v>
          </cell>
          <cell r="M796" t="str">
            <v>3108808236</v>
          </cell>
        </row>
        <row r="797">
          <cell r="A797">
            <v>10271972</v>
          </cell>
          <cell r="B797" t="str">
            <v>0</v>
          </cell>
          <cell r="C797" t="str">
            <v/>
          </cell>
          <cell r="D797" t="str">
            <v>CC</v>
          </cell>
          <cell r="E797" t="str">
            <v>CARLOS EDUARDO</v>
          </cell>
          <cell r="F797" t="str">
            <v>QUINTERO QUINTERO</v>
          </cell>
          <cell r="G797" t="str">
            <v>QUINTERO QUINTERO CARLOS EDUARDO</v>
          </cell>
          <cell r="H797" t="str">
            <v>FUNC</v>
          </cell>
          <cell r="I797" t="str">
            <v>FUNCIONARIO</v>
          </cell>
          <cell r="J797" t="str">
            <v>CL 53 C 26 A 65</v>
          </cell>
          <cell r="K797" t="str">
            <v>17001</v>
          </cell>
          <cell r="L797" t="str">
            <v>MANIZALES</v>
          </cell>
          <cell r="M797" t="str">
            <v>8749411</v>
          </cell>
        </row>
        <row r="798">
          <cell r="A798">
            <v>10272095</v>
          </cell>
          <cell r="B798" t="str">
            <v/>
          </cell>
          <cell r="C798" t="str">
            <v/>
          </cell>
          <cell r="D798" t="str">
            <v>CC</v>
          </cell>
          <cell r="E798" t="str">
            <v>GERMAN</v>
          </cell>
          <cell r="F798" t="str">
            <v>GONZALEZ MURCIA</v>
          </cell>
          <cell r="G798" t="str">
            <v>GONZALEZ MURCIA GERMAN</v>
          </cell>
          <cell r="H798" t="str">
            <v>FUNC</v>
          </cell>
          <cell r="I798" t="str">
            <v>FUNCIONARIO</v>
          </cell>
          <cell r="J798" t="str">
            <v>CR 43   68 C 39 BRR ARANJUEZ</v>
          </cell>
          <cell r="K798" t="str">
            <v>17001</v>
          </cell>
          <cell r="L798" t="str">
            <v>MANIZALES</v>
          </cell>
          <cell r="M798" t="str">
            <v>3127894337</v>
          </cell>
        </row>
        <row r="799">
          <cell r="A799">
            <v>10272402</v>
          </cell>
          <cell r="B799" t="str">
            <v/>
          </cell>
          <cell r="C799" t="str">
            <v/>
          </cell>
          <cell r="D799" t="str">
            <v>CC</v>
          </cell>
          <cell r="E799" t="str">
            <v>JOSE NULBEN</v>
          </cell>
          <cell r="F799" t="str">
            <v>MARIN MEJIA</v>
          </cell>
          <cell r="G799" t="str">
            <v>MARIN MEJIA JOSE NULBEN</v>
          </cell>
          <cell r="H799" t="str">
            <v>FUNC</v>
          </cell>
          <cell r="I799" t="str">
            <v>FUNCIONARIO</v>
          </cell>
          <cell r="J799" t="str">
            <v xml:space="preserve">VILLAPILAR BL 6 APTO 210            </v>
          </cell>
          <cell r="K799" t="str">
            <v>17001</v>
          </cell>
          <cell r="L799" t="str">
            <v>MANIZALES</v>
          </cell>
          <cell r="M799" t="str">
            <v>0</v>
          </cell>
        </row>
        <row r="800">
          <cell r="A800">
            <v>10272587</v>
          </cell>
          <cell r="B800" t="str">
            <v>4</v>
          </cell>
          <cell r="C800" t="str">
            <v/>
          </cell>
          <cell r="D800" t="str">
            <v>NP</v>
          </cell>
          <cell r="E800" t="str">
            <v>ALVARO</v>
          </cell>
          <cell r="F800" t="str">
            <v>SEGURA LOPEZ</v>
          </cell>
          <cell r="G800" t="str">
            <v>SEGURA LOPEZ ALVARO</v>
          </cell>
          <cell r="H800" t="str">
            <v>NORE</v>
          </cell>
          <cell r="I800" t="str">
            <v>NO RESPONSABLE DE IVA</v>
          </cell>
          <cell r="J800" t="str">
            <v>CR 19 74 A 80 BRR ALTA SUIZA</v>
          </cell>
          <cell r="K800" t="str">
            <v>17001</v>
          </cell>
          <cell r="L800" t="str">
            <v>MANIZALES</v>
          </cell>
          <cell r="M800" t="str">
            <v>3206889914</v>
          </cell>
        </row>
        <row r="801">
          <cell r="A801">
            <v>10272773</v>
          </cell>
          <cell r="B801" t="str">
            <v>8</v>
          </cell>
          <cell r="C801" t="str">
            <v/>
          </cell>
          <cell r="D801" t="str">
            <v>NP</v>
          </cell>
          <cell r="E801" t="str">
            <v>LORENZO OCTAVIO</v>
          </cell>
          <cell r="F801" t="str">
            <v>CALDERON JARAMILLO</v>
          </cell>
          <cell r="G801" t="str">
            <v>LORENZO OCTAVIO CALDERON JARAMILLO</v>
          </cell>
          <cell r="H801" t="str">
            <v>RECO</v>
          </cell>
          <cell r="I801" t="str">
            <v>REGIMEN COMUN</v>
          </cell>
          <cell r="J801" t="str">
            <v xml:space="preserve">CR 22 76A 16                            </v>
          </cell>
          <cell r="K801" t="str">
            <v>17001</v>
          </cell>
          <cell r="L801" t="str">
            <v>MANIZALES</v>
          </cell>
          <cell r="M801" t="str">
            <v>8867604</v>
          </cell>
        </row>
        <row r="802">
          <cell r="A802">
            <v>10272871</v>
          </cell>
          <cell r="B802" t="str">
            <v/>
          </cell>
          <cell r="C802" t="str">
            <v/>
          </cell>
          <cell r="D802" t="str">
            <v>CC</v>
          </cell>
          <cell r="E802" t="str">
            <v>OSCAR HUMBERTO</v>
          </cell>
          <cell r="F802" t="str">
            <v>GONZALEZ FRANCO</v>
          </cell>
          <cell r="G802" t="str">
            <v>GONZALEZ FRANCO OSCAR HUMBERTO</v>
          </cell>
          <cell r="H802" t="str">
            <v>FUNC</v>
          </cell>
          <cell r="I802" t="str">
            <v>FUNCIONARIO</v>
          </cell>
          <cell r="J802" t="str">
            <v>CL 66   11   10</v>
          </cell>
          <cell r="K802" t="str">
            <v>17001</v>
          </cell>
          <cell r="L802" t="str">
            <v>MANIZALES</v>
          </cell>
          <cell r="M802" t="str">
            <v>8923580</v>
          </cell>
        </row>
        <row r="803">
          <cell r="A803">
            <v>10273187</v>
          </cell>
          <cell r="B803" t="str">
            <v>6</v>
          </cell>
          <cell r="C803" t="str">
            <v/>
          </cell>
          <cell r="D803" t="str">
            <v>NP</v>
          </cell>
          <cell r="E803" t="str">
            <v>HAROLD GUSTAVO</v>
          </cell>
          <cell r="F803" t="str">
            <v>GRAND RESTREPO</v>
          </cell>
          <cell r="G803" t="str">
            <v>GRAND RESTREPO HAROLD GUSTAVO</v>
          </cell>
          <cell r="H803" t="str">
            <v>RCPN</v>
          </cell>
          <cell r="I803" t="str">
            <v>RESPONSABLE IVA PERSONA NATURAL</v>
          </cell>
          <cell r="J803" t="str">
            <v>AV 30 DE AGOSTO 51 44</v>
          </cell>
          <cell r="K803" t="str">
            <v>66001</v>
          </cell>
          <cell r="L803" t="str">
            <v>PEREIRA</v>
          </cell>
          <cell r="M803" t="str">
            <v>3207887488</v>
          </cell>
        </row>
        <row r="804">
          <cell r="A804">
            <v>10273188</v>
          </cell>
          <cell r="B804" t="str">
            <v>3</v>
          </cell>
          <cell r="C804" t="str">
            <v/>
          </cell>
          <cell r="D804" t="str">
            <v>NP</v>
          </cell>
          <cell r="E804" t="str">
            <v>ALBEIRO ALFONSO</v>
          </cell>
          <cell r="F804" t="str">
            <v>GONZALEZ BEDOYA</v>
          </cell>
          <cell r="G804" t="str">
            <v>GONZALEZ BEDOYA ALBEIRO ALFONSO</v>
          </cell>
          <cell r="H804" t="str">
            <v>IMVE</v>
          </cell>
          <cell r="I804" t="str">
            <v>IMPUESTO SOBRE LAS VENTAS</v>
          </cell>
          <cell r="J804" t="str">
            <v>CR 31 B 41 A 40 BRR EL PALMAR</v>
          </cell>
          <cell r="K804" t="str">
            <v>17001</v>
          </cell>
          <cell r="L804" t="str">
            <v>MANIZALES</v>
          </cell>
          <cell r="M804" t="str">
            <v>3155417932</v>
          </cell>
        </row>
        <row r="805">
          <cell r="A805">
            <v>10273352</v>
          </cell>
          <cell r="B805" t="str">
            <v>5</v>
          </cell>
          <cell r="C805" t="str">
            <v/>
          </cell>
          <cell r="D805" t="str">
            <v>NP</v>
          </cell>
          <cell r="E805" t="str">
            <v>SILVIO HERNAN</v>
          </cell>
          <cell r="F805" t="str">
            <v>RESTREPO BOTERO</v>
          </cell>
          <cell r="G805" t="str">
            <v>RESTREPO BOTERO SILVIO HERNAN</v>
          </cell>
          <cell r="H805" t="str">
            <v>RECO</v>
          </cell>
          <cell r="I805" t="str">
            <v>REGIMEN COMUN</v>
          </cell>
          <cell r="J805" t="str">
            <v>CR 23   27   47</v>
          </cell>
          <cell r="K805" t="str">
            <v>17001</v>
          </cell>
          <cell r="L805" t="str">
            <v>MANIZALES</v>
          </cell>
          <cell r="M805" t="str">
            <v>3108400609</v>
          </cell>
        </row>
        <row r="806">
          <cell r="A806">
            <v>10273375</v>
          </cell>
          <cell r="B806" t="str">
            <v/>
          </cell>
          <cell r="C806" t="str">
            <v/>
          </cell>
          <cell r="D806" t="str">
            <v>CC</v>
          </cell>
          <cell r="E806" t="str">
            <v>VICTOR HUGO</v>
          </cell>
          <cell r="F806" t="str">
            <v>DIAZ LOPEZ</v>
          </cell>
          <cell r="G806" t="str">
            <v>DIAZ LOPEZ VICTOR HUGO</v>
          </cell>
          <cell r="H806" t="str">
            <v>FUNC</v>
          </cell>
          <cell r="I806" t="str">
            <v>FUNCIONARIO</v>
          </cell>
          <cell r="J806" t="str">
            <v>CL 66 D 41 25</v>
          </cell>
          <cell r="K806" t="str">
            <v>17001</v>
          </cell>
          <cell r="L806" t="str">
            <v>MANIZALES</v>
          </cell>
          <cell r="M806" t="str">
            <v>3117953718</v>
          </cell>
        </row>
        <row r="807">
          <cell r="A807">
            <v>10273552</v>
          </cell>
          <cell r="B807" t="str">
            <v>1</v>
          </cell>
          <cell r="C807" t="str">
            <v/>
          </cell>
          <cell r="D807" t="str">
            <v>NP</v>
          </cell>
          <cell r="E807" t="str">
            <v xml:space="preserve">MAURICIO </v>
          </cell>
          <cell r="F807" t="str">
            <v>SALAZAR SIERRA</v>
          </cell>
          <cell r="G807" t="str">
            <v>MAURICIO SALAZAR SIERRA</v>
          </cell>
          <cell r="H807" t="str">
            <v>RECO</v>
          </cell>
          <cell r="I807" t="str">
            <v>REGIMEN COMUN</v>
          </cell>
          <cell r="J807" t="str">
            <v>CL 65  24  49</v>
          </cell>
          <cell r="K807" t="str">
            <v>17001</v>
          </cell>
          <cell r="L807" t="str">
            <v>MANIZALES</v>
          </cell>
          <cell r="M807" t="str">
            <v>8863320</v>
          </cell>
        </row>
        <row r="808">
          <cell r="A808">
            <v>10273679</v>
          </cell>
          <cell r="B808" t="str">
            <v>8</v>
          </cell>
          <cell r="C808" t="str">
            <v/>
          </cell>
          <cell r="D808" t="str">
            <v>NP</v>
          </cell>
          <cell r="E808" t="str">
            <v>JUAN CARLOS</v>
          </cell>
          <cell r="F808" t="str">
            <v>UNDA ROCHA</v>
          </cell>
          <cell r="G808" t="str">
            <v>UNDA ROCHA JUAN CARLOS</v>
          </cell>
          <cell r="H808" t="str">
            <v>RESI</v>
          </cell>
          <cell r="I808" t="str">
            <v>REGIMEN SIMPLIFICADO</v>
          </cell>
          <cell r="J808" t="str">
            <v>CR 35 61 13 BRR FATIMA</v>
          </cell>
          <cell r="K808" t="str">
            <v>17001</v>
          </cell>
          <cell r="L808" t="str">
            <v>MANIZALES</v>
          </cell>
          <cell r="M808" t="str">
            <v>3218506285</v>
          </cell>
        </row>
        <row r="809">
          <cell r="A809">
            <v>10273743</v>
          </cell>
          <cell r="B809" t="str">
            <v/>
          </cell>
          <cell r="C809" t="str">
            <v/>
          </cell>
          <cell r="D809" t="str">
            <v>CC</v>
          </cell>
          <cell r="E809" t="str">
            <v>JANSSEN</v>
          </cell>
          <cell r="F809" t="str">
            <v>RENDON TOBON</v>
          </cell>
          <cell r="G809" t="str">
            <v>JANSSEN RENDON TOBON</v>
          </cell>
          <cell r="H809" t="str">
            <v>FUNC</v>
          </cell>
          <cell r="I809" t="str">
            <v>FUNCIONARIO</v>
          </cell>
          <cell r="J809" t="str">
            <v>CR 21    62   22</v>
          </cell>
          <cell r="K809" t="str">
            <v>17001</v>
          </cell>
          <cell r="L809" t="str">
            <v>MANIZALES</v>
          </cell>
          <cell r="M809" t="str">
            <v>8867295</v>
          </cell>
        </row>
        <row r="810">
          <cell r="A810">
            <v>10273859</v>
          </cell>
          <cell r="B810" t="str">
            <v>7</v>
          </cell>
          <cell r="C810" t="str">
            <v/>
          </cell>
          <cell r="D810" t="str">
            <v>NP</v>
          </cell>
          <cell r="E810" t="str">
            <v>DIEGO LEON</v>
          </cell>
          <cell r="F810" t="str">
            <v>MARTINEZ GOMEZ</v>
          </cell>
          <cell r="G810" t="str">
            <v>MARTINEZ GOMEZ DIEGO LEON</v>
          </cell>
          <cell r="H810" t="str">
            <v>RECO</v>
          </cell>
          <cell r="I810" t="str">
            <v>REGIMEN COMUN</v>
          </cell>
          <cell r="J810" t="str">
            <v>CL 81 B 25 41 CA 29</v>
          </cell>
          <cell r="K810" t="str">
            <v>17001</v>
          </cell>
          <cell r="L810" t="str">
            <v>MANIZALES</v>
          </cell>
          <cell r="M810" t="str">
            <v>8895117</v>
          </cell>
        </row>
        <row r="811">
          <cell r="A811">
            <v>10274292</v>
          </cell>
          <cell r="B811" t="str">
            <v/>
          </cell>
          <cell r="C811" t="str">
            <v/>
          </cell>
          <cell r="D811" t="str">
            <v>CC</v>
          </cell>
          <cell r="E811" t="str">
            <v>JORGE HERNAN</v>
          </cell>
          <cell r="F811" t="str">
            <v>GARCIA GARCIA</v>
          </cell>
          <cell r="G811" t="str">
            <v>JORGE HERNAN GARCIA GARCIA</v>
          </cell>
          <cell r="H811" t="str">
            <v>REOR</v>
          </cell>
          <cell r="I811" t="str">
            <v>RENTA REGIMEN ORDINARIO</v>
          </cell>
          <cell r="J811" t="str">
            <v>CR 20 BIS  65 20 BRR LAURELES</v>
          </cell>
          <cell r="K811" t="str">
            <v>17001</v>
          </cell>
          <cell r="L811" t="str">
            <v>MANIZALES</v>
          </cell>
          <cell r="M811" t="str">
            <v>3146787321</v>
          </cell>
        </row>
        <row r="812">
          <cell r="A812">
            <v>10274673</v>
          </cell>
          <cell r="B812" t="str">
            <v>9</v>
          </cell>
          <cell r="C812" t="str">
            <v/>
          </cell>
          <cell r="D812" t="str">
            <v>NP</v>
          </cell>
          <cell r="E812" t="str">
            <v>WILMAR</v>
          </cell>
          <cell r="F812" t="str">
            <v>QUINTERO GIRALDO</v>
          </cell>
          <cell r="G812" t="str">
            <v>QUINTERO GIRALDO WILMAR</v>
          </cell>
          <cell r="H812" t="str">
            <v>RESI</v>
          </cell>
          <cell r="I812" t="str">
            <v>REGIMEN SIMPLIFICADO</v>
          </cell>
          <cell r="J812" t="str">
            <v>CON VALLES DE LA FLORIDA CA 174</v>
          </cell>
          <cell r="K812" t="str">
            <v>17001</v>
          </cell>
          <cell r="L812" t="str">
            <v>MANIZALES</v>
          </cell>
          <cell r="M812" t="str">
            <v>3146296980</v>
          </cell>
        </row>
        <row r="813">
          <cell r="A813">
            <v>10274844</v>
          </cell>
          <cell r="B813" t="str">
            <v/>
          </cell>
          <cell r="C813" t="str">
            <v/>
          </cell>
          <cell r="D813" t="str">
            <v>CC</v>
          </cell>
          <cell r="E813" t="str">
            <v>CLAUDIO</v>
          </cell>
          <cell r="F813" t="str">
            <v>GIRALDO LOAIZA</v>
          </cell>
          <cell r="G813" t="str">
            <v>GIRALDO LOAIZA CLAUDIO</v>
          </cell>
          <cell r="H813" t="str">
            <v>FUNC</v>
          </cell>
          <cell r="I813" t="str">
            <v>FUNCIONARIO</v>
          </cell>
          <cell r="J813" t="str">
            <v>CALLE 64 # 19 41</v>
          </cell>
          <cell r="K813" t="str">
            <v>17001</v>
          </cell>
          <cell r="L813" t="str">
            <v>MANIZALES</v>
          </cell>
          <cell r="M813" t="str">
            <v>3235827862</v>
          </cell>
        </row>
        <row r="814">
          <cell r="A814">
            <v>10274979</v>
          </cell>
          <cell r="B814" t="str">
            <v>7</v>
          </cell>
          <cell r="C814" t="str">
            <v/>
          </cell>
          <cell r="D814" t="str">
            <v>NP</v>
          </cell>
          <cell r="E814" t="str">
            <v>MIGUEL ANGEL</v>
          </cell>
          <cell r="F814" t="str">
            <v>ECHEVERRI SANCHEZ</v>
          </cell>
          <cell r="G814" t="str">
            <v>ECHEVERRI SANCHEZ MIGUEL ANGEL</v>
          </cell>
          <cell r="H814" t="str">
            <v>NORE</v>
          </cell>
          <cell r="I814" t="str">
            <v>NO RESPONSABLE DE IVA</v>
          </cell>
          <cell r="J814" t="str">
            <v>CEL 2 NUCLEO 2 AP ESPECIAL 2 BRR VILLA PILAR</v>
          </cell>
          <cell r="K814" t="str">
            <v>17001</v>
          </cell>
          <cell r="L814" t="str">
            <v>MANIZALES</v>
          </cell>
          <cell r="M814" t="str">
            <v>3225591414</v>
          </cell>
        </row>
        <row r="815">
          <cell r="A815">
            <v>10275358</v>
          </cell>
          <cell r="B815" t="str">
            <v>8</v>
          </cell>
          <cell r="C815" t="str">
            <v/>
          </cell>
          <cell r="D815" t="str">
            <v>NP</v>
          </cell>
          <cell r="E815" t="str">
            <v>JUAN ALBERTO</v>
          </cell>
          <cell r="F815" t="str">
            <v>HERRERA VARGAS</v>
          </cell>
          <cell r="G815" t="str">
            <v>HERRERA VARGAS JUAN ALBERTO</v>
          </cell>
          <cell r="H815" t="str">
            <v>RECO</v>
          </cell>
          <cell r="I815" t="str">
            <v>REGIMEN COMUN</v>
          </cell>
          <cell r="J815" t="str">
            <v>CL 48 A  27 31</v>
          </cell>
          <cell r="K815" t="str">
            <v>17001</v>
          </cell>
          <cell r="L815" t="str">
            <v>MANIZALES</v>
          </cell>
          <cell r="M815" t="str">
            <v>8855606</v>
          </cell>
        </row>
        <row r="816">
          <cell r="A816">
            <v>10275902</v>
          </cell>
          <cell r="B816" t="str">
            <v>5</v>
          </cell>
          <cell r="C816" t="str">
            <v/>
          </cell>
          <cell r="D816" t="str">
            <v>NP</v>
          </cell>
          <cell r="E816" t="str">
            <v>SILVIO</v>
          </cell>
          <cell r="F816" t="str">
            <v>RIVERA TORRES</v>
          </cell>
          <cell r="G816" t="str">
            <v>RIVERA TORRES SILVIO</v>
          </cell>
          <cell r="H816" t="str">
            <v>NORE</v>
          </cell>
          <cell r="I816" t="str">
            <v>NO RESPONSABLE DE IVA</v>
          </cell>
          <cell r="J816" t="str">
            <v>CL 39  33  23   AP 403  BL G</v>
          </cell>
          <cell r="K816" t="str">
            <v>17001</v>
          </cell>
          <cell r="L816" t="str">
            <v>MANIZALES</v>
          </cell>
          <cell r="M816" t="str">
            <v>3136457919</v>
          </cell>
        </row>
        <row r="817">
          <cell r="A817">
            <v>10276080</v>
          </cell>
          <cell r="B817" t="str">
            <v/>
          </cell>
          <cell r="C817" t="str">
            <v/>
          </cell>
          <cell r="D817" t="str">
            <v>CC</v>
          </cell>
          <cell r="E817" t="str">
            <v>MARIO</v>
          </cell>
          <cell r="F817" t="str">
            <v>ORTIZ LOPEZ</v>
          </cell>
          <cell r="G817" t="str">
            <v>ORTIZ LOPEZ MARIO</v>
          </cell>
          <cell r="H817" t="str">
            <v>RESI</v>
          </cell>
          <cell r="I817" t="str">
            <v>REGIMEN SIMPLIFICADO</v>
          </cell>
          <cell r="J817" t="str">
            <v>XXXXX</v>
          </cell>
          <cell r="K817" t="str">
            <v>17001</v>
          </cell>
          <cell r="L817" t="str">
            <v>MANIZALES</v>
          </cell>
          <cell r="M817" t="str">
            <v>XXXX</v>
          </cell>
        </row>
        <row r="818">
          <cell r="A818">
            <v>10277454</v>
          </cell>
          <cell r="B818" t="str">
            <v>6</v>
          </cell>
          <cell r="C818" t="str">
            <v/>
          </cell>
          <cell r="D818" t="str">
            <v>NP</v>
          </cell>
          <cell r="E818" t="str">
            <v>JUAN CARLOS</v>
          </cell>
          <cell r="F818" t="str">
            <v>GIRALDO BETANCURTH</v>
          </cell>
          <cell r="G818" t="str">
            <v>GIRALDO BETANCURTH JUAN CARLOS</v>
          </cell>
          <cell r="H818" t="str">
            <v>RESI</v>
          </cell>
          <cell r="I818" t="str">
            <v>REGIMEN SIMPLIFICADO</v>
          </cell>
          <cell r="J818" t="str">
            <v>CR 14 57F 103 VILLA DEL RIO</v>
          </cell>
          <cell r="K818" t="str">
            <v>17001</v>
          </cell>
          <cell r="L818" t="str">
            <v>MANIZALES</v>
          </cell>
          <cell r="M818" t="str">
            <v>3163951852</v>
          </cell>
        </row>
        <row r="819">
          <cell r="A819">
            <v>10277465</v>
          </cell>
          <cell r="B819" t="str">
            <v>7</v>
          </cell>
          <cell r="C819" t="str">
            <v/>
          </cell>
          <cell r="D819" t="str">
            <v>NP</v>
          </cell>
          <cell r="E819" t="str">
            <v>CESAR AUGUSTO</v>
          </cell>
          <cell r="F819" t="str">
            <v>GOMEZ HINCAPIE</v>
          </cell>
          <cell r="G819" t="str">
            <v>GOMEZ HINCAPIE CESAR AUGUSTO</v>
          </cell>
          <cell r="H819" t="str">
            <v>RECO</v>
          </cell>
          <cell r="I819" t="str">
            <v>REGIMEN COMUN</v>
          </cell>
          <cell r="J819" t="str">
            <v>CR 23   57   50</v>
          </cell>
          <cell r="K819" t="str">
            <v>17001</v>
          </cell>
          <cell r="L819" t="str">
            <v>MANIZALES</v>
          </cell>
          <cell r="M819" t="str">
            <v>8858313</v>
          </cell>
        </row>
        <row r="820">
          <cell r="A820">
            <v>10277467</v>
          </cell>
          <cell r="B820" t="str">
            <v>1</v>
          </cell>
          <cell r="C820" t="str">
            <v/>
          </cell>
          <cell r="D820" t="str">
            <v>NP</v>
          </cell>
          <cell r="E820" t="str">
            <v>RUSBEL</v>
          </cell>
          <cell r="F820" t="str">
            <v>FRANCO BUSTAMANTE</v>
          </cell>
          <cell r="G820" t="str">
            <v>FRANCO BUSTAMANTE RUSBEL</v>
          </cell>
          <cell r="H820" t="str">
            <v>NORE</v>
          </cell>
          <cell r="I820" t="str">
            <v>NO RESPONSABLE DE IVA</v>
          </cell>
          <cell r="J820" t="str">
            <v>CR 55 A 12 50 BRR LA DANIELA</v>
          </cell>
          <cell r="K820" t="str">
            <v>17001</v>
          </cell>
          <cell r="L820" t="str">
            <v>MANIZALES</v>
          </cell>
          <cell r="M820" t="str">
            <v>3103594343</v>
          </cell>
        </row>
        <row r="821">
          <cell r="A821">
            <v>10277702</v>
          </cell>
          <cell r="B821" t="str">
            <v/>
          </cell>
          <cell r="C821" t="str">
            <v/>
          </cell>
          <cell r="D821" t="str">
            <v>CC</v>
          </cell>
          <cell r="E821" t="str">
            <v>PEDRO PABLO</v>
          </cell>
          <cell r="F821" t="str">
            <v>GALVIS SANCHEZ</v>
          </cell>
          <cell r="G821" t="str">
            <v>PEDRO PABLO GALVIS SANCHEZ</v>
          </cell>
          <cell r="H821" t="str">
            <v>FUNC</v>
          </cell>
          <cell r="I821" t="str">
            <v>FUNCIONARIO</v>
          </cell>
          <cell r="J821" t="str">
            <v>CR 32 C NO  45 19</v>
          </cell>
          <cell r="K821" t="str">
            <v>17001</v>
          </cell>
          <cell r="L821" t="str">
            <v>MANIZALES</v>
          </cell>
          <cell r="M821" t="str">
            <v>3148909504</v>
          </cell>
        </row>
        <row r="822">
          <cell r="A822">
            <v>10278038</v>
          </cell>
          <cell r="B822" t="str">
            <v/>
          </cell>
          <cell r="C822" t="str">
            <v/>
          </cell>
          <cell r="D822" t="str">
            <v>CC</v>
          </cell>
          <cell r="E822" t="str">
            <v>JUAN DAVID</v>
          </cell>
          <cell r="F822" t="str">
            <v>PELAEZ CASTRO</v>
          </cell>
          <cell r="G822" t="str">
            <v>PELAEZ CASTRO JUAN DAVID</v>
          </cell>
          <cell r="H822" t="str">
            <v>EXFU</v>
          </cell>
          <cell r="I822" t="str">
            <v>EX-FUNCIONARIOS</v>
          </cell>
          <cell r="J822" t="str">
            <v>CERROS DE LA ALHAMBRA CASA 18</v>
          </cell>
          <cell r="K822" t="str">
            <v>17001</v>
          </cell>
          <cell r="L822" t="str">
            <v>MANIZALES</v>
          </cell>
          <cell r="M822" t="str">
            <v>3182065017</v>
          </cell>
        </row>
        <row r="823">
          <cell r="A823">
            <v>10278735</v>
          </cell>
          <cell r="B823" t="str">
            <v/>
          </cell>
          <cell r="C823" t="str">
            <v/>
          </cell>
          <cell r="D823" t="str">
            <v>CC</v>
          </cell>
          <cell r="E823" t="str">
            <v>HENRY</v>
          </cell>
          <cell r="F823" t="str">
            <v>CARDONA GONZALEZ</v>
          </cell>
          <cell r="G823" t="str">
            <v>CARDONA GONZALEZ HENRY</v>
          </cell>
          <cell r="H823" t="str">
            <v>RECO</v>
          </cell>
          <cell r="I823" t="str">
            <v>REGIMEN COMUN</v>
          </cell>
          <cell r="J823" t="str">
            <v>CL 71 N 17-24 A 504</v>
          </cell>
          <cell r="K823" t="str">
            <v>17001</v>
          </cell>
          <cell r="L823" t="str">
            <v>MANIZALES</v>
          </cell>
          <cell r="M823" t="str">
            <v>8866738</v>
          </cell>
        </row>
        <row r="824">
          <cell r="A824">
            <v>10279115</v>
          </cell>
          <cell r="B824" t="str">
            <v/>
          </cell>
          <cell r="C824" t="str">
            <v/>
          </cell>
          <cell r="D824" t="str">
            <v>CC</v>
          </cell>
          <cell r="E824" t="str">
            <v>MARTIN ALBERTO</v>
          </cell>
          <cell r="F824" t="str">
            <v>HENAO ORTIZ</v>
          </cell>
          <cell r="G824" t="str">
            <v>MARTIN ALBERTO HENAO ORTIZ</v>
          </cell>
          <cell r="H824" t="str">
            <v>FUNC</v>
          </cell>
          <cell r="I824" t="str">
            <v>FUNCIONARIO</v>
          </cell>
          <cell r="J824" t="str">
            <v>AV ABERTO MENDOZA 89 103 C10</v>
          </cell>
          <cell r="K824" t="str">
            <v>17001</v>
          </cell>
          <cell r="L824" t="str">
            <v>MANIZALES</v>
          </cell>
          <cell r="M824" t="str">
            <v>8754454</v>
          </cell>
        </row>
        <row r="825">
          <cell r="A825">
            <v>10279619</v>
          </cell>
          <cell r="B825" t="str">
            <v>3</v>
          </cell>
          <cell r="C825" t="str">
            <v/>
          </cell>
          <cell r="D825" t="str">
            <v>NP</v>
          </cell>
          <cell r="E825" t="str">
            <v>JUAN CARLOS</v>
          </cell>
          <cell r="F825" t="str">
            <v>GUTIERREZ ARBOLEDA</v>
          </cell>
          <cell r="G825" t="str">
            <v>GUTIERREZ ARBOLEDA JUAN CARLOS</v>
          </cell>
          <cell r="H825" t="str">
            <v>REOR</v>
          </cell>
          <cell r="I825" t="str">
            <v>RENTA REGIMEN ORDINARIO</v>
          </cell>
          <cell r="J825" t="str">
            <v>BRR VILLAPILAR II  BL 1 AP 203 B</v>
          </cell>
          <cell r="K825" t="str">
            <v>17001</v>
          </cell>
          <cell r="L825" t="str">
            <v>MANIZALES</v>
          </cell>
          <cell r="M825" t="str">
            <v>3113003606</v>
          </cell>
        </row>
        <row r="826">
          <cell r="A826">
            <v>10279740</v>
          </cell>
          <cell r="B826" t="str">
            <v>7</v>
          </cell>
          <cell r="C826" t="str">
            <v/>
          </cell>
          <cell r="D826" t="str">
            <v>NP</v>
          </cell>
          <cell r="E826" t="str">
            <v>JHON ULISES</v>
          </cell>
          <cell r="F826" t="str">
            <v>ORTIZ DUQUE</v>
          </cell>
          <cell r="G826" t="str">
            <v>ORTIZ DUQUE JHON ULISES</v>
          </cell>
          <cell r="H826" t="str">
            <v>RESI</v>
          </cell>
          <cell r="I826" t="str">
            <v>REGIMEN SIMPLIFICADO</v>
          </cell>
          <cell r="J826" t="str">
            <v>CR 23 64 B 33 L C 3 A</v>
          </cell>
          <cell r="K826" t="str">
            <v>17001</v>
          </cell>
          <cell r="L826" t="str">
            <v>MANIZALES</v>
          </cell>
          <cell r="M826" t="str">
            <v>8756230</v>
          </cell>
        </row>
        <row r="827">
          <cell r="A827">
            <v>10280374</v>
          </cell>
          <cell r="B827" t="str">
            <v>6</v>
          </cell>
          <cell r="C827" t="str">
            <v/>
          </cell>
          <cell r="D827" t="str">
            <v>NP</v>
          </cell>
          <cell r="E827" t="str">
            <v>FRANCISCO JAVIER</v>
          </cell>
          <cell r="F827" t="str">
            <v>VALENCIA DUQUE</v>
          </cell>
          <cell r="G827" t="str">
            <v>VALENCIA DUQUE FRANCISCO JAVIER</v>
          </cell>
          <cell r="H827" t="str">
            <v>RESI</v>
          </cell>
          <cell r="I827" t="str">
            <v>REGIMEN SIMPLIFICADO</v>
          </cell>
          <cell r="J827" t="str">
            <v>CR 30  89  02 CA 40</v>
          </cell>
          <cell r="K827" t="str">
            <v>17001</v>
          </cell>
          <cell r="L827" t="str">
            <v>MANIZALES</v>
          </cell>
          <cell r="M827" t="str">
            <v>3176412397</v>
          </cell>
        </row>
        <row r="828">
          <cell r="A828">
            <v>10280484</v>
          </cell>
          <cell r="B828" t="str">
            <v>8</v>
          </cell>
          <cell r="C828" t="str">
            <v/>
          </cell>
          <cell r="D828" t="str">
            <v>NP</v>
          </cell>
          <cell r="E828" t="str">
            <v>JORGE HENRY</v>
          </cell>
          <cell r="F828" t="str">
            <v>CARMONA ALZATE</v>
          </cell>
          <cell r="G828" t="str">
            <v>CARMONA ALZATE JORGE HENRY</v>
          </cell>
          <cell r="H828" t="str">
            <v>NORE</v>
          </cell>
          <cell r="I828" t="str">
            <v>NO RESPONSABLE DE IVA</v>
          </cell>
          <cell r="J828" t="str">
            <v>CR 17 A 4 B 45 ED NOGAL DE LA FRANCIA APTO 303</v>
          </cell>
          <cell r="K828" t="str">
            <v>17001</v>
          </cell>
          <cell r="L828" t="str">
            <v>MANIZALES</v>
          </cell>
          <cell r="M828" t="str">
            <v>8919593</v>
          </cell>
        </row>
        <row r="829">
          <cell r="A829">
            <v>10281092</v>
          </cell>
          <cell r="B829" t="str">
            <v>9</v>
          </cell>
          <cell r="C829" t="str">
            <v/>
          </cell>
          <cell r="D829" t="str">
            <v>NP</v>
          </cell>
          <cell r="E829" t="str">
            <v>MILTON RICARDO</v>
          </cell>
          <cell r="F829" t="str">
            <v>HERRERA POSADA</v>
          </cell>
          <cell r="G829" t="str">
            <v>HERRERA POSADA MILTON RICARDO</v>
          </cell>
          <cell r="H829" t="str">
            <v>IMVE</v>
          </cell>
          <cell r="I829" t="str">
            <v>IMPUESTO SOBRE LAS VENTAS</v>
          </cell>
          <cell r="J829" t="str">
            <v>CR 24  22 02 OF 504</v>
          </cell>
          <cell r="K829" t="str">
            <v>17001</v>
          </cell>
          <cell r="L829" t="str">
            <v>MANIZALES</v>
          </cell>
          <cell r="M829" t="str">
            <v>8803750</v>
          </cell>
        </row>
        <row r="830">
          <cell r="A830">
            <v>10281101</v>
          </cell>
          <cell r="B830" t="str">
            <v/>
          </cell>
          <cell r="C830" t="str">
            <v/>
          </cell>
          <cell r="D830" t="str">
            <v>CC</v>
          </cell>
          <cell r="E830" t="str">
            <v>JUAN CARLOS</v>
          </cell>
          <cell r="F830" t="str">
            <v>NARANJO GALLEGO</v>
          </cell>
          <cell r="G830" t="str">
            <v>NARANJO GALLEGO JUAN CARLOS</v>
          </cell>
          <cell r="H830" t="str">
            <v>FUNC</v>
          </cell>
          <cell r="I830" t="str">
            <v>FUNCIONARIO</v>
          </cell>
          <cell r="J830" t="str">
            <v>CL 67 10 40</v>
          </cell>
          <cell r="K830" t="str">
            <v>17001</v>
          </cell>
          <cell r="L830" t="str">
            <v>MANIZALES</v>
          </cell>
          <cell r="M830" t="str">
            <v>3234795562</v>
          </cell>
        </row>
        <row r="831">
          <cell r="A831">
            <v>10281394</v>
          </cell>
          <cell r="B831" t="str">
            <v>8</v>
          </cell>
          <cell r="C831" t="str">
            <v/>
          </cell>
          <cell r="D831" t="str">
            <v>NP</v>
          </cell>
          <cell r="E831" t="str">
            <v>SANTIAGO EDUARDO</v>
          </cell>
          <cell r="F831" t="str">
            <v>OSORIO RAMÍREZ</v>
          </cell>
          <cell r="G831" t="str">
            <v>OSORIO RAMÍREZ SANTIAGO EDUARDO</v>
          </cell>
          <cell r="H831" t="str">
            <v>RESI</v>
          </cell>
          <cell r="I831" t="str">
            <v>REGIMEN SIMPLIFICADO</v>
          </cell>
          <cell r="J831" t="str">
            <v>CR 23   72   69 AP 302</v>
          </cell>
          <cell r="K831" t="str">
            <v>17001</v>
          </cell>
          <cell r="L831" t="str">
            <v>MANIZALES</v>
          </cell>
          <cell r="M831" t="str">
            <v>3202250679</v>
          </cell>
        </row>
        <row r="832">
          <cell r="A832">
            <v>10281579</v>
          </cell>
          <cell r="B832" t="str">
            <v/>
          </cell>
          <cell r="C832" t="str">
            <v/>
          </cell>
          <cell r="D832" t="str">
            <v>CC</v>
          </cell>
          <cell r="E832" t="str">
            <v>JORGE ENRIQUE</v>
          </cell>
          <cell r="F832" t="str">
            <v>ZULUAGA VILLEGAS</v>
          </cell>
          <cell r="G832" t="str">
            <v>ZULUAGA VILLEGAS JORGE ENRIQUE</v>
          </cell>
          <cell r="H832" t="str">
            <v>FUNC</v>
          </cell>
          <cell r="I832" t="str">
            <v>FUNCIONARIO</v>
          </cell>
          <cell r="J832" t="str">
            <v>CL 43   1   351 CA 35 CONJ ENTREVERDE LA FLOIDA</v>
          </cell>
          <cell r="K832" t="str">
            <v>17001</v>
          </cell>
          <cell r="L832" t="str">
            <v>MANIZALES</v>
          </cell>
          <cell r="M832" t="str">
            <v>8889016</v>
          </cell>
        </row>
        <row r="833">
          <cell r="A833">
            <v>10282004</v>
          </cell>
          <cell r="B833" t="str">
            <v>5</v>
          </cell>
          <cell r="C833" t="str">
            <v/>
          </cell>
          <cell r="D833" t="str">
            <v>NP</v>
          </cell>
          <cell r="E833" t="str">
            <v>JOSE JHON JAIRO</v>
          </cell>
          <cell r="F833" t="str">
            <v>GOMEZ SALAZAR</v>
          </cell>
          <cell r="G833" t="str">
            <v>GOMEZ SALAZAR JOSE JHON JAIRO</v>
          </cell>
          <cell r="H833" t="str">
            <v>RECO</v>
          </cell>
          <cell r="I833" t="str">
            <v>REGIMEN COMUN</v>
          </cell>
          <cell r="J833" t="str">
            <v>CR 24  22  02 ED PLAZA CENTRO OF 414</v>
          </cell>
          <cell r="K833" t="str">
            <v>17001</v>
          </cell>
          <cell r="L833" t="str">
            <v>MANIZALES</v>
          </cell>
          <cell r="M833" t="str">
            <v>8827300</v>
          </cell>
        </row>
        <row r="834">
          <cell r="A834">
            <v>10282403</v>
          </cell>
          <cell r="B834" t="str">
            <v/>
          </cell>
          <cell r="C834" t="str">
            <v/>
          </cell>
          <cell r="D834" t="str">
            <v>CC</v>
          </cell>
          <cell r="E834" t="str">
            <v>HECTOR FABIO</v>
          </cell>
          <cell r="F834" t="str">
            <v>JIMENEZ GÓMEZ</v>
          </cell>
          <cell r="G834" t="str">
            <v>JIMENEZ GÓMEZ HECTOR FABIO</v>
          </cell>
          <cell r="H834" t="str">
            <v>FUNC</v>
          </cell>
          <cell r="I834" t="str">
            <v>FUNCIONARIO</v>
          </cell>
          <cell r="J834" t="str">
            <v>CL 66 66 B N 42 48</v>
          </cell>
          <cell r="K834" t="str">
            <v>17001</v>
          </cell>
          <cell r="L834" t="str">
            <v>MANIZALES</v>
          </cell>
          <cell r="M834" t="str">
            <v>3203446070</v>
          </cell>
        </row>
        <row r="835">
          <cell r="A835">
            <v>10282473</v>
          </cell>
          <cell r="B835" t="str">
            <v/>
          </cell>
          <cell r="C835" t="str">
            <v/>
          </cell>
          <cell r="D835" t="str">
            <v>CC</v>
          </cell>
          <cell r="E835" t="str">
            <v xml:space="preserve">GILBERTO </v>
          </cell>
          <cell r="F835" t="str">
            <v xml:space="preserve">CORRALES </v>
          </cell>
          <cell r="G835" t="str">
            <v>CORRALES GILBERTO</v>
          </cell>
          <cell r="H835" t="str">
            <v>FUNC</v>
          </cell>
          <cell r="I835" t="str">
            <v>FUNCIONARIO</v>
          </cell>
          <cell r="J835" t="str">
            <v>CR 09   08   89</v>
          </cell>
          <cell r="K835" t="str">
            <v>17001</v>
          </cell>
          <cell r="L835" t="str">
            <v>MANIZALES</v>
          </cell>
          <cell r="M835" t="str">
            <v>8904115</v>
          </cell>
        </row>
        <row r="836">
          <cell r="A836">
            <v>10282534</v>
          </cell>
          <cell r="B836" t="str">
            <v>7</v>
          </cell>
          <cell r="C836" t="str">
            <v/>
          </cell>
          <cell r="D836" t="str">
            <v>NP</v>
          </cell>
          <cell r="E836" t="str">
            <v>JOSE ANCIZAR</v>
          </cell>
          <cell r="F836" t="str">
            <v>ARIAS JARAMILLO</v>
          </cell>
          <cell r="G836" t="str">
            <v>ARIAS JARAMILLO JOSE ANCIZAR</v>
          </cell>
          <cell r="H836" t="str">
            <v>RESI</v>
          </cell>
          <cell r="I836" t="str">
            <v>REGIMEN SIMPLIFICADO</v>
          </cell>
          <cell r="J836" t="str">
            <v>CL 30 N 21-22</v>
          </cell>
          <cell r="K836" t="str">
            <v>17001</v>
          </cell>
          <cell r="L836" t="str">
            <v>MANIZALES</v>
          </cell>
          <cell r="M836" t="str">
            <v>8727487</v>
          </cell>
        </row>
        <row r="837">
          <cell r="A837">
            <v>10283053</v>
          </cell>
          <cell r="B837" t="str">
            <v/>
          </cell>
          <cell r="C837" t="str">
            <v/>
          </cell>
          <cell r="D837" t="str">
            <v>CC</v>
          </cell>
          <cell r="E837" t="str">
            <v>GUILLERMO</v>
          </cell>
          <cell r="F837" t="str">
            <v>DÍAZ PIEDRAHITA</v>
          </cell>
          <cell r="G837" t="str">
            <v>DIAZ PIEDRAHITA GUILLERMO</v>
          </cell>
          <cell r="H837" t="str">
            <v>RESI</v>
          </cell>
          <cell r="I837" t="str">
            <v>REGIMEN SIMPLIFICADO</v>
          </cell>
          <cell r="J837" t="str">
            <v>CL 20 17 14</v>
          </cell>
          <cell r="K837" t="str">
            <v>17001</v>
          </cell>
          <cell r="L837" t="str">
            <v>MANIZALES</v>
          </cell>
          <cell r="M837" t="str">
            <v>3104558688</v>
          </cell>
        </row>
        <row r="838">
          <cell r="A838">
            <v>10283460</v>
          </cell>
          <cell r="B838" t="str">
            <v>5</v>
          </cell>
          <cell r="C838" t="str">
            <v/>
          </cell>
          <cell r="D838" t="str">
            <v>NP</v>
          </cell>
          <cell r="E838" t="str">
            <v>WILLIAM</v>
          </cell>
          <cell r="F838" t="str">
            <v>CORTES NOREÑA</v>
          </cell>
          <cell r="G838" t="str">
            <v>CORTES NOREÑA WILLIAM</v>
          </cell>
          <cell r="H838" t="str">
            <v>RESI</v>
          </cell>
          <cell r="I838" t="str">
            <v>REGIMEN SIMPLIFICADO</v>
          </cell>
          <cell r="J838" t="str">
            <v>CR 23   47   16</v>
          </cell>
          <cell r="K838" t="str">
            <v>17001</v>
          </cell>
          <cell r="L838" t="str">
            <v>MANIZALES</v>
          </cell>
          <cell r="M838" t="str">
            <v>3174212159</v>
          </cell>
        </row>
        <row r="839">
          <cell r="A839">
            <v>10284036</v>
          </cell>
          <cell r="B839" t="str">
            <v>1</v>
          </cell>
          <cell r="C839" t="str">
            <v/>
          </cell>
          <cell r="D839" t="str">
            <v>NP</v>
          </cell>
          <cell r="E839" t="str">
            <v>LUIS LEANDRO</v>
          </cell>
          <cell r="F839" t="str">
            <v>CASTAÑO BEDOYA</v>
          </cell>
          <cell r="G839" t="str">
            <v>CASTAÑO BEDOYA LUIS LEANDRO</v>
          </cell>
          <cell r="H839" t="str">
            <v>RESI</v>
          </cell>
          <cell r="I839" t="str">
            <v>REGIMEN SIMPLIFICADO</v>
          </cell>
          <cell r="J839" t="str">
            <v>CL 72 27 68 APTO 1</v>
          </cell>
          <cell r="K839" t="str">
            <v>17001</v>
          </cell>
          <cell r="L839" t="str">
            <v>MANIZALES</v>
          </cell>
          <cell r="M839" t="str">
            <v>8874277</v>
          </cell>
        </row>
        <row r="840">
          <cell r="A840">
            <v>10284417</v>
          </cell>
          <cell r="B840" t="str">
            <v>2</v>
          </cell>
          <cell r="C840" t="str">
            <v/>
          </cell>
          <cell r="D840" t="str">
            <v>NP</v>
          </cell>
          <cell r="E840" t="str">
            <v>HERNAN</v>
          </cell>
          <cell r="F840" t="str">
            <v>ROPERO ALZATE</v>
          </cell>
          <cell r="G840" t="str">
            <v>ROPERO ALZATE HERNAN</v>
          </cell>
          <cell r="H840" t="str">
            <v>RECO</v>
          </cell>
          <cell r="I840" t="str">
            <v>REGIMEN COMUN</v>
          </cell>
          <cell r="J840" t="str">
            <v>CL 47   18   55</v>
          </cell>
          <cell r="K840" t="str">
            <v>17001</v>
          </cell>
          <cell r="L840" t="str">
            <v>MANIZALES</v>
          </cell>
          <cell r="M840" t="str">
            <v>3137959338</v>
          </cell>
        </row>
        <row r="841">
          <cell r="A841">
            <v>10284552</v>
          </cell>
          <cell r="B841" t="str">
            <v/>
          </cell>
          <cell r="C841" t="str">
            <v/>
          </cell>
          <cell r="D841" t="str">
            <v>CC</v>
          </cell>
          <cell r="E841" t="str">
            <v>JUAN CARLOS</v>
          </cell>
          <cell r="F841" t="str">
            <v>OSORIO CANO</v>
          </cell>
          <cell r="G841" t="str">
            <v>OSORIO CANO JUAN CARLOS</v>
          </cell>
          <cell r="H841" t="str">
            <v>RESI</v>
          </cell>
          <cell r="I841" t="str">
            <v>REGIMEN SIMPLIFICADO</v>
          </cell>
          <cell r="J841" t="str">
            <v>CL 62 N 23-54</v>
          </cell>
          <cell r="K841" t="str">
            <v>17001</v>
          </cell>
          <cell r="L841" t="str">
            <v>MANIZALES</v>
          </cell>
          <cell r="M841" t="str">
            <v>8811153</v>
          </cell>
        </row>
        <row r="842">
          <cell r="A842">
            <v>10284576</v>
          </cell>
          <cell r="B842" t="str">
            <v>5</v>
          </cell>
          <cell r="C842" t="str">
            <v/>
          </cell>
          <cell r="D842" t="str">
            <v>NP</v>
          </cell>
          <cell r="E842" t="str">
            <v>GUSTAVO</v>
          </cell>
          <cell r="F842" t="str">
            <v>REYES PINEDA</v>
          </cell>
          <cell r="G842" t="str">
            <v>REYES PINEDA GUSTAVO</v>
          </cell>
          <cell r="H842" t="str">
            <v>RESI</v>
          </cell>
          <cell r="I842" t="str">
            <v>REGIMEN SIMPLIFICADO</v>
          </cell>
          <cell r="J842" t="str">
            <v>CR 8  45 C 01  CA F 15</v>
          </cell>
          <cell r="K842" t="str">
            <v>17001</v>
          </cell>
          <cell r="L842" t="str">
            <v>MANIZALES</v>
          </cell>
          <cell r="M842" t="str">
            <v>8882105</v>
          </cell>
        </row>
        <row r="843">
          <cell r="A843">
            <v>10285177</v>
          </cell>
          <cell r="B843" t="str">
            <v>4</v>
          </cell>
          <cell r="C843" t="str">
            <v/>
          </cell>
          <cell r="D843" t="str">
            <v>NP</v>
          </cell>
          <cell r="E843" t="str">
            <v>CARLOS AUGUSTO</v>
          </cell>
          <cell r="F843" t="str">
            <v>CASTAÑO OROZCO</v>
          </cell>
          <cell r="G843" t="str">
            <v>CASTAÑO OROZCO CARLOS AUGUSTO</v>
          </cell>
          <cell r="H843" t="str">
            <v>RESI</v>
          </cell>
          <cell r="I843" t="str">
            <v>REGIMEN SIMPLIFICADO</v>
          </cell>
          <cell r="J843" t="str">
            <v>CL 49 E  34 C 24</v>
          </cell>
          <cell r="K843" t="str">
            <v>17001</v>
          </cell>
          <cell r="L843" t="str">
            <v>MANIZALES</v>
          </cell>
          <cell r="M843" t="str">
            <v>8885585</v>
          </cell>
        </row>
        <row r="844">
          <cell r="A844">
            <v>10285720</v>
          </cell>
          <cell r="B844" t="str">
            <v>4</v>
          </cell>
          <cell r="C844" t="str">
            <v/>
          </cell>
          <cell r="D844" t="str">
            <v>NP</v>
          </cell>
          <cell r="E844" t="str">
            <v>OSCAR NELSON</v>
          </cell>
          <cell r="F844" t="str">
            <v>GARCIA OROZCO</v>
          </cell>
          <cell r="G844" t="str">
            <v>GARCIA OROZCO OSCAR NELSON</v>
          </cell>
          <cell r="H844" t="str">
            <v>RESI</v>
          </cell>
          <cell r="I844" t="str">
            <v>REGIMEN SIMPLIFICADO</v>
          </cell>
          <cell r="J844" t="str">
            <v>CL 30  19  16</v>
          </cell>
          <cell r="K844" t="str">
            <v>17001</v>
          </cell>
          <cell r="L844" t="str">
            <v>MANIZALES</v>
          </cell>
          <cell r="M844" t="str">
            <v>8824354</v>
          </cell>
        </row>
        <row r="845">
          <cell r="A845">
            <v>10285801</v>
          </cell>
          <cell r="B845" t="str">
            <v/>
          </cell>
          <cell r="C845" t="str">
            <v/>
          </cell>
          <cell r="D845" t="str">
            <v>CC</v>
          </cell>
          <cell r="E845" t="str">
            <v>GERMAN</v>
          </cell>
          <cell r="F845" t="str">
            <v>PATIÑO VARGAS</v>
          </cell>
          <cell r="G845" t="str">
            <v>PATIÑO VARGAS GERMAN</v>
          </cell>
          <cell r="H845" t="str">
            <v>RESI</v>
          </cell>
          <cell r="I845" t="str">
            <v>REGIMEN SIMPLIFICADO</v>
          </cell>
          <cell r="J845" t="str">
            <v>CR 105 D 98</v>
          </cell>
          <cell r="K845" t="str">
            <v>17001</v>
          </cell>
          <cell r="L845" t="str">
            <v>MANIZALES</v>
          </cell>
          <cell r="M845" t="str">
            <v>8747826</v>
          </cell>
        </row>
        <row r="846">
          <cell r="A846">
            <v>10286276</v>
          </cell>
          <cell r="B846" t="str">
            <v>1</v>
          </cell>
          <cell r="C846" t="str">
            <v/>
          </cell>
          <cell r="D846" t="str">
            <v>NP</v>
          </cell>
          <cell r="E846" t="str">
            <v>DANIEL</v>
          </cell>
          <cell r="F846" t="str">
            <v>GONZALEZ PATIÑO</v>
          </cell>
          <cell r="G846" t="str">
            <v>GONZALEZ PATIÑO DANIEL</v>
          </cell>
          <cell r="H846" t="str">
            <v>RESI</v>
          </cell>
          <cell r="I846" t="str">
            <v>REGIMEN SIMPLIFICADO</v>
          </cell>
          <cell r="J846" t="str">
            <v>CL 48 D 19 05 AP 303 B</v>
          </cell>
          <cell r="K846" t="str">
            <v>17001</v>
          </cell>
          <cell r="L846" t="str">
            <v>MANIZALES</v>
          </cell>
          <cell r="M846" t="str">
            <v>3208059831</v>
          </cell>
        </row>
        <row r="847">
          <cell r="A847">
            <v>10286390</v>
          </cell>
          <cell r="B847" t="str">
            <v>1</v>
          </cell>
          <cell r="C847" t="str">
            <v/>
          </cell>
          <cell r="D847" t="str">
            <v>NP</v>
          </cell>
          <cell r="E847" t="str">
            <v>JORGE ARLEY</v>
          </cell>
          <cell r="F847" t="str">
            <v>GIRALDO SALAZAR</v>
          </cell>
          <cell r="G847" t="str">
            <v>GIRALDO SALAZAR JORGE ARLEY</v>
          </cell>
          <cell r="H847" t="str">
            <v>RCPN</v>
          </cell>
          <cell r="I847" t="str">
            <v>RESPONSABLE IVA PERSONA NATURAL</v>
          </cell>
          <cell r="J847" t="str">
            <v>AV DEL CENTRO 29 29</v>
          </cell>
          <cell r="K847" t="str">
            <v>17001</v>
          </cell>
          <cell r="L847" t="str">
            <v>MANIZALES</v>
          </cell>
          <cell r="M847" t="str">
            <v>6068845085</v>
          </cell>
        </row>
        <row r="848">
          <cell r="A848">
            <v>10286732</v>
          </cell>
          <cell r="B848" t="str">
            <v/>
          </cell>
          <cell r="C848" t="str">
            <v/>
          </cell>
          <cell r="D848" t="str">
            <v>CC</v>
          </cell>
          <cell r="E848" t="str">
            <v>CARLOS ALBERTO</v>
          </cell>
          <cell r="F848" t="str">
            <v>TRIANA GRAJALES</v>
          </cell>
          <cell r="G848" t="str">
            <v>TRIANA GRAJALES CARLOS ALBERTO</v>
          </cell>
          <cell r="H848" t="str">
            <v>FUNC</v>
          </cell>
          <cell r="I848" t="str">
            <v>FUNCIONARIO</v>
          </cell>
          <cell r="J848" t="str">
            <v>CARRERA 20 NO. 64A-47 APTO. 902C</v>
          </cell>
          <cell r="K848" t="str">
            <v>17001</v>
          </cell>
          <cell r="L848" t="str">
            <v>MANIZALES</v>
          </cell>
          <cell r="M848" t="str">
            <v>8760332</v>
          </cell>
        </row>
        <row r="849">
          <cell r="A849">
            <v>10286753</v>
          </cell>
          <cell r="B849" t="str">
            <v>1</v>
          </cell>
          <cell r="C849" t="str">
            <v/>
          </cell>
          <cell r="D849" t="str">
            <v>NP</v>
          </cell>
          <cell r="E849" t="str">
            <v>JORGE ALONSO</v>
          </cell>
          <cell r="F849" t="str">
            <v>ARISTIZABAL ARIAS</v>
          </cell>
          <cell r="G849" t="str">
            <v>ARISTIZABAL ARIAS JORGE ALONSO</v>
          </cell>
          <cell r="H849" t="str">
            <v>RECO</v>
          </cell>
          <cell r="I849" t="str">
            <v>REGIMEN COMUN</v>
          </cell>
          <cell r="J849" t="str">
            <v>CL 62   23   61 ED TO PLAZA 62 OF 904</v>
          </cell>
          <cell r="K849" t="str">
            <v>17001</v>
          </cell>
          <cell r="L849" t="str">
            <v>MANIZALES</v>
          </cell>
          <cell r="M849" t="str">
            <v>8813437</v>
          </cell>
        </row>
        <row r="850">
          <cell r="A850">
            <v>10287001</v>
          </cell>
          <cell r="B850" t="str">
            <v/>
          </cell>
          <cell r="C850" t="str">
            <v/>
          </cell>
          <cell r="D850" t="str">
            <v>CC</v>
          </cell>
          <cell r="E850" t="str">
            <v>MAURICIO ARTURO</v>
          </cell>
          <cell r="F850" t="str">
            <v>FRANCO ACEVEDO</v>
          </cell>
          <cell r="G850" t="str">
            <v>FRANCO ACEVEDO MAURICIO ARTURO</v>
          </cell>
          <cell r="H850" t="str">
            <v>FUNC</v>
          </cell>
          <cell r="I850" t="str">
            <v>FUNCIONARIO</v>
          </cell>
          <cell r="J850" t="str">
            <v>CL 67   22   37</v>
          </cell>
          <cell r="K850" t="str">
            <v>17001</v>
          </cell>
          <cell r="L850" t="str">
            <v>MANIZALES</v>
          </cell>
          <cell r="M850" t="str">
            <v>8914039</v>
          </cell>
        </row>
        <row r="851">
          <cell r="A851">
            <v>10287059</v>
          </cell>
          <cell r="B851" t="str">
            <v/>
          </cell>
          <cell r="C851" t="str">
            <v/>
          </cell>
          <cell r="D851" t="str">
            <v>CC</v>
          </cell>
          <cell r="E851" t="str">
            <v>GERMAN EUGENIO</v>
          </cell>
          <cell r="F851" t="str">
            <v>CARVAJAL OSORIO</v>
          </cell>
          <cell r="G851" t="str">
            <v>CARVAJAL OSORIO GERMAN EUGENIO</v>
          </cell>
          <cell r="H851" t="str">
            <v>FUNC</v>
          </cell>
          <cell r="I851" t="str">
            <v>FUNCIONARIO</v>
          </cell>
          <cell r="J851" t="str">
            <v>MZ D CASA 9 LA ESTACION</v>
          </cell>
          <cell r="K851" t="str">
            <v>15516</v>
          </cell>
          <cell r="L851" t="str">
            <v>PAIPA</v>
          </cell>
          <cell r="M851" t="str">
            <v>3105000381</v>
          </cell>
        </row>
        <row r="852">
          <cell r="A852">
            <v>10287958</v>
          </cell>
          <cell r="B852" t="str">
            <v/>
          </cell>
          <cell r="C852" t="str">
            <v/>
          </cell>
          <cell r="D852" t="str">
            <v>CC</v>
          </cell>
          <cell r="E852" t="str">
            <v>JHON</v>
          </cell>
          <cell r="F852" t="str">
            <v>MONTOYA AGUIRRE</v>
          </cell>
          <cell r="G852" t="str">
            <v>MONTOYA AGUIRRE JHON</v>
          </cell>
          <cell r="H852" t="str">
            <v>RECO</v>
          </cell>
          <cell r="I852" t="str">
            <v>REGIMEN COMUN</v>
          </cell>
          <cell r="J852" t="str">
            <v>CL 51 N 21-75 BRR LA ARGENTINA</v>
          </cell>
          <cell r="K852" t="str">
            <v>17001</v>
          </cell>
          <cell r="L852" t="str">
            <v>MANIZALES</v>
          </cell>
          <cell r="M852" t="str">
            <v>3116182641</v>
          </cell>
        </row>
        <row r="853">
          <cell r="A853">
            <v>10287983</v>
          </cell>
          <cell r="B853" t="str">
            <v/>
          </cell>
          <cell r="C853" t="str">
            <v/>
          </cell>
          <cell r="D853" t="str">
            <v>CC</v>
          </cell>
          <cell r="E853" t="str">
            <v>CESAR AUGUSTO</v>
          </cell>
          <cell r="F853" t="str">
            <v>BURITICA HERRERA</v>
          </cell>
          <cell r="G853" t="str">
            <v>BURITICA HERRERA CESAR AUGUSTO</v>
          </cell>
          <cell r="H853" t="str">
            <v>FUNC</v>
          </cell>
          <cell r="I853" t="str">
            <v>FUNCIONARIO</v>
          </cell>
          <cell r="J853" t="str">
            <v>AV ALBERTO MENDOZA 81C- 52 SPTO 1003D</v>
          </cell>
          <cell r="K853" t="str">
            <v>17001</v>
          </cell>
          <cell r="L853" t="str">
            <v>MANIZALES</v>
          </cell>
          <cell r="M853" t="str">
            <v>3002322900</v>
          </cell>
        </row>
        <row r="854">
          <cell r="A854">
            <v>10288323</v>
          </cell>
          <cell r="B854" t="str">
            <v>7</v>
          </cell>
          <cell r="C854" t="str">
            <v/>
          </cell>
          <cell r="D854" t="str">
            <v>NP</v>
          </cell>
          <cell r="E854" t="str">
            <v>JUAN CARLOS</v>
          </cell>
          <cell r="F854" t="str">
            <v>RAVE RAMIREZ</v>
          </cell>
          <cell r="G854" t="str">
            <v>RAVE RAMIREZ JUAN CARLOS</v>
          </cell>
          <cell r="H854" t="str">
            <v>RESI</v>
          </cell>
          <cell r="I854" t="str">
            <v>REGIMEN SIMPLIFICADO</v>
          </cell>
          <cell r="J854" t="str">
            <v xml:space="preserve"> CR 26  15 42</v>
          </cell>
          <cell r="K854" t="str">
            <v>17001</v>
          </cell>
          <cell r="L854" t="str">
            <v>MANIZALES</v>
          </cell>
          <cell r="M854" t="str">
            <v>8911215</v>
          </cell>
        </row>
        <row r="855">
          <cell r="A855">
            <v>10288908</v>
          </cell>
          <cell r="B855" t="str">
            <v/>
          </cell>
          <cell r="C855" t="str">
            <v/>
          </cell>
          <cell r="D855" t="str">
            <v>CC</v>
          </cell>
          <cell r="E855" t="str">
            <v>ALBEIRO ANTONIO</v>
          </cell>
          <cell r="F855" t="str">
            <v>OSPINA CASTAÑO</v>
          </cell>
          <cell r="G855" t="str">
            <v>OSPINA CASTAÑO ALBEIRO ANTONIO</v>
          </cell>
          <cell r="H855" t="str">
            <v>IMVE</v>
          </cell>
          <cell r="I855" t="str">
            <v>IMPUESTO SOBRE LAS VENTAS</v>
          </cell>
          <cell r="J855" t="str">
            <v>CL 69 A 27 A 61 AP 201 ED REFUGIO DE PALERMO</v>
          </cell>
          <cell r="K855" t="str">
            <v>17001</v>
          </cell>
          <cell r="L855" t="str">
            <v>MANIZALES</v>
          </cell>
          <cell r="M855" t="str">
            <v>8871668</v>
          </cell>
        </row>
        <row r="856">
          <cell r="A856">
            <v>10289076</v>
          </cell>
          <cell r="B856" t="str">
            <v>7</v>
          </cell>
          <cell r="C856" t="str">
            <v/>
          </cell>
          <cell r="D856" t="str">
            <v>NP</v>
          </cell>
          <cell r="E856" t="str">
            <v>GABRIEL HERNAN</v>
          </cell>
          <cell r="F856" t="str">
            <v>GONZALEZ GIL</v>
          </cell>
          <cell r="G856" t="str">
            <v>GONZALEZ GIL GABRIEL HERNAN</v>
          </cell>
          <cell r="H856" t="str">
            <v>NORE</v>
          </cell>
          <cell r="I856" t="str">
            <v>NO RESPONSABLE DE IVA</v>
          </cell>
          <cell r="J856" t="str">
            <v>CR 24 A 45 40 BRR LLERAS</v>
          </cell>
          <cell r="K856" t="str">
            <v>17001</v>
          </cell>
          <cell r="L856" t="str">
            <v>MANIZALES</v>
          </cell>
          <cell r="M856" t="str">
            <v>3125544655</v>
          </cell>
        </row>
        <row r="857">
          <cell r="A857">
            <v>10289252</v>
          </cell>
          <cell r="B857" t="str">
            <v/>
          </cell>
          <cell r="C857" t="str">
            <v/>
          </cell>
          <cell r="D857" t="str">
            <v>CC</v>
          </cell>
          <cell r="E857" t="str">
            <v>LUIS FERNANDO</v>
          </cell>
          <cell r="F857" t="str">
            <v>VALENCIA RUIZ</v>
          </cell>
          <cell r="G857" t="str">
            <v>VALENCIA RUIZ LUIS FERNANDO</v>
          </cell>
          <cell r="H857" t="str">
            <v>FUNC</v>
          </cell>
          <cell r="I857" t="str">
            <v>FUNCIONARIO</v>
          </cell>
          <cell r="J857" t="str">
            <v>CL 65 A    11  27</v>
          </cell>
          <cell r="K857" t="str">
            <v>17001</v>
          </cell>
          <cell r="L857" t="str">
            <v>MANIZALES</v>
          </cell>
          <cell r="M857" t="str">
            <v>8751977</v>
          </cell>
        </row>
        <row r="858">
          <cell r="A858">
            <v>10289908</v>
          </cell>
          <cell r="B858" t="str">
            <v/>
          </cell>
          <cell r="C858" t="str">
            <v/>
          </cell>
          <cell r="D858" t="str">
            <v>CC</v>
          </cell>
          <cell r="E858" t="str">
            <v>MAURICIO</v>
          </cell>
          <cell r="F858" t="str">
            <v>HURTADO HENAO</v>
          </cell>
          <cell r="G858" t="str">
            <v>MAURICIO HURTADO HENAO</v>
          </cell>
          <cell r="H858" t="str">
            <v>EXFU</v>
          </cell>
          <cell r="I858" t="str">
            <v>EX-FUNCIONARIOS</v>
          </cell>
          <cell r="J858" t="str">
            <v>CR 7 12 12</v>
          </cell>
          <cell r="K858" t="str">
            <v>17001</v>
          </cell>
          <cell r="L858" t="str">
            <v>MANIZALES</v>
          </cell>
          <cell r="M858" t="str">
            <v>3148524078</v>
          </cell>
        </row>
        <row r="859">
          <cell r="A859">
            <v>10385346</v>
          </cell>
          <cell r="B859" t="str">
            <v/>
          </cell>
          <cell r="C859" t="str">
            <v/>
          </cell>
          <cell r="D859" t="str">
            <v>CC</v>
          </cell>
          <cell r="E859" t="str">
            <v>MARIA</v>
          </cell>
          <cell r="F859" t="str">
            <v>CUERO JESUS</v>
          </cell>
          <cell r="G859" t="str">
            <v>CUERO JESUS MARIA</v>
          </cell>
          <cell r="H859" t="str">
            <v>FUNC</v>
          </cell>
          <cell r="I859" t="str">
            <v>FUNCIONARIO</v>
          </cell>
          <cell r="J859" t="str">
            <v>MCP DE GUAPI</v>
          </cell>
          <cell r="K859" t="str">
            <v>19318</v>
          </cell>
          <cell r="L859" t="str">
            <v>GUAPI</v>
          </cell>
          <cell r="M859" t="str">
            <v>3128014540</v>
          </cell>
        </row>
        <row r="860">
          <cell r="A860">
            <v>10385352</v>
          </cell>
          <cell r="B860" t="str">
            <v/>
          </cell>
          <cell r="C860" t="str">
            <v/>
          </cell>
          <cell r="D860" t="str">
            <v>CC</v>
          </cell>
          <cell r="E860" t="str">
            <v>BONIFACIO</v>
          </cell>
          <cell r="F860" t="str">
            <v>SINISTERRA ANCHICO</v>
          </cell>
          <cell r="G860" t="str">
            <v>SINISTERRA ANCHICO BONIFACIO</v>
          </cell>
          <cell r="H860" t="str">
            <v>FUNC</v>
          </cell>
          <cell r="I860" t="str">
            <v>FUNCIONARIO</v>
          </cell>
          <cell r="J860" t="str">
            <v>MCP GUAPI</v>
          </cell>
          <cell r="K860" t="str">
            <v>19318</v>
          </cell>
          <cell r="L860" t="str">
            <v>GUAPI</v>
          </cell>
          <cell r="M860" t="str">
            <v>3132422908</v>
          </cell>
        </row>
        <row r="861">
          <cell r="A861">
            <v>10385566</v>
          </cell>
          <cell r="B861" t="str">
            <v>5</v>
          </cell>
          <cell r="C861" t="str">
            <v/>
          </cell>
          <cell r="D861" t="str">
            <v>NP</v>
          </cell>
          <cell r="E861" t="str">
            <v>ELMER BAUDILIO</v>
          </cell>
          <cell r="F861" t="str">
            <v>PEREA VALLECILLA</v>
          </cell>
          <cell r="G861" t="str">
            <v>PEREA VALLECILLA ELMER BAUDILIO</v>
          </cell>
          <cell r="H861" t="str">
            <v>IMVE</v>
          </cell>
          <cell r="I861" t="str">
            <v>IMPUESTO SOBRE LAS VENTAS</v>
          </cell>
          <cell r="J861" t="str">
            <v>CL 8  1 10 P 2  BRR EL PORVENIR</v>
          </cell>
          <cell r="K861" t="str">
            <v>19318</v>
          </cell>
          <cell r="L861" t="str">
            <v>GUAPI</v>
          </cell>
          <cell r="M861" t="str">
            <v>3148189081</v>
          </cell>
        </row>
        <row r="862">
          <cell r="A862">
            <v>10385579</v>
          </cell>
          <cell r="B862" t="str">
            <v>0</v>
          </cell>
          <cell r="C862" t="str">
            <v/>
          </cell>
          <cell r="D862" t="str">
            <v>NP</v>
          </cell>
          <cell r="E862" t="str">
            <v>ATILANO</v>
          </cell>
          <cell r="F862" t="str">
            <v>GRUESO GRANJA</v>
          </cell>
          <cell r="G862" t="str">
            <v>GRUESO GRANJA ATILANO</v>
          </cell>
          <cell r="H862" t="str">
            <v>RESI</v>
          </cell>
          <cell r="I862" t="str">
            <v>REGIMEN SIMPLIFICADO</v>
          </cell>
          <cell r="J862" t="str">
            <v>1 9   27 BRR LA PAZ</v>
          </cell>
          <cell r="K862" t="str">
            <v>19318</v>
          </cell>
          <cell r="L862" t="str">
            <v>GUAPI</v>
          </cell>
          <cell r="M862" t="str">
            <v>3113472751</v>
          </cell>
        </row>
        <row r="863">
          <cell r="A863">
            <v>10385750</v>
          </cell>
          <cell r="B863" t="str">
            <v>4</v>
          </cell>
          <cell r="C863" t="str">
            <v/>
          </cell>
          <cell r="D863" t="str">
            <v>NP</v>
          </cell>
          <cell r="E863" t="str">
            <v>CARLOS EBER</v>
          </cell>
          <cell r="F863" t="str">
            <v>RIASCOS CAICEDO</v>
          </cell>
          <cell r="G863" t="str">
            <v>RIASCOS CAICEDO CARLOS EBER</v>
          </cell>
          <cell r="H863" t="str">
            <v>RESI</v>
          </cell>
          <cell r="I863" t="str">
            <v>REGIMEN SIMPLIFICADO</v>
          </cell>
          <cell r="J863" t="str">
            <v>CR 2  BRR LA ESPERANZA</v>
          </cell>
          <cell r="K863" t="str">
            <v>19318</v>
          </cell>
          <cell r="L863" t="str">
            <v>GUAPI</v>
          </cell>
          <cell r="M863" t="str">
            <v>3127666184</v>
          </cell>
        </row>
        <row r="864">
          <cell r="A864">
            <v>10385811</v>
          </cell>
          <cell r="B864" t="str">
            <v>5</v>
          </cell>
          <cell r="C864" t="str">
            <v/>
          </cell>
          <cell r="D864" t="str">
            <v>NP</v>
          </cell>
          <cell r="E864" t="str">
            <v>ALFONSO YIMER</v>
          </cell>
          <cell r="F864" t="str">
            <v>CAMBINDO MONTAÑO</v>
          </cell>
          <cell r="G864" t="str">
            <v>CAMBINDO MONTAÑO ALFONSO YIMER</v>
          </cell>
          <cell r="H864" t="str">
            <v>RESI</v>
          </cell>
          <cell r="I864" t="str">
            <v>REGIMEN SIMPLIFICADO</v>
          </cell>
          <cell r="J864" t="str">
            <v>BRR LA FORTALEZA</v>
          </cell>
          <cell r="K864" t="str">
            <v>19318</v>
          </cell>
          <cell r="L864" t="str">
            <v>GUAPI</v>
          </cell>
          <cell r="M864" t="str">
            <v>3137827472</v>
          </cell>
        </row>
        <row r="865">
          <cell r="A865">
            <v>10385966</v>
          </cell>
          <cell r="B865" t="str">
            <v/>
          </cell>
          <cell r="C865" t="str">
            <v/>
          </cell>
          <cell r="D865" t="str">
            <v>CC</v>
          </cell>
          <cell r="E865" t="str">
            <v>GRUESO CUERO</v>
          </cell>
          <cell r="F865" t="str">
            <v>JOSE MANUEL</v>
          </cell>
          <cell r="G865" t="str">
            <v>GRUESO CUERO JOSE MANUEL</v>
          </cell>
          <cell r="H865" t="str">
            <v>FUNC</v>
          </cell>
          <cell r="I865" t="str">
            <v>FUNCIONARIO</v>
          </cell>
          <cell r="J865" t="str">
            <v>GUAPI</v>
          </cell>
          <cell r="K865" t="str">
            <v>19318</v>
          </cell>
          <cell r="L865" t="str">
            <v>GUAPI</v>
          </cell>
          <cell r="M865" t="str">
            <v>3146425657</v>
          </cell>
        </row>
        <row r="866">
          <cell r="A866">
            <v>10386066</v>
          </cell>
          <cell r="B866" t="str">
            <v>9</v>
          </cell>
          <cell r="C866" t="str">
            <v/>
          </cell>
          <cell r="D866" t="str">
            <v>NP</v>
          </cell>
          <cell r="E866" t="str">
            <v>MIGUEL ANGEL</v>
          </cell>
          <cell r="F866" t="str">
            <v>SOLIS</v>
          </cell>
          <cell r="G866" t="str">
            <v>SOLIS MIGUEL ANGEL</v>
          </cell>
          <cell r="H866" t="str">
            <v>RESI</v>
          </cell>
          <cell r="I866" t="str">
            <v>REGIMEN SIMPLIFICADO</v>
          </cell>
          <cell r="J866" t="str">
            <v>BRRR LA FLORA</v>
          </cell>
          <cell r="K866" t="str">
            <v>19318</v>
          </cell>
          <cell r="L866" t="str">
            <v>GUAPI</v>
          </cell>
          <cell r="M866" t="str">
            <v>3216157523</v>
          </cell>
        </row>
        <row r="867">
          <cell r="A867">
            <v>10386237</v>
          </cell>
          <cell r="B867" t="str">
            <v/>
          </cell>
          <cell r="C867" t="str">
            <v/>
          </cell>
          <cell r="D867" t="str">
            <v>CC</v>
          </cell>
          <cell r="E867" t="str">
            <v>HOLMES</v>
          </cell>
          <cell r="F867" t="str">
            <v>CARABALI FERRIN</v>
          </cell>
          <cell r="G867" t="str">
            <v>CARABALI FERRIN HOLMES</v>
          </cell>
          <cell r="H867" t="str">
            <v>FUNC</v>
          </cell>
          <cell r="I867" t="str">
            <v>FUNCIONARIO</v>
          </cell>
          <cell r="J867" t="str">
            <v>GUAPI</v>
          </cell>
          <cell r="K867" t="str">
            <v>19318</v>
          </cell>
          <cell r="L867" t="str">
            <v>GUAPI</v>
          </cell>
          <cell r="M867" t="str">
            <v>PND.</v>
          </cell>
        </row>
        <row r="868">
          <cell r="A868">
            <v>10386541</v>
          </cell>
          <cell r="B868" t="str">
            <v/>
          </cell>
          <cell r="C868" t="str">
            <v/>
          </cell>
          <cell r="D868" t="str">
            <v>CC</v>
          </cell>
          <cell r="E868" t="str">
            <v>GRUESO CAICEDO</v>
          </cell>
          <cell r="F868" t="str">
            <v>ALVARO ERNESTO</v>
          </cell>
          <cell r="G868" t="str">
            <v>GRUESO CAICEDO ALVARO ERNESTO</v>
          </cell>
          <cell r="H868" t="str">
            <v>FUNC</v>
          </cell>
          <cell r="I868" t="str">
            <v>FUNCIONARIO</v>
          </cell>
          <cell r="J868" t="str">
            <v>GUAPI</v>
          </cell>
          <cell r="K868" t="str">
            <v>19318</v>
          </cell>
          <cell r="L868" t="str">
            <v>GUAPI</v>
          </cell>
          <cell r="M868" t="str">
            <v>8742847</v>
          </cell>
        </row>
        <row r="869">
          <cell r="A869">
            <v>10386834</v>
          </cell>
          <cell r="B869" t="str">
            <v>9</v>
          </cell>
          <cell r="C869" t="str">
            <v/>
          </cell>
          <cell r="D869" t="str">
            <v>NP</v>
          </cell>
          <cell r="E869" t="str">
            <v>DIOGENES</v>
          </cell>
          <cell r="F869" t="str">
            <v>GONGORA CAICEDO</v>
          </cell>
          <cell r="G869" t="str">
            <v>GONGORA CAICEDO DIOGENES</v>
          </cell>
          <cell r="H869" t="str">
            <v>RESI</v>
          </cell>
          <cell r="I869" t="str">
            <v>REGIMEN SIMPLIFICADO</v>
          </cell>
          <cell r="J869" t="str">
            <v>BRR LA FORTALEZA  CR 7</v>
          </cell>
          <cell r="K869" t="str">
            <v>19318</v>
          </cell>
          <cell r="L869" t="str">
            <v>GUAPI</v>
          </cell>
          <cell r="M869" t="str">
            <v>3188753962</v>
          </cell>
        </row>
        <row r="870">
          <cell r="A870">
            <v>10387089</v>
          </cell>
          <cell r="B870" t="str">
            <v>2</v>
          </cell>
          <cell r="C870" t="str">
            <v/>
          </cell>
          <cell r="D870" t="str">
            <v>NP</v>
          </cell>
          <cell r="E870" t="str">
            <v>RICARDO ANEIDER</v>
          </cell>
          <cell r="F870" t="str">
            <v>GRUESO CAICEDO</v>
          </cell>
          <cell r="G870" t="str">
            <v>GRUESO CAICEDO RICARDO ANEIDER</v>
          </cell>
          <cell r="H870" t="str">
            <v>RESI</v>
          </cell>
          <cell r="I870" t="str">
            <v>REGIMEN SIMPLIFICADO</v>
          </cell>
          <cell r="J870" t="str">
            <v>CR 3 8 19 BRR EL PORVENIR</v>
          </cell>
          <cell r="K870" t="str">
            <v>19318</v>
          </cell>
          <cell r="L870" t="str">
            <v>GUAPI</v>
          </cell>
          <cell r="M870" t="str">
            <v>3148843917</v>
          </cell>
        </row>
        <row r="871">
          <cell r="A871">
            <v>10387298</v>
          </cell>
          <cell r="B871" t="str">
            <v>5</v>
          </cell>
          <cell r="C871" t="str">
            <v/>
          </cell>
          <cell r="D871" t="str">
            <v>NP</v>
          </cell>
          <cell r="E871" t="str">
            <v xml:space="preserve">CLAUDIO </v>
          </cell>
          <cell r="F871" t="str">
            <v>GAMBOA LERMA</v>
          </cell>
          <cell r="G871" t="str">
            <v>GAMBOA LERMA CLAUDIO</v>
          </cell>
          <cell r="H871" t="str">
            <v>RESI</v>
          </cell>
          <cell r="I871" t="str">
            <v>REGIMEN SIMPLIFICADO</v>
          </cell>
          <cell r="J871" t="str">
            <v>CR 4 CL 9 BARRIO LA PAZ</v>
          </cell>
          <cell r="K871" t="str">
            <v>19318</v>
          </cell>
          <cell r="L871" t="str">
            <v>GUAPI</v>
          </cell>
          <cell r="M871" t="str">
            <v>3122027291</v>
          </cell>
        </row>
        <row r="872">
          <cell r="A872">
            <v>10387370</v>
          </cell>
          <cell r="B872" t="str">
            <v>8</v>
          </cell>
          <cell r="C872" t="str">
            <v/>
          </cell>
          <cell r="D872" t="str">
            <v>NP</v>
          </cell>
          <cell r="E872" t="str">
            <v>ISMAEL</v>
          </cell>
          <cell r="F872" t="str">
            <v>ORTIZ SANCHEZ</v>
          </cell>
          <cell r="G872" t="str">
            <v>ORTIZ SANCHEZ ISMAEL</v>
          </cell>
          <cell r="H872" t="str">
            <v>RESI</v>
          </cell>
          <cell r="I872" t="str">
            <v>REGIMEN SIMPLIFICADO</v>
          </cell>
          <cell r="J872" t="str">
            <v>BRR 20 DE JULIO  CL 8</v>
          </cell>
          <cell r="K872" t="str">
            <v>19318</v>
          </cell>
          <cell r="L872" t="str">
            <v>GUAPI</v>
          </cell>
          <cell r="M872" t="str">
            <v>3217143336</v>
          </cell>
        </row>
        <row r="873">
          <cell r="A873">
            <v>10387638</v>
          </cell>
          <cell r="B873" t="str">
            <v>6</v>
          </cell>
          <cell r="C873" t="str">
            <v/>
          </cell>
          <cell r="D873" t="str">
            <v>NP</v>
          </cell>
          <cell r="E873" t="str">
            <v>JESUS FABIAN</v>
          </cell>
          <cell r="F873" t="str">
            <v>RODRIGUEZ OBREGON</v>
          </cell>
          <cell r="G873" t="str">
            <v>RODRIGUEZ OBREGON JESUS FABIAN</v>
          </cell>
          <cell r="H873" t="str">
            <v>RESI</v>
          </cell>
          <cell r="I873" t="str">
            <v>REGIMEN SIMPLIFICADO</v>
          </cell>
          <cell r="J873" t="str">
            <v>CR 2 N 7 31</v>
          </cell>
          <cell r="K873" t="str">
            <v>19318</v>
          </cell>
          <cell r="L873" t="str">
            <v>GUAPI</v>
          </cell>
          <cell r="M873" t="str">
            <v>3163610417</v>
          </cell>
        </row>
        <row r="874">
          <cell r="A874">
            <v>10387668</v>
          </cell>
          <cell r="B874" t="str">
            <v>7</v>
          </cell>
          <cell r="C874" t="str">
            <v/>
          </cell>
          <cell r="D874" t="str">
            <v>NP</v>
          </cell>
          <cell r="E874" t="str">
            <v>FELIX</v>
          </cell>
          <cell r="F874" t="str">
            <v>MONTAÑO CASTRO</v>
          </cell>
          <cell r="G874" t="str">
            <v>MONTAÑO CASTRO FELIX</v>
          </cell>
          <cell r="H874" t="str">
            <v>RESI</v>
          </cell>
          <cell r="I874" t="str">
            <v>REGIMEN SIMPLIFICADO</v>
          </cell>
          <cell r="J874" t="str">
            <v>CR 1 VIA A LA GALERIA EL PORVENIR CL 7</v>
          </cell>
          <cell r="K874" t="str">
            <v>19318</v>
          </cell>
          <cell r="L874" t="str">
            <v>GUAPI</v>
          </cell>
          <cell r="M874" t="str">
            <v>3147346540</v>
          </cell>
        </row>
        <row r="875">
          <cell r="A875">
            <v>10387765</v>
          </cell>
          <cell r="B875" t="str">
            <v/>
          </cell>
          <cell r="C875" t="str">
            <v/>
          </cell>
          <cell r="D875" t="str">
            <v>CC</v>
          </cell>
          <cell r="E875" t="str">
            <v>JACKSON ARIEL</v>
          </cell>
          <cell r="F875" t="str">
            <v>MURILLO LOZANO</v>
          </cell>
          <cell r="G875" t="str">
            <v>MURILLO LOZANO JACKSON ARIEL</v>
          </cell>
          <cell r="H875" t="str">
            <v>FUNC</v>
          </cell>
          <cell r="I875" t="str">
            <v>FUNCIONARIO</v>
          </cell>
          <cell r="J875" t="str">
            <v>CR 03 CL ESQ B BRR LA ESPERANZA</v>
          </cell>
          <cell r="K875" t="str">
            <v>19318</v>
          </cell>
          <cell r="L875" t="str">
            <v>GUAPI</v>
          </cell>
          <cell r="M875" t="str">
            <v>3113383501</v>
          </cell>
        </row>
        <row r="876">
          <cell r="A876">
            <v>10387781</v>
          </cell>
          <cell r="B876" t="str">
            <v>1</v>
          </cell>
          <cell r="C876" t="str">
            <v/>
          </cell>
          <cell r="D876" t="str">
            <v>NP</v>
          </cell>
          <cell r="E876" t="str">
            <v>EVELIO</v>
          </cell>
          <cell r="F876" t="str">
            <v>MONTES</v>
          </cell>
          <cell r="G876" t="str">
            <v>MONTES EVELIO</v>
          </cell>
          <cell r="H876" t="str">
            <v>RESI</v>
          </cell>
          <cell r="I876" t="str">
            <v>REGIMEN SIMPLIFICADO</v>
          </cell>
          <cell r="J876" t="str">
            <v>C EL VALLE</v>
          </cell>
          <cell r="K876" t="str">
            <v>27075</v>
          </cell>
          <cell r="L876" t="str">
            <v>BAHÍA SOLANO</v>
          </cell>
          <cell r="M876" t="str">
            <v>3127766315</v>
          </cell>
        </row>
        <row r="877">
          <cell r="A877">
            <v>10388319</v>
          </cell>
          <cell r="B877" t="str">
            <v/>
          </cell>
          <cell r="C877" t="str">
            <v/>
          </cell>
          <cell r="D877" t="str">
            <v>CC</v>
          </cell>
          <cell r="E877" t="str">
            <v>JAVIER ALFONSO</v>
          </cell>
          <cell r="F877" t="str">
            <v>GRUESO CADENA</v>
          </cell>
          <cell r="G877" t="str">
            <v>GRUESO CADENA JAVIER ALFONSO</v>
          </cell>
          <cell r="H877" t="str">
            <v>FUNC</v>
          </cell>
          <cell r="I877" t="str">
            <v>FUNCIONARIO</v>
          </cell>
          <cell r="J877" t="str">
            <v>CL 12   3   04</v>
          </cell>
          <cell r="K877" t="str">
            <v>19318</v>
          </cell>
          <cell r="L877" t="str">
            <v>GUAPI</v>
          </cell>
          <cell r="M877" t="str">
            <v>3122618403</v>
          </cell>
        </row>
        <row r="878">
          <cell r="A878">
            <v>10388465</v>
          </cell>
          <cell r="B878" t="str">
            <v>3</v>
          </cell>
          <cell r="C878" t="str">
            <v/>
          </cell>
          <cell r="D878" t="str">
            <v>NP</v>
          </cell>
          <cell r="E878" t="str">
            <v>JAVIER</v>
          </cell>
          <cell r="F878" t="str">
            <v>MORENO</v>
          </cell>
          <cell r="G878" t="str">
            <v>MONTAÑO MORENO JAVIER</v>
          </cell>
          <cell r="H878" t="str">
            <v>RESI</v>
          </cell>
          <cell r="I878" t="str">
            <v>REGIMEN SIMPLIFICADO</v>
          </cell>
          <cell r="J878" t="str">
            <v>BRR LA ESPERANZA</v>
          </cell>
          <cell r="K878" t="str">
            <v>19318</v>
          </cell>
          <cell r="L878" t="str">
            <v>GUAPI</v>
          </cell>
          <cell r="M878" t="str">
            <v>3146766553</v>
          </cell>
        </row>
        <row r="879">
          <cell r="A879">
            <v>10388522</v>
          </cell>
          <cell r="B879" t="str">
            <v>5</v>
          </cell>
          <cell r="C879" t="str">
            <v/>
          </cell>
          <cell r="D879" t="str">
            <v>NP</v>
          </cell>
          <cell r="E879" t="str">
            <v>JOSE DIGNO</v>
          </cell>
          <cell r="F879" t="str">
            <v>MONTAÑO ANGULO</v>
          </cell>
          <cell r="G879" t="str">
            <v>MONTAÑO ANGULO JOSE DIGNO</v>
          </cell>
          <cell r="H879" t="str">
            <v>RESI</v>
          </cell>
          <cell r="I879" t="str">
            <v>REGIMEN SIMPLIFICADO</v>
          </cell>
          <cell r="J879" t="str">
            <v>CL 7 CR 5 BRR LAS FLORES</v>
          </cell>
          <cell r="K879" t="str">
            <v>19318</v>
          </cell>
          <cell r="L879" t="str">
            <v>GUAPI</v>
          </cell>
          <cell r="M879" t="str">
            <v>3185198373</v>
          </cell>
        </row>
        <row r="880">
          <cell r="A880">
            <v>10388698</v>
          </cell>
          <cell r="B880" t="str">
            <v/>
          </cell>
          <cell r="C880" t="str">
            <v/>
          </cell>
          <cell r="D880" t="str">
            <v>CC</v>
          </cell>
          <cell r="E880" t="str">
            <v>ROBINSON</v>
          </cell>
          <cell r="F880" t="str">
            <v>CAICEDO ORTIZ</v>
          </cell>
          <cell r="G880" t="str">
            <v>CAICEDO ORTIZ ROBINSON</v>
          </cell>
          <cell r="H880" t="str">
            <v>FUNC</v>
          </cell>
          <cell r="I880" t="str">
            <v>FUNCIONARIO</v>
          </cell>
          <cell r="J880" t="str">
            <v>CENTRAL ENERGIA GUAPI</v>
          </cell>
          <cell r="K880" t="str">
            <v>19318</v>
          </cell>
          <cell r="L880" t="str">
            <v>GUAPI</v>
          </cell>
          <cell r="M880" t="str">
            <v>3146844962</v>
          </cell>
        </row>
        <row r="881">
          <cell r="A881">
            <v>10388785</v>
          </cell>
          <cell r="B881" t="str">
            <v/>
          </cell>
          <cell r="C881" t="str">
            <v/>
          </cell>
          <cell r="D881" t="str">
            <v>CC</v>
          </cell>
          <cell r="E881" t="str">
            <v>ARMANDO</v>
          </cell>
          <cell r="F881" t="str">
            <v>OROBIO GRUESO</v>
          </cell>
          <cell r="G881" t="str">
            <v>OROBIO GRUESO ARMANDO</v>
          </cell>
          <cell r="H881" t="str">
            <v>FUNC</v>
          </cell>
          <cell r="I881" t="str">
            <v>FUNCIONARIO</v>
          </cell>
          <cell r="J881" t="str">
            <v xml:space="preserve">VENECIA GUAPI CAUCA </v>
          </cell>
          <cell r="K881" t="str">
            <v>19318</v>
          </cell>
          <cell r="L881" t="str">
            <v>GUAPI</v>
          </cell>
          <cell r="M881" t="str">
            <v>8380004</v>
          </cell>
        </row>
        <row r="882">
          <cell r="A882">
            <v>10388786</v>
          </cell>
          <cell r="B882" t="str">
            <v>2</v>
          </cell>
          <cell r="C882" t="str">
            <v/>
          </cell>
          <cell r="D882" t="str">
            <v>NP</v>
          </cell>
          <cell r="E882" t="str">
            <v>BRAYHAN ALIPIO</v>
          </cell>
          <cell r="F882" t="str">
            <v>SUAREZ GONGORA</v>
          </cell>
          <cell r="G882" t="str">
            <v>SUAREZ GONGORA BRAYHAN ALIPIO</v>
          </cell>
          <cell r="H882" t="str">
            <v>RESI</v>
          </cell>
          <cell r="I882" t="str">
            <v>REGIMEN SIMPLIFICADO</v>
          </cell>
          <cell r="J882" t="str">
            <v>DG 25 tv 6 44 brr parques de la italia</v>
          </cell>
          <cell r="K882" t="str">
            <v>76520</v>
          </cell>
          <cell r="L882" t="str">
            <v>PALMIRA</v>
          </cell>
          <cell r="M882" t="str">
            <v>3168802234</v>
          </cell>
        </row>
        <row r="883">
          <cell r="A883">
            <v>10389346</v>
          </cell>
          <cell r="B883" t="str">
            <v>1</v>
          </cell>
          <cell r="C883" t="str">
            <v/>
          </cell>
          <cell r="D883" t="str">
            <v>NP</v>
          </cell>
          <cell r="E883" t="str">
            <v>CARLOS ALBERTO</v>
          </cell>
          <cell r="F883" t="str">
            <v>CUERO IZQUIERDO</v>
          </cell>
          <cell r="G883" t="str">
            <v>CUERO IZQUIERDO CARLOS ALBERTO</v>
          </cell>
          <cell r="H883" t="str">
            <v>RECO</v>
          </cell>
          <cell r="I883" t="str">
            <v>REGIMEN COMUN</v>
          </cell>
          <cell r="J883" t="str">
            <v>CR 1 CL 10 4 14 BRR PALMERAS</v>
          </cell>
          <cell r="K883" t="str">
            <v>19318</v>
          </cell>
          <cell r="L883" t="str">
            <v>GUAPI</v>
          </cell>
          <cell r="M883" t="str">
            <v>8400444</v>
          </cell>
        </row>
        <row r="884">
          <cell r="A884">
            <v>10389358</v>
          </cell>
          <cell r="B884" t="str">
            <v>8</v>
          </cell>
          <cell r="C884" t="str">
            <v/>
          </cell>
          <cell r="D884" t="str">
            <v>NP</v>
          </cell>
          <cell r="E884" t="str">
            <v>JELLY DANIEL</v>
          </cell>
          <cell r="F884" t="str">
            <v>OREJUELA RUIZ</v>
          </cell>
          <cell r="G884" t="str">
            <v>OREJUELA RUIZ JELLY DANIEL</v>
          </cell>
          <cell r="H884" t="str">
            <v>RESI</v>
          </cell>
          <cell r="I884" t="str">
            <v>REGIMEN SIMPLIFICADO</v>
          </cell>
          <cell r="J884" t="str">
            <v>CL 11 BRR SAN PAULO</v>
          </cell>
          <cell r="K884" t="str">
            <v>19318</v>
          </cell>
          <cell r="L884" t="str">
            <v>GUAPI</v>
          </cell>
          <cell r="M884" t="str">
            <v>3106017195</v>
          </cell>
        </row>
        <row r="885">
          <cell r="A885">
            <v>10389668</v>
          </cell>
          <cell r="B885" t="str">
            <v>6</v>
          </cell>
          <cell r="C885" t="str">
            <v/>
          </cell>
          <cell r="D885" t="str">
            <v>NP</v>
          </cell>
          <cell r="E885" t="str">
            <v>CARLOS ALBERTO</v>
          </cell>
          <cell r="F885" t="str">
            <v>AGUIÑO VELASCO</v>
          </cell>
          <cell r="G885" t="str">
            <v>AGUIÑO VELASCO CARLOS ALBERTO</v>
          </cell>
          <cell r="H885" t="str">
            <v>RESI</v>
          </cell>
          <cell r="I885" t="str">
            <v>REGIMEN SIMPLIFICADO</v>
          </cell>
          <cell r="J885" t="str">
            <v>BRR FORTALEZA</v>
          </cell>
          <cell r="K885" t="str">
            <v>19318</v>
          </cell>
          <cell r="L885" t="str">
            <v>GUAPI</v>
          </cell>
          <cell r="M885" t="str">
            <v>3168836357</v>
          </cell>
        </row>
        <row r="886">
          <cell r="A886">
            <v>10494364</v>
          </cell>
          <cell r="B886" t="str">
            <v/>
          </cell>
          <cell r="C886" t="str">
            <v/>
          </cell>
          <cell r="D886" t="str">
            <v>CC</v>
          </cell>
          <cell r="E886" t="str">
            <v>MAURICIO</v>
          </cell>
          <cell r="F886" t="str">
            <v>TORRES RENGIFO</v>
          </cell>
          <cell r="G886" t="str">
            <v>TORRES RENGIFO MAURICIO</v>
          </cell>
          <cell r="H886" t="str">
            <v>FUNC</v>
          </cell>
          <cell r="I886" t="str">
            <v>FUNCIONARIO</v>
          </cell>
          <cell r="J886" t="str">
            <v>CL 2 19 25</v>
          </cell>
          <cell r="K886" t="str">
            <v>76364</v>
          </cell>
          <cell r="L886" t="str">
            <v>JAMUNDÍ</v>
          </cell>
          <cell r="M886" t="str">
            <v>3122661753</v>
          </cell>
        </row>
        <row r="887">
          <cell r="A887">
            <v>10529225</v>
          </cell>
          <cell r="B887" t="str">
            <v/>
          </cell>
          <cell r="C887" t="str">
            <v/>
          </cell>
          <cell r="D887" t="str">
            <v>CC</v>
          </cell>
          <cell r="E887" t="str">
            <v>HECTOR RAMIRO</v>
          </cell>
          <cell r="F887" t="str">
            <v>OROZCO SANDOVAL</v>
          </cell>
          <cell r="G887" t="str">
            <v>OROZCO SANDOVAL HECTOR RAMIRO</v>
          </cell>
          <cell r="H887" t="str">
            <v>FUNC</v>
          </cell>
          <cell r="I887" t="str">
            <v>FUNCIONARIO</v>
          </cell>
          <cell r="J887" t="str">
            <v xml:space="preserve">CR 16 20N 15 URB LA VILLA POPAYAN       </v>
          </cell>
          <cell r="K887" t="str">
            <v>08001</v>
          </cell>
          <cell r="L887" t="str">
            <v>BARRANQUILLA</v>
          </cell>
          <cell r="M887" t="str">
            <v>8230435</v>
          </cell>
        </row>
        <row r="888">
          <cell r="A888">
            <v>10540627</v>
          </cell>
          <cell r="B888" t="str">
            <v>0</v>
          </cell>
          <cell r="C888" t="str">
            <v/>
          </cell>
          <cell r="D888" t="str">
            <v>NP</v>
          </cell>
          <cell r="E888" t="str">
            <v>SAULO EFRAIN</v>
          </cell>
          <cell r="F888" t="str">
            <v>HERRERA</v>
          </cell>
          <cell r="G888" t="str">
            <v>HERRERA SAULO EFRAIN</v>
          </cell>
          <cell r="H888" t="str">
            <v>RECO</v>
          </cell>
          <cell r="I888" t="str">
            <v>REGIMEN COMUN</v>
          </cell>
          <cell r="J888" t="str">
            <v>CL 12 19 09</v>
          </cell>
          <cell r="K888" t="str">
            <v>15238</v>
          </cell>
          <cell r="L888" t="str">
            <v>DUITAMA</v>
          </cell>
          <cell r="M888" t="str">
            <v>7600198</v>
          </cell>
        </row>
        <row r="889">
          <cell r="A889">
            <v>10778345</v>
          </cell>
          <cell r="B889" t="str">
            <v>1</v>
          </cell>
          <cell r="C889" t="str">
            <v/>
          </cell>
          <cell r="D889" t="str">
            <v>NP</v>
          </cell>
          <cell r="E889" t="str">
            <v>GABRIEL DAVID</v>
          </cell>
          <cell r="F889" t="str">
            <v>VALVERDE LOPEZ</v>
          </cell>
          <cell r="G889" t="str">
            <v>VALVERDE LOPEZ GABRIEL DAVID</v>
          </cell>
          <cell r="H889" t="str">
            <v>RESI</v>
          </cell>
          <cell r="I889" t="str">
            <v>REGIMEN SIMPLIFICADO</v>
          </cell>
          <cell r="J889" t="str">
            <v>CR 9 D   57 D   33</v>
          </cell>
          <cell r="K889" t="str">
            <v>17001</v>
          </cell>
          <cell r="L889" t="str">
            <v>MANIZALES</v>
          </cell>
          <cell r="M889" t="str">
            <v>3127579522</v>
          </cell>
        </row>
        <row r="890">
          <cell r="A890">
            <v>11111111</v>
          </cell>
          <cell r="B890" t="str">
            <v/>
          </cell>
          <cell r="C890" t="str">
            <v/>
          </cell>
          <cell r="D890" t="str">
            <v>CC</v>
          </cell>
          <cell r="E890" t="str">
            <v>UNIDAD DE INFORMATICA</v>
          </cell>
          <cell r="F890" t="str">
            <v>SISTEMAS</v>
          </cell>
          <cell r="G890" t="str">
            <v>SISTEMAS UNIDAD DE INFORMATICA</v>
          </cell>
          <cell r="H890" t="str">
            <v>FUNC</v>
          </cell>
          <cell r="I890" t="str">
            <v>FUNCIONARIO</v>
          </cell>
          <cell r="J890" t="str">
            <v>CRA 23 NO 23B 33</v>
          </cell>
          <cell r="K890" t="str">
            <v>17001</v>
          </cell>
          <cell r="L890" t="str">
            <v>MANIZALES</v>
          </cell>
          <cell r="M890" t="str">
            <v>8756262</v>
          </cell>
        </row>
        <row r="891">
          <cell r="A891">
            <v>11111112</v>
          </cell>
          <cell r="B891" t="str">
            <v/>
          </cell>
          <cell r="C891" t="str">
            <v/>
          </cell>
          <cell r="D891" t="str">
            <v>CC</v>
          </cell>
          <cell r="E891" t="str">
            <v>UNIDAD BIENES Y SERVICIOS</v>
          </cell>
          <cell r="F891" t="str">
            <v>BIENES Y SERVICIOS</v>
          </cell>
          <cell r="G891" t="str">
            <v>BIENES Y SERVICIOS UNIDAD BIENES Y SERVICIOS</v>
          </cell>
          <cell r="H891" t="str">
            <v>FUNC</v>
          </cell>
          <cell r="I891" t="str">
            <v>FUNCIONARIO</v>
          </cell>
          <cell r="J891" t="str">
            <v>CRA 23 nO 64-33</v>
          </cell>
          <cell r="K891" t="str">
            <v>17001</v>
          </cell>
          <cell r="L891" t="str">
            <v>MANIZALES</v>
          </cell>
          <cell r="M891" t="str">
            <v>8756262</v>
          </cell>
        </row>
        <row r="892">
          <cell r="A892">
            <v>11250175</v>
          </cell>
          <cell r="B892" t="str">
            <v>2</v>
          </cell>
          <cell r="C892" t="str">
            <v/>
          </cell>
          <cell r="D892" t="str">
            <v>NP</v>
          </cell>
          <cell r="E892" t="str">
            <v>GONZALO</v>
          </cell>
          <cell r="F892" t="str">
            <v>MESA MEJIA</v>
          </cell>
          <cell r="G892" t="str">
            <v>MESA MEJIA GONZALO</v>
          </cell>
          <cell r="H892" t="str">
            <v>RESI</v>
          </cell>
          <cell r="I892" t="str">
            <v>REGIMEN SIMPLIFICADO</v>
          </cell>
          <cell r="J892" t="str">
            <v>CR 14 A   18   48</v>
          </cell>
          <cell r="K892" t="str">
            <v>85001</v>
          </cell>
          <cell r="L892" t="str">
            <v>YOPAL</v>
          </cell>
          <cell r="M892" t="str">
            <v>3204688899</v>
          </cell>
        </row>
        <row r="893">
          <cell r="A893">
            <v>11257181</v>
          </cell>
          <cell r="B893" t="str">
            <v/>
          </cell>
          <cell r="C893" t="str">
            <v/>
          </cell>
          <cell r="D893" t="str">
            <v>CC</v>
          </cell>
          <cell r="E893" t="str">
            <v>PABLO JOSE</v>
          </cell>
          <cell r="F893" t="str">
            <v>FONSECA VELANDIA</v>
          </cell>
          <cell r="G893" t="str">
            <v>FONSECA VELANDIA PABLO JOSE</v>
          </cell>
          <cell r="H893" t="str">
            <v>FUNC</v>
          </cell>
          <cell r="I893" t="str">
            <v>FUNCIONARIO</v>
          </cell>
          <cell r="J893" t="str">
            <v>CR 80 D   7 D 83</v>
          </cell>
          <cell r="K893" t="str">
            <v>11001</v>
          </cell>
          <cell r="L893" t="str">
            <v>BOGOTA DC</v>
          </cell>
          <cell r="M893" t="str">
            <v>3207485305</v>
          </cell>
        </row>
        <row r="894">
          <cell r="A894">
            <v>11305023</v>
          </cell>
          <cell r="B894" t="str">
            <v>1</v>
          </cell>
          <cell r="C894" t="str">
            <v/>
          </cell>
          <cell r="D894" t="str">
            <v>NP</v>
          </cell>
          <cell r="E894" t="str">
            <v>CARLOS VICENTE</v>
          </cell>
          <cell r="F894" t="str">
            <v>RUEDA SANDOVAL</v>
          </cell>
          <cell r="G894" t="str">
            <v>RUEDA SANDOVAL CARLOS VICENTE</v>
          </cell>
          <cell r="H894" t="str">
            <v>RECO</v>
          </cell>
          <cell r="I894" t="str">
            <v>REGIMEN COMUN</v>
          </cell>
          <cell r="J894" t="str">
            <v>CR 48 70 188</v>
          </cell>
          <cell r="K894" t="str">
            <v>08001</v>
          </cell>
          <cell r="L894" t="str">
            <v>BARRANQUILLA</v>
          </cell>
          <cell r="M894" t="str">
            <v>3682183</v>
          </cell>
        </row>
        <row r="895">
          <cell r="A895">
            <v>11308883</v>
          </cell>
          <cell r="B895" t="str">
            <v>0</v>
          </cell>
          <cell r="C895" t="str">
            <v/>
          </cell>
          <cell r="D895" t="str">
            <v>NP</v>
          </cell>
          <cell r="E895" t="str">
            <v>JORGE ALBERTO</v>
          </cell>
          <cell r="F895" t="str">
            <v>QUIJANO CORTES</v>
          </cell>
          <cell r="G895" t="str">
            <v>QUIJANO CORTES JORGE ALBERTO</v>
          </cell>
          <cell r="H895" t="str">
            <v>RESI</v>
          </cell>
          <cell r="I895" t="str">
            <v>REGIMEN SIMPLIFICADO</v>
          </cell>
          <cell r="J895" t="str">
            <v>DG 15 18 25</v>
          </cell>
          <cell r="K895" t="str">
            <v>15516</v>
          </cell>
          <cell r="L895" t="str">
            <v>PAIPA</v>
          </cell>
          <cell r="M895" t="str">
            <v>7850327</v>
          </cell>
        </row>
        <row r="896">
          <cell r="A896">
            <v>11332905</v>
          </cell>
          <cell r="B896" t="str">
            <v>5</v>
          </cell>
          <cell r="C896" t="str">
            <v/>
          </cell>
          <cell r="D896" t="str">
            <v>NP</v>
          </cell>
          <cell r="E896" t="str">
            <v xml:space="preserve">GERMAN </v>
          </cell>
          <cell r="F896" t="str">
            <v>CONTRERAS ABRIL</v>
          </cell>
          <cell r="G896" t="str">
            <v xml:space="preserve">CONTRERAS ABRIL GERMAN </v>
          </cell>
          <cell r="H896" t="str">
            <v>RESI</v>
          </cell>
          <cell r="I896" t="str">
            <v>REGIMEN SIMPLIFICADO</v>
          </cell>
          <cell r="J896" t="str">
            <v>CL 185 17 BIS 42 BOGOTA</v>
          </cell>
          <cell r="K896" t="str">
            <v>11001</v>
          </cell>
          <cell r="L896" t="str">
            <v>BOGOTA DC</v>
          </cell>
          <cell r="M896" t="str">
            <v>6723875</v>
          </cell>
        </row>
        <row r="897">
          <cell r="A897">
            <v>11336768</v>
          </cell>
          <cell r="B897" t="str">
            <v>0</v>
          </cell>
          <cell r="C897" t="str">
            <v/>
          </cell>
          <cell r="D897" t="str">
            <v>NP</v>
          </cell>
          <cell r="E897" t="str">
            <v>GIOVANNY</v>
          </cell>
          <cell r="F897" t="str">
            <v>RODRIGUEZ TOVAR</v>
          </cell>
          <cell r="G897" t="str">
            <v>RODRIGUEZ TOVAR GIOVANNY</v>
          </cell>
          <cell r="H897" t="str">
            <v>RCPN</v>
          </cell>
          <cell r="I897" t="str">
            <v>RESPONSABLE IVA PERSONA NATURAL</v>
          </cell>
          <cell r="J897" t="str">
            <v>CR 20 6 12 AP 301 B ALGARRA III</v>
          </cell>
          <cell r="K897" t="str">
            <v>25899</v>
          </cell>
          <cell r="L897" t="str">
            <v>ZIPAQUIRÁ</v>
          </cell>
          <cell r="M897" t="str">
            <v>3112867013</v>
          </cell>
        </row>
        <row r="898">
          <cell r="A898">
            <v>11338610</v>
          </cell>
          <cell r="B898" t="str">
            <v>5</v>
          </cell>
          <cell r="C898" t="str">
            <v/>
          </cell>
          <cell r="D898" t="str">
            <v>NP</v>
          </cell>
          <cell r="E898" t="str">
            <v>HECTOR EDUARDO</v>
          </cell>
          <cell r="F898" t="str">
            <v>RAMIREZ NAVA</v>
          </cell>
          <cell r="G898" t="str">
            <v>RAMIREZ NAVA HECTOR EDUARDO</v>
          </cell>
          <cell r="H898" t="str">
            <v>RECO</v>
          </cell>
          <cell r="I898" t="str">
            <v>REGIMEN COMUN</v>
          </cell>
          <cell r="J898" t="str">
            <v>CL 7   7   53</v>
          </cell>
          <cell r="K898" t="str">
            <v>25899</v>
          </cell>
          <cell r="L898" t="str">
            <v>ZIPAQUIRÁ</v>
          </cell>
          <cell r="M898" t="str">
            <v>3125854431</v>
          </cell>
        </row>
        <row r="899">
          <cell r="A899">
            <v>11342158</v>
          </cell>
          <cell r="B899" t="str">
            <v>2</v>
          </cell>
          <cell r="C899" t="str">
            <v/>
          </cell>
          <cell r="D899" t="str">
            <v>NP</v>
          </cell>
          <cell r="E899" t="str">
            <v>PEDRO JOSE</v>
          </cell>
          <cell r="F899" t="str">
            <v>ARAQUE GARCIA</v>
          </cell>
          <cell r="G899" t="str">
            <v>PEDRO JOSE ARAQUE GARCIA</v>
          </cell>
          <cell r="H899" t="str">
            <v>REOR</v>
          </cell>
          <cell r="I899" t="str">
            <v>RENTA REGIMEN ORDINARIO</v>
          </cell>
          <cell r="J899" t="str">
            <v>VRD SOCHA VIEJO MCP DE SOCHA</v>
          </cell>
          <cell r="K899" t="str">
            <v>15757</v>
          </cell>
          <cell r="L899" t="str">
            <v>SOCHA</v>
          </cell>
          <cell r="M899" t="str">
            <v>3133339266</v>
          </cell>
        </row>
        <row r="900">
          <cell r="A900">
            <v>11342286</v>
          </cell>
          <cell r="B900" t="str">
            <v>7</v>
          </cell>
          <cell r="C900" t="str">
            <v/>
          </cell>
          <cell r="D900" t="str">
            <v>NP</v>
          </cell>
          <cell r="E900" t="str">
            <v>JOSE ISIDRO</v>
          </cell>
          <cell r="F900" t="str">
            <v>RAMIREZ NAVA</v>
          </cell>
          <cell r="G900" t="str">
            <v>RAMIREZ NAVA JOSE ISIDRO</v>
          </cell>
          <cell r="H900" t="str">
            <v>RECO</v>
          </cell>
          <cell r="I900" t="str">
            <v>REGIMEN COMUN</v>
          </cell>
          <cell r="J900" t="str">
            <v>CL 1 C   14 A 46</v>
          </cell>
          <cell r="K900" t="str">
            <v>25899</v>
          </cell>
          <cell r="L900" t="str">
            <v>ZIPAQUIRÁ</v>
          </cell>
          <cell r="M900" t="str">
            <v>8511193</v>
          </cell>
        </row>
        <row r="901">
          <cell r="A901">
            <v>11343899</v>
          </cell>
          <cell r="B901" t="str">
            <v>6</v>
          </cell>
          <cell r="C901" t="str">
            <v/>
          </cell>
          <cell r="D901" t="str">
            <v>NP</v>
          </cell>
          <cell r="E901" t="str">
            <v>JESUS ANTONIO</v>
          </cell>
          <cell r="F901" t="str">
            <v>RUIZ ESPINEL</v>
          </cell>
          <cell r="G901" t="str">
            <v>RUIZ ESPINEL JESUS ANTONIO</v>
          </cell>
          <cell r="H901" t="str">
            <v>RCPN</v>
          </cell>
          <cell r="I901" t="str">
            <v>RESPONSABLE IVA PERSONA NATURAL</v>
          </cell>
          <cell r="J901" t="str">
            <v>CR 7 6 21 OF 206</v>
          </cell>
          <cell r="K901" t="str">
            <v>25899</v>
          </cell>
          <cell r="L901" t="str">
            <v>ZIPAQUIRÁ</v>
          </cell>
          <cell r="M901" t="str">
            <v>3134321651</v>
          </cell>
        </row>
        <row r="902">
          <cell r="A902">
            <v>11345254</v>
          </cell>
          <cell r="B902" t="str">
            <v>5</v>
          </cell>
          <cell r="C902" t="str">
            <v/>
          </cell>
          <cell r="D902" t="str">
            <v>NP</v>
          </cell>
          <cell r="E902" t="str">
            <v xml:space="preserve"> LUIS  GERARDO</v>
          </cell>
          <cell r="F902" t="str">
            <v>BELLO FORERO</v>
          </cell>
          <cell r="G902" t="str">
            <v>BELLO FORERO  LUIS  GERARDO</v>
          </cell>
          <cell r="H902" t="str">
            <v>RESI</v>
          </cell>
          <cell r="I902" t="str">
            <v>REGIMEN SIMPLIFICADO</v>
          </cell>
          <cell r="J902" t="str">
            <v>CR 10 14 24</v>
          </cell>
          <cell r="K902" t="str">
            <v>11001</v>
          </cell>
          <cell r="L902" t="str">
            <v>BOGOTA DC</v>
          </cell>
          <cell r="M902" t="str">
            <v>3102886213</v>
          </cell>
        </row>
        <row r="903">
          <cell r="A903">
            <v>11645083</v>
          </cell>
          <cell r="B903" t="str">
            <v>1</v>
          </cell>
          <cell r="C903" t="str">
            <v/>
          </cell>
          <cell r="D903" t="str">
            <v>NP</v>
          </cell>
          <cell r="E903" t="str">
            <v>SEFERINO</v>
          </cell>
          <cell r="F903" t="str">
            <v>ARROYO PALACIOS</v>
          </cell>
          <cell r="G903" t="str">
            <v xml:space="preserve">ARROYO PALACIOS SEFERINO                                    </v>
          </cell>
          <cell r="H903" t="str">
            <v>RESI</v>
          </cell>
          <cell r="I903" t="str">
            <v>REGIMEN SIMPLIFICADO</v>
          </cell>
          <cell r="J903" t="str">
            <v xml:space="preserve">PUERTO MARTINEZ ALTO BAUDO              </v>
          </cell>
          <cell r="K903" t="str">
            <v>27025</v>
          </cell>
          <cell r="L903" t="str">
            <v>ALTO BAUDO</v>
          </cell>
          <cell r="M903" t="str">
            <v>3207753423</v>
          </cell>
        </row>
        <row r="904">
          <cell r="A904">
            <v>11645365</v>
          </cell>
          <cell r="B904" t="str">
            <v/>
          </cell>
          <cell r="C904" t="str">
            <v/>
          </cell>
          <cell r="D904" t="str">
            <v>CC</v>
          </cell>
          <cell r="E904" t="str">
            <v>FABRICIANO</v>
          </cell>
          <cell r="F904" t="str">
            <v>FORASTERO TUNAY</v>
          </cell>
          <cell r="G904" t="str">
            <v>FORASTERO TUNAY FABRICIANO</v>
          </cell>
          <cell r="H904" t="str">
            <v>RESI</v>
          </cell>
          <cell r="I904" t="str">
            <v>REGIMEN SIMPLIFICADO</v>
          </cell>
          <cell r="J904" t="str">
            <v>ALTO BAUDO</v>
          </cell>
          <cell r="K904" t="str">
            <v>27025</v>
          </cell>
          <cell r="L904" t="str">
            <v>ALTO BAUDO</v>
          </cell>
          <cell r="M904" t="str">
            <v>XXX</v>
          </cell>
        </row>
        <row r="905">
          <cell r="A905">
            <v>11645460</v>
          </cell>
          <cell r="B905" t="str">
            <v/>
          </cell>
          <cell r="C905" t="str">
            <v/>
          </cell>
          <cell r="D905" t="str">
            <v>CC</v>
          </cell>
          <cell r="E905" t="str">
            <v>NAREL</v>
          </cell>
          <cell r="F905" t="str">
            <v>SABUGARA CAIBERA</v>
          </cell>
          <cell r="G905" t="str">
            <v>SABUGARA CAIBERA NAREL</v>
          </cell>
          <cell r="H905" t="str">
            <v>RESI</v>
          </cell>
          <cell r="I905" t="str">
            <v>REGIMEN SIMPLIFICADO</v>
          </cell>
          <cell r="J905" t="str">
            <v>ALTO BAUDO</v>
          </cell>
          <cell r="K905" t="str">
            <v>27025</v>
          </cell>
          <cell r="L905" t="str">
            <v>ALTO BAUDO</v>
          </cell>
          <cell r="M905" t="str">
            <v>XXX</v>
          </cell>
        </row>
        <row r="906">
          <cell r="A906">
            <v>11708296</v>
          </cell>
          <cell r="B906" t="str">
            <v>3</v>
          </cell>
          <cell r="C906" t="str">
            <v/>
          </cell>
          <cell r="D906" t="str">
            <v>NP</v>
          </cell>
          <cell r="E906" t="str">
            <v>ELADIO</v>
          </cell>
          <cell r="F906" t="str">
            <v>DIAZ VALOIS</v>
          </cell>
          <cell r="G906" t="str">
            <v>DIAZ VALOIS ELADIO</v>
          </cell>
          <cell r="H906" t="str">
            <v>NORE</v>
          </cell>
          <cell r="I906" t="str">
            <v>NO RESPONSABLE DE IVA</v>
          </cell>
          <cell r="J906" t="str">
            <v>C CUPICA</v>
          </cell>
          <cell r="K906" t="str">
            <v>27075</v>
          </cell>
          <cell r="L906" t="str">
            <v>BAHÍA SOLANO</v>
          </cell>
          <cell r="M906" t="str">
            <v>3217698419</v>
          </cell>
        </row>
        <row r="907">
          <cell r="A907">
            <v>11786220</v>
          </cell>
          <cell r="B907" t="str">
            <v>7</v>
          </cell>
          <cell r="C907" t="str">
            <v/>
          </cell>
          <cell r="D907" t="str">
            <v>NP</v>
          </cell>
          <cell r="E907" t="str">
            <v>LUIS EMILIO</v>
          </cell>
          <cell r="F907" t="str">
            <v>SALCEDO PEREZ</v>
          </cell>
          <cell r="G907" t="str">
            <v>SALCEDO PEREZ LUIS EMILIO</v>
          </cell>
          <cell r="H907" t="str">
            <v>RECO</v>
          </cell>
          <cell r="I907" t="str">
            <v>REGIMEN COMUN</v>
          </cell>
          <cell r="J907" t="str">
            <v>CL 7   22   22 BRR SAN MARTIN</v>
          </cell>
          <cell r="K907" t="str">
            <v>85001</v>
          </cell>
          <cell r="L907" t="str">
            <v>YOPAL</v>
          </cell>
          <cell r="M907" t="str">
            <v>6356814</v>
          </cell>
        </row>
        <row r="908">
          <cell r="A908">
            <v>11787558</v>
          </cell>
          <cell r="B908" t="str">
            <v/>
          </cell>
          <cell r="C908" t="str">
            <v/>
          </cell>
          <cell r="D908" t="str">
            <v>CC</v>
          </cell>
          <cell r="E908" t="str">
            <v>GABRIEL</v>
          </cell>
          <cell r="F908" t="str">
            <v>SANTOS PADILLA</v>
          </cell>
          <cell r="G908" t="str">
            <v>SANTOS PADILLA GABRIEL</v>
          </cell>
          <cell r="H908" t="str">
            <v>RESI</v>
          </cell>
          <cell r="I908" t="str">
            <v>REGIMEN SIMPLIFICADO</v>
          </cell>
          <cell r="J908" t="str">
            <v>VRD MARRIAGA</v>
          </cell>
          <cell r="K908" t="str">
            <v>27800</v>
          </cell>
          <cell r="L908" t="str">
            <v>UNGUÍA</v>
          </cell>
          <cell r="M908" t="str">
            <v>3104928233</v>
          </cell>
        </row>
        <row r="909">
          <cell r="A909">
            <v>11791889</v>
          </cell>
          <cell r="B909" t="str">
            <v>3</v>
          </cell>
          <cell r="C909" t="str">
            <v/>
          </cell>
          <cell r="D909" t="str">
            <v>NP</v>
          </cell>
          <cell r="E909" t="str">
            <v>ARTURO</v>
          </cell>
          <cell r="F909" t="str">
            <v>ASPRILLA GOMEZ</v>
          </cell>
          <cell r="G909" t="str">
            <v>ASPRILLA GOMEZ ARTURO</v>
          </cell>
          <cell r="H909" t="str">
            <v>RESI</v>
          </cell>
          <cell r="I909" t="str">
            <v>REGIMEN SIMPLIFICADO</v>
          </cell>
          <cell r="J909" t="str">
            <v>CL 27  7 08 BRR EL SILENCIO</v>
          </cell>
          <cell r="K909" t="str">
            <v>27001</v>
          </cell>
          <cell r="L909" t="str">
            <v>QUIBDO</v>
          </cell>
          <cell r="M909" t="str">
            <v>3146211754</v>
          </cell>
        </row>
        <row r="910">
          <cell r="A910">
            <v>11792098</v>
          </cell>
          <cell r="B910" t="str">
            <v/>
          </cell>
          <cell r="C910" t="str">
            <v/>
          </cell>
          <cell r="D910" t="str">
            <v>CC</v>
          </cell>
          <cell r="E910" t="str">
            <v>VICTOR AMADOR</v>
          </cell>
          <cell r="F910" t="str">
            <v>CAICEDO TORRES</v>
          </cell>
          <cell r="G910" t="str">
            <v>CAICEDO TORRES VICTOR AMADOR</v>
          </cell>
          <cell r="H910" t="str">
            <v>RESI</v>
          </cell>
          <cell r="I910" t="str">
            <v>REGIMEN SIMPLIFICADO</v>
          </cell>
          <cell r="J910" t="str">
            <v>RIOSUCIO CHOCO</v>
          </cell>
          <cell r="K910" t="str">
            <v>27615</v>
          </cell>
          <cell r="L910" t="str">
            <v>RIOSUCIO</v>
          </cell>
          <cell r="M910" t="str">
            <v>XXX</v>
          </cell>
        </row>
        <row r="911">
          <cell r="A911">
            <v>11798778</v>
          </cell>
          <cell r="B911" t="str">
            <v/>
          </cell>
          <cell r="C911" t="str">
            <v/>
          </cell>
          <cell r="D911" t="str">
            <v>CC</v>
          </cell>
          <cell r="E911" t="str">
            <v>JIMMY</v>
          </cell>
          <cell r="F911" t="str">
            <v>ASPRILLA SALCEDO</v>
          </cell>
          <cell r="G911" t="str">
            <v>ASPRILLA SALCEDO JIMMY</v>
          </cell>
          <cell r="H911" t="str">
            <v>FUNC</v>
          </cell>
          <cell r="I911" t="str">
            <v>FUNCIONARIO</v>
          </cell>
          <cell r="J911" t="str">
            <v>GUAPI</v>
          </cell>
          <cell r="K911" t="str">
            <v>19318</v>
          </cell>
          <cell r="L911" t="str">
            <v>GUAPI</v>
          </cell>
          <cell r="M911" t="str">
            <v>3147277003</v>
          </cell>
        </row>
        <row r="912">
          <cell r="A912">
            <v>11801214</v>
          </cell>
          <cell r="B912" t="str">
            <v/>
          </cell>
          <cell r="C912" t="str">
            <v/>
          </cell>
          <cell r="D912" t="str">
            <v>CC</v>
          </cell>
          <cell r="E912" t="str">
            <v xml:space="preserve">JERLIN </v>
          </cell>
          <cell r="F912" t="str">
            <v>LLOREDA RAMOS</v>
          </cell>
          <cell r="G912" t="str">
            <v>JERLIN LLOREDA RAMOS</v>
          </cell>
          <cell r="H912" t="str">
            <v>FUNC</v>
          </cell>
          <cell r="I912" t="str">
            <v>FUNCIONARIO</v>
          </cell>
          <cell r="J912" t="str">
            <v>ACANDÍ</v>
          </cell>
          <cell r="K912" t="str">
            <v>27006</v>
          </cell>
          <cell r="L912" t="str">
            <v>ACANDÍ</v>
          </cell>
          <cell r="M912" t="str">
            <v>3146208133</v>
          </cell>
        </row>
        <row r="913">
          <cell r="A913">
            <v>11806016</v>
          </cell>
          <cell r="B913" t="str">
            <v>8</v>
          </cell>
          <cell r="C913" t="str">
            <v/>
          </cell>
          <cell r="D913" t="str">
            <v>NP</v>
          </cell>
          <cell r="E913" t="str">
            <v>JULIO CESAR</v>
          </cell>
          <cell r="F913" t="str">
            <v>CORREA BRAVO</v>
          </cell>
          <cell r="G913" t="str">
            <v>CORREA BRAVO JULIO CESAR</v>
          </cell>
          <cell r="H913" t="str">
            <v>RESI</v>
          </cell>
          <cell r="I913" t="str">
            <v>REGIMEN SIMPLIFICADO</v>
          </cell>
          <cell r="J913" t="str">
            <v>CL 24 11 12 BRR MARGARITA</v>
          </cell>
          <cell r="K913" t="str">
            <v>27001</v>
          </cell>
          <cell r="L913" t="str">
            <v>QUIBDO</v>
          </cell>
          <cell r="M913" t="str">
            <v>946709450</v>
          </cell>
        </row>
        <row r="914">
          <cell r="A914">
            <v>11850699</v>
          </cell>
          <cell r="B914" t="str">
            <v/>
          </cell>
          <cell r="C914" t="str">
            <v/>
          </cell>
          <cell r="D914" t="str">
            <v>CC</v>
          </cell>
          <cell r="E914" t="str">
            <v>DILIO</v>
          </cell>
          <cell r="F914" t="str">
            <v>MORENO MURILLO</v>
          </cell>
          <cell r="G914" t="str">
            <v>MORENO MURILLO DILIO</v>
          </cell>
          <cell r="H914" t="str">
            <v>FUNC</v>
          </cell>
          <cell r="I914" t="str">
            <v>FUNCIONARIO</v>
          </cell>
          <cell r="J914" t="str">
            <v>VALLA- BAHIA SOLANO CHOCO</v>
          </cell>
          <cell r="K914" t="str">
            <v>27075</v>
          </cell>
          <cell r="L914" t="str">
            <v>BAHÍA SOLANO</v>
          </cell>
          <cell r="M914" t="str">
            <v>3113256085</v>
          </cell>
        </row>
        <row r="915">
          <cell r="A915">
            <v>11851330</v>
          </cell>
          <cell r="B915" t="str">
            <v/>
          </cell>
          <cell r="C915" t="str">
            <v/>
          </cell>
          <cell r="D915" t="str">
            <v>CC</v>
          </cell>
          <cell r="E915" t="str">
            <v>YOVANNY</v>
          </cell>
          <cell r="F915" t="str">
            <v>CONQUISTA MENBACHE</v>
          </cell>
          <cell r="G915" t="str">
            <v>CONQUISTA MENBACHE YOVANNY</v>
          </cell>
          <cell r="H915" t="str">
            <v>RESI</v>
          </cell>
          <cell r="I915" t="str">
            <v>REGIMEN SIMPLIFICADO</v>
          </cell>
          <cell r="J915" t="str">
            <v>XXX</v>
          </cell>
          <cell r="K915" t="str">
            <v>17001</v>
          </cell>
          <cell r="L915" t="str">
            <v>MANIZALES</v>
          </cell>
          <cell r="M915" t="str">
            <v>XXX</v>
          </cell>
        </row>
        <row r="916">
          <cell r="A916">
            <v>11851400</v>
          </cell>
          <cell r="B916" t="str">
            <v/>
          </cell>
          <cell r="C916" t="str">
            <v/>
          </cell>
          <cell r="D916" t="str">
            <v>CC</v>
          </cell>
          <cell r="E916" t="str">
            <v>ELIECER</v>
          </cell>
          <cell r="F916" t="str">
            <v>CASTILLO ALVAREZ</v>
          </cell>
          <cell r="G916" t="str">
            <v>CASTILLO ALVAREZ ELIECER</v>
          </cell>
          <cell r="H916" t="str">
            <v>FUNC</v>
          </cell>
          <cell r="I916" t="str">
            <v>FUNCIONARIO</v>
          </cell>
          <cell r="J916" t="str">
            <v>CUPICA NUEVO ONETTY</v>
          </cell>
          <cell r="K916" t="str">
            <v>27075</v>
          </cell>
          <cell r="L916" t="str">
            <v>BAHÍA SOLANO</v>
          </cell>
          <cell r="M916" t="str">
            <v>3234708247</v>
          </cell>
        </row>
        <row r="917">
          <cell r="A917">
            <v>11900453</v>
          </cell>
          <cell r="B917" t="str">
            <v/>
          </cell>
          <cell r="C917" t="str">
            <v/>
          </cell>
          <cell r="D917" t="str">
            <v>CC</v>
          </cell>
          <cell r="E917" t="str">
            <v>EUSEBIO</v>
          </cell>
          <cell r="F917" t="str">
            <v>GUISAO ASPRILLA</v>
          </cell>
          <cell r="G917" t="str">
            <v>GUISAO ASPRILLA EUSEBIO</v>
          </cell>
          <cell r="H917" t="str">
            <v>RECO</v>
          </cell>
          <cell r="I917" t="str">
            <v>REGIMEN COMUN</v>
          </cell>
          <cell r="J917" t="str">
            <v>C PEÑALOSA</v>
          </cell>
          <cell r="K917" t="str">
            <v>27006</v>
          </cell>
          <cell r="L917" t="str">
            <v>ACANDÍ</v>
          </cell>
          <cell r="M917" t="str">
            <v>3145687425</v>
          </cell>
        </row>
        <row r="918">
          <cell r="A918">
            <v>11900571</v>
          </cell>
          <cell r="B918" t="str">
            <v/>
          </cell>
          <cell r="C918" t="str">
            <v/>
          </cell>
          <cell r="D918" t="str">
            <v>CC</v>
          </cell>
          <cell r="E918" t="str">
            <v>JOSE TIVIDAD</v>
          </cell>
          <cell r="F918" t="str">
            <v>CUADRADO ESCOBAR</v>
          </cell>
          <cell r="G918" t="str">
            <v>CUADRADO ESCOBAR JOSE TIVIDAD</v>
          </cell>
          <cell r="H918" t="str">
            <v>RESI</v>
          </cell>
          <cell r="I918" t="str">
            <v>REGIMEN SIMPLIFICADO</v>
          </cell>
          <cell r="J918" t="str">
            <v>VRD EL PUERTO UNGUIA</v>
          </cell>
          <cell r="K918" t="str">
            <v>27001</v>
          </cell>
          <cell r="L918" t="str">
            <v>QUIBDO</v>
          </cell>
          <cell r="M918" t="str">
            <v>3217160965</v>
          </cell>
        </row>
        <row r="919">
          <cell r="A919">
            <v>11900705</v>
          </cell>
          <cell r="B919" t="str">
            <v/>
          </cell>
          <cell r="C919" t="str">
            <v/>
          </cell>
          <cell r="D919" t="str">
            <v>CC</v>
          </cell>
          <cell r="E919" t="str">
            <v>EDILBERTO JOSE</v>
          </cell>
          <cell r="F919" t="str">
            <v>SOLANO FLOREZ</v>
          </cell>
          <cell r="G919" t="str">
            <v>SOLANO FLOREZ EDILBERTO JOSE</v>
          </cell>
          <cell r="H919" t="str">
            <v>RECO</v>
          </cell>
          <cell r="I919" t="str">
            <v>REGIMEN COMUN</v>
          </cell>
          <cell r="J919" t="str">
            <v>CL NUEVA</v>
          </cell>
          <cell r="K919" t="str">
            <v>27006</v>
          </cell>
          <cell r="L919" t="str">
            <v>ACANDÍ</v>
          </cell>
          <cell r="M919" t="str">
            <v>3137780224</v>
          </cell>
        </row>
        <row r="920">
          <cell r="A920">
            <v>11955628</v>
          </cell>
          <cell r="B920" t="str">
            <v>3</v>
          </cell>
          <cell r="C920" t="str">
            <v/>
          </cell>
          <cell r="D920" t="str">
            <v>NP</v>
          </cell>
          <cell r="E920" t="str">
            <v>FERLEY</v>
          </cell>
          <cell r="F920" t="str">
            <v>TEQUIA VICUÑA</v>
          </cell>
          <cell r="G920" t="str">
            <v>TEQUIA VICUÑA FERLEY</v>
          </cell>
          <cell r="H920" t="str">
            <v>RESI</v>
          </cell>
          <cell r="I920" t="str">
            <v>REGIMEN SIMPLIFICADO</v>
          </cell>
          <cell r="J920" t="str">
            <v>VRD COMUNIDAD INDIGENA LA PURIA</v>
          </cell>
          <cell r="K920" t="str">
            <v>27245</v>
          </cell>
          <cell r="L920" t="str">
            <v>EL CARMEN DE ATRATO</v>
          </cell>
          <cell r="M920" t="str">
            <v>3206238021</v>
          </cell>
        </row>
        <row r="921">
          <cell r="A921">
            <v>12001133</v>
          </cell>
          <cell r="B921" t="str">
            <v/>
          </cell>
          <cell r="C921" t="str">
            <v/>
          </cell>
          <cell r="D921" t="str">
            <v>CC</v>
          </cell>
          <cell r="E921" t="str">
            <v>YIMIS ALFONSO</v>
          </cell>
          <cell r="F921" t="str">
            <v>PALACIOS MOSQUERA</v>
          </cell>
          <cell r="G921" t="str">
            <v>PALACIOS MOSQUERA YIMIS ALFONSO</v>
          </cell>
          <cell r="H921" t="str">
            <v>FUNC</v>
          </cell>
          <cell r="I921" t="str">
            <v>FUNCIONARIO</v>
          </cell>
          <cell r="J921" t="str">
            <v>ACANDÍ</v>
          </cell>
          <cell r="K921" t="str">
            <v>27006</v>
          </cell>
          <cell r="L921" t="str">
            <v>ACANDÍ</v>
          </cell>
          <cell r="M921" t="str">
            <v>3137486902</v>
          </cell>
        </row>
        <row r="922">
          <cell r="A922">
            <v>12021500</v>
          </cell>
          <cell r="B922" t="str">
            <v/>
          </cell>
          <cell r="C922" t="str">
            <v/>
          </cell>
          <cell r="D922" t="str">
            <v>CC</v>
          </cell>
          <cell r="E922" t="str">
            <v>GONZALO</v>
          </cell>
          <cell r="F922" t="str">
            <v>ARCE QUERAGAMA</v>
          </cell>
          <cell r="G922" t="str">
            <v>ARCE QUERAGAMA GONZALO</v>
          </cell>
          <cell r="H922" t="str">
            <v>RESI</v>
          </cell>
          <cell r="I922" t="str">
            <v>REGIMEN SIMPLIFICADO</v>
          </cell>
          <cell r="J922" t="str">
            <v>ALTO BAUDO</v>
          </cell>
          <cell r="K922" t="str">
            <v>27025</v>
          </cell>
          <cell r="L922" t="str">
            <v>ALTO BAUDO</v>
          </cell>
          <cell r="M922" t="str">
            <v>XXX</v>
          </cell>
        </row>
        <row r="923">
          <cell r="A923">
            <v>12022227</v>
          </cell>
          <cell r="B923" t="str">
            <v/>
          </cell>
          <cell r="C923" t="str">
            <v/>
          </cell>
          <cell r="D923" t="str">
            <v>CC</v>
          </cell>
          <cell r="E923" t="str">
            <v>GENTIL ELIECER</v>
          </cell>
          <cell r="F923" t="str">
            <v>CORDOBA CHALA</v>
          </cell>
          <cell r="G923" t="str">
            <v>CORDOBA CHALA GENTIL ELIECER</v>
          </cell>
          <cell r="H923" t="str">
            <v>RESI</v>
          </cell>
          <cell r="I923" t="str">
            <v>REGIMEN SIMPLIFICADO</v>
          </cell>
          <cell r="J923" t="str">
            <v>QUIBDO</v>
          </cell>
          <cell r="K923" t="str">
            <v>27001</v>
          </cell>
          <cell r="L923" t="str">
            <v>QUIBDO</v>
          </cell>
          <cell r="M923" t="str">
            <v>XXXX</v>
          </cell>
        </row>
        <row r="924">
          <cell r="A924">
            <v>12098099</v>
          </cell>
          <cell r="B924" t="str">
            <v>3</v>
          </cell>
          <cell r="C924" t="str">
            <v/>
          </cell>
          <cell r="D924" t="str">
            <v>NP</v>
          </cell>
          <cell r="E924" t="str">
            <v>NELSON</v>
          </cell>
          <cell r="F924" t="str">
            <v>BONILLA</v>
          </cell>
          <cell r="G924" t="str">
            <v>BONILLA NELSON</v>
          </cell>
          <cell r="H924" t="str">
            <v>RESI</v>
          </cell>
          <cell r="I924" t="str">
            <v>REGIMEN SIMPLIFICADO</v>
          </cell>
          <cell r="J924" t="str">
            <v>CL 55 12 15</v>
          </cell>
          <cell r="K924" t="str">
            <v>41001</v>
          </cell>
          <cell r="L924" t="str">
            <v>NEIVA</v>
          </cell>
          <cell r="M924" t="str">
            <v>8769236</v>
          </cell>
        </row>
        <row r="925">
          <cell r="A925">
            <v>12112351</v>
          </cell>
          <cell r="B925" t="str">
            <v>5</v>
          </cell>
          <cell r="C925" t="str">
            <v/>
          </cell>
          <cell r="D925" t="str">
            <v>NP</v>
          </cell>
          <cell r="E925" t="str">
            <v>HERNANDO</v>
          </cell>
          <cell r="F925" t="str">
            <v>GONZALEZ CORTES</v>
          </cell>
          <cell r="G925" t="str">
            <v>GONZALEZ CORTES HERNANDO</v>
          </cell>
          <cell r="H925" t="str">
            <v>RCPN</v>
          </cell>
          <cell r="I925" t="str">
            <v>RESPONSABLE IVA PERSONA NATURAL</v>
          </cell>
          <cell r="J925" t="str">
            <v>CR 8 5 48</v>
          </cell>
          <cell r="K925" t="str">
            <v>17662</v>
          </cell>
          <cell r="L925" t="str">
            <v>SAMANÁ</v>
          </cell>
          <cell r="M925" t="str">
            <v>3138887991</v>
          </cell>
        </row>
        <row r="926">
          <cell r="A926">
            <v>12192340</v>
          </cell>
          <cell r="B926" t="str">
            <v/>
          </cell>
          <cell r="C926" t="str">
            <v/>
          </cell>
          <cell r="D926" t="str">
            <v>CC</v>
          </cell>
          <cell r="E926" t="str">
            <v>FERNANDO</v>
          </cell>
          <cell r="F926" t="str">
            <v>JIMENEZ ROA</v>
          </cell>
          <cell r="G926" t="str">
            <v>JIMENEZ ROA FERNANDO</v>
          </cell>
          <cell r="H926" t="str">
            <v>RECO</v>
          </cell>
          <cell r="I926" t="str">
            <v>REGIMEN COMUN</v>
          </cell>
          <cell r="J926" t="str">
            <v>CR 7   9   47</v>
          </cell>
          <cell r="K926" t="str">
            <v>17001</v>
          </cell>
          <cell r="L926" t="str">
            <v>MANIZALES</v>
          </cell>
          <cell r="M926" t="str">
            <v>8332248</v>
          </cell>
        </row>
        <row r="927">
          <cell r="A927">
            <v>12208831</v>
          </cell>
          <cell r="B927" t="str">
            <v>2</v>
          </cell>
          <cell r="C927" t="str">
            <v/>
          </cell>
          <cell r="D927" t="str">
            <v>NP</v>
          </cell>
          <cell r="E927" t="str">
            <v>BERNE</v>
          </cell>
          <cell r="F927" t="str">
            <v>TRUJILLO GUZMAN</v>
          </cell>
          <cell r="G927" t="str">
            <v>TRUJILLO GUZMAN BERNE</v>
          </cell>
          <cell r="H927" t="str">
            <v>RESI</v>
          </cell>
          <cell r="I927" t="str">
            <v>REGIMEN SIMPLIFICADO</v>
          </cell>
          <cell r="J927" t="str">
            <v>BRR LOS LIBERTADORES CL 17 14 07</v>
          </cell>
          <cell r="K927" t="str">
            <v>94001</v>
          </cell>
          <cell r="L927" t="str">
            <v>INÍRIDA</v>
          </cell>
          <cell r="M927" t="str">
            <v>3112001923</v>
          </cell>
        </row>
        <row r="928">
          <cell r="A928">
            <v>12449928</v>
          </cell>
          <cell r="B928" t="str">
            <v/>
          </cell>
          <cell r="C928" t="str">
            <v/>
          </cell>
          <cell r="D928" t="str">
            <v>CC</v>
          </cell>
          <cell r="E928" t="str">
            <v>JOSE REINEL</v>
          </cell>
          <cell r="F928" t="str">
            <v>PEREZ BUITRAGO</v>
          </cell>
          <cell r="G928" t="str">
            <v>PEREZ BUITRAGO JOSE REINEL</v>
          </cell>
          <cell r="H928" t="str">
            <v>RESI</v>
          </cell>
          <cell r="I928" t="str">
            <v>REGIMEN SIMPLIFICADO</v>
          </cell>
          <cell r="J928" t="str">
            <v>xxx</v>
          </cell>
          <cell r="K928" t="str">
            <v>17662</v>
          </cell>
          <cell r="L928" t="str">
            <v>SAMANÁ</v>
          </cell>
          <cell r="M928" t="str">
            <v>xxx</v>
          </cell>
        </row>
        <row r="929">
          <cell r="A929">
            <v>12534139</v>
          </cell>
          <cell r="B929" t="str">
            <v>0</v>
          </cell>
          <cell r="C929" t="str">
            <v/>
          </cell>
          <cell r="D929" t="str">
            <v>NP</v>
          </cell>
          <cell r="E929" t="str">
            <v xml:space="preserve">CIPRIANO </v>
          </cell>
          <cell r="F929" t="str">
            <v>JANICA DE LA TORRE</v>
          </cell>
          <cell r="G929" t="str">
            <v>CIPRIANO JANICA DE LA TORRE</v>
          </cell>
          <cell r="H929" t="str">
            <v>RECO</v>
          </cell>
          <cell r="I929" t="str">
            <v>REGIMEN COMUN</v>
          </cell>
          <cell r="J929" t="str">
            <v>CLL 19  6 70</v>
          </cell>
          <cell r="K929" t="str">
            <v>47001</v>
          </cell>
          <cell r="L929" t="str">
            <v>SANTA MARTA</v>
          </cell>
          <cell r="M929" t="str">
            <v>3692124</v>
          </cell>
        </row>
        <row r="930">
          <cell r="A930">
            <v>12539329</v>
          </cell>
          <cell r="B930" t="str">
            <v>6</v>
          </cell>
          <cell r="C930" t="str">
            <v/>
          </cell>
          <cell r="D930" t="str">
            <v>NP</v>
          </cell>
          <cell r="E930" t="str">
            <v>JOSE RAMIRO</v>
          </cell>
          <cell r="F930" t="str">
            <v>VANEGAS GUTIERREZ</v>
          </cell>
          <cell r="G930" t="str">
            <v>VANEGAS GUTIERREZ JOSE RAMIRO</v>
          </cell>
          <cell r="H930" t="str">
            <v>NORE</v>
          </cell>
          <cell r="I930" t="str">
            <v>NO RESPONSABLE DE IVA</v>
          </cell>
          <cell r="J930" t="str">
            <v>CL 18 B 25</v>
          </cell>
          <cell r="K930" t="str">
            <v>44001</v>
          </cell>
          <cell r="L930" t="str">
            <v>RIOHACHA</v>
          </cell>
          <cell r="M930" t="str">
            <v>7270970</v>
          </cell>
        </row>
        <row r="931">
          <cell r="A931">
            <v>12541594</v>
          </cell>
          <cell r="B931" t="str">
            <v>8</v>
          </cell>
          <cell r="C931" t="str">
            <v/>
          </cell>
          <cell r="D931" t="str">
            <v>NP</v>
          </cell>
          <cell r="E931" t="str">
            <v>OSCAR FERNANDO</v>
          </cell>
          <cell r="F931" t="str">
            <v>MARTINEZ BUSTAMANTE</v>
          </cell>
          <cell r="G931" t="str">
            <v>MARTINEZ BUSTAMANTE OSCAR FERNANDO</v>
          </cell>
          <cell r="H931" t="str">
            <v>RECO</v>
          </cell>
          <cell r="I931" t="str">
            <v>REGIMEN COMUN</v>
          </cell>
          <cell r="J931" t="str">
            <v>CR 12   93   26 LC 101</v>
          </cell>
          <cell r="K931" t="str">
            <v>11001</v>
          </cell>
          <cell r="L931" t="str">
            <v>BOGOTA DC</v>
          </cell>
          <cell r="M931" t="str">
            <v>6214421</v>
          </cell>
        </row>
        <row r="932">
          <cell r="A932">
            <v>12592039</v>
          </cell>
          <cell r="B932" t="str">
            <v/>
          </cell>
          <cell r="C932" t="str">
            <v/>
          </cell>
          <cell r="D932" t="str">
            <v>CC</v>
          </cell>
          <cell r="E932" t="str">
            <v>ALCIDES EMILIANO</v>
          </cell>
          <cell r="F932" t="str">
            <v>MERCADO HERNANDEZ</v>
          </cell>
          <cell r="G932" t="str">
            <v>MERCADO HERNANDEZ ALCIDES EMILIANO</v>
          </cell>
          <cell r="H932" t="str">
            <v>RESI</v>
          </cell>
          <cell r="I932" t="str">
            <v>REGIMEN SIMPLIFICADO</v>
          </cell>
          <cell r="J932" t="str">
            <v>XX</v>
          </cell>
          <cell r="K932" t="str">
            <v>47555</v>
          </cell>
          <cell r="L932" t="str">
            <v>PLATO</v>
          </cell>
          <cell r="M932" t="str">
            <v>XX</v>
          </cell>
        </row>
        <row r="933">
          <cell r="A933">
            <v>12639652</v>
          </cell>
          <cell r="B933" t="str">
            <v>1</v>
          </cell>
          <cell r="C933" t="str">
            <v/>
          </cell>
          <cell r="D933" t="str">
            <v>NP</v>
          </cell>
          <cell r="E933" t="str">
            <v>JUAN FRANCISCO</v>
          </cell>
          <cell r="F933" t="str">
            <v>LOPEZ MONTERO</v>
          </cell>
          <cell r="G933" t="str">
            <v>LOPEZ MONTERO JUAN FRANCISCO</v>
          </cell>
          <cell r="H933" t="str">
            <v>REOR</v>
          </cell>
          <cell r="I933" t="str">
            <v>RENTA REGIMEN ORDINARIO</v>
          </cell>
          <cell r="J933" t="str">
            <v>CL 6   9   12</v>
          </cell>
          <cell r="K933" t="str">
            <v>47288</v>
          </cell>
          <cell r="L933" t="str">
            <v>FUNDACIÓN</v>
          </cell>
          <cell r="M933" t="str">
            <v>3158883585</v>
          </cell>
        </row>
        <row r="934">
          <cell r="A934">
            <v>12647614</v>
          </cell>
          <cell r="B934" t="str">
            <v>3</v>
          </cell>
          <cell r="C934" t="str">
            <v/>
          </cell>
          <cell r="D934" t="str">
            <v>NP</v>
          </cell>
          <cell r="E934" t="str">
            <v>JORGE IVAN</v>
          </cell>
          <cell r="F934" t="str">
            <v>QUIROZ DURAN</v>
          </cell>
          <cell r="G934" t="str">
            <v>QUIROZ DURAN JORGE IVAN</v>
          </cell>
          <cell r="H934" t="str">
            <v>NORE</v>
          </cell>
          <cell r="I934" t="str">
            <v>NO RESPONSABLE DE IVA</v>
          </cell>
          <cell r="J934" t="str">
            <v>CL 12 20 C 48 BRR EL DORADO</v>
          </cell>
          <cell r="K934" t="str">
            <v>17001</v>
          </cell>
          <cell r="L934" t="str">
            <v>MANIZALES</v>
          </cell>
          <cell r="M934" t="str">
            <v>3155149818</v>
          </cell>
        </row>
        <row r="935">
          <cell r="A935">
            <v>12749300</v>
          </cell>
          <cell r="B935" t="str">
            <v>4</v>
          </cell>
          <cell r="C935" t="str">
            <v/>
          </cell>
          <cell r="D935" t="str">
            <v>NP</v>
          </cell>
          <cell r="E935" t="str">
            <v>FERNANDO ALEJANDRO</v>
          </cell>
          <cell r="F935" t="str">
            <v>JURADO DELGADO</v>
          </cell>
          <cell r="G935" t="str">
            <v>JURADO DELGADO FERNANDO ALEJANDRO</v>
          </cell>
          <cell r="H935" t="str">
            <v>NORE</v>
          </cell>
          <cell r="I935" t="str">
            <v>NO RESPONSABLE DE IVA</v>
          </cell>
          <cell r="J935" t="str">
            <v>CRA 2 MZ J BARRIO SAN FERNANDO</v>
          </cell>
          <cell r="K935" t="str">
            <v>86568</v>
          </cell>
          <cell r="L935" t="str">
            <v>PUERTO ASÍS</v>
          </cell>
          <cell r="M935" t="str">
            <v>3175105330</v>
          </cell>
        </row>
        <row r="936">
          <cell r="A936">
            <v>12753279</v>
          </cell>
          <cell r="B936" t="str">
            <v/>
          </cell>
          <cell r="C936" t="str">
            <v/>
          </cell>
          <cell r="D936" t="str">
            <v>CC</v>
          </cell>
          <cell r="E936" t="str">
            <v>JAIME ARMANDO</v>
          </cell>
          <cell r="F936" t="str">
            <v>ESTERILLA ANGULO</v>
          </cell>
          <cell r="G936" t="str">
            <v>ESTERILLA ANGULO JAIME ARMANDO</v>
          </cell>
          <cell r="H936" t="str">
            <v>RESI</v>
          </cell>
          <cell r="I936" t="str">
            <v>REGIMEN SIMPLIFICADO</v>
          </cell>
          <cell r="J936" t="str">
            <v>TUMACO</v>
          </cell>
          <cell r="K936" t="str">
            <v>52835</v>
          </cell>
          <cell r="L936" t="str">
            <v>TUMACO</v>
          </cell>
          <cell r="M936" t="str">
            <v>000</v>
          </cell>
        </row>
        <row r="937">
          <cell r="A937">
            <v>12795403</v>
          </cell>
          <cell r="B937" t="str">
            <v>1</v>
          </cell>
          <cell r="C937" t="str">
            <v/>
          </cell>
          <cell r="D937" t="str">
            <v>NP</v>
          </cell>
          <cell r="E937" t="str">
            <v>FELICIANO</v>
          </cell>
          <cell r="F937" t="str">
            <v>ARBOLEDA SANCHEZ</v>
          </cell>
          <cell r="G937" t="str">
            <v>ARBOLEDA SANCHEZ FELICIANO</v>
          </cell>
          <cell r="H937" t="str">
            <v>NORE</v>
          </cell>
          <cell r="I937" t="str">
            <v>NO RESPONSABLE DE IVA</v>
          </cell>
          <cell r="J937" t="str">
            <v>CORR EL VALLE BRR MARIA AUXILIADORA</v>
          </cell>
          <cell r="K937" t="str">
            <v>27075</v>
          </cell>
          <cell r="L937" t="str">
            <v>BAHÍA SOLANO</v>
          </cell>
          <cell r="M937" t="str">
            <v>3215105070</v>
          </cell>
        </row>
        <row r="938">
          <cell r="A938">
            <v>12796777</v>
          </cell>
          <cell r="B938" t="str">
            <v/>
          </cell>
          <cell r="C938" t="str">
            <v/>
          </cell>
          <cell r="D938" t="str">
            <v>CC</v>
          </cell>
          <cell r="E938" t="str">
            <v>SENEN</v>
          </cell>
          <cell r="F938" t="str">
            <v>NUÑEZ PINEDA</v>
          </cell>
          <cell r="G938" t="str">
            <v>NUÑEZ PINEDA SENEN</v>
          </cell>
          <cell r="H938" t="str">
            <v>RESI</v>
          </cell>
          <cell r="I938" t="str">
            <v>REGIMEN SIMPLIFICADO</v>
          </cell>
          <cell r="J938" t="str">
            <v>BRR NATAL</v>
          </cell>
          <cell r="K938" t="str">
            <v>52490</v>
          </cell>
          <cell r="L938" t="str">
            <v>OLAYA HERRERA</v>
          </cell>
          <cell r="M938" t="str">
            <v>3146920378</v>
          </cell>
        </row>
        <row r="939">
          <cell r="A939">
            <v>12905642</v>
          </cell>
          <cell r="B939" t="str">
            <v>7</v>
          </cell>
          <cell r="C939" t="str">
            <v/>
          </cell>
          <cell r="D939" t="str">
            <v>NP</v>
          </cell>
          <cell r="E939" t="str">
            <v>PEDRO JOSE</v>
          </cell>
          <cell r="F939" t="str">
            <v>ANDRADE OTERO</v>
          </cell>
          <cell r="G939" t="str">
            <v>ANDRADE OTERO PEDRO JOSE</v>
          </cell>
          <cell r="H939" t="str">
            <v>NORE</v>
          </cell>
          <cell r="I939" t="str">
            <v>NO RESPONSABLE DE IVA</v>
          </cell>
          <cell r="J939" t="str">
            <v>CR 23 52 114 P 4</v>
          </cell>
          <cell r="K939" t="str">
            <v>17001</v>
          </cell>
          <cell r="L939" t="str">
            <v>MANIZALES</v>
          </cell>
          <cell r="M939" t="str">
            <v>3143295561</v>
          </cell>
        </row>
        <row r="940">
          <cell r="A940">
            <v>12910321</v>
          </cell>
          <cell r="B940" t="str">
            <v/>
          </cell>
          <cell r="C940" t="str">
            <v/>
          </cell>
          <cell r="D940" t="str">
            <v>CC</v>
          </cell>
          <cell r="E940" t="str">
            <v>POLO LEOPOLDO</v>
          </cell>
          <cell r="F940" t="str">
            <v>PRECIADO</v>
          </cell>
          <cell r="G940" t="str">
            <v>PRECIADO POLO LEOPOLDO</v>
          </cell>
          <cell r="H940" t="str">
            <v>RESI</v>
          </cell>
          <cell r="I940" t="str">
            <v>REGIMEN SIMPLIFICADO</v>
          </cell>
          <cell r="J940" t="str">
            <v>TUMACO</v>
          </cell>
          <cell r="K940" t="str">
            <v>52835</v>
          </cell>
          <cell r="L940" t="str">
            <v>TUMACO</v>
          </cell>
          <cell r="M940" t="str">
            <v>000</v>
          </cell>
        </row>
        <row r="941">
          <cell r="A941">
            <v>12918444</v>
          </cell>
          <cell r="B941" t="str">
            <v/>
          </cell>
          <cell r="C941" t="str">
            <v/>
          </cell>
          <cell r="D941" t="str">
            <v>CC</v>
          </cell>
          <cell r="E941" t="str">
            <v>JHONNY</v>
          </cell>
          <cell r="F941" t="str">
            <v>CORTES PAREDES</v>
          </cell>
          <cell r="G941" t="str">
            <v>CORTES PAREDES JHONNY</v>
          </cell>
          <cell r="H941" t="str">
            <v>RESI</v>
          </cell>
          <cell r="I941" t="str">
            <v>REGIMEN SIMPLIFICADO</v>
          </cell>
          <cell r="J941" t="str">
            <v>TUMACO</v>
          </cell>
          <cell r="K941" t="str">
            <v>52835</v>
          </cell>
          <cell r="L941" t="str">
            <v>TUMACO</v>
          </cell>
          <cell r="M941" t="str">
            <v>000</v>
          </cell>
        </row>
        <row r="942">
          <cell r="A942">
            <v>12988939</v>
          </cell>
          <cell r="B942" t="str">
            <v>4</v>
          </cell>
          <cell r="C942" t="str">
            <v/>
          </cell>
          <cell r="D942" t="str">
            <v>NP</v>
          </cell>
          <cell r="E942" t="str">
            <v>BERNANDO</v>
          </cell>
          <cell r="F942" t="str">
            <v>GUERRA DE LA ROSA</v>
          </cell>
          <cell r="G942" t="str">
            <v>GUERRA DE LA ROSA BERNANDO</v>
          </cell>
          <cell r="H942" t="str">
            <v>RECO</v>
          </cell>
          <cell r="I942" t="str">
            <v>REGIMEN COMUN</v>
          </cell>
          <cell r="J942" t="str">
            <v>CL 21  41  60   BRR  MORASURCO</v>
          </cell>
          <cell r="K942" t="str">
            <v>52001</v>
          </cell>
          <cell r="L942" t="str">
            <v xml:space="preserve">PASTO	</v>
          </cell>
          <cell r="M942" t="str">
            <v>7364086</v>
          </cell>
        </row>
        <row r="943">
          <cell r="A943">
            <v>12992596</v>
          </cell>
          <cell r="B943" t="str">
            <v>7</v>
          </cell>
          <cell r="C943" t="str">
            <v/>
          </cell>
          <cell r="D943" t="str">
            <v>NP</v>
          </cell>
          <cell r="E943" t="str">
            <v>LUCIANO IVAN</v>
          </cell>
          <cell r="F943" t="str">
            <v>BACCA VALENCIA</v>
          </cell>
          <cell r="G943" t="str">
            <v>BACCA VALENCIA LUCIANO IVAN</v>
          </cell>
          <cell r="H943" t="str">
            <v>RCPN</v>
          </cell>
          <cell r="I943" t="str">
            <v>RESPONSABLE IVA PERSONA NATURAL</v>
          </cell>
          <cell r="J943" t="str">
            <v xml:space="preserve"> MZ B  CA 2  CON AQUINE III</v>
          </cell>
          <cell r="K943" t="str">
            <v>52001</v>
          </cell>
          <cell r="L943" t="str">
            <v xml:space="preserve">PASTO	</v>
          </cell>
          <cell r="M943" t="str">
            <v>3015249712</v>
          </cell>
        </row>
        <row r="944">
          <cell r="A944">
            <v>12993612</v>
          </cell>
          <cell r="B944" t="str">
            <v>1</v>
          </cell>
          <cell r="C944" t="str">
            <v/>
          </cell>
          <cell r="D944" t="str">
            <v>NP</v>
          </cell>
          <cell r="E944" t="str">
            <v>IVAN MAURICIO</v>
          </cell>
          <cell r="F944" t="str">
            <v>RENGIFO MATA</v>
          </cell>
          <cell r="G944" t="str">
            <v>RENGIFO MATA IVAN MAURICIO</v>
          </cell>
          <cell r="H944" t="str">
            <v>RECO</v>
          </cell>
          <cell r="I944" t="str">
            <v>REGIMEN COMUN</v>
          </cell>
          <cell r="J944" t="str">
            <v>CL 19 C 40 A 26 AP 701 TO 1 ED RINCON VALLE DE ATRIZ</v>
          </cell>
          <cell r="K944" t="str">
            <v>14</v>
          </cell>
          <cell r="L944" t="str">
            <v>NARIÑO</v>
          </cell>
          <cell r="M944" t="str">
            <v>7362472</v>
          </cell>
        </row>
        <row r="945">
          <cell r="A945">
            <v>13033101</v>
          </cell>
          <cell r="B945" t="str">
            <v/>
          </cell>
          <cell r="C945" t="str">
            <v/>
          </cell>
          <cell r="D945" t="str">
            <v>CC</v>
          </cell>
          <cell r="E945" t="str">
            <v>ADELMO</v>
          </cell>
          <cell r="F945" t="str">
            <v>SEVILLANO</v>
          </cell>
          <cell r="G945" t="str">
            <v>SEVILLANO ADELMO</v>
          </cell>
          <cell r="H945" t="str">
            <v>RESI</v>
          </cell>
          <cell r="I945" t="str">
            <v>REGIMEN SIMPLIFICADO</v>
          </cell>
          <cell r="J945" t="str">
            <v>TUMACO</v>
          </cell>
          <cell r="K945" t="str">
            <v>52835</v>
          </cell>
          <cell r="L945" t="str">
            <v>TUMACO</v>
          </cell>
          <cell r="M945" t="str">
            <v>000</v>
          </cell>
        </row>
        <row r="946">
          <cell r="A946">
            <v>13103244</v>
          </cell>
          <cell r="B946" t="str">
            <v/>
          </cell>
          <cell r="C946" t="str">
            <v/>
          </cell>
          <cell r="D946" t="str">
            <v>CC</v>
          </cell>
          <cell r="E946" t="str">
            <v>JOSE MARIA</v>
          </cell>
          <cell r="F946" t="str">
            <v>OROBIO ARBOLEDA</v>
          </cell>
          <cell r="G946" t="str">
            <v>OROBIO ARBOLEDA JOSE MARIA</v>
          </cell>
          <cell r="H946" t="str">
            <v>FUNC</v>
          </cell>
          <cell r="I946" t="str">
            <v>FUNCIONARIO</v>
          </cell>
          <cell r="J946" t="str">
            <v>MCP GUAPI</v>
          </cell>
          <cell r="K946" t="str">
            <v>19318</v>
          </cell>
          <cell r="L946" t="str">
            <v>GUAPI</v>
          </cell>
          <cell r="M946" t="str">
            <v>8827274</v>
          </cell>
        </row>
        <row r="947">
          <cell r="A947">
            <v>13103249</v>
          </cell>
          <cell r="B947" t="str">
            <v/>
          </cell>
          <cell r="C947" t="str">
            <v/>
          </cell>
          <cell r="D947" t="str">
            <v>CC</v>
          </cell>
          <cell r="E947" t="str">
            <v>ARCIANO</v>
          </cell>
          <cell r="F947" t="str">
            <v>JARAMILLO ARAGON</v>
          </cell>
          <cell r="G947" t="str">
            <v>JARAMILLO ARAGON  ARCIANO</v>
          </cell>
          <cell r="H947" t="str">
            <v>FUNC</v>
          </cell>
          <cell r="I947" t="str">
            <v>FUNCIONARIO</v>
          </cell>
          <cell r="J947" t="str">
            <v xml:space="preserve">GUAPI                                   </v>
          </cell>
          <cell r="K947" t="str">
            <v>19318</v>
          </cell>
          <cell r="L947" t="str">
            <v>GUAPI</v>
          </cell>
          <cell r="M947" t="str">
            <v>3137386986</v>
          </cell>
        </row>
        <row r="948">
          <cell r="A948">
            <v>13105568</v>
          </cell>
          <cell r="B948" t="str">
            <v>0</v>
          </cell>
          <cell r="C948" t="str">
            <v/>
          </cell>
          <cell r="D948" t="str">
            <v>NP</v>
          </cell>
          <cell r="E948" t="str">
            <v>SIMON</v>
          </cell>
          <cell r="F948" t="str">
            <v>FLOREZ MONTAÑO</v>
          </cell>
          <cell r="G948" t="str">
            <v>FLOREZ MONTAÑO SIMON</v>
          </cell>
          <cell r="H948" t="str">
            <v>RESI</v>
          </cell>
          <cell r="I948" t="str">
            <v>REGIMEN SIMPLIFICADO</v>
          </cell>
          <cell r="J948" t="str">
            <v>BRR COREA</v>
          </cell>
          <cell r="K948" t="str">
            <v>52250</v>
          </cell>
          <cell r="L948" t="str">
            <v>EL CHARCO</v>
          </cell>
          <cell r="M948" t="str">
            <v>3125404048</v>
          </cell>
        </row>
        <row r="949">
          <cell r="A949">
            <v>13107219</v>
          </cell>
          <cell r="B949" t="str">
            <v/>
          </cell>
          <cell r="C949" t="str">
            <v/>
          </cell>
          <cell r="D949" t="str">
            <v>CC</v>
          </cell>
          <cell r="E949" t="str">
            <v>FABIAN</v>
          </cell>
          <cell r="F949" t="str">
            <v>OVIEDO VALENCIA</v>
          </cell>
          <cell r="G949" t="str">
            <v>OVIEDO VALENCIA FABIAN</v>
          </cell>
          <cell r="H949" t="str">
            <v>RESI</v>
          </cell>
          <cell r="I949" t="str">
            <v>REGIMEN SIMPLIFICADO</v>
          </cell>
          <cell r="J949" t="str">
            <v>MLL MCP EL CHARCO</v>
          </cell>
          <cell r="K949" t="str">
            <v>52250</v>
          </cell>
          <cell r="L949" t="str">
            <v>EL CHARCO</v>
          </cell>
          <cell r="M949" t="str">
            <v>3104027259</v>
          </cell>
        </row>
        <row r="950">
          <cell r="A950">
            <v>13107960</v>
          </cell>
          <cell r="B950" t="str">
            <v>4</v>
          </cell>
          <cell r="C950" t="str">
            <v/>
          </cell>
          <cell r="D950" t="str">
            <v>NP</v>
          </cell>
          <cell r="E950" t="str">
            <v>LUIS ENRIQUE</v>
          </cell>
          <cell r="F950" t="str">
            <v>NARANJO CARCAMO</v>
          </cell>
          <cell r="G950" t="str">
            <v>NARANJO CARCAMO LUIS ENRIQUE</v>
          </cell>
          <cell r="H950" t="str">
            <v>RESI</v>
          </cell>
          <cell r="I950" t="str">
            <v>REGIMEN SIMPLIFICADO</v>
          </cell>
          <cell r="J950" t="str">
            <v xml:space="preserve"> CR 3 CL 10 BRR LAS PALMERAS</v>
          </cell>
          <cell r="K950" t="str">
            <v>19318</v>
          </cell>
          <cell r="L950" t="str">
            <v>GUAPI</v>
          </cell>
          <cell r="M950" t="str">
            <v>3113365674</v>
          </cell>
        </row>
        <row r="951">
          <cell r="A951">
            <v>13255806</v>
          </cell>
          <cell r="B951" t="str">
            <v/>
          </cell>
          <cell r="C951" t="str">
            <v/>
          </cell>
          <cell r="D951" t="str">
            <v>CC</v>
          </cell>
          <cell r="E951" t="str">
            <v>JOSE LIBARDO</v>
          </cell>
          <cell r="F951" t="str">
            <v>VILLAMIZAR JAUREGUI</v>
          </cell>
          <cell r="G951" t="str">
            <v>VILLAMIZAR JAUREGUI JOSE LIBARDO</v>
          </cell>
          <cell r="H951" t="str">
            <v>FUNC</v>
          </cell>
          <cell r="I951" t="str">
            <v>FUNCIONARIO</v>
          </cell>
          <cell r="J951" t="str">
            <v>URBANIZACION VILLAS MEDITERRANEO PASEO COMPOSTELA CA 16</v>
          </cell>
          <cell r="K951" t="str">
            <v>54498</v>
          </cell>
          <cell r="L951" t="str">
            <v>OCAÑA</v>
          </cell>
          <cell r="M951" t="str">
            <v>6394153</v>
          </cell>
        </row>
        <row r="952">
          <cell r="A952">
            <v>13359854</v>
          </cell>
          <cell r="B952" t="str">
            <v>2</v>
          </cell>
          <cell r="C952" t="str">
            <v/>
          </cell>
          <cell r="D952" t="str">
            <v>NP</v>
          </cell>
          <cell r="E952" t="str">
            <v>ADOLFO ANTONIO</v>
          </cell>
          <cell r="F952" t="str">
            <v>AREVALO PEREZ</v>
          </cell>
          <cell r="G952" t="str">
            <v>AREVALO PEREZ ADOLFO ANTONIO</v>
          </cell>
          <cell r="H952" t="str">
            <v>NORE</v>
          </cell>
          <cell r="I952" t="str">
            <v>NO RESPONSABLE DE IVA</v>
          </cell>
          <cell r="J952" t="str">
            <v>CR 22 21 76</v>
          </cell>
          <cell r="K952" t="str">
            <v>85001</v>
          </cell>
          <cell r="L952" t="str">
            <v>YOPAL</v>
          </cell>
          <cell r="M952" t="str">
            <v>3108748898</v>
          </cell>
        </row>
        <row r="953">
          <cell r="A953">
            <v>13372372</v>
          </cell>
          <cell r="B953" t="str">
            <v>8</v>
          </cell>
          <cell r="C953" t="str">
            <v/>
          </cell>
          <cell r="D953" t="str">
            <v>NP</v>
          </cell>
          <cell r="E953" t="str">
            <v>JUAN CARLOS</v>
          </cell>
          <cell r="F953" t="str">
            <v>CLAVIJO NUÑEZ</v>
          </cell>
          <cell r="G953" t="str">
            <v>CLAVIJO NUÑEZ JUAN CARLOS</v>
          </cell>
          <cell r="H953" t="str">
            <v>RECO</v>
          </cell>
          <cell r="I953" t="str">
            <v>REGIMEN COMUN</v>
          </cell>
          <cell r="J953" t="str">
            <v>CR 19 9 15</v>
          </cell>
          <cell r="K953" t="str">
            <v>15238</v>
          </cell>
          <cell r="L953" t="str">
            <v>DUITAMA</v>
          </cell>
          <cell r="M953" t="str">
            <v>7600566</v>
          </cell>
        </row>
        <row r="954">
          <cell r="A954">
            <v>13442696</v>
          </cell>
          <cell r="B954" t="str">
            <v/>
          </cell>
          <cell r="C954" t="str">
            <v/>
          </cell>
          <cell r="D954" t="str">
            <v>CC</v>
          </cell>
          <cell r="E954" t="str">
            <v>EZEQUIEL</v>
          </cell>
          <cell r="F954" t="str">
            <v>SANTAMARIA GUTIERREZ</v>
          </cell>
          <cell r="G954" t="str">
            <v>SANTAMARIA GUTIERREZ EZEQUIEL</v>
          </cell>
          <cell r="H954" t="str">
            <v>FUNC</v>
          </cell>
          <cell r="I954" t="str">
            <v>FUNCIONARIO</v>
          </cell>
          <cell r="J954" t="str">
            <v>CL 9 A    9  AE 53</v>
          </cell>
          <cell r="K954" t="str">
            <v>54498</v>
          </cell>
          <cell r="L954" t="str">
            <v>OCAÑA</v>
          </cell>
          <cell r="M954" t="str">
            <v>6820517303</v>
          </cell>
        </row>
        <row r="955">
          <cell r="A955">
            <v>13453977</v>
          </cell>
          <cell r="B955" t="str">
            <v>1</v>
          </cell>
          <cell r="C955" t="str">
            <v/>
          </cell>
          <cell r="D955" t="str">
            <v>NP</v>
          </cell>
          <cell r="E955" t="str">
            <v>MIGUEL ALFONSO</v>
          </cell>
          <cell r="F955" t="str">
            <v>ROJAS ARAQUE</v>
          </cell>
          <cell r="G955" t="str">
            <v>ROJAS ARAQUE MIGUEL ALFONSO</v>
          </cell>
          <cell r="H955" t="str">
            <v>RESI</v>
          </cell>
          <cell r="I955" t="str">
            <v>REGIMEN SIMPLIFICADO</v>
          </cell>
          <cell r="J955" t="str">
            <v>CR 19 11 17</v>
          </cell>
          <cell r="K955" t="str">
            <v>85001</v>
          </cell>
          <cell r="L955" t="str">
            <v>YOPAL</v>
          </cell>
          <cell r="M955" t="str">
            <v>3133442267</v>
          </cell>
        </row>
        <row r="956">
          <cell r="A956">
            <v>13499330</v>
          </cell>
          <cell r="B956" t="str">
            <v>5</v>
          </cell>
          <cell r="C956" t="str">
            <v/>
          </cell>
          <cell r="D956" t="str">
            <v>NP</v>
          </cell>
          <cell r="E956" t="str">
            <v>LEONARDO</v>
          </cell>
          <cell r="F956" t="str">
            <v>LIZARAZO RUBIO</v>
          </cell>
          <cell r="G956" t="str">
            <v>LEONARDO LIZARAZO RUBIO/HOTEL LA CAMELIA</v>
          </cell>
          <cell r="H956" t="str">
            <v>RECO</v>
          </cell>
          <cell r="I956" t="str">
            <v>REGIMEN COMUN</v>
          </cell>
          <cell r="J956" t="str">
            <v>CR 23 70A 70</v>
          </cell>
          <cell r="K956" t="str">
            <v>17001</v>
          </cell>
          <cell r="L956" t="str">
            <v>MANIZALES</v>
          </cell>
          <cell r="M956" t="str">
            <v>887 25 18</v>
          </cell>
        </row>
        <row r="957">
          <cell r="A957">
            <v>13569386</v>
          </cell>
          <cell r="B957" t="str">
            <v/>
          </cell>
          <cell r="C957" t="str">
            <v/>
          </cell>
          <cell r="D957" t="str">
            <v>CC</v>
          </cell>
          <cell r="E957" t="str">
            <v>JORGE ENRIQUE</v>
          </cell>
          <cell r="F957" t="str">
            <v>GAMARRA ACOSTA</v>
          </cell>
          <cell r="G957" t="str">
            <v>GAMARRA ACOSTA JORGE ENRIQUE</v>
          </cell>
          <cell r="H957" t="str">
            <v>FUNC</v>
          </cell>
          <cell r="I957" t="str">
            <v>FUNCIONARIO</v>
          </cell>
          <cell r="J957" t="str">
            <v>CL 12  22 79 TERCER P</v>
          </cell>
          <cell r="K957" t="str">
            <v>85001</v>
          </cell>
          <cell r="L957" t="str">
            <v>YOPAL</v>
          </cell>
          <cell r="M957" t="str">
            <v>3013709764</v>
          </cell>
        </row>
        <row r="958">
          <cell r="A958">
            <v>13804154</v>
          </cell>
          <cell r="B958" t="str">
            <v>4</v>
          </cell>
          <cell r="C958" t="str">
            <v/>
          </cell>
          <cell r="D958" t="str">
            <v>NP</v>
          </cell>
          <cell r="E958" t="str">
            <v>LUIS HERNANDO</v>
          </cell>
          <cell r="F958" t="str">
            <v>VERA AGUILON</v>
          </cell>
          <cell r="G958" t="str">
            <v xml:space="preserve">VERA AGUILON LUIS HERNANDO                                  </v>
          </cell>
          <cell r="H958" t="str">
            <v>RECO</v>
          </cell>
          <cell r="I958" t="str">
            <v>REGIMEN COMUN</v>
          </cell>
          <cell r="J958" t="str">
            <v>CR 5   14 A 36 BRR PORVENIR</v>
          </cell>
          <cell r="K958" t="str">
            <v>11001</v>
          </cell>
          <cell r="L958" t="str">
            <v>BOGOTA DC</v>
          </cell>
          <cell r="M958" t="str">
            <v>4349575</v>
          </cell>
        </row>
        <row r="959">
          <cell r="A959">
            <v>13804964</v>
          </cell>
          <cell r="B959" t="str">
            <v>3</v>
          </cell>
          <cell r="C959" t="str">
            <v/>
          </cell>
          <cell r="D959" t="str">
            <v>NP</v>
          </cell>
          <cell r="E959" t="str">
            <v>ALEJANDRO</v>
          </cell>
          <cell r="F959" t="str">
            <v>VASQUEZ HIGUERA</v>
          </cell>
          <cell r="G959" t="str">
            <v>VASQUEZ HIGUERA ALEJANDRO</v>
          </cell>
          <cell r="H959" t="str">
            <v>RECO</v>
          </cell>
          <cell r="I959" t="str">
            <v>REGIMEN COMUN</v>
          </cell>
          <cell r="J959" t="str">
            <v>CL 25 A   6-18 BRR VILLA PANORAMA</v>
          </cell>
          <cell r="K959" t="str">
            <v>15516</v>
          </cell>
          <cell r="L959" t="str">
            <v>PAIPA</v>
          </cell>
          <cell r="M959" t="str">
            <v>3123972257</v>
          </cell>
        </row>
        <row r="960">
          <cell r="A960">
            <v>13808997</v>
          </cell>
          <cell r="B960" t="str">
            <v>4</v>
          </cell>
          <cell r="C960" t="str">
            <v/>
          </cell>
          <cell r="D960" t="str">
            <v>NP</v>
          </cell>
          <cell r="E960" t="str">
            <v>GILBERTO</v>
          </cell>
          <cell r="F960" t="str">
            <v>DAZA HIGUERA</v>
          </cell>
          <cell r="G960" t="str">
            <v>DAZA HIGUERA GILBERTO</v>
          </cell>
          <cell r="H960" t="str">
            <v>RECO</v>
          </cell>
          <cell r="I960" t="str">
            <v>REGIMEN COMUN</v>
          </cell>
          <cell r="J960" t="str">
            <v>CRT 19 25 29</v>
          </cell>
          <cell r="K960" t="str">
            <v>17001</v>
          </cell>
          <cell r="L960" t="str">
            <v>MANIZALES</v>
          </cell>
          <cell r="M960" t="str">
            <v>7851436</v>
          </cell>
        </row>
        <row r="961">
          <cell r="A961">
            <v>13821007</v>
          </cell>
          <cell r="B961" t="str">
            <v>1</v>
          </cell>
          <cell r="C961" t="str">
            <v/>
          </cell>
          <cell r="D961" t="str">
            <v>NP</v>
          </cell>
          <cell r="E961" t="str">
            <v>GUILLERMO ANTONIO</v>
          </cell>
          <cell r="F961" t="str">
            <v>CAMACHO ARCE</v>
          </cell>
          <cell r="G961" t="str">
            <v>CAMACHO ARCE GUILLERMO ANTONIO</v>
          </cell>
          <cell r="H961" t="str">
            <v>RESI</v>
          </cell>
          <cell r="I961" t="str">
            <v>REGIMEN SIMPLIFICADO</v>
          </cell>
          <cell r="J961" t="str">
            <v>CRV 45 14 20</v>
          </cell>
          <cell r="K961" t="str">
            <v>17001</v>
          </cell>
          <cell r="L961" t="str">
            <v>MANIZALES</v>
          </cell>
          <cell r="M961" t="str">
            <v>2497637</v>
          </cell>
        </row>
        <row r="962">
          <cell r="A962">
            <v>13838248</v>
          </cell>
          <cell r="B962" t="str">
            <v>4</v>
          </cell>
          <cell r="C962" t="str">
            <v/>
          </cell>
          <cell r="D962" t="str">
            <v>NP</v>
          </cell>
          <cell r="E962" t="str">
            <v>ANTONIO MARIA</v>
          </cell>
          <cell r="F962" t="str">
            <v>BLANCO ACOSTA</v>
          </cell>
          <cell r="G962" t="str">
            <v>ANTONIO MARIA BLANCO ACOSTA</v>
          </cell>
          <cell r="H962" t="str">
            <v>RECO</v>
          </cell>
          <cell r="I962" t="str">
            <v>REGIMEN COMUN</v>
          </cell>
          <cell r="J962" t="str">
            <v xml:space="preserve">CR 23 N 64B 33                     </v>
          </cell>
          <cell r="K962" t="str">
            <v>17001</v>
          </cell>
          <cell r="L962" t="str">
            <v>MANIZALES</v>
          </cell>
          <cell r="M962" t="str">
            <v>8756262</v>
          </cell>
        </row>
        <row r="963">
          <cell r="A963">
            <v>13924780</v>
          </cell>
          <cell r="B963" t="str">
            <v>1</v>
          </cell>
          <cell r="C963" t="str">
            <v/>
          </cell>
          <cell r="D963" t="str">
            <v>NP</v>
          </cell>
          <cell r="E963" t="str">
            <v>EDGAR GERARDO</v>
          </cell>
          <cell r="F963" t="str">
            <v>HIGUERA JAIMES</v>
          </cell>
          <cell r="G963" t="str">
            <v>HIGUERA JAIMES EDGAR GERARDO</v>
          </cell>
          <cell r="H963" t="str">
            <v>RESI</v>
          </cell>
          <cell r="I963" t="str">
            <v>REGIMEN SIMPLIFICADO</v>
          </cell>
          <cell r="J963" t="str">
            <v>CR 28 A 71 B 80 BRR ALCAZARES</v>
          </cell>
          <cell r="K963" t="str">
            <v>11001</v>
          </cell>
          <cell r="L963" t="str">
            <v>BOGOTA DC</v>
          </cell>
          <cell r="M963" t="str">
            <v>8107350</v>
          </cell>
        </row>
        <row r="964">
          <cell r="A964">
            <v>13926127</v>
          </cell>
          <cell r="B964" t="str">
            <v>9</v>
          </cell>
          <cell r="C964" t="str">
            <v/>
          </cell>
          <cell r="D964" t="str">
            <v>NP</v>
          </cell>
          <cell r="E964" t="str">
            <v>FREDY LEONARDO</v>
          </cell>
          <cell r="F964" t="str">
            <v>NIÑO DURAN</v>
          </cell>
          <cell r="G964" t="str">
            <v>NIÑO DURAN FREDY LEONARDO</v>
          </cell>
          <cell r="H964" t="str">
            <v>RCPN</v>
          </cell>
          <cell r="I964" t="str">
            <v>RESPONSABLE IVA PERSONA NATURAL</v>
          </cell>
          <cell r="J964" t="str">
            <v>CR 23 64 17</v>
          </cell>
          <cell r="K964" t="str">
            <v>17001</v>
          </cell>
          <cell r="L964" t="str">
            <v>MANIZALES</v>
          </cell>
          <cell r="M964" t="str">
            <v>8810588</v>
          </cell>
        </row>
        <row r="965">
          <cell r="A965">
            <v>13956639</v>
          </cell>
          <cell r="B965" t="str">
            <v>6</v>
          </cell>
          <cell r="C965" t="str">
            <v/>
          </cell>
          <cell r="D965" t="str">
            <v>NP</v>
          </cell>
          <cell r="E965" t="str">
            <v>ROMAN</v>
          </cell>
          <cell r="F965" t="str">
            <v>TORRES PINZON</v>
          </cell>
          <cell r="G965" t="str">
            <v>TORRES PINZON ROMAN/MOTOMAR</v>
          </cell>
          <cell r="H965" t="str">
            <v>RCPN</v>
          </cell>
          <cell r="I965" t="str">
            <v>RESPONSABLE IVA PERSONA NATURAL</v>
          </cell>
          <cell r="J965" t="str">
            <v>CR 2 2 53</v>
          </cell>
          <cell r="K965" t="str">
            <v>27075</v>
          </cell>
          <cell r="L965" t="str">
            <v>BAHÍA SOLANO</v>
          </cell>
          <cell r="M965" t="str">
            <v>6827329</v>
          </cell>
        </row>
        <row r="966">
          <cell r="A966">
            <v>14111174</v>
          </cell>
          <cell r="B966" t="str">
            <v/>
          </cell>
          <cell r="C966" t="str">
            <v/>
          </cell>
          <cell r="D966" t="str">
            <v>NE</v>
          </cell>
          <cell r="E966" t="str">
            <v/>
          </cell>
          <cell r="F966" t="str">
            <v/>
          </cell>
          <cell r="G966" t="str">
            <v>CEO GLOBAL NETWORK</v>
          </cell>
          <cell r="H966" t="str">
            <v>RECO</v>
          </cell>
          <cell r="I966" t="str">
            <v>REGIMEN COMUN</v>
          </cell>
          <cell r="J966" t="str">
            <v>JUAREZ</v>
          </cell>
          <cell r="K966" t="str">
            <v>0493</v>
          </cell>
          <cell r="L966" t="str">
            <v>JUAREZ</v>
          </cell>
          <cell r="M966" t="str">
            <v>55127533</v>
          </cell>
        </row>
        <row r="967">
          <cell r="A967">
            <v>14202777</v>
          </cell>
          <cell r="B967" t="str">
            <v>2</v>
          </cell>
          <cell r="C967" t="str">
            <v/>
          </cell>
          <cell r="D967" t="str">
            <v>NP</v>
          </cell>
          <cell r="E967" t="str">
            <v>ARNULFO</v>
          </cell>
          <cell r="F967" t="str">
            <v>GUTIERREZ RIVERA</v>
          </cell>
          <cell r="G967" t="str">
            <v>GUTIERREZ RIVERA ARNULFO</v>
          </cell>
          <cell r="H967" t="str">
            <v>RECO</v>
          </cell>
          <cell r="I967" t="str">
            <v>REGIMEN COMUN</v>
          </cell>
          <cell r="J967" t="str">
            <v>CN 8 4 02 BRR CENTRO</v>
          </cell>
          <cell r="K967" t="str">
            <v>99524</v>
          </cell>
          <cell r="L967" t="str">
            <v>LA PRIMAVERA</v>
          </cell>
          <cell r="M967" t="str">
            <v>312523450</v>
          </cell>
        </row>
        <row r="968">
          <cell r="A968">
            <v>14211870</v>
          </cell>
          <cell r="B968" t="str">
            <v/>
          </cell>
          <cell r="C968" t="str">
            <v/>
          </cell>
          <cell r="D968" t="str">
            <v>CC</v>
          </cell>
          <cell r="E968" t="str">
            <v>CARLOS ARTURO</v>
          </cell>
          <cell r="F968" t="str">
            <v>GARCIA ORTEGA</v>
          </cell>
          <cell r="G968" t="str">
            <v>GARCIA ORTEGA CARLOS ARTURO</v>
          </cell>
          <cell r="H968" t="str">
            <v>RESI</v>
          </cell>
          <cell r="I968" t="str">
            <v>REGIMEN SIMPLIFICADO</v>
          </cell>
          <cell r="J968" t="str">
            <v>KM 2 CAJICA-TABIO CON GUARIGUA CA  22</v>
          </cell>
          <cell r="K968" t="str">
            <v>25126</v>
          </cell>
          <cell r="L968" t="str">
            <v>CAJICÁ</v>
          </cell>
          <cell r="M968" t="str">
            <v>3132610030</v>
          </cell>
        </row>
        <row r="969">
          <cell r="A969">
            <v>14230185</v>
          </cell>
          <cell r="B969" t="str">
            <v>1</v>
          </cell>
          <cell r="C969" t="str">
            <v/>
          </cell>
          <cell r="D969" t="str">
            <v>NP</v>
          </cell>
          <cell r="E969" t="str">
            <v>JORGE ALBERTO</v>
          </cell>
          <cell r="F969" t="str">
            <v>PIÑEROS VERGARA</v>
          </cell>
          <cell r="G969" t="str">
            <v>JORGE ALBERTO PIÑEROS VERGARA</v>
          </cell>
          <cell r="H969" t="str">
            <v>RECO</v>
          </cell>
          <cell r="I969" t="str">
            <v>REGIMEN COMUN</v>
          </cell>
          <cell r="J969" t="str">
            <v xml:space="preserve">AV AMBALA N 27 137                      </v>
          </cell>
          <cell r="K969" t="str">
            <v>73001</v>
          </cell>
          <cell r="L969" t="str">
            <v>IBAGUÉ</v>
          </cell>
          <cell r="M969" t="str">
            <v>2715655</v>
          </cell>
        </row>
        <row r="970">
          <cell r="A970">
            <v>14231281</v>
          </cell>
          <cell r="B970" t="str">
            <v/>
          </cell>
          <cell r="C970" t="str">
            <v/>
          </cell>
          <cell r="D970" t="str">
            <v>CC</v>
          </cell>
          <cell r="E970" t="str">
            <v>OSCAR HERNAN</v>
          </cell>
          <cell r="F970" t="str">
            <v>RAMIREZ OSPINA</v>
          </cell>
          <cell r="G970" t="str">
            <v>RAMIREZ OSPINA OSCAR HERNAN</v>
          </cell>
          <cell r="H970" t="str">
            <v>FUNC</v>
          </cell>
          <cell r="I970" t="str">
            <v>FUNCIONARIO</v>
          </cell>
          <cell r="J970" t="str">
            <v>CR 21    59  14 AP A1</v>
          </cell>
          <cell r="K970" t="str">
            <v>17001</v>
          </cell>
          <cell r="L970" t="str">
            <v>MANIZALES</v>
          </cell>
          <cell r="M970" t="str">
            <v>3113686332</v>
          </cell>
        </row>
        <row r="971">
          <cell r="A971">
            <v>14231695</v>
          </cell>
          <cell r="B971" t="str">
            <v>0</v>
          </cell>
          <cell r="C971" t="str">
            <v/>
          </cell>
          <cell r="D971" t="str">
            <v>NP</v>
          </cell>
          <cell r="E971" t="str">
            <v xml:space="preserve">GUILLERMO </v>
          </cell>
          <cell r="F971" t="str">
            <v>RICO VISCAYA</v>
          </cell>
          <cell r="G971" t="str">
            <v>GUILLERMO RICO VISCAYA</v>
          </cell>
          <cell r="H971" t="str">
            <v>RECO</v>
          </cell>
          <cell r="I971" t="str">
            <v>REGIMEN COMUN</v>
          </cell>
          <cell r="J971" t="str">
            <v xml:space="preserve">CR 23 N 64B 33                     </v>
          </cell>
          <cell r="K971" t="str">
            <v>17001</v>
          </cell>
          <cell r="L971" t="str">
            <v>MANIZALES</v>
          </cell>
          <cell r="M971" t="str">
            <v>8756262</v>
          </cell>
        </row>
        <row r="972">
          <cell r="A972">
            <v>14238619</v>
          </cell>
          <cell r="B972" t="str">
            <v/>
          </cell>
          <cell r="C972" t="str">
            <v/>
          </cell>
          <cell r="D972" t="str">
            <v>CC</v>
          </cell>
          <cell r="E972" t="str">
            <v>LUIS EMIL</v>
          </cell>
          <cell r="F972" t="str">
            <v>SIERRA TELLEZ</v>
          </cell>
          <cell r="G972" t="str">
            <v>SIERRA TELLEZ LUIS EMIL</v>
          </cell>
          <cell r="H972" t="str">
            <v>RESI</v>
          </cell>
          <cell r="I972" t="str">
            <v>REGIMEN SIMPLIFICADO</v>
          </cell>
          <cell r="J972" t="str">
            <v>CR 5 N 14-21</v>
          </cell>
          <cell r="K972" t="str">
            <v>94001</v>
          </cell>
          <cell r="L972" t="str">
            <v>INÍRIDA</v>
          </cell>
          <cell r="M972" t="str">
            <v>3123631530</v>
          </cell>
        </row>
        <row r="973">
          <cell r="A973">
            <v>14297701</v>
          </cell>
          <cell r="B973" t="str">
            <v>0</v>
          </cell>
          <cell r="C973" t="str">
            <v/>
          </cell>
          <cell r="D973" t="str">
            <v>NP</v>
          </cell>
          <cell r="E973" t="str">
            <v>SERGIO</v>
          </cell>
          <cell r="F973" t="str">
            <v>RUEDA IZQUIERDO</v>
          </cell>
          <cell r="G973" t="str">
            <v>RUEDA IZQUIERDO SERGIO</v>
          </cell>
          <cell r="H973" t="str">
            <v>RECO</v>
          </cell>
          <cell r="I973" t="str">
            <v>REGIMEN COMUN</v>
          </cell>
          <cell r="J973" t="str">
            <v>CL 16  16 32</v>
          </cell>
          <cell r="K973" t="str">
            <v>15238</v>
          </cell>
          <cell r="L973" t="str">
            <v>DUITAMA</v>
          </cell>
          <cell r="M973" t="str">
            <v>7610704</v>
          </cell>
        </row>
        <row r="974">
          <cell r="A974">
            <v>14323150</v>
          </cell>
          <cell r="B974" t="str">
            <v>4</v>
          </cell>
          <cell r="C974" t="str">
            <v/>
          </cell>
          <cell r="D974" t="str">
            <v>NP</v>
          </cell>
          <cell r="E974" t="str">
            <v>RICARDO</v>
          </cell>
          <cell r="F974" t="str">
            <v>SOTO MUÑOZ</v>
          </cell>
          <cell r="G974" t="str">
            <v>SOTO MUÑOZ RICARDO</v>
          </cell>
          <cell r="H974" t="str">
            <v>RESI</v>
          </cell>
          <cell r="I974" t="str">
            <v>REGIMEN SIMPLIFICADO</v>
          </cell>
          <cell r="J974" t="str">
            <v>C SN MIGUEL</v>
          </cell>
          <cell r="K974" t="str">
            <v>05756</v>
          </cell>
          <cell r="L974" t="str">
            <v>SONSON</v>
          </cell>
          <cell r="M974" t="str">
            <v>3105728966</v>
          </cell>
        </row>
        <row r="975">
          <cell r="A975">
            <v>14571980</v>
          </cell>
          <cell r="B975" t="str">
            <v>3</v>
          </cell>
          <cell r="C975" t="str">
            <v/>
          </cell>
          <cell r="D975" t="str">
            <v>NP</v>
          </cell>
          <cell r="E975" t="str">
            <v>ANGEL ANDRES</v>
          </cell>
          <cell r="F975" t="str">
            <v>MOSQUERA ROSERO</v>
          </cell>
          <cell r="G975" t="str">
            <v>MOSQUERA ROSERO ANGEL ANDRES</v>
          </cell>
          <cell r="H975" t="str">
            <v>RESI</v>
          </cell>
          <cell r="I975" t="str">
            <v>REGIMEN SIMPLIFICADO</v>
          </cell>
          <cell r="J975" t="str">
            <v>CL 51 CR 21  77</v>
          </cell>
          <cell r="K975" t="str">
            <v>17001</v>
          </cell>
          <cell r="L975" t="str">
            <v>MANIZALES</v>
          </cell>
          <cell r="M975" t="str">
            <v>3217491665</v>
          </cell>
        </row>
        <row r="976">
          <cell r="A976">
            <v>14880463</v>
          </cell>
          <cell r="B976" t="str">
            <v/>
          </cell>
          <cell r="C976" t="str">
            <v/>
          </cell>
          <cell r="D976" t="str">
            <v>CC</v>
          </cell>
          <cell r="E976" t="str">
            <v>EPITACIO</v>
          </cell>
          <cell r="F976" t="str">
            <v>NARVAEZ ACOSTA</v>
          </cell>
          <cell r="G976" t="str">
            <v xml:space="preserve">NARVAEZ ACOSTA EPITACIO                                     </v>
          </cell>
          <cell r="H976" t="str">
            <v>FUNC</v>
          </cell>
          <cell r="I976" t="str">
            <v>FUNCIONARIO</v>
          </cell>
          <cell r="J976" t="str">
            <v>CR 23   42   58 ED BAVIERO AP 305</v>
          </cell>
          <cell r="K976" t="str">
            <v>11001</v>
          </cell>
          <cell r="L976" t="str">
            <v>BOGOTA DC</v>
          </cell>
          <cell r="M976" t="str">
            <v>4182073</v>
          </cell>
        </row>
        <row r="977">
          <cell r="A977">
            <v>14885300</v>
          </cell>
          <cell r="B977" t="str">
            <v>3</v>
          </cell>
          <cell r="C977" t="str">
            <v/>
          </cell>
          <cell r="D977" t="str">
            <v>NP</v>
          </cell>
          <cell r="E977" t="str">
            <v>DIEGO FERNANDO</v>
          </cell>
          <cell r="F977" t="str">
            <v>RENGIFO RAYO</v>
          </cell>
          <cell r="G977" t="str">
            <v>DIEGO FERNANDO RENGIFO RAYO</v>
          </cell>
          <cell r="H977" t="str">
            <v>RECO</v>
          </cell>
          <cell r="I977" t="str">
            <v>REGIMEN COMUN</v>
          </cell>
          <cell r="J977" t="str">
            <v>BRR LOS COMUNEROS CL 19 9 72</v>
          </cell>
          <cell r="K977" t="str">
            <v>94001</v>
          </cell>
          <cell r="L977" t="str">
            <v>INÍRIDA</v>
          </cell>
          <cell r="M977" t="str">
            <v>5657248</v>
          </cell>
        </row>
        <row r="978">
          <cell r="A978">
            <v>14893758</v>
          </cell>
          <cell r="B978" t="str">
            <v>6</v>
          </cell>
          <cell r="C978" t="str">
            <v/>
          </cell>
          <cell r="D978" t="str">
            <v>NP</v>
          </cell>
          <cell r="E978" t="str">
            <v>JAIRO ALFONSO</v>
          </cell>
          <cell r="F978" t="str">
            <v>LARGO CARDONA</v>
          </cell>
          <cell r="G978" t="str">
            <v>LARGO CARDONA JAIRO ALFONSO</v>
          </cell>
          <cell r="H978" t="str">
            <v>RESI</v>
          </cell>
          <cell r="I978" t="str">
            <v>REGIMEN SIMPLIFICADO</v>
          </cell>
          <cell r="J978" t="str">
            <v>CR 16  13 24 AP 407  CON JARDINES DE LA PALMA</v>
          </cell>
          <cell r="K978" t="str">
            <v>17001</v>
          </cell>
          <cell r="L978" t="str">
            <v>MANIZALES</v>
          </cell>
          <cell r="M978" t="str">
            <v>3108385228</v>
          </cell>
        </row>
        <row r="979">
          <cell r="A979">
            <v>14898728</v>
          </cell>
          <cell r="B979" t="str">
            <v>8</v>
          </cell>
          <cell r="C979" t="str">
            <v/>
          </cell>
          <cell r="D979" t="str">
            <v>NP</v>
          </cell>
          <cell r="E979" t="str">
            <v>VICTOR HUGO</v>
          </cell>
          <cell r="F979" t="str">
            <v>MEDINA ZULETA</v>
          </cell>
          <cell r="G979" t="str">
            <v>MEDINA ZULETA VICTOR HUGO</v>
          </cell>
          <cell r="H979" t="str">
            <v>RECO</v>
          </cell>
          <cell r="I979" t="str">
            <v>REGIMEN COMUN</v>
          </cell>
          <cell r="J979" t="str">
            <v>CL 15 A 14 06 BRR CENTRO</v>
          </cell>
          <cell r="K979" t="str">
            <v>97001</v>
          </cell>
          <cell r="L979" t="str">
            <v>MITÚ</v>
          </cell>
          <cell r="M979" t="str">
            <v>3212660218</v>
          </cell>
        </row>
        <row r="980">
          <cell r="A980">
            <v>14961145</v>
          </cell>
          <cell r="B980" t="str">
            <v>3</v>
          </cell>
          <cell r="C980" t="str">
            <v/>
          </cell>
          <cell r="D980" t="str">
            <v>NP</v>
          </cell>
          <cell r="E980" t="str">
            <v>ALVARO</v>
          </cell>
          <cell r="F980" t="str">
            <v>GOMEZ SIERRA</v>
          </cell>
          <cell r="G980" t="str">
            <v>GOMEZ SIERRA ALVARO</v>
          </cell>
          <cell r="H980" t="str">
            <v>RESI</v>
          </cell>
          <cell r="I980" t="str">
            <v>REGIMEN SIMPLIFICADO</v>
          </cell>
          <cell r="J980" t="str">
            <v>CR 23 C 12 33</v>
          </cell>
          <cell r="K980" t="str">
            <v>76001</v>
          </cell>
          <cell r="L980" t="str">
            <v>CALI</v>
          </cell>
          <cell r="M980" t="str">
            <v>3108285017</v>
          </cell>
        </row>
        <row r="981">
          <cell r="A981">
            <v>14989935</v>
          </cell>
          <cell r="B981" t="str">
            <v/>
          </cell>
          <cell r="C981" t="str">
            <v/>
          </cell>
          <cell r="D981" t="str">
            <v>CC</v>
          </cell>
          <cell r="E981" t="str">
            <v>AMERICO DARIO</v>
          </cell>
          <cell r="F981" t="str">
            <v>QUINTERO GONZALEZ</v>
          </cell>
          <cell r="G981" t="str">
            <v>QUINTERO GONZALEZ AMERICO DARIO</v>
          </cell>
          <cell r="H981" t="str">
            <v>FUNC</v>
          </cell>
          <cell r="I981" t="str">
            <v>FUNCIONARIO</v>
          </cell>
          <cell r="J981" t="str">
            <v>CR 17    72  22</v>
          </cell>
          <cell r="K981" t="str">
            <v>17001</v>
          </cell>
          <cell r="L981" t="str">
            <v>MANIZALES</v>
          </cell>
          <cell r="M981" t="str">
            <v>PND.</v>
          </cell>
        </row>
        <row r="982">
          <cell r="A982">
            <v>15237858</v>
          </cell>
          <cell r="B982" t="str">
            <v>5</v>
          </cell>
          <cell r="C982" t="str">
            <v/>
          </cell>
          <cell r="D982" t="str">
            <v>NP</v>
          </cell>
          <cell r="E982" t="str">
            <v>OLIVERO</v>
          </cell>
          <cell r="F982" t="str">
            <v>PAZ PALACIO</v>
          </cell>
          <cell r="G982" t="str">
            <v>PAZ PALACIO OLIVERO</v>
          </cell>
          <cell r="H982" t="str">
            <v>RESI</v>
          </cell>
          <cell r="I982" t="str">
            <v>REGIMEN SIMPLIFICADO</v>
          </cell>
          <cell r="J982" t="str">
            <v>CL 7   18   81 BRR SANTANDER</v>
          </cell>
          <cell r="K982" t="str">
            <v>44430</v>
          </cell>
          <cell r="L982" t="str">
            <v>MAICAO</v>
          </cell>
          <cell r="M982" t="str">
            <v>7266815</v>
          </cell>
        </row>
        <row r="983">
          <cell r="A983">
            <v>15374175</v>
          </cell>
          <cell r="B983" t="str">
            <v>1</v>
          </cell>
          <cell r="C983" t="str">
            <v/>
          </cell>
          <cell r="D983" t="str">
            <v>NP</v>
          </cell>
          <cell r="E983" t="str">
            <v>JORGE IVAN</v>
          </cell>
          <cell r="F983" t="str">
            <v>ANGULO VILLEGAS</v>
          </cell>
          <cell r="G983" t="str">
            <v>ANGULO VILLEGAS JORGE IVAN</v>
          </cell>
          <cell r="H983" t="str">
            <v>RESI</v>
          </cell>
          <cell r="I983" t="str">
            <v>REGIMEN SIMPLIFICADO</v>
          </cell>
          <cell r="J983" t="str">
            <v>CL 16 16 32</v>
          </cell>
          <cell r="K983" t="str">
            <v>15238</v>
          </cell>
          <cell r="L983" t="str">
            <v>DUITAMA</v>
          </cell>
          <cell r="M983" t="str">
            <v>3167560764</v>
          </cell>
        </row>
        <row r="984">
          <cell r="A984">
            <v>15384927</v>
          </cell>
          <cell r="B984" t="str">
            <v>4</v>
          </cell>
          <cell r="C984" t="str">
            <v/>
          </cell>
          <cell r="D984" t="str">
            <v>NP</v>
          </cell>
          <cell r="E984" t="str">
            <v>RAMIRO ANTONIO</v>
          </cell>
          <cell r="F984" t="str">
            <v>LOPEZ MONTOYA</v>
          </cell>
          <cell r="G984" t="str">
            <v>LOPEZ MONTOYA RAMIRO ANTONIO</v>
          </cell>
          <cell r="H984" t="str">
            <v>NORE</v>
          </cell>
          <cell r="I984" t="str">
            <v>NO RESPONSABLE DE IVA</v>
          </cell>
          <cell r="J984" t="str">
            <v>CR 58  80  87</v>
          </cell>
          <cell r="K984" t="str">
            <v>11001</v>
          </cell>
          <cell r="L984" t="str">
            <v>BOGOTA DC</v>
          </cell>
          <cell r="M984" t="str">
            <v>3146290436</v>
          </cell>
        </row>
        <row r="985">
          <cell r="A985">
            <v>15448253</v>
          </cell>
          <cell r="B985" t="str">
            <v/>
          </cell>
          <cell r="C985" t="str">
            <v/>
          </cell>
          <cell r="D985" t="str">
            <v>CC</v>
          </cell>
          <cell r="E985" t="str">
            <v>PABLO EMILIO</v>
          </cell>
          <cell r="F985" t="str">
            <v>ZAPATA</v>
          </cell>
          <cell r="G985" t="str">
            <v>ZAPATA PABLO EMILIO</v>
          </cell>
          <cell r="H985" t="str">
            <v>RESI</v>
          </cell>
          <cell r="I985" t="str">
            <v>REGIMEN SIMPLIFICADO</v>
          </cell>
          <cell r="J985" t="str">
            <v>MCP MEDELLÍN</v>
          </cell>
          <cell r="K985" t="str">
            <v>05001</v>
          </cell>
          <cell r="L985" t="str">
            <v>MEDELLÍN</v>
          </cell>
          <cell r="M985" t="str">
            <v>8756262</v>
          </cell>
        </row>
        <row r="986">
          <cell r="A986">
            <v>15451997</v>
          </cell>
          <cell r="B986" t="str">
            <v/>
          </cell>
          <cell r="C986" t="str">
            <v/>
          </cell>
          <cell r="D986" t="str">
            <v>CC</v>
          </cell>
          <cell r="E986" t="str">
            <v>JOSE ARNULFO</v>
          </cell>
          <cell r="F986" t="str">
            <v>TRIANA RODRIGUEZ</v>
          </cell>
          <cell r="G986" t="str">
            <v>TRIANA RODRIGUEZ JOSE ARNULFO</v>
          </cell>
          <cell r="H986" t="str">
            <v>RESI</v>
          </cell>
          <cell r="I986" t="str">
            <v>REGIMEN SIMPLIFICADO</v>
          </cell>
          <cell r="J986" t="str">
            <v>VRD ALTO DEL LIMON</v>
          </cell>
          <cell r="K986" t="str">
            <v>05893</v>
          </cell>
          <cell r="L986" t="str">
            <v>YONDÓ</v>
          </cell>
          <cell r="M986" t="str">
            <v>3134814502</v>
          </cell>
        </row>
        <row r="987">
          <cell r="A987">
            <v>15483846</v>
          </cell>
          <cell r="B987" t="str">
            <v/>
          </cell>
          <cell r="C987" t="str">
            <v/>
          </cell>
          <cell r="D987" t="str">
            <v>CC</v>
          </cell>
          <cell r="E987" t="str">
            <v>RAUL BAYARDO</v>
          </cell>
          <cell r="F987" t="str">
            <v>MONTOYA SANCHEZ</v>
          </cell>
          <cell r="G987" t="str">
            <v>MONTOYA SANCHEZ RAUL BAYARDO</v>
          </cell>
          <cell r="H987" t="str">
            <v>PNSA</v>
          </cell>
          <cell r="I987" t="str">
            <v>PNA NATURAL SIN ACTIVIDAD ECONOC</v>
          </cell>
          <cell r="J987" t="str">
            <v xml:space="preserve"> Resguardo Manísabaleta Urrao Antioquia</v>
          </cell>
          <cell r="K987" t="str">
            <v>05847</v>
          </cell>
          <cell r="L987" t="str">
            <v>URRAO</v>
          </cell>
          <cell r="M987" t="str">
            <v>1234567</v>
          </cell>
        </row>
        <row r="988">
          <cell r="A988">
            <v>15489681</v>
          </cell>
          <cell r="B988" t="str">
            <v/>
          </cell>
          <cell r="C988" t="str">
            <v/>
          </cell>
          <cell r="D988" t="str">
            <v>CC</v>
          </cell>
          <cell r="E988" t="str">
            <v>LUIS CARLOS</v>
          </cell>
          <cell r="F988" t="str">
            <v>SEGURO FLOREZ</v>
          </cell>
          <cell r="G988" t="str">
            <v>SEGURO FLOREZ LUIS CARLOS</v>
          </cell>
          <cell r="H988" t="str">
            <v>PNSA</v>
          </cell>
          <cell r="I988" t="str">
            <v>PNA NATURAL SIN ACTIVIDAD ECONOC</v>
          </cell>
          <cell r="J988" t="str">
            <v>URRAO-ANTIOQUIA Resguardo Manísabaleta</v>
          </cell>
          <cell r="K988" t="str">
            <v>05847</v>
          </cell>
          <cell r="L988" t="str">
            <v>URRAO</v>
          </cell>
          <cell r="M988" t="str">
            <v>12345678</v>
          </cell>
        </row>
        <row r="989">
          <cell r="A989">
            <v>15614497</v>
          </cell>
          <cell r="B989" t="str">
            <v>7</v>
          </cell>
          <cell r="C989" t="str">
            <v/>
          </cell>
          <cell r="D989" t="str">
            <v>NP</v>
          </cell>
          <cell r="E989" t="str">
            <v>MANUEL GREGORIO</v>
          </cell>
          <cell r="F989" t="str">
            <v>GONZALEZ ACOSTA</v>
          </cell>
          <cell r="G989" t="str">
            <v>GONZALEZ ACOSTA MANUEL GREGORIO</v>
          </cell>
          <cell r="H989" t="str">
            <v>RESI</v>
          </cell>
          <cell r="I989" t="str">
            <v>REGIMEN SIMPLIFICADO</v>
          </cell>
          <cell r="J989" t="str">
            <v>CR 29 A 8 15 BRR GALAN</v>
          </cell>
          <cell r="K989" t="str">
            <v>23807</v>
          </cell>
          <cell r="L989" t="str">
            <v>TIERRALTA</v>
          </cell>
          <cell r="M989" t="str">
            <v>3145433793</v>
          </cell>
        </row>
        <row r="990">
          <cell r="A990">
            <v>15648017</v>
          </cell>
          <cell r="B990" t="str">
            <v>1</v>
          </cell>
          <cell r="C990" t="str">
            <v/>
          </cell>
          <cell r="D990" t="str">
            <v>NP</v>
          </cell>
          <cell r="E990" t="str">
            <v>MAURICIO JOSE</v>
          </cell>
          <cell r="F990" t="str">
            <v>RIVERO MIRANDA</v>
          </cell>
          <cell r="G990" t="str">
            <v>RIVERO MIRANDA MAURICIO JOSE</v>
          </cell>
          <cell r="H990" t="str">
            <v>RESI</v>
          </cell>
          <cell r="I990" t="str">
            <v>REGIMEN SIMPLIFICADO</v>
          </cell>
          <cell r="J990" t="str">
            <v>CR 79 D 58 C 27</v>
          </cell>
          <cell r="K990" t="str">
            <v>11001</v>
          </cell>
          <cell r="L990" t="str">
            <v>BOGOTA DC</v>
          </cell>
          <cell r="M990" t="str">
            <v>6089461</v>
          </cell>
        </row>
        <row r="991">
          <cell r="A991">
            <v>15670786</v>
          </cell>
          <cell r="B991" t="str">
            <v>9</v>
          </cell>
          <cell r="C991" t="str">
            <v/>
          </cell>
          <cell r="D991" t="str">
            <v>NP</v>
          </cell>
          <cell r="E991" t="str">
            <v>JOSE LUIS</v>
          </cell>
          <cell r="F991" t="str">
            <v>TAMAYO ESPITIA</v>
          </cell>
          <cell r="G991" t="str">
            <v>TAMAYO ESPITIA JOSE LUIS</v>
          </cell>
          <cell r="H991" t="str">
            <v>RECO</v>
          </cell>
          <cell r="I991" t="str">
            <v>REGIMEN COMUN</v>
          </cell>
          <cell r="J991" t="str">
            <v xml:space="preserve"> CR 7  15 94 BRR LOS ABETOS</v>
          </cell>
          <cell r="K991" t="str">
            <v>23555</v>
          </cell>
          <cell r="L991" t="str">
            <v>PLANETA RICA</v>
          </cell>
          <cell r="M991" t="str">
            <v>7766642</v>
          </cell>
        </row>
        <row r="992">
          <cell r="A992">
            <v>15725146</v>
          </cell>
          <cell r="B992" t="str">
            <v>3</v>
          </cell>
          <cell r="C992" t="str">
            <v/>
          </cell>
          <cell r="D992" t="str">
            <v>NP</v>
          </cell>
          <cell r="E992" t="str">
            <v>ORLANDO JOSE</v>
          </cell>
          <cell r="F992" t="str">
            <v>MONTIEL HERAZO</v>
          </cell>
          <cell r="G992" t="str">
            <v>MONTIEL HERAZO ORLANDO JOSE</v>
          </cell>
          <cell r="H992" t="str">
            <v>RESI</v>
          </cell>
          <cell r="I992" t="str">
            <v>REGIMEN SIMPLIFICADO</v>
          </cell>
          <cell r="J992" t="str">
            <v>CL 17   10   92 BRR SAN SIMON</v>
          </cell>
          <cell r="K992" t="str">
            <v>17001</v>
          </cell>
          <cell r="L992" t="str">
            <v>MANIZALES</v>
          </cell>
          <cell r="M992" t="str">
            <v>3015028507</v>
          </cell>
        </row>
        <row r="993">
          <cell r="A993">
            <v>15875919</v>
          </cell>
          <cell r="B993" t="str">
            <v/>
          </cell>
          <cell r="C993" t="str">
            <v/>
          </cell>
          <cell r="D993" t="str">
            <v>CC</v>
          </cell>
          <cell r="E993" t="str">
            <v>GONZALO</v>
          </cell>
          <cell r="F993" t="str">
            <v>SANCHEZ AHUANARI</v>
          </cell>
          <cell r="G993" t="str">
            <v>SANCHEZ AHUANARI GONZALO</v>
          </cell>
          <cell r="H993" t="str">
            <v>FUNC</v>
          </cell>
          <cell r="I993" t="str">
            <v>FUNCIONARIO</v>
          </cell>
          <cell r="J993" t="str">
            <v>LETICIA</v>
          </cell>
          <cell r="K993" t="str">
            <v>91001</v>
          </cell>
          <cell r="L993" t="str">
            <v>LETICIA</v>
          </cell>
          <cell r="M993" t="str">
            <v>0</v>
          </cell>
        </row>
        <row r="994">
          <cell r="A994">
            <v>15876793</v>
          </cell>
          <cell r="B994" t="str">
            <v>6</v>
          </cell>
          <cell r="C994" t="str">
            <v/>
          </cell>
          <cell r="D994" t="str">
            <v>NP</v>
          </cell>
          <cell r="E994" t="str">
            <v>ROMUALDO</v>
          </cell>
          <cell r="F994" t="str">
            <v>ÑEÑETOFE MATIAS</v>
          </cell>
          <cell r="G994" t="str">
            <v>ÑEÑETOFE MATIAS ROMUALDO</v>
          </cell>
          <cell r="H994" t="str">
            <v>RESI</v>
          </cell>
          <cell r="I994" t="str">
            <v>REGIMEN SIMPLIFICADO</v>
          </cell>
          <cell r="J994" t="str">
            <v>CRR DE LA CHORRERA</v>
          </cell>
          <cell r="K994" t="str">
            <v>91405</v>
          </cell>
          <cell r="L994" t="str">
            <v>LA CHORRERA</v>
          </cell>
          <cell r="M994" t="str">
            <v>5662365</v>
          </cell>
        </row>
        <row r="995">
          <cell r="A995">
            <v>15877548</v>
          </cell>
          <cell r="B995" t="str">
            <v/>
          </cell>
          <cell r="C995" t="str">
            <v/>
          </cell>
          <cell r="D995" t="str">
            <v>CC</v>
          </cell>
          <cell r="E995" t="str">
            <v>CARLOS ARTURO</v>
          </cell>
          <cell r="F995" t="str">
            <v>MANRIQUE CAPINOA</v>
          </cell>
          <cell r="G995" t="str">
            <v>MANRIQUE CAPINOA CARLOS ARTURO</v>
          </cell>
          <cell r="H995" t="str">
            <v>FUNC</v>
          </cell>
          <cell r="I995" t="str">
            <v>FUNCIONARIO</v>
          </cell>
          <cell r="J995" t="str">
            <v>CR 04   06   18</v>
          </cell>
          <cell r="K995" t="str">
            <v>91001</v>
          </cell>
          <cell r="L995" t="str">
            <v>LETICIA</v>
          </cell>
          <cell r="M995" t="str">
            <v>3102977424</v>
          </cell>
        </row>
        <row r="996">
          <cell r="A996">
            <v>15878593</v>
          </cell>
          <cell r="B996" t="str">
            <v>9</v>
          </cell>
          <cell r="C996" t="str">
            <v/>
          </cell>
          <cell r="D996" t="str">
            <v>NP</v>
          </cell>
          <cell r="E996" t="str">
            <v>JEOBA</v>
          </cell>
          <cell r="F996" t="str">
            <v>BARRIOS NOE</v>
          </cell>
          <cell r="G996" t="str">
            <v>BARRIOS NOE JEOBA</v>
          </cell>
          <cell r="H996" t="str">
            <v>RESI</v>
          </cell>
          <cell r="I996" t="str">
            <v>REGIMEN SIMPLIFICADO</v>
          </cell>
          <cell r="J996" t="str">
            <v>CRR DE TARAPACA</v>
          </cell>
          <cell r="K996" t="str">
            <v>91798</v>
          </cell>
          <cell r="L996" t="str">
            <v>TARAPACÁ</v>
          </cell>
          <cell r="M996" t="str">
            <v>5662380</v>
          </cell>
        </row>
        <row r="997">
          <cell r="A997">
            <v>15878752</v>
          </cell>
          <cell r="B997" t="str">
            <v/>
          </cell>
          <cell r="C997" t="str">
            <v/>
          </cell>
          <cell r="D997" t="str">
            <v>CC</v>
          </cell>
          <cell r="E997" t="str">
            <v>JESUS ANDRES</v>
          </cell>
          <cell r="F997" t="str">
            <v>ACOSTA WHILER</v>
          </cell>
          <cell r="G997" t="str">
            <v>ACOSTA WHILER JESUS ANDRES</v>
          </cell>
          <cell r="H997" t="str">
            <v>FUNC</v>
          </cell>
          <cell r="I997" t="str">
            <v>FUNCIONARIO</v>
          </cell>
          <cell r="J997" t="str">
            <v>CL 17   08   31</v>
          </cell>
          <cell r="K997" t="str">
            <v>91001</v>
          </cell>
          <cell r="L997" t="str">
            <v>LETICIA</v>
          </cell>
          <cell r="M997" t="str">
            <v>5928115</v>
          </cell>
        </row>
        <row r="998">
          <cell r="A998">
            <v>15879464</v>
          </cell>
          <cell r="B998" t="str">
            <v/>
          </cell>
          <cell r="C998" t="str">
            <v/>
          </cell>
          <cell r="D998" t="str">
            <v>CC</v>
          </cell>
          <cell r="E998" t="str">
            <v>OMAR</v>
          </cell>
          <cell r="F998" t="str">
            <v>SANTANA MARTINEZ</v>
          </cell>
          <cell r="G998" t="str">
            <v>SANTANA MARTINEZ OMAR</v>
          </cell>
          <cell r="H998" t="str">
            <v>FUNC</v>
          </cell>
          <cell r="I998" t="str">
            <v>FUNCIONARIO</v>
          </cell>
          <cell r="J998" t="str">
            <v>LETICIA</v>
          </cell>
          <cell r="K998" t="str">
            <v>91001</v>
          </cell>
          <cell r="L998" t="str">
            <v>LETICIA</v>
          </cell>
          <cell r="M998" t="str">
            <v>0</v>
          </cell>
        </row>
        <row r="999">
          <cell r="A999">
            <v>15886932</v>
          </cell>
          <cell r="B999" t="str">
            <v>6</v>
          </cell>
          <cell r="C999" t="str">
            <v/>
          </cell>
          <cell r="D999" t="str">
            <v>NP</v>
          </cell>
          <cell r="E999" t="str">
            <v>JESUS HERNESTO</v>
          </cell>
          <cell r="F999" t="str">
            <v>GARCIA VIZCAYA</v>
          </cell>
          <cell r="G999" t="str">
            <v>JESUS HERNESTO GARCIA VIZCAYA</v>
          </cell>
          <cell r="H999" t="str">
            <v>RECO</v>
          </cell>
          <cell r="I999" t="str">
            <v>REGIMEN COMUN</v>
          </cell>
          <cell r="J999" t="str">
            <v xml:space="preserve">CR 23 N 64B 33                     </v>
          </cell>
          <cell r="K999" t="str">
            <v>17001</v>
          </cell>
          <cell r="L999" t="str">
            <v>MANIZALES</v>
          </cell>
          <cell r="M999" t="str">
            <v>8756262</v>
          </cell>
        </row>
        <row r="1000">
          <cell r="A1000">
            <v>15899405</v>
          </cell>
          <cell r="B1000" t="str">
            <v/>
          </cell>
          <cell r="C1000" t="str">
            <v/>
          </cell>
          <cell r="D1000" t="str">
            <v>CC</v>
          </cell>
          <cell r="E1000" t="str">
            <v>OMAR DE JESUS</v>
          </cell>
          <cell r="F1000" t="str">
            <v>GIRALDO ESCOBAR</v>
          </cell>
          <cell r="G1000" t="str">
            <v>GIRALDO ESCOBAR OMAR DE JESUS</v>
          </cell>
          <cell r="H1000" t="str">
            <v>RESI</v>
          </cell>
          <cell r="I1000" t="str">
            <v>REGIMEN SIMPLIFICADO</v>
          </cell>
          <cell r="J1000" t="str">
            <v>SEC EL TABLAZO</v>
          </cell>
          <cell r="K1000" t="str">
            <v>17001</v>
          </cell>
          <cell r="L1000" t="str">
            <v>MANIZALES</v>
          </cell>
          <cell r="M1000" t="str">
            <v>3113289956</v>
          </cell>
        </row>
        <row r="1001">
          <cell r="A1001">
            <v>15900428</v>
          </cell>
          <cell r="B1001" t="str">
            <v/>
          </cell>
          <cell r="C1001" t="str">
            <v/>
          </cell>
          <cell r="D1001" t="str">
            <v>CC</v>
          </cell>
          <cell r="E1001" t="str">
            <v>ANTONIO</v>
          </cell>
          <cell r="F1001" t="str">
            <v>ANTONIO JOSE ECHEVERRY</v>
          </cell>
          <cell r="G1001" t="str">
            <v>ANTONIO JOSE ECHEVERRY ANTONIO</v>
          </cell>
          <cell r="H1001" t="str">
            <v>RESI</v>
          </cell>
          <cell r="I1001" t="str">
            <v>REGIMEN SIMPLIFICADO</v>
          </cell>
          <cell r="J1001" t="str">
            <v>CR 10 N 10 C -53</v>
          </cell>
          <cell r="K1001" t="str">
            <v>17001</v>
          </cell>
          <cell r="L1001" t="str">
            <v>MANIZALES</v>
          </cell>
          <cell r="M1001" t="str">
            <v>3122542491</v>
          </cell>
        </row>
        <row r="1002">
          <cell r="A1002">
            <v>15901013</v>
          </cell>
          <cell r="B1002" t="str">
            <v>7</v>
          </cell>
          <cell r="C1002" t="str">
            <v/>
          </cell>
          <cell r="D1002" t="str">
            <v>NP</v>
          </cell>
          <cell r="E1002" t="str">
            <v>RUBER FERNANDO</v>
          </cell>
          <cell r="F1002" t="str">
            <v>NARANJO NOREÑA</v>
          </cell>
          <cell r="G1002" t="str">
            <v>NARANJO NOREÑA RUBER FERNANDO</v>
          </cell>
          <cell r="H1002" t="str">
            <v>RECO</v>
          </cell>
          <cell r="I1002" t="str">
            <v>REGIMEN COMUN</v>
          </cell>
          <cell r="J1002" t="str">
            <v>CR 23 73 39 AP F 8</v>
          </cell>
          <cell r="K1002" t="str">
            <v>17001</v>
          </cell>
          <cell r="L1002" t="str">
            <v>MANIZALES</v>
          </cell>
          <cell r="M1002" t="str">
            <v>8867918</v>
          </cell>
        </row>
        <row r="1003">
          <cell r="A1003">
            <v>15901983</v>
          </cell>
          <cell r="B1003" t="str">
            <v/>
          </cell>
          <cell r="C1003" t="str">
            <v/>
          </cell>
          <cell r="D1003" t="str">
            <v>CC</v>
          </cell>
          <cell r="E1003" t="str">
            <v>JAIME</v>
          </cell>
          <cell r="F1003" t="str">
            <v>HURTADO MORALES</v>
          </cell>
          <cell r="G1003" t="str">
            <v>HURTADO MORALES  JAIME</v>
          </cell>
          <cell r="H1003" t="str">
            <v>FUNC</v>
          </cell>
          <cell r="I1003" t="str">
            <v>FUNCIONARIO</v>
          </cell>
          <cell r="J1003" t="str">
            <v>CL 18A N 9 57</v>
          </cell>
          <cell r="K1003" t="str">
            <v>15516</v>
          </cell>
          <cell r="L1003" t="str">
            <v>PAIPA</v>
          </cell>
          <cell r="M1003" t="str">
            <v>8922696</v>
          </cell>
        </row>
        <row r="1004">
          <cell r="A1004">
            <v>15902969</v>
          </cell>
          <cell r="B1004" t="str">
            <v/>
          </cell>
          <cell r="C1004" t="str">
            <v/>
          </cell>
          <cell r="D1004" t="str">
            <v>CC</v>
          </cell>
          <cell r="E1004" t="str">
            <v>OSCAR</v>
          </cell>
          <cell r="F1004" t="str">
            <v>GALLEGO CASTRILLÓN</v>
          </cell>
          <cell r="G1004" t="str">
            <v>GALLEGO CASTRILLÓN OSCAR</v>
          </cell>
          <cell r="H1004" t="str">
            <v>EXFU</v>
          </cell>
          <cell r="I1004" t="str">
            <v>EX-FUNCIONARIOS</v>
          </cell>
          <cell r="J1004" t="str">
            <v>CR 27 A N 38 41 BL 5 B AP BRR VILLA NUEVA</v>
          </cell>
          <cell r="K1004" t="str">
            <v>17001</v>
          </cell>
          <cell r="L1004" t="str">
            <v>MANIZALES</v>
          </cell>
          <cell r="M1004" t="str">
            <v>3122856639</v>
          </cell>
        </row>
        <row r="1005">
          <cell r="A1005">
            <v>15903849</v>
          </cell>
          <cell r="B1005" t="str">
            <v/>
          </cell>
          <cell r="C1005" t="str">
            <v/>
          </cell>
          <cell r="D1005" t="str">
            <v>CC</v>
          </cell>
          <cell r="E1005" t="str">
            <v>JUAN JOSÉ</v>
          </cell>
          <cell r="F1005" t="str">
            <v>ESPINOSA MEJIA</v>
          </cell>
          <cell r="G1005" t="str">
            <v>JUAN JOSÉ ESPINOSA MEJIA</v>
          </cell>
          <cell r="H1005" t="str">
            <v>FUNC</v>
          </cell>
          <cell r="I1005" t="str">
            <v>FUNCIONARIO</v>
          </cell>
          <cell r="J1005" t="str">
            <v>KM 3 VTE PAIPA</v>
          </cell>
          <cell r="K1005" t="str">
            <v>15516</v>
          </cell>
          <cell r="L1005" t="str">
            <v>PAIPA</v>
          </cell>
          <cell r="M1005" t="str">
            <v>3148909555</v>
          </cell>
        </row>
        <row r="1006">
          <cell r="A1006">
            <v>15904206</v>
          </cell>
          <cell r="B1006" t="str">
            <v>5</v>
          </cell>
          <cell r="C1006" t="str">
            <v/>
          </cell>
          <cell r="D1006" t="str">
            <v>NP</v>
          </cell>
          <cell r="E1006" t="str">
            <v xml:space="preserve">JAIME          </v>
          </cell>
          <cell r="F1006" t="str">
            <v>ZAPATA FRANCO</v>
          </cell>
          <cell r="G1006" t="str">
            <v xml:space="preserve">ZAPATA FRANCO JAIME          </v>
          </cell>
          <cell r="H1006" t="str">
            <v>RCPN</v>
          </cell>
          <cell r="I1006" t="str">
            <v>RESPONSABLE IVA PERSONA NATURAL</v>
          </cell>
          <cell r="J1006" t="str">
            <v>CL 22 A   48   38 CA 56 BRR</v>
          </cell>
          <cell r="K1006" t="str">
            <v>17001</v>
          </cell>
          <cell r="L1006" t="str">
            <v>MANIZALES</v>
          </cell>
          <cell r="M1006" t="str">
            <v>3689078</v>
          </cell>
        </row>
        <row r="1007">
          <cell r="A1007">
            <v>15909339</v>
          </cell>
          <cell r="B1007" t="str">
            <v/>
          </cell>
          <cell r="C1007" t="str">
            <v/>
          </cell>
          <cell r="D1007" t="str">
            <v>CC</v>
          </cell>
          <cell r="E1007" t="str">
            <v>JOSE ANANIAS</v>
          </cell>
          <cell r="F1007" t="str">
            <v>VARGAS QUINTERO</v>
          </cell>
          <cell r="G1007" t="str">
            <v>VARGAS QUINTERO JOSE ANANIAS</v>
          </cell>
          <cell r="H1007" t="str">
            <v>RESI</v>
          </cell>
          <cell r="I1007" t="str">
            <v>REGIMEN SIMPLIFICADO</v>
          </cell>
          <cell r="J1007" t="str">
            <v>CL 49 I 31 A 21</v>
          </cell>
          <cell r="K1007" t="str">
            <v>17001</v>
          </cell>
          <cell r="L1007" t="str">
            <v>MANIZALES</v>
          </cell>
          <cell r="M1007" t="str">
            <v>3117040294</v>
          </cell>
        </row>
        <row r="1008">
          <cell r="A1008">
            <v>15909803</v>
          </cell>
          <cell r="B1008" t="str">
            <v>5</v>
          </cell>
          <cell r="C1008" t="str">
            <v/>
          </cell>
          <cell r="D1008" t="str">
            <v>NP</v>
          </cell>
          <cell r="E1008" t="str">
            <v>JUAN MANUEL</v>
          </cell>
          <cell r="F1008" t="str">
            <v>VALENCIA ARIAS</v>
          </cell>
          <cell r="G1008" t="str">
            <v>VALENCIA ARIAS JUAN MANUEL</v>
          </cell>
          <cell r="H1008" t="str">
            <v>REOR</v>
          </cell>
          <cell r="I1008" t="str">
            <v>RENTA REGIMEN ORDINARIO</v>
          </cell>
          <cell r="J1008" t="str">
            <v xml:space="preserve"> CL 72 25 75 TO B AP 502 BRR PALERMO</v>
          </cell>
          <cell r="K1008" t="str">
            <v>17001</v>
          </cell>
          <cell r="L1008" t="str">
            <v>MANIZALES</v>
          </cell>
          <cell r="M1008" t="str">
            <v>3104244778</v>
          </cell>
        </row>
        <row r="1009">
          <cell r="A1009">
            <v>15910038</v>
          </cell>
          <cell r="B1009" t="str">
            <v>9</v>
          </cell>
          <cell r="C1009" t="str">
            <v/>
          </cell>
          <cell r="D1009" t="str">
            <v>NP</v>
          </cell>
          <cell r="E1009" t="str">
            <v xml:space="preserve">AUGUSTO </v>
          </cell>
          <cell r="F1009" t="str">
            <v>RAMIREZ SANTA</v>
          </cell>
          <cell r="G1009" t="str">
            <v>AUGUSTO RAMIREZ SANTA</v>
          </cell>
          <cell r="H1009" t="str">
            <v>RECO</v>
          </cell>
          <cell r="I1009" t="str">
            <v>REGIMEN COMUN</v>
          </cell>
          <cell r="J1009" t="str">
            <v xml:space="preserve">CR 23 N 64B 33                     </v>
          </cell>
          <cell r="K1009" t="str">
            <v>17001</v>
          </cell>
          <cell r="L1009" t="str">
            <v>MANIZALES</v>
          </cell>
          <cell r="M1009" t="str">
            <v>8756262</v>
          </cell>
        </row>
        <row r="1010">
          <cell r="A1010">
            <v>15914665</v>
          </cell>
          <cell r="B1010" t="str">
            <v>5</v>
          </cell>
          <cell r="C1010" t="str">
            <v/>
          </cell>
          <cell r="D1010" t="str">
            <v>NP</v>
          </cell>
          <cell r="E1010" t="str">
            <v>JULIO CESAR</v>
          </cell>
          <cell r="F1010" t="str">
            <v>SANCHEZ GUTIERREZ</v>
          </cell>
          <cell r="G1010" t="str">
            <v>SANCHEZ GUTIERREZ JULIO CESAR</v>
          </cell>
          <cell r="H1010" t="str">
            <v>RESI</v>
          </cell>
          <cell r="I1010" t="str">
            <v>REGIMEN SIMPLIFICADO</v>
          </cell>
          <cell r="J1010" t="str">
            <v>CL 8  9 28</v>
          </cell>
          <cell r="K1010" t="str">
            <v>17614</v>
          </cell>
          <cell r="L1010" t="str">
            <v>RIOSUCIO</v>
          </cell>
          <cell r="M1010" t="str">
            <v>3146163887</v>
          </cell>
        </row>
        <row r="1011">
          <cell r="A1011">
            <v>15915889</v>
          </cell>
          <cell r="B1011" t="str">
            <v/>
          </cell>
          <cell r="C1011" t="str">
            <v/>
          </cell>
          <cell r="D1011" t="str">
            <v>CC</v>
          </cell>
          <cell r="E1011" t="str">
            <v>HENRY WILLIAM</v>
          </cell>
          <cell r="F1011" t="str">
            <v>CRUZ CASAS</v>
          </cell>
          <cell r="G1011" t="str">
            <v>CRUZ CASAS HENRY WILLIAM</v>
          </cell>
          <cell r="H1011" t="str">
            <v>FUNC</v>
          </cell>
          <cell r="I1011" t="str">
            <v>FUNCIONARIO</v>
          </cell>
          <cell r="J1011" t="str">
            <v>CR 19 NO  64   69 APTO 604</v>
          </cell>
          <cell r="K1011" t="str">
            <v>17001</v>
          </cell>
          <cell r="L1011" t="str">
            <v>MANIZALES</v>
          </cell>
          <cell r="M1011" t="str">
            <v>3104104957</v>
          </cell>
        </row>
        <row r="1012">
          <cell r="A1012">
            <v>15918916</v>
          </cell>
          <cell r="B1012" t="str">
            <v/>
          </cell>
          <cell r="C1012" t="str">
            <v/>
          </cell>
          <cell r="D1012" t="str">
            <v>CC</v>
          </cell>
          <cell r="E1012" t="str">
            <v>CESAR AUGUSTO</v>
          </cell>
          <cell r="F1012" t="str">
            <v>BECERRA HOYOS</v>
          </cell>
          <cell r="G1012" t="str">
            <v>BECERRA HOYOS CESAR AUGUSTO</v>
          </cell>
          <cell r="H1012" t="str">
            <v>RESI</v>
          </cell>
          <cell r="I1012" t="str">
            <v>REGIMEN SIMPLIFICADO</v>
          </cell>
          <cell r="J1012" t="str">
            <v>CL 9 A 4 95</v>
          </cell>
          <cell r="K1012" t="str">
            <v>17001</v>
          </cell>
          <cell r="L1012" t="str">
            <v>MANIZALES</v>
          </cell>
          <cell r="M1012" t="str">
            <v>3136560565</v>
          </cell>
        </row>
        <row r="1013">
          <cell r="A1013">
            <v>15920602</v>
          </cell>
          <cell r="B1013" t="str">
            <v/>
          </cell>
          <cell r="C1013" t="str">
            <v/>
          </cell>
          <cell r="D1013" t="str">
            <v>CC</v>
          </cell>
          <cell r="E1013" t="str">
            <v>HECTOR FABIO</v>
          </cell>
          <cell r="F1013" t="str">
            <v>GUTIERREZ GIRALDO</v>
          </cell>
          <cell r="G1013" t="str">
            <v>GUTIERREZ GIRALDO HECTOR FABIO</v>
          </cell>
          <cell r="H1013" t="str">
            <v>FUNC</v>
          </cell>
          <cell r="I1013" t="str">
            <v>FUNCIONARIO</v>
          </cell>
          <cell r="J1013" t="str">
            <v>CR 6   11   24</v>
          </cell>
          <cell r="K1013" t="str">
            <v>17001</v>
          </cell>
          <cell r="L1013" t="str">
            <v>MANIZALES</v>
          </cell>
          <cell r="M1013" t="str">
            <v>3128960741</v>
          </cell>
        </row>
        <row r="1014">
          <cell r="A1014">
            <v>15931296</v>
          </cell>
          <cell r="B1014" t="str">
            <v>2</v>
          </cell>
          <cell r="C1014" t="str">
            <v/>
          </cell>
          <cell r="D1014" t="str">
            <v>NP</v>
          </cell>
          <cell r="E1014" t="str">
            <v>EDWIN ALBERTO</v>
          </cell>
          <cell r="F1014" t="str">
            <v>GUAPACHA QUINTERO</v>
          </cell>
          <cell r="G1014" t="str">
            <v>GUAPACHA QUINTERO EDWIN ALBERTO</v>
          </cell>
          <cell r="H1014" t="str">
            <v>RESI</v>
          </cell>
          <cell r="I1014" t="str">
            <v>REGIMEN SIMPLIFICADO</v>
          </cell>
          <cell r="J1014" t="str">
            <v>CR 25 41 10 AP 201</v>
          </cell>
          <cell r="K1014" t="str">
            <v>17001</v>
          </cell>
          <cell r="L1014" t="str">
            <v>MANIZALES</v>
          </cell>
          <cell r="M1014" t="str">
            <v>3154807759</v>
          </cell>
        </row>
        <row r="1015">
          <cell r="A1015">
            <v>15950347</v>
          </cell>
          <cell r="B1015" t="str">
            <v>0</v>
          </cell>
          <cell r="C1015" t="str">
            <v/>
          </cell>
          <cell r="D1015" t="str">
            <v>NP</v>
          </cell>
          <cell r="E1015" t="str">
            <v>ORLANDO OVIDIO</v>
          </cell>
          <cell r="F1015" t="str">
            <v>QUINTERO ALZATE</v>
          </cell>
          <cell r="G1015" t="str">
            <v>QUINTERO ALZATE ORLANDO OVIDIO</v>
          </cell>
          <cell r="H1015" t="str">
            <v>NORE</v>
          </cell>
          <cell r="I1015" t="str">
            <v>NO RESPONSABLE DE IVA</v>
          </cell>
          <cell r="J1015" t="str">
            <v>BRR LAS PALMERAS MZ A 25</v>
          </cell>
          <cell r="K1015" t="str">
            <v>63401</v>
          </cell>
          <cell r="L1015" t="str">
            <v>LA TEBAIDA</v>
          </cell>
          <cell r="M1015" t="str">
            <v>7541944</v>
          </cell>
        </row>
        <row r="1016">
          <cell r="A1016">
            <v>15950427</v>
          </cell>
          <cell r="B1016" t="str">
            <v/>
          </cell>
          <cell r="C1016" t="str">
            <v/>
          </cell>
          <cell r="D1016" t="str">
            <v>CC</v>
          </cell>
          <cell r="E1016" t="str">
            <v>OSCAR DE JESUS</v>
          </cell>
          <cell r="F1016" t="str">
            <v>PEREZ PALACIO</v>
          </cell>
          <cell r="G1016" t="str">
            <v>PEREZ PALACIO OSCAR DE JESUS</v>
          </cell>
          <cell r="H1016" t="str">
            <v>RESI</v>
          </cell>
          <cell r="I1016" t="str">
            <v>REGIMEN SIMPLIFICADO</v>
          </cell>
          <cell r="J1016" t="str">
            <v>VRD CRISTALES MCP SAMANA</v>
          </cell>
          <cell r="K1016" t="str">
            <v>17662</v>
          </cell>
          <cell r="L1016" t="str">
            <v>SAMANÁ</v>
          </cell>
          <cell r="M1016" t="str">
            <v>3207584875</v>
          </cell>
        </row>
        <row r="1017">
          <cell r="A1017">
            <v>15950716</v>
          </cell>
          <cell r="B1017" t="str">
            <v>5</v>
          </cell>
          <cell r="C1017" t="str">
            <v/>
          </cell>
          <cell r="D1017" t="str">
            <v>NP</v>
          </cell>
          <cell r="E1017" t="str">
            <v>ALONSO</v>
          </cell>
          <cell r="F1017" t="str">
            <v>JARAMILLO GARCIA</v>
          </cell>
          <cell r="G1017" t="str">
            <v>JARAMILLO GARCIA ALONSO</v>
          </cell>
          <cell r="H1017" t="str">
            <v>NORE</v>
          </cell>
          <cell r="I1017" t="str">
            <v>NO RESPONSABLE DE IVA</v>
          </cell>
          <cell r="J1017" t="str">
            <v>LAS MERCEDES CORR FLORENCIA</v>
          </cell>
          <cell r="K1017" t="str">
            <v>17662</v>
          </cell>
          <cell r="L1017" t="str">
            <v>SAMANÁ</v>
          </cell>
          <cell r="M1017" t="str">
            <v>3217302233</v>
          </cell>
        </row>
        <row r="1018">
          <cell r="A1018">
            <v>15950755</v>
          </cell>
          <cell r="B1018" t="str">
            <v>2</v>
          </cell>
          <cell r="C1018" t="str">
            <v/>
          </cell>
          <cell r="D1018" t="str">
            <v>NP</v>
          </cell>
          <cell r="E1018" t="str">
            <v>MARTIN ALONSO</v>
          </cell>
          <cell r="F1018" t="str">
            <v>CARDONA CORTES</v>
          </cell>
          <cell r="G1018" t="str">
            <v>CARDONA CORTES MARTIN ALONSO</v>
          </cell>
          <cell r="H1018" t="str">
            <v>RESI</v>
          </cell>
          <cell r="I1018" t="str">
            <v>REGIMEN SIMPLIFICADO</v>
          </cell>
          <cell r="J1018" t="str">
            <v>CL 2 5 11 CORR FLORENCIA</v>
          </cell>
          <cell r="K1018" t="str">
            <v>17662</v>
          </cell>
          <cell r="L1018" t="str">
            <v>SAMANÁ</v>
          </cell>
          <cell r="M1018" t="str">
            <v>3127484210</v>
          </cell>
        </row>
        <row r="1019">
          <cell r="A1019">
            <v>15950869</v>
          </cell>
          <cell r="B1019" t="str">
            <v>3</v>
          </cell>
          <cell r="C1019" t="str">
            <v/>
          </cell>
          <cell r="D1019" t="str">
            <v>NP</v>
          </cell>
          <cell r="E1019" t="str">
            <v>HUGO DE JESUS</v>
          </cell>
          <cell r="F1019" t="str">
            <v>LOPEZ GIRALDO</v>
          </cell>
          <cell r="G1019" t="str">
            <v>LOPEZ GIRALDO HUGO DE JESUS</v>
          </cell>
          <cell r="H1019" t="str">
            <v>NORE</v>
          </cell>
          <cell r="I1019" t="str">
            <v>NO RESPONSABLE DE IVA</v>
          </cell>
          <cell r="J1019" t="str">
            <v>CL 1 N 20-4</v>
          </cell>
          <cell r="K1019" t="str">
            <v>17662</v>
          </cell>
          <cell r="L1019" t="str">
            <v>SAMANÁ</v>
          </cell>
          <cell r="M1019" t="str">
            <v>3206171633</v>
          </cell>
        </row>
        <row r="1020">
          <cell r="A1020">
            <v>15958715</v>
          </cell>
          <cell r="B1020" t="str">
            <v>4</v>
          </cell>
          <cell r="C1020" t="str">
            <v/>
          </cell>
          <cell r="D1020" t="str">
            <v>NP</v>
          </cell>
          <cell r="E1020" t="str">
            <v>DIEGO</v>
          </cell>
          <cell r="F1020" t="str">
            <v>RAMIREZ MARIN</v>
          </cell>
          <cell r="G1020" t="str">
            <v>RAMIREZ MARIN DIEGO</v>
          </cell>
          <cell r="H1020" t="str">
            <v>RESI</v>
          </cell>
          <cell r="I1020" t="str">
            <v>REGIMEN SIMPLIFICADO</v>
          </cell>
          <cell r="J1020" t="str">
            <v>CR 23 65 11 LC 207</v>
          </cell>
          <cell r="K1020" t="str">
            <v>17001</v>
          </cell>
          <cell r="L1020" t="str">
            <v>MANIZALES</v>
          </cell>
          <cell r="M1020" t="str">
            <v>8755323</v>
          </cell>
        </row>
        <row r="1021">
          <cell r="A1021">
            <v>15959868</v>
          </cell>
          <cell r="B1021" t="str">
            <v>7</v>
          </cell>
          <cell r="C1021" t="str">
            <v/>
          </cell>
          <cell r="D1021" t="str">
            <v>NP</v>
          </cell>
          <cell r="E1021" t="str">
            <v>JHON JAIRO</v>
          </cell>
          <cell r="F1021" t="str">
            <v xml:space="preserve"> RAMIREZ MARIN</v>
          </cell>
          <cell r="G1021" t="str">
            <v xml:space="preserve"> RAMIREZ MARIN JHON JAIRO</v>
          </cell>
          <cell r="H1021" t="str">
            <v>RESI</v>
          </cell>
          <cell r="I1021" t="str">
            <v>REGIMEN SIMPLIFICADO</v>
          </cell>
          <cell r="J1021" t="str">
            <v>CC CABLE PLAZA</v>
          </cell>
          <cell r="K1021" t="str">
            <v>17001</v>
          </cell>
          <cell r="L1021" t="str">
            <v>MANIZALES</v>
          </cell>
          <cell r="M1021" t="str">
            <v>8756497</v>
          </cell>
        </row>
        <row r="1022">
          <cell r="A1022">
            <v>15960837</v>
          </cell>
          <cell r="B1022" t="str">
            <v/>
          </cell>
          <cell r="C1022" t="str">
            <v/>
          </cell>
          <cell r="D1022" t="str">
            <v>CC</v>
          </cell>
          <cell r="E1022" t="str">
            <v>HECTOR JAIME</v>
          </cell>
          <cell r="F1022" t="str">
            <v>VALENCIA LOPEZ</v>
          </cell>
          <cell r="G1022" t="str">
            <v>VALENCIA LOPEZ HECTOR JAIME</v>
          </cell>
          <cell r="H1022" t="str">
            <v>FUNC</v>
          </cell>
          <cell r="I1022" t="str">
            <v>FUNCIONARIO</v>
          </cell>
          <cell r="J1022" t="str">
            <v>CALLE 9 B 1 F-80,  CASA 17</v>
          </cell>
          <cell r="K1022" t="str">
            <v>17001</v>
          </cell>
          <cell r="L1022" t="str">
            <v>MANIZALES</v>
          </cell>
          <cell r="M1022" t="str">
            <v>8805521</v>
          </cell>
        </row>
        <row r="1023">
          <cell r="A1023">
            <v>15961335</v>
          </cell>
          <cell r="B1023" t="str">
            <v>1</v>
          </cell>
          <cell r="C1023" t="str">
            <v/>
          </cell>
          <cell r="D1023" t="str">
            <v>NP</v>
          </cell>
          <cell r="E1023" t="str">
            <v>EDWIN</v>
          </cell>
          <cell r="F1023" t="str">
            <v>VALENCIA QUINTERO</v>
          </cell>
          <cell r="G1023" t="str">
            <v>VALENCIA QUINTERO EDWIN</v>
          </cell>
          <cell r="H1023" t="str">
            <v>NORE</v>
          </cell>
          <cell r="I1023" t="str">
            <v>NO RESPONSABLE DE IVA</v>
          </cell>
          <cell r="J1023" t="str">
            <v>CR 17 62 35</v>
          </cell>
          <cell r="K1023" t="str">
            <v>17001</v>
          </cell>
          <cell r="L1023" t="str">
            <v>MANIZALES</v>
          </cell>
          <cell r="M1023" t="str">
            <v>3122843660</v>
          </cell>
        </row>
        <row r="1024">
          <cell r="A1024">
            <v>15985579</v>
          </cell>
          <cell r="B1024" t="str">
            <v>3</v>
          </cell>
          <cell r="C1024" t="str">
            <v/>
          </cell>
          <cell r="D1024" t="str">
            <v>NP</v>
          </cell>
          <cell r="E1024" t="str">
            <v>DARIO AUGUSTO</v>
          </cell>
          <cell r="F1024" t="str">
            <v>CARDONA SALAZAR</v>
          </cell>
          <cell r="G1024" t="str">
            <v>DARIO AUGUSTO CARDONA SALAZAR</v>
          </cell>
          <cell r="H1024" t="str">
            <v>RECO</v>
          </cell>
          <cell r="I1024" t="str">
            <v>REGIMEN COMUN</v>
          </cell>
          <cell r="J1024" t="str">
            <v xml:space="preserve">CR 23 N 64B 33                     </v>
          </cell>
          <cell r="K1024" t="str">
            <v>17001</v>
          </cell>
          <cell r="L1024" t="str">
            <v>MANIZALES</v>
          </cell>
          <cell r="M1024" t="str">
            <v>8756262</v>
          </cell>
        </row>
        <row r="1025">
          <cell r="A1025">
            <v>15987487</v>
          </cell>
          <cell r="B1025" t="str">
            <v/>
          </cell>
          <cell r="C1025" t="str">
            <v/>
          </cell>
          <cell r="D1025" t="str">
            <v>CC</v>
          </cell>
          <cell r="E1025" t="str">
            <v>HECTOR</v>
          </cell>
          <cell r="F1025" t="str">
            <v>LÓPEZ MONTES</v>
          </cell>
          <cell r="G1025" t="str">
            <v>LÓPEZ MONTES HECTOR</v>
          </cell>
          <cell r="H1025" t="str">
            <v>RESI</v>
          </cell>
          <cell r="I1025" t="str">
            <v>REGIMEN SIMPLIFICADO</v>
          </cell>
          <cell r="J1025" t="str">
            <v>MCP MANZANARES</v>
          </cell>
          <cell r="K1025" t="str">
            <v>17433</v>
          </cell>
          <cell r="L1025" t="str">
            <v>MANZANARES</v>
          </cell>
          <cell r="M1025" t="str">
            <v>NO TIENE</v>
          </cell>
        </row>
        <row r="1026">
          <cell r="A1026">
            <v>15988804</v>
          </cell>
          <cell r="B1026" t="str">
            <v/>
          </cell>
          <cell r="C1026" t="str">
            <v/>
          </cell>
          <cell r="D1026" t="str">
            <v>CC</v>
          </cell>
          <cell r="E1026" t="str">
            <v>JOSUE ALONSO</v>
          </cell>
          <cell r="F1026" t="str">
            <v>LOPEZ SALAZAR</v>
          </cell>
          <cell r="G1026" t="str">
            <v>LOPEZ SALAZAR JOSUE ALONSO</v>
          </cell>
          <cell r="H1026" t="str">
            <v>RESI</v>
          </cell>
          <cell r="I1026" t="str">
            <v>REGIMEN SIMPLIFICADO</v>
          </cell>
          <cell r="J1026" t="str">
            <v>CL 67 10-22</v>
          </cell>
          <cell r="K1026" t="str">
            <v>17001</v>
          </cell>
          <cell r="L1026" t="str">
            <v>MANIZALES</v>
          </cell>
          <cell r="M1026" t="str">
            <v>3217396158</v>
          </cell>
        </row>
        <row r="1027">
          <cell r="A1027">
            <v>15989545</v>
          </cell>
          <cell r="B1027" t="str">
            <v>1</v>
          </cell>
          <cell r="C1027" t="str">
            <v/>
          </cell>
          <cell r="D1027" t="str">
            <v>NP</v>
          </cell>
          <cell r="E1027" t="str">
            <v>JHON FREDY</v>
          </cell>
          <cell r="F1027" t="str">
            <v>MARIN MONTES</v>
          </cell>
          <cell r="G1027" t="str">
            <v>JHON FREDY MARIN MONTES</v>
          </cell>
          <cell r="H1027" t="str">
            <v>RESI</v>
          </cell>
          <cell r="I1027" t="str">
            <v>REGIMEN SIMPLIFICADO</v>
          </cell>
          <cell r="J1027" t="str">
            <v xml:space="preserve"> CR 21 65  26  ED  PRAGA AP 502</v>
          </cell>
          <cell r="K1027" t="str">
            <v>17001</v>
          </cell>
          <cell r="L1027" t="str">
            <v>MANIZALES</v>
          </cell>
          <cell r="M1027" t="str">
            <v>3103729015</v>
          </cell>
        </row>
        <row r="1028">
          <cell r="A1028">
            <v>15990883</v>
          </cell>
          <cell r="B1028" t="str">
            <v/>
          </cell>
          <cell r="C1028" t="str">
            <v/>
          </cell>
          <cell r="D1028" t="str">
            <v>CC</v>
          </cell>
          <cell r="E1028" t="str">
            <v>RUBIAN ANDREY</v>
          </cell>
          <cell r="F1028" t="str">
            <v>AGUIRRE</v>
          </cell>
          <cell r="G1028" t="str">
            <v>AGUIRRE RUBIAN ANDREY</v>
          </cell>
          <cell r="H1028" t="str">
            <v>NORE</v>
          </cell>
          <cell r="I1028" t="str">
            <v>NO RESPONSABLE DE IVA</v>
          </cell>
          <cell r="J1028" t="str">
            <v>MCP MANZANARES</v>
          </cell>
          <cell r="K1028" t="str">
            <v>17433</v>
          </cell>
          <cell r="L1028" t="str">
            <v>MANZANARES</v>
          </cell>
          <cell r="M1028" t="str">
            <v>NO RESGISTRA</v>
          </cell>
        </row>
        <row r="1029">
          <cell r="A1029">
            <v>15991179</v>
          </cell>
          <cell r="B1029" t="str">
            <v/>
          </cell>
          <cell r="C1029" t="str">
            <v/>
          </cell>
          <cell r="D1029" t="str">
            <v>CC</v>
          </cell>
          <cell r="E1029" t="str">
            <v>GERMAN</v>
          </cell>
          <cell r="F1029" t="str">
            <v>ARISTIZABAL CIFUENTES</v>
          </cell>
          <cell r="G1029" t="str">
            <v>ARISTIZABAL CIFUENTES GERMAN</v>
          </cell>
          <cell r="H1029" t="str">
            <v>FUNC</v>
          </cell>
          <cell r="I1029" t="str">
            <v>FUNCIONARIO</v>
          </cell>
          <cell r="J1029" t="str">
            <v>CL 39   25   61</v>
          </cell>
          <cell r="K1029" t="str">
            <v>17001</v>
          </cell>
          <cell r="L1029" t="str">
            <v>MANIZALES</v>
          </cell>
          <cell r="M1029" t="str">
            <v>8822154</v>
          </cell>
        </row>
        <row r="1030">
          <cell r="A1030">
            <v>15991476</v>
          </cell>
          <cell r="B1030" t="str">
            <v>8</v>
          </cell>
          <cell r="C1030" t="str">
            <v/>
          </cell>
          <cell r="D1030" t="str">
            <v>NP</v>
          </cell>
          <cell r="E1030" t="str">
            <v>YON JAVER</v>
          </cell>
          <cell r="F1030" t="str">
            <v>ARANGO VILLEGAS</v>
          </cell>
          <cell r="G1030" t="str">
            <v>ARANGO VILLEGAS YON JAVER</v>
          </cell>
          <cell r="H1030" t="str">
            <v>NORE</v>
          </cell>
          <cell r="I1030" t="str">
            <v>NO RESPONSABLE DE IVA</v>
          </cell>
          <cell r="J1030" t="str">
            <v>VDA LLANADAS</v>
          </cell>
          <cell r="K1030" t="str">
            <v>17433</v>
          </cell>
          <cell r="L1030" t="str">
            <v>MANZANARES</v>
          </cell>
          <cell r="M1030" t="str">
            <v>3226332283</v>
          </cell>
        </row>
        <row r="1031">
          <cell r="A1031">
            <v>16045664</v>
          </cell>
          <cell r="B1031" t="str">
            <v/>
          </cell>
          <cell r="C1031" t="str">
            <v/>
          </cell>
          <cell r="D1031" t="str">
            <v>CC</v>
          </cell>
          <cell r="E1031" t="str">
            <v>JOHN ALEXANDER</v>
          </cell>
          <cell r="F1031" t="str">
            <v>ARBOLEDA URREA</v>
          </cell>
          <cell r="G1031" t="str">
            <v>ARBOLEDA URREA JOHN ALEXANDER</v>
          </cell>
          <cell r="H1031" t="str">
            <v>FUNC</v>
          </cell>
          <cell r="I1031" t="str">
            <v>FUNCIONARIO</v>
          </cell>
          <cell r="J1031" t="str">
            <v>MZ B CA 1</v>
          </cell>
          <cell r="K1031" t="str">
            <v>17001</v>
          </cell>
          <cell r="L1031" t="str">
            <v>MANIZALES</v>
          </cell>
          <cell r="M1031" t="str">
            <v>3202289051</v>
          </cell>
        </row>
        <row r="1032">
          <cell r="A1032">
            <v>16052246</v>
          </cell>
          <cell r="B1032" t="str">
            <v>6</v>
          </cell>
          <cell r="C1032" t="str">
            <v/>
          </cell>
          <cell r="D1032" t="str">
            <v>NP</v>
          </cell>
          <cell r="E1032" t="str">
            <v>JULIO CESAR</v>
          </cell>
          <cell r="F1032" t="str">
            <v>RIOS GALVIS</v>
          </cell>
          <cell r="G1032" t="str">
            <v>RIOS GALVIS JULIO CESAR</v>
          </cell>
          <cell r="H1032" t="str">
            <v>IMVE</v>
          </cell>
          <cell r="I1032" t="str">
            <v>IMPUESTO SOBRE LAS VENTAS</v>
          </cell>
          <cell r="J1032" t="str">
            <v>CL 25 N 20 -019</v>
          </cell>
          <cell r="K1032" t="str">
            <v>17001</v>
          </cell>
          <cell r="L1032" t="str">
            <v>MANIZALES</v>
          </cell>
          <cell r="M1032" t="str">
            <v>8833005</v>
          </cell>
        </row>
        <row r="1033">
          <cell r="A1033">
            <v>16054661</v>
          </cell>
          <cell r="B1033" t="str">
            <v/>
          </cell>
          <cell r="C1033" t="str">
            <v/>
          </cell>
          <cell r="D1033" t="str">
            <v>CC</v>
          </cell>
          <cell r="E1033" t="str">
            <v>WILSON</v>
          </cell>
          <cell r="F1033" t="str">
            <v>LOPEZ LONDONO</v>
          </cell>
          <cell r="G1033" t="str">
            <v>LOPEZ LONDONO WILSON</v>
          </cell>
          <cell r="H1033" t="str">
            <v>FUNC</v>
          </cell>
          <cell r="I1033" t="str">
            <v>FUNCIONARIO</v>
          </cell>
          <cell r="J1033" t="str">
            <v>CRA 20 No 73-65 ALTA SUIZA</v>
          </cell>
          <cell r="K1033" t="str">
            <v>17001</v>
          </cell>
          <cell r="L1033" t="str">
            <v>MANIZALES</v>
          </cell>
          <cell r="M1033" t="str">
            <v>3127595110</v>
          </cell>
        </row>
        <row r="1034">
          <cell r="A1034">
            <v>16072291</v>
          </cell>
          <cell r="B1034" t="str">
            <v>3</v>
          </cell>
          <cell r="C1034" t="str">
            <v/>
          </cell>
          <cell r="D1034" t="str">
            <v>NP</v>
          </cell>
          <cell r="E1034" t="str">
            <v>EVER HERNANDO</v>
          </cell>
          <cell r="F1034" t="str">
            <v>LOPEZ MONTES</v>
          </cell>
          <cell r="G1034" t="str">
            <v>LOPEZ MONTES EVER HERNANDO</v>
          </cell>
          <cell r="H1034" t="str">
            <v>RECO</v>
          </cell>
          <cell r="I1034" t="str">
            <v>REGIMEN COMUN</v>
          </cell>
          <cell r="J1034" t="str">
            <v>CL 65A 10 22 BRR LA SULTANA</v>
          </cell>
          <cell r="K1034" t="str">
            <v>17001</v>
          </cell>
          <cell r="L1034" t="str">
            <v>MANIZALES</v>
          </cell>
          <cell r="M1034" t="str">
            <v>8752954</v>
          </cell>
        </row>
        <row r="1035">
          <cell r="A1035">
            <v>16072364</v>
          </cell>
          <cell r="B1035" t="str">
            <v>2</v>
          </cell>
          <cell r="C1035" t="str">
            <v/>
          </cell>
          <cell r="D1035" t="str">
            <v>NP</v>
          </cell>
          <cell r="E1035" t="str">
            <v>JULIAN ANDRES</v>
          </cell>
          <cell r="F1035" t="str">
            <v>ARBOLEDA RAMIREZ</v>
          </cell>
          <cell r="G1035" t="str">
            <v>ARBOLEDA RAMIREZ JULIAN ANDRES</v>
          </cell>
          <cell r="H1035" t="str">
            <v>RESI</v>
          </cell>
          <cell r="I1035" t="str">
            <v>REGIMEN SIMPLIFICADO</v>
          </cell>
          <cell r="J1035" t="str">
            <v xml:space="preserve"> CR 8  9 A  09</v>
          </cell>
          <cell r="K1035" t="str">
            <v>17001</v>
          </cell>
          <cell r="L1035" t="str">
            <v>MANIZALES</v>
          </cell>
          <cell r="M1035" t="str">
            <v>8902498</v>
          </cell>
        </row>
        <row r="1036">
          <cell r="A1036">
            <v>16073102</v>
          </cell>
          <cell r="B1036" t="str">
            <v/>
          </cell>
          <cell r="C1036" t="str">
            <v/>
          </cell>
          <cell r="D1036" t="str">
            <v>CC</v>
          </cell>
          <cell r="E1036" t="str">
            <v>SERGIO LEANDRO</v>
          </cell>
          <cell r="F1036" t="str">
            <v>GOMEZ GOMEZ</v>
          </cell>
          <cell r="G1036" t="str">
            <v>GOMEZ GOMEZ SERGIO LEANDRO</v>
          </cell>
          <cell r="H1036" t="str">
            <v>RESI</v>
          </cell>
          <cell r="I1036" t="str">
            <v>REGIMEN SIMPLIFICADO</v>
          </cell>
          <cell r="J1036" t="str">
            <v>CRA 23 C NO 62-73</v>
          </cell>
          <cell r="K1036" t="str">
            <v>17001</v>
          </cell>
          <cell r="L1036" t="str">
            <v>MANIZALES</v>
          </cell>
          <cell r="M1036" t="str">
            <v>3137460634</v>
          </cell>
        </row>
        <row r="1037">
          <cell r="A1037">
            <v>16073558</v>
          </cell>
          <cell r="B1037" t="str">
            <v>9</v>
          </cell>
          <cell r="C1037" t="str">
            <v/>
          </cell>
          <cell r="D1037" t="str">
            <v>NP</v>
          </cell>
          <cell r="E1037" t="str">
            <v>JULIAN SANTIAGO</v>
          </cell>
          <cell r="F1037" t="str">
            <v>MEJIA ZULUAGA</v>
          </cell>
          <cell r="G1037" t="str">
            <v>MEJIA ZULUAGA JULIAN SANTIAGO</v>
          </cell>
          <cell r="H1037" t="str">
            <v>FUNC</v>
          </cell>
          <cell r="I1037" t="str">
            <v>FUNCIONARIO</v>
          </cell>
          <cell r="J1037" t="str">
            <v xml:space="preserve"> CL 10 CR 6 VDA LA PALMA</v>
          </cell>
          <cell r="K1037" t="str">
            <v>17001</v>
          </cell>
          <cell r="L1037" t="str">
            <v>MANIZALES</v>
          </cell>
          <cell r="M1037" t="str">
            <v>3004624727</v>
          </cell>
        </row>
        <row r="1038">
          <cell r="A1038">
            <v>16073682</v>
          </cell>
          <cell r="B1038" t="str">
            <v/>
          </cell>
          <cell r="C1038" t="str">
            <v/>
          </cell>
          <cell r="D1038" t="str">
            <v>CC</v>
          </cell>
          <cell r="E1038" t="str">
            <v>JULIAN DAVID</v>
          </cell>
          <cell r="F1038" t="str">
            <v>CANDAMIL ARIAS</v>
          </cell>
          <cell r="G1038" t="str">
            <v>CANDAMIL ARIAS JULIAN DAVID</v>
          </cell>
          <cell r="H1038" t="str">
            <v>EXFU</v>
          </cell>
          <cell r="I1038" t="str">
            <v>EX-FUNCIONARIOS</v>
          </cell>
          <cell r="J1038" t="str">
            <v>CLLE 65 A # 23 B-33</v>
          </cell>
          <cell r="K1038" t="str">
            <v>17001</v>
          </cell>
          <cell r="L1038" t="str">
            <v>MANIZALES</v>
          </cell>
          <cell r="M1038" t="str">
            <v>3104694922</v>
          </cell>
        </row>
        <row r="1039">
          <cell r="A1039">
            <v>16073783</v>
          </cell>
          <cell r="B1039" t="str">
            <v>1</v>
          </cell>
          <cell r="C1039" t="str">
            <v/>
          </cell>
          <cell r="D1039" t="str">
            <v>NP</v>
          </cell>
          <cell r="E1039" t="str">
            <v>EDWIN HAROLD</v>
          </cell>
          <cell r="F1039" t="str">
            <v>MONROY ARENAS</v>
          </cell>
          <cell r="G1039" t="str">
            <v>MONROY ARENAS EDWIN HAROLD</v>
          </cell>
          <cell r="H1039" t="str">
            <v>RESI</v>
          </cell>
          <cell r="I1039" t="str">
            <v>REGIMEN SIMPLIFICADO</v>
          </cell>
          <cell r="J1039" t="str">
            <v>CR 20 A 71 51 ED CRISTALES II AP 404</v>
          </cell>
          <cell r="K1039" t="str">
            <v>17001</v>
          </cell>
          <cell r="L1039" t="str">
            <v>MANIZALES</v>
          </cell>
          <cell r="M1039" t="str">
            <v>3153780500</v>
          </cell>
        </row>
        <row r="1040">
          <cell r="A1040">
            <v>16074049</v>
          </cell>
          <cell r="B1040" t="str">
            <v/>
          </cell>
          <cell r="C1040" t="str">
            <v/>
          </cell>
          <cell r="D1040" t="str">
            <v>CC</v>
          </cell>
          <cell r="E1040" t="str">
            <v>HAROLTH AUGUSTO</v>
          </cell>
          <cell r="F1040" t="str">
            <v>MARULANDA MARTINEZ</v>
          </cell>
          <cell r="G1040" t="str">
            <v>MARULANDA MARTINEZ HAROLTH AUGUSTO</v>
          </cell>
          <cell r="H1040" t="str">
            <v>RESI</v>
          </cell>
          <cell r="I1040" t="str">
            <v>REGIMEN SIMPLIFICADO</v>
          </cell>
          <cell r="J1040" t="str">
            <v>CR 23 N 64 B -33 ISLAS CONEXIÓN CABLE PLAZA</v>
          </cell>
          <cell r="K1040" t="str">
            <v>17001</v>
          </cell>
          <cell r="L1040" t="str">
            <v>MANIZALES</v>
          </cell>
          <cell r="M1040" t="str">
            <v>8756274</v>
          </cell>
        </row>
        <row r="1041">
          <cell r="A1041">
            <v>16074504</v>
          </cell>
          <cell r="B1041" t="str">
            <v/>
          </cell>
          <cell r="C1041" t="str">
            <v/>
          </cell>
          <cell r="D1041" t="str">
            <v>CC</v>
          </cell>
          <cell r="E1041" t="str">
            <v>DAVID</v>
          </cell>
          <cell r="F1041" t="str">
            <v>GIRALDO OSORIO</v>
          </cell>
          <cell r="G1041" t="str">
            <v>GIRALDO OSORIO DAVID</v>
          </cell>
          <cell r="H1041" t="str">
            <v>FUNC</v>
          </cell>
          <cell r="I1041" t="str">
            <v>FUNCIONARIO</v>
          </cell>
          <cell r="J1041" t="str">
            <v>CR 22   57   70</v>
          </cell>
          <cell r="K1041" t="str">
            <v>17001</v>
          </cell>
          <cell r="L1041" t="str">
            <v>MANIZALES</v>
          </cell>
          <cell r="M1041" t="str">
            <v>8852336</v>
          </cell>
        </row>
        <row r="1042">
          <cell r="A1042">
            <v>16074837</v>
          </cell>
          <cell r="B1042" t="str">
            <v/>
          </cell>
          <cell r="C1042" t="str">
            <v/>
          </cell>
          <cell r="D1042" t="str">
            <v>CC</v>
          </cell>
          <cell r="E1042" t="str">
            <v>JUAN DAVID</v>
          </cell>
          <cell r="F1042" t="str">
            <v>CASTILLO PUERTA</v>
          </cell>
          <cell r="G1042" t="str">
            <v>CASTILLO PUERTA JUAN DAVID</v>
          </cell>
          <cell r="H1042" t="str">
            <v>FUNC</v>
          </cell>
          <cell r="I1042" t="str">
            <v>FUNCIONARIO</v>
          </cell>
          <cell r="J1042" t="str">
            <v>CL 52   25  24</v>
          </cell>
          <cell r="K1042" t="str">
            <v>17001</v>
          </cell>
          <cell r="L1042" t="str">
            <v>MANIZALES</v>
          </cell>
          <cell r="M1042" t="str">
            <v>8810209</v>
          </cell>
        </row>
        <row r="1043">
          <cell r="A1043">
            <v>16075306</v>
          </cell>
          <cell r="B1043" t="str">
            <v/>
          </cell>
          <cell r="C1043" t="str">
            <v/>
          </cell>
          <cell r="D1043" t="str">
            <v>CC</v>
          </cell>
          <cell r="E1043" t="str">
            <v>OMAR ELIUD</v>
          </cell>
          <cell r="F1043" t="str">
            <v>NOVA HENAO</v>
          </cell>
          <cell r="G1043" t="str">
            <v>NOVA HENAO OMAR ELIUD</v>
          </cell>
          <cell r="H1043" t="str">
            <v>FUNC</v>
          </cell>
          <cell r="I1043" t="str">
            <v>FUNCIONARIO</v>
          </cell>
          <cell r="J1043" t="str">
            <v>AV BERNARDO ARANGO NO7B-140</v>
          </cell>
          <cell r="K1043" t="str">
            <v>17001</v>
          </cell>
          <cell r="L1043" t="str">
            <v>MANIZALES</v>
          </cell>
          <cell r="M1043" t="str">
            <v>8875696</v>
          </cell>
        </row>
        <row r="1044">
          <cell r="A1044">
            <v>16075386</v>
          </cell>
          <cell r="B1044" t="str">
            <v/>
          </cell>
          <cell r="C1044" t="str">
            <v/>
          </cell>
          <cell r="D1044" t="str">
            <v>CC</v>
          </cell>
          <cell r="E1044" t="str">
            <v>MAURICIO ANTONIO</v>
          </cell>
          <cell r="F1044" t="str">
            <v>MOYA GARCIA</v>
          </cell>
          <cell r="G1044" t="str">
            <v>MOYA GARCIA MAURICIO ANTONIO</v>
          </cell>
          <cell r="H1044" t="str">
            <v>FUNC</v>
          </cell>
          <cell r="I1044" t="str">
            <v>FUNCIONARIO</v>
          </cell>
          <cell r="J1044" t="str">
            <v>CL 68 A 39 81</v>
          </cell>
          <cell r="K1044" t="str">
            <v>17001</v>
          </cell>
          <cell r="L1044" t="str">
            <v>MANIZALES</v>
          </cell>
          <cell r="M1044" t="str">
            <v>3142045713</v>
          </cell>
        </row>
        <row r="1045">
          <cell r="A1045">
            <v>16075590</v>
          </cell>
          <cell r="B1045" t="str">
            <v>4</v>
          </cell>
          <cell r="C1045" t="str">
            <v/>
          </cell>
          <cell r="D1045" t="str">
            <v>NP</v>
          </cell>
          <cell r="E1045" t="str">
            <v>JOSE MIGUEL</v>
          </cell>
          <cell r="F1045" t="str">
            <v>ESCOBAR GARCIA</v>
          </cell>
          <cell r="G1045" t="str">
            <v>ESCOBAR GARCIA JOSE MIGUEL</v>
          </cell>
          <cell r="H1045" t="str">
            <v>RESI</v>
          </cell>
          <cell r="I1045" t="str">
            <v>REGIMEN SIMPLIFICADO</v>
          </cell>
          <cell r="J1045" t="str">
            <v>CL 65 A N  27 99 APTO  501B</v>
          </cell>
          <cell r="K1045" t="str">
            <v>17001</v>
          </cell>
          <cell r="L1045" t="str">
            <v>MANIZALES</v>
          </cell>
          <cell r="M1045" t="str">
            <v>8874280</v>
          </cell>
        </row>
        <row r="1046">
          <cell r="A1046">
            <v>16076083</v>
          </cell>
          <cell r="B1046" t="str">
            <v/>
          </cell>
          <cell r="C1046" t="str">
            <v/>
          </cell>
          <cell r="D1046" t="str">
            <v>CC</v>
          </cell>
          <cell r="E1046" t="str">
            <v>ROLANDO</v>
          </cell>
          <cell r="F1046" t="str">
            <v>ARTEAGA MORENO</v>
          </cell>
          <cell r="G1046" t="str">
            <v>ARTEAGA MORENO ROLANDO</v>
          </cell>
          <cell r="H1046" t="str">
            <v>RESI</v>
          </cell>
          <cell r="I1046" t="str">
            <v>REGIMEN SIMPLIFICADO</v>
          </cell>
          <cell r="J1046" t="str">
            <v>CL 18 N 23-21</v>
          </cell>
          <cell r="K1046" t="str">
            <v>17001</v>
          </cell>
          <cell r="L1046" t="str">
            <v>MANIZALES</v>
          </cell>
          <cell r="M1046" t="str">
            <v>8974986</v>
          </cell>
        </row>
        <row r="1047">
          <cell r="A1047">
            <v>16076098</v>
          </cell>
          <cell r="B1047" t="str">
            <v/>
          </cell>
          <cell r="C1047" t="str">
            <v/>
          </cell>
          <cell r="D1047" t="str">
            <v>CC</v>
          </cell>
          <cell r="E1047" t="str">
            <v>JULIAN ANDRES</v>
          </cell>
          <cell r="F1047" t="str">
            <v>VILLEGAS RIOS</v>
          </cell>
          <cell r="G1047" t="str">
            <v>VILLEGAS RIOS JULIAN ANDRES</v>
          </cell>
          <cell r="H1047" t="str">
            <v>FUNC</v>
          </cell>
          <cell r="I1047" t="str">
            <v>FUNCIONARIO</v>
          </cell>
          <cell r="J1047" t="str">
            <v>CR 34   10 C 34 BRR LOS NOGALES</v>
          </cell>
          <cell r="K1047" t="str">
            <v>17001</v>
          </cell>
          <cell r="L1047" t="str">
            <v>MANIZALES</v>
          </cell>
          <cell r="M1047" t="str">
            <v>8905793</v>
          </cell>
        </row>
        <row r="1048">
          <cell r="A1048">
            <v>16076281</v>
          </cell>
          <cell r="B1048" t="str">
            <v/>
          </cell>
          <cell r="C1048" t="str">
            <v/>
          </cell>
          <cell r="D1048" t="str">
            <v>CC</v>
          </cell>
          <cell r="E1048" t="str">
            <v>OSCAR JAIME</v>
          </cell>
          <cell r="F1048" t="str">
            <v>ROTAVISTA CASTAÑO</v>
          </cell>
          <cell r="G1048" t="str">
            <v>ROTAVISTA CASTAÑO OSCAR JAIME</v>
          </cell>
          <cell r="H1048" t="str">
            <v>FUNC</v>
          </cell>
          <cell r="I1048" t="str">
            <v>FUNCIONARIO</v>
          </cell>
          <cell r="J1048" t="str">
            <v>CL 57 N 21 25 AP 401 TO</v>
          </cell>
          <cell r="K1048" t="str">
            <v>17001</v>
          </cell>
          <cell r="L1048" t="str">
            <v>MANIZALES</v>
          </cell>
          <cell r="M1048" t="str">
            <v>3132937577</v>
          </cell>
        </row>
        <row r="1049">
          <cell r="A1049">
            <v>16076359</v>
          </cell>
          <cell r="B1049" t="str">
            <v/>
          </cell>
          <cell r="C1049" t="str">
            <v/>
          </cell>
          <cell r="D1049" t="str">
            <v>CC</v>
          </cell>
          <cell r="E1049" t="str">
            <v>OSCAR HUGO</v>
          </cell>
          <cell r="F1049" t="str">
            <v>ESTRADA HENAO</v>
          </cell>
          <cell r="G1049" t="str">
            <v>ESTRADA HENAO OSCAR HUGO</v>
          </cell>
          <cell r="H1049" t="str">
            <v>FUNC</v>
          </cell>
          <cell r="I1049" t="str">
            <v>FUNCIONARIO</v>
          </cell>
          <cell r="J1049" t="str">
            <v>CL 66 B   7 A 201</v>
          </cell>
          <cell r="K1049" t="str">
            <v>17001</v>
          </cell>
          <cell r="L1049" t="str">
            <v>MANIZALES</v>
          </cell>
          <cell r="M1049" t="str">
            <v>3007800985</v>
          </cell>
        </row>
        <row r="1050">
          <cell r="A1050">
            <v>16076720</v>
          </cell>
          <cell r="B1050" t="str">
            <v>1</v>
          </cell>
          <cell r="C1050" t="str">
            <v/>
          </cell>
          <cell r="D1050" t="str">
            <v>NP</v>
          </cell>
          <cell r="E1050" t="str">
            <v>CRISTIAN CAMILO</v>
          </cell>
          <cell r="F1050" t="str">
            <v>OSORIO OROZCO</v>
          </cell>
          <cell r="G1050" t="str">
            <v>OSORIO OROZCO CRISTIAN CAMILO</v>
          </cell>
          <cell r="H1050" t="str">
            <v>NORE</v>
          </cell>
          <cell r="I1050" t="str">
            <v>NO RESPONSABLE DE IVA</v>
          </cell>
          <cell r="J1050" t="str">
            <v>CC CABLE PLAZA CONEXION BURBUJA 4</v>
          </cell>
          <cell r="K1050" t="str">
            <v>17001</v>
          </cell>
          <cell r="L1050" t="str">
            <v>MANIZALES</v>
          </cell>
          <cell r="M1050" t="str">
            <v>3148883057</v>
          </cell>
        </row>
        <row r="1051">
          <cell r="A1051">
            <v>16077113</v>
          </cell>
          <cell r="B1051" t="str">
            <v>3</v>
          </cell>
          <cell r="C1051" t="str">
            <v/>
          </cell>
          <cell r="D1051" t="str">
            <v>NP</v>
          </cell>
          <cell r="E1051" t="str">
            <v>DANIEL</v>
          </cell>
          <cell r="F1051" t="str">
            <v>ALARCON GOMEZ</v>
          </cell>
          <cell r="G1051" t="str">
            <v>ALARCON GOMEZ DANIEL</v>
          </cell>
          <cell r="H1051" t="str">
            <v>RESI</v>
          </cell>
          <cell r="I1051" t="str">
            <v>REGIMEN SIMPLIFICADO</v>
          </cell>
          <cell r="J1051" t="str">
            <v>CR 3   32 A   12 BL G AP 602</v>
          </cell>
          <cell r="K1051" t="str">
            <v>17001</v>
          </cell>
          <cell r="L1051" t="str">
            <v>MANIZALES</v>
          </cell>
          <cell r="M1051" t="str">
            <v>3146527266</v>
          </cell>
        </row>
        <row r="1052">
          <cell r="A1052">
            <v>16077699</v>
          </cell>
          <cell r="B1052" t="str">
            <v>7</v>
          </cell>
          <cell r="C1052" t="str">
            <v/>
          </cell>
          <cell r="D1052" t="str">
            <v>NP</v>
          </cell>
          <cell r="E1052" t="str">
            <v>CARLOS ANDRES</v>
          </cell>
          <cell r="F1052" t="str">
            <v>VANEGAS ORTIZ</v>
          </cell>
          <cell r="G1052" t="str">
            <v>VANEGAS ORTIZ CARLOS ANDRES</v>
          </cell>
          <cell r="H1052" t="str">
            <v>RESI</v>
          </cell>
          <cell r="I1052" t="str">
            <v>REGIMEN SIMPLIFICADO</v>
          </cell>
          <cell r="J1052" t="str">
            <v>CR 17  8 A  48 CA 126</v>
          </cell>
          <cell r="K1052" t="str">
            <v>17174</v>
          </cell>
          <cell r="L1052" t="str">
            <v>CHINCHINÁ</v>
          </cell>
          <cell r="M1052" t="str">
            <v>3178476593</v>
          </cell>
        </row>
        <row r="1053">
          <cell r="A1053">
            <v>16077907</v>
          </cell>
          <cell r="B1053" t="str">
            <v/>
          </cell>
          <cell r="C1053" t="str">
            <v/>
          </cell>
          <cell r="D1053" t="str">
            <v>CC</v>
          </cell>
          <cell r="E1053" t="str">
            <v>FRANCO LARGO</v>
          </cell>
          <cell r="F1053" t="str">
            <v>CESAR AUGUSTO</v>
          </cell>
          <cell r="G1053" t="str">
            <v>CESAR AUGUSTO FRANCO LARGO</v>
          </cell>
          <cell r="H1053" t="str">
            <v>FUNC</v>
          </cell>
          <cell r="I1053" t="str">
            <v>FUNCIONARIO</v>
          </cell>
          <cell r="J1053" t="str">
            <v>CL 62   34   50 BRR FATIMA</v>
          </cell>
          <cell r="K1053" t="str">
            <v>17001</v>
          </cell>
          <cell r="L1053" t="str">
            <v>MANIZALES</v>
          </cell>
          <cell r="M1053" t="str">
            <v>8874616</v>
          </cell>
        </row>
        <row r="1054">
          <cell r="A1054">
            <v>16078205</v>
          </cell>
          <cell r="B1054" t="str">
            <v/>
          </cell>
          <cell r="C1054" t="str">
            <v/>
          </cell>
          <cell r="D1054" t="str">
            <v>CC</v>
          </cell>
          <cell r="E1054" t="str">
            <v>JULIAN FERNANDO</v>
          </cell>
          <cell r="F1054" t="str">
            <v>MURILLO SANCHEZ</v>
          </cell>
          <cell r="G1054" t="str">
            <v>MURILLO SANCHEZ JULIAN FERNANDO</v>
          </cell>
          <cell r="H1054" t="str">
            <v>FUNC</v>
          </cell>
          <cell r="I1054" t="str">
            <v>FUNCIONARIO</v>
          </cell>
          <cell r="J1054" t="str">
            <v>CR 28    14   62</v>
          </cell>
          <cell r="K1054" t="str">
            <v>17001</v>
          </cell>
          <cell r="L1054" t="str">
            <v>MANIZALES</v>
          </cell>
          <cell r="M1054" t="str">
            <v>8738183</v>
          </cell>
        </row>
        <row r="1055">
          <cell r="A1055">
            <v>16078625</v>
          </cell>
          <cell r="B1055" t="str">
            <v>7</v>
          </cell>
          <cell r="C1055" t="str">
            <v/>
          </cell>
          <cell r="D1055" t="str">
            <v>NP</v>
          </cell>
          <cell r="E1055" t="str">
            <v>JOHN JAIRO</v>
          </cell>
          <cell r="F1055" t="str">
            <v>GIRALDO SALAZAR</v>
          </cell>
          <cell r="G1055" t="str">
            <v>GIRALDO SALAZAR JOHN JAIRO</v>
          </cell>
          <cell r="H1055" t="str">
            <v>IMVE</v>
          </cell>
          <cell r="I1055" t="str">
            <v>IMPUESTO SOBRE LAS VENTAS</v>
          </cell>
          <cell r="J1055" t="str">
            <v xml:space="preserve"> CR 24 CL 25</v>
          </cell>
          <cell r="K1055" t="str">
            <v>17001</v>
          </cell>
          <cell r="L1055" t="str">
            <v>MANIZALES</v>
          </cell>
          <cell r="M1055" t="str">
            <v>8823119</v>
          </cell>
        </row>
        <row r="1056">
          <cell r="A1056">
            <v>16078676</v>
          </cell>
          <cell r="B1056" t="str">
            <v>2</v>
          </cell>
          <cell r="C1056" t="str">
            <v/>
          </cell>
          <cell r="D1056" t="str">
            <v>NP</v>
          </cell>
          <cell r="E1056" t="str">
            <v>FELIPE</v>
          </cell>
          <cell r="F1056" t="str">
            <v>ZAPATA GUZMAN</v>
          </cell>
          <cell r="G1056" t="str">
            <v>ZAPATA GUZMAN FELIPE</v>
          </cell>
          <cell r="H1056" t="str">
            <v>RESI</v>
          </cell>
          <cell r="I1056" t="str">
            <v>REGIMEN SIMPLIFICADO</v>
          </cell>
          <cell r="J1056" t="str">
            <v>CL 56   23 60 LC 3</v>
          </cell>
          <cell r="K1056" t="str">
            <v>17001</v>
          </cell>
          <cell r="L1056" t="str">
            <v>MANIZALES</v>
          </cell>
          <cell r="M1056" t="str">
            <v>6911383</v>
          </cell>
        </row>
        <row r="1057">
          <cell r="A1057">
            <v>16078685</v>
          </cell>
          <cell r="B1057" t="str">
            <v/>
          </cell>
          <cell r="C1057" t="str">
            <v/>
          </cell>
          <cell r="D1057" t="str">
            <v>CC</v>
          </cell>
          <cell r="E1057" t="str">
            <v>ANDRES FELIPE</v>
          </cell>
          <cell r="F1057" t="str">
            <v>ARBELAEZ OSPINA</v>
          </cell>
          <cell r="G1057" t="str">
            <v>ARBELAEZ OSPINA ANDRES FELIPE</v>
          </cell>
          <cell r="H1057" t="str">
            <v>FUNC</v>
          </cell>
          <cell r="I1057" t="str">
            <v>FUNCIONARIO</v>
          </cell>
          <cell r="J1057" t="str">
            <v>AV ALBERTO MENDOZA N 89 89</v>
          </cell>
          <cell r="K1057" t="str">
            <v>17001</v>
          </cell>
          <cell r="L1057" t="str">
            <v>MANIZALES</v>
          </cell>
          <cell r="M1057" t="str">
            <v>3122310809</v>
          </cell>
        </row>
        <row r="1058">
          <cell r="A1058">
            <v>16078733</v>
          </cell>
          <cell r="B1058" t="str">
            <v/>
          </cell>
          <cell r="C1058" t="str">
            <v/>
          </cell>
          <cell r="D1058" t="str">
            <v>CC</v>
          </cell>
          <cell r="E1058" t="str">
            <v>ALVARO</v>
          </cell>
          <cell r="F1058" t="str">
            <v>GALLEGO GONZALEZ</v>
          </cell>
          <cell r="G1058" t="str">
            <v>GALLEGO GONZALEZ ALVARO</v>
          </cell>
          <cell r="H1058" t="str">
            <v>FUNC</v>
          </cell>
          <cell r="I1058" t="str">
            <v>FUNCIONARIO</v>
          </cell>
          <cell r="J1058" t="str">
            <v>CALLE 47 27 33</v>
          </cell>
          <cell r="K1058" t="str">
            <v>17001</v>
          </cell>
          <cell r="L1058" t="str">
            <v>MANIZALES</v>
          </cell>
          <cell r="M1058" t="str">
            <v>3127208659</v>
          </cell>
        </row>
        <row r="1059">
          <cell r="A1059">
            <v>16078754</v>
          </cell>
          <cell r="B1059" t="str">
            <v>9</v>
          </cell>
          <cell r="C1059" t="str">
            <v/>
          </cell>
          <cell r="D1059" t="str">
            <v>NP</v>
          </cell>
          <cell r="E1059" t="str">
            <v>JHONY ALEJANDRO</v>
          </cell>
          <cell r="F1059" t="str">
            <v>ALZATE MONTOYA</v>
          </cell>
          <cell r="G1059" t="str">
            <v>ALZATE MONTOYA JHONY ALEJANDRO</v>
          </cell>
          <cell r="H1059" t="str">
            <v>NORE</v>
          </cell>
          <cell r="I1059" t="str">
            <v>NO RESPONSABLE DE IVA</v>
          </cell>
          <cell r="J1059" t="str">
            <v>CR 27 A 66 15</v>
          </cell>
          <cell r="K1059" t="str">
            <v>17001</v>
          </cell>
          <cell r="L1059" t="str">
            <v>MANIZALES</v>
          </cell>
          <cell r="M1059" t="str">
            <v>3 0 1 4 9 1 2 2</v>
          </cell>
        </row>
        <row r="1060">
          <cell r="A1060">
            <v>16078783</v>
          </cell>
          <cell r="B1060" t="str">
            <v>2</v>
          </cell>
          <cell r="C1060" t="str">
            <v/>
          </cell>
          <cell r="D1060" t="str">
            <v>NP</v>
          </cell>
          <cell r="E1060" t="str">
            <v>VICTOR MANUEL</v>
          </cell>
          <cell r="F1060" t="str">
            <v>VARGAS GUARIN</v>
          </cell>
          <cell r="G1060" t="str">
            <v>VICTOR MANUEL VARGAS GUARIN</v>
          </cell>
          <cell r="H1060" t="str">
            <v>RESI</v>
          </cell>
          <cell r="I1060" t="str">
            <v>REGIMEN SIMPLIFICADO</v>
          </cell>
          <cell r="J1060" t="str">
            <v>CL 72   27   68</v>
          </cell>
          <cell r="K1060" t="str">
            <v>17001</v>
          </cell>
          <cell r="L1060" t="str">
            <v>MANIZALES</v>
          </cell>
          <cell r="M1060" t="str">
            <v>8872492</v>
          </cell>
        </row>
        <row r="1061">
          <cell r="A1061">
            <v>16078812</v>
          </cell>
          <cell r="B1061" t="str">
            <v>8</v>
          </cell>
          <cell r="C1061" t="str">
            <v/>
          </cell>
          <cell r="D1061" t="str">
            <v>NP</v>
          </cell>
          <cell r="E1061" t="str">
            <v>EDWUARD ANDRES</v>
          </cell>
          <cell r="F1061" t="str">
            <v>ALARCON ROJAS</v>
          </cell>
          <cell r="G1061" t="str">
            <v>ALARCON ROJAS EDWUARD ANDRES</v>
          </cell>
          <cell r="H1061" t="str">
            <v>RESI</v>
          </cell>
          <cell r="I1061" t="str">
            <v>REGIMEN SIMPLIFICADO</v>
          </cell>
          <cell r="J1061" t="str">
            <v>CL 55  24  47</v>
          </cell>
          <cell r="K1061" t="str">
            <v>17001</v>
          </cell>
          <cell r="L1061" t="str">
            <v>MANIZALES</v>
          </cell>
          <cell r="M1061" t="str">
            <v>3117760298</v>
          </cell>
        </row>
        <row r="1062">
          <cell r="A1062">
            <v>16078827</v>
          </cell>
          <cell r="B1062" t="str">
            <v/>
          </cell>
          <cell r="C1062" t="str">
            <v/>
          </cell>
          <cell r="D1062" t="str">
            <v>CC</v>
          </cell>
          <cell r="E1062" t="str">
            <v>ANDRES FELIPE</v>
          </cell>
          <cell r="F1062" t="str">
            <v>VALENCIA HERNANDEZ</v>
          </cell>
          <cell r="G1062" t="str">
            <v>VALENCIA HERNANDEZ ANDRES FELIPE</v>
          </cell>
          <cell r="H1062" t="str">
            <v>FUNC</v>
          </cell>
          <cell r="I1062" t="str">
            <v>FUNCIONARIO</v>
          </cell>
          <cell r="J1062" t="str">
            <v>CL 67   26 A 11 BRR PALERMO</v>
          </cell>
          <cell r="K1062" t="str">
            <v>17001</v>
          </cell>
          <cell r="L1062" t="str">
            <v>MANIZALES</v>
          </cell>
          <cell r="M1062" t="str">
            <v>8875301</v>
          </cell>
        </row>
        <row r="1063">
          <cell r="A1063">
            <v>16078862</v>
          </cell>
          <cell r="B1063" t="str">
            <v/>
          </cell>
          <cell r="C1063" t="str">
            <v/>
          </cell>
          <cell r="D1063" t="str">
            <v>CC</v>
          </cell>
          <cell r="E1063" t="str">
            <v>DIEGO ALEX</v>
          </cell>
          <cell r="F1063" t="str">
            <v>MARULANDA ATEHORTUA</v>
          </cell>
          <cell r="G1063" t="str">
            <v>MARULANDA ATEHORTUA DIEGO ALEX</v>
          </cell>
          <cell r="H1063" t="str">
            <v>FUNC</v>
          </cell>
          <cell r="I1063" t="str">
            <v>FUNCIONARIO</v>
          </cell>
          <cell r="J1063" t="str">
            <v>CALLE 50 # 19-41</v>
          </cell>
          <cell r="K1063" t="str">
            <v>15516</v>
          </cell>
          <cell r="L1063" t="str">
            <v>PAIPA</v>
          </cell>
          <cell r="M1063" t="str">
            <v>8852173</v>
          </cell>
        </row>
        <row r="1064">
          <cell r="A1064">
            <v>16079366</v>
          </cell>
          <cell r="B1064" t="str">
            <v/>
          </cell>
          <cell r="C1064" t="str">
            <v/>
          </cell>
          <cell r="D1064" t="str">
            <v>CC</v>
          </cell>
          <cell r="E1064" t="str">
            <v>CARLOS MARIO</v>
          </cell>
          <cell r="F1064" t="str">
            <v>CRUZ MARIN</v>
          </cell>
          <cell r="G1064" t="str">
            <v>CRUZ MARIN CARLOS MARIO</v>
          </cell>
          <cell r="H1064" t="str">
            <v>FUNC</v>
          </cell>
          <cell r="I1064" t="str">
            <v>FUNCIONARIO</v>
          </cell>
          <cell r="J1064" t="str">
            <v>CR 29   69   52</v>
          </cell>
          <cell r="K1064" t="str">
            <v>17001</v>
          </cell>
          <cell r="L1064" t="str">
            <v>MANIZALES</v>
          </cell>
          <cell r="M1064" t="str">
            <v>8909881</v>
          </cell>
        </row>
        <row r="1065">
          <cell r="A1065">
            <v>16079727</v>
          </cell>
          <cell r="B1065" t="str">
            <v/>
          </cell>
          <cell r="C1065" t="str">
            <v/>
          </cell>
          <cell r="D1065" t="str">
            <v>CC</v>
          </cell>
          <cell r="E1065" t="str">
            <v>HARRISON</v>
          </cell>
          <cell r="F1065" t="str">
            <v>MURILLO OSPINA</v>
          </cell>
          <cell r="G1065" t="str">
            <v>MURILLO OSPINA HARRISON</v>
          </cell>
          <cell r="H1065" t="str">
            <v>FUNC</v>
          </cell>
          <cell r="I1065" t="str">
            <v>FUNCIONARIO</v>
          </cell>
          <cell r="J1065" t="str">
            <v>CR 36   50 B 15</v>
          </cell>
          <cell r="K1065" t="str">
            <v>17001</v>
          </cell>
          <cell r="L1065" t="str">
            <v>MANIZALES</v>
          </cell>
          <cell r="M1065" t="str">
            <v>8880997</v>
          </cell>
        </row>
        <row r="1066">
          <cell r="A1066">
            <v>16080000</v>
          </cell>
          <cell r="B1066" t="str">
            <v>0</v>
          </cell>
          <cell r="C1066" t="str">
            <v/>
          </cell>
          <cell r="D1066" t="str">
            <v>NP</v>
          </cell>
          <cell r="E1066" t="str">
            <v>JOHN ALEXANDER</v>
          </cell>
          <cell r="F1066" t="str">
            <v>VALENCIA</v>
          </cell>
          <cell r="G1066" t="str">
            <v>VALENCIA JOHN ALEXANDER</v>
          </cell>
          <cell r="H1066" t="str">
            <v>RESI</v>
          </cell>
          <cell r="I1066" t="str">
            <v>REGIMEN SIMPLIFICADO</v>
          </cell>
          <cell r="J1066" t="str">
            <v>MZ T LT 5 BRR LA VICTORIA</v>
          </cell>
          <cell r="K1066" t="str">
            <v>18753</v>
          </cell>
          <cell r="L1066" t="str">
            <v>SAN VICENTE DEL CAGUÁN</v>
          </cell>
          <cell r="M1066" t="str">
            <v>3117563082</v>
          </cell>
        </row>
        <row r="1067">
          <cell r="A1067">
            <v>16090631</v>
          </cell>
          <cell r="B1067" t="str">
            <v/>
          </cell>
          <cell r="C1067" t="str">
            <v/>
          </cell>
          <cell r="D1067" t="str">
            <v>CC</v>
          </cell>
          <cell r="E1067" t="str">
            <v>JULIAN ALBERTO</v>
          </cell>
          <cell r="F1067" t="str">
            <v>ALBINO OROZCO</v>
          </cell>
          <cell r="G1067" t="str">
            <v>ALBINO OROZCO JULIAN ALBERTO</v>
          </cell>
          <cell r="H1067" t="str">
            <v>FUNC</v>
          </cell>
          <cell r="I1067" t="str">
            <v>FUNCIONARIO</v>
          </cell>
          <cell r="J1067" t="str">
            <v>CL 10 12 149</v>
          </cell>
          <cell r="K1067" t="str">
            <v>17486</v>
          </cell>
          <cell r="L1067" t="str">
            <v>NEIRA</v>
          </cell>
          <cell r="M1067" t="str">
            <v>3148901319</v>
          </cell>
        </row>
        <row r="1068">
          <cell r="A1068">
            <v>16111103</v>
          </cell>
          <cell r="B1068" t="str">
            <v>5</v>
          </cell>
          <cell r="C1068" t="str">
            <v/>
          </cell>
          <cell r="D1068" t="str">
            <v>NP</v>
          </cell>
          <cell r="E1068" t="str">
            <v>JOSE RODRIGO</v>
          </cell>
          <cell r="F1068" t="str">
            <v>SALAZAR GIRALDO</v>
          </cell>
          <cell r="G1068" t="str">
            <v>SALAZAR GIRALDO JOSE RODRIGO</v>
          </cell>
          <cell r="H1068" t="str">
            <v>RESI</v>
          </cell>
          <cell r="I1068" t="str">
            <v>REGIMEN SIMPLIFICADO</v>
          </cell>
          <cell r="J1068" t="str">
            <v>AV 1 25 91 BRR LA FRAGUITA</v>
          </cell>
          <cell r="K1068" t="str">
            <v>11001</v>
          </cell>
          <cell r="L1068" t="str">
            <v>BOGOTA DC</v>
          </cell>
          <cell r="M1068" t="str">
            <v>3115610107</v>
          </cell>
        </row>
        <row r="1069">
          <cell r="A1069">
            <v>16112042</v>
          </cell>
          <cell r="B1069" t="str">
            <v/>
          </cell>
          <cell r="C1069" t="str">
            <v/>
          </cell>
          <cell r="D1069" t="str">
            <v>CC</v>
          </cell>
          <cell r="E1069" t="str">
            <v>LUIS JOSE</v>
          </cell>
          <cell r="F1069" t="str">
            <v>VILLA TANGARIFE</v>
          </cell>
          <cell r="G1069" t="str">
            <v>VILLA TANGARIFE LUIS JOSE</v>
          </cell>
          <cell r="H1069" t="str">
            <v>RESI</v>
          </cell>
          <cell r="I1069" t="str">
            <v>REGIMEN SIMPLIFICADO</v>
          </cell>
          <cell r="J1069" t="str">
            <v>Cra 11 49C-05 apto 503B Manizales</v>
          </cell>
          <cell r="K1069" t="str">
            <v>17662</v>
          </cell>
          <cell r="L1069" t="str">
            <v>SAMANÁ</v>
          </cell>
          <cell r="M1069" t="str">
            <v>3206804741</v>
          </cell>
        </row>
        <row r="1070">
          <cell r="A1070">
            <v>16112044</v>
          </cell>
          <cell r="B1070" t="str">
            <v/>
          </cell>
          <cell r="C1070" t="str">
            <v/>
          </cell>
          <cell r="D1070" t="str">
            <v>CC</v>
          </cell>
          <cell r="E1070" t="str">
            <v>DUVAN</v>
          </cell>
          <cell r="F1070" t="str">
            <v>ZULUAGA</v>
          </cell>
          <cell r="G1070" t="str">
            <v>ZULUAGA DUVAN</v>
          </cell>
          <cell r="H1070" t="str">
            <v>RESI</v>
          </cell>
          <cell r="I1070" t="str">
            <v>REGIMEN SIMPLIFICADO</v>
          </cell>
          <cell r="J1070" t="str">
            <v>MCP PENSILVANIA</v>
          </cell>
          <cell r="K1070" t="str">
            <v>17541</v>
          </cell>
          <cell r="L1070" t="str">
            <v>PENSILVANIA</v>
          </cell>
          <cell r="M1070" t="str">
            <v>SIN TELEFONO</v>
          </cell>
        </row>
        <row r="1071">
          <cell r="A1071">
            <v>16113019</v>
          </cell>
          <cell r="B1071" t="str">
            <v/>
          </cell>
          <cell r="C1071" t="str">
            <v/>
          </cell>
          <cell r="D1071" t="str">
            <v>CC</v>
          </cell>
          <cell r="E1071" t="str">
            <v>JOHN FREDY</v>
          </cell>
          <cell r="F1071" t="str">
            <v>RIVAS ORTIZ</v>
          </cell>
          <cell r="G1071" t="str">
            <v>RIVAS ORTIZ JOHN FREDY</v>
          </cell>
          <cell r="H1071" t="str">
            <v>FUNC</v>
          </cell>
          <cell r="I1071" t="str">
            <v>FUNCIONARIO</v>
          </cell>
          <cell r="J1071" t="str">
            <v>CL 9   8   15</v>
          </cell>
          <cell r="K1071" t="str">
            <v>17001</v>
          </cell>
          <cell r="L1071" t="str">
            <v>MANIZALES</v>
          </cell>
          <cell r="M1071" t="str">
            <v>8958303</v>
          </cell>
        </row>
        <row r="1072">
          <cell r="A1072">
            <v>16114311</v>
          </cell>
          <cell r="B1072" t="str">
            <v>4</v>
          </cell>
          <cell r="C1072" t="str">
            <v/>
          </cell>
          <cell r="D1072" t="str">
            <v>NP</v>
          </cell>
          <cell r="E1072" t="str">
            <v>FREDY ALEXANDER</v>
          </cell>
          <cell r="F1072" t="str">
            <v>PATIÑO CORTES</v>
          </cell>
          <cell r="G1072" t="str">
            <v>PATIÑO CORTES FREDY ALEXANDER</v>
          </cell>
          <cell r="H1072" t="str">
            <v>RESI</v>
          </cell>
          <cell r="I1072" t="str">
            <v>REGIMEN SIMPLIFICADO</v>
          </cell>
          <cell r="J1072" t="str">
            <v>CL 2 5 69  CORR FLORENCIA</v>
          </cell>
          <cell r="K1072" t="str">
            <v>17662</v>
          </cell>
          <cell r="L1072" t="str">
            <v>SAMANÁ</v>
          </cell>
          <cell r="M1072" t="str">
            <v>3148477781</v>
          </cell>
        </row>
        <row r="1073">
          <cell r="A1073">
            <v>16114776</v>
          </cell>
          <cell r="B1073" t="str">
            <v/>
          </cell>
          <cell r="C1073" t="str">
            <v/>
          </cell>
          <cell r="D1073" t="str">
            <v>CC</v>
          </cell>
          <cell r="E1073" t="str">
            <v>JULIO CESAR</v>
          </cell>
          <cell r="F1073" t="str">
            <v>TABARES FRANCO</v>
          </cell>
          <cell r="G1073" t="str">
            <v>TABARES FRANCO JULIO CESAR</v>
          </cell>
          <cell r="H1073" t="str">
            <v>RESI</v>
          </cell>
          <cell r="I1073" t="str">
            <v>REGIMEN SIMPLIFICADO</v>
          </cell>
          <cell r="J1073" t="str">
            <v>XXX</v>
          </cell>
          <cell r="K1073" t="str">
            <v>52480</v>
          </cell>
          <cell r="L1073" t="str">
            <v>NARIÑO</v>
          </cell>
          <cell r="M1073" t="str">
            <v>XXX</v>
          </cell>
        </row>
        <row r="1074">
          <cell r="A1074">
            <v>16115152</v>
          </cell>
          <cell r="B1074" t="str">
            <v/>
          </cell>
          <cell r="C1074" t="str">
            <v/>
          </cell>
          <cell r="D1074" t="str">
            <v>CC</v>
          </cell>
          <cell r="E1074" t="str">
            <v>NORVEY DE JESUS</v>
          </cell>
          <cell r="F1074" t="str">
            <v>PEREZ RENDON</v>
          </cell>
          <cell r="G1074" t="str">
            <v>PEREZ RENDON NORVEY DE JESUS</v>
          </cell>
          <cell r="H1074" t="str">
            <v>RESI</v>
          </cell>
          <cell r="I1074" t="str">
            <v>REGIMEN SIMPLIFICADO</v>
          </cell>
          <cell r="J1074" t="str">
            <v>VEREDA CRISTALES FLORENCIA CALDAS</v>
          </cell>
          <cell r="K1074" t="str">
            <v>17662</v>
          </cell>
          <cell r="L1074" t="str">
            <v>SAMANÁ</v>
          </cell>
          <cell r="M1074" t="str">
            <v>3145530449</v>
          </cell>
        </row>
        <row r="1075">
          <cell r="A1075">
            <v>16136430</v>
          </cell>
          <cell r="B1075" t="str">
            <v>7</v>
          </cell>
          <cell r="C1075" t="str">
            <v/>
          </cell>
          <cell r="D1075" t="str">
            <v>NP</v>
          </cell>
          <cell r="E1075" t="str">
            <v xml:space="preserve">ALONSO </v>
          </cell>
          <cell r="F1075" t="str">
            <v>MARTINEZ SOTO</v>
          </cell>
          <cell r="G1075" t="str">
            <v>MARTINEZ SOTO ALONSO</v>
          </cell>
          <cell r="H1075" t="str">
            <v>RECO</v>
          </cell>
          <cell r="I1075" t="str">
            <v>REGIMEN COMUN</v>
          </cell>
          <cell r="J1075" t="str">
            <v>CR 23 20 15 MUNDO MAGICO LOCAL 3</v>
          </cell>
          <cell r="K1075" t="str">
            <v>17001</v>
          </cell>
          <cell r="L1075" t="str">
            <v>MANIZALES</v>
          </cell>
          <cell r="M1075" t="str">
            <v>8800292</v>
          </cell>
        </row>
        <row r="1076">
          <cell r="A1076">
            <v>16138973</v>
          </cell>
          <cell r="B1076" t="str">
            <v/>
          </cell>
          <cell r="C1076" t="str">
            <v/>
          </cell>
          <cell r="D1076" t="str">
            <v>CC</v>
          </cell>
          <cell r="E1076" t="str">
            <v>CARLOS ARIEL</v>
          </cell>
          <cell r="F1076" t="str">
            <v>GIRALDO ARIAS</v>
          </cell>
          <cell r="G1076" t="str">
            <v>GIRALDO ARIAS CARLOS ARIEL</v>
          </cell>
          <cell r="H1076" t="str">
            <v>FUNC</v>
          </cell>
          <cell r="I1076" t="str">
            <v>FUNCIONARIO</v>
          </cell>
          <cell r="J1076" t="str">
            <v>CR 11 D   47 L 30</v>
          </cell>
          <cell r="K1076" t="str">
            <v>17001</v>
          </cell>
          <cell r="L1076" t="str">
            <v>MANIZALES</v>
          </cell>
          <cell r="M1076" t="str">
            <v>8765841</v>
          </cell>
        </row>
        <row r="1077">
          <cell r="A1077">
            <v>16161578</v>
          </cell>
          <cell r="B1077" t="str">
            <v/>
          </cell>
          <cell r="C1077" t="str">
            <v/>
          </cell>
          <cell r="D1077" t="str">
            <v>CC</v>
          </cell>
          <cell r="E1077" t="str">
            <v>NOE ALEXANDER</v>
          </cell>
          <cell r="F1077" t="str">
            <v>MILLAN HORTUA</v>
          </cell>
          <cell r="G1077" t="str">
            <v>MILLAN HORTUA NOE ALEXANDER</v>
          </cell>
          <cell r="H1077" t="str">
            <v>FUNC</v>
          </cell>
          <cell r="I1077" t="str">
            <v>FUNCIONARIO</v>
          </cell>
          <cell r="J1077" t="str">
            <v>CR 17 B   48 D BRR</v>
          </cell>
          <cell r="K1077" t="str">
            <v>17001</v>
          </cell>
          <cell r="L1077" t="str">
            <v>MANIZALES</v>
          </cell>
          <cell r="M1077" t="str">
            <v>3123375694</v>
          </cell>
        </row>
        <row r="1078">
          <cell r="A1078">
            <v>16190233</v>
          </cell>
          <cell r="B1078" t="str">
            <v/>
          </cell>
          <cell r="C1078" t="str">
            <v/>
          </cell>
          <cell r="D1078" t="str">
            <v>CC</v>
          </cell>
          <cell r="E1078" t="str">
            <v>JOSE LEON</v>
          </cell>
          <cell r="F1078" t="str">
            <v>GUZMAN QUEVEDO</v>
          </cell>
          <cell r="G1078" t="str">
            <v>GUZMAN QUEVEDO JOSE LEON</v>
          </cell>
          <cell r="H1078" t="str">
            <v>RESI</v>
          </cell>
          <cell r="I1078" t="str">
            <v>REGIMEN SIMPLIFICADO</v>
          </cell>
          <cell r="J1078" t="str">
            <v>CALLE 16A N6-10 PISO 2</v>
          </cell>
          <cell r="K1078" t="str">
            <v>19290</v>
          </cell>
          <cell r="L1078" t="str">
            <v>FLORENCIA</v>
          </cell>
          <cell r="M1078" t="str">
            <v>4358537</v>
          </cell>
        </row>
        <row r="1079">
          <cell r="A1079">
            <v>16191991</v>
          </cell>
          <cell r="B1079" t="str">
            <v/>
          </cell>
          <cell r="C1079" t="str">
            <v/>
          </cell>
          <cell r="D1079" t="str">
            <v>CC</v>
          </cell>
          <cell r="E1079" t="str">
            <v>JAVIER</v>
          </cell>
          <cell r="F1079" t="str">
            <v>AGUDELO SALAZAR</v>
          </cell>
          <cell r="G1079" t="str">
            <v>AGUDELO SALAZAR JAVIER</v>
          </cell>
          <cell r="H1079" t="str">
            <v>RESI</v>
          </cell>
          <cell r="I1079" t="str">
            <v>REGIMEN SIMPLIFICADO</v>
          </cell>
          <cell r="J1079" t="str">
            <v>XXX</v>
          </cell>
          <cell r="K1079" t="str">
            <v>17001</v>
          </cell>
          <cell r="L1079" t="str">
            <v>MANIZALES</v>
          </cell>
          <cell r="M1079" t="str">
            <v>XXX</v>
          </cell>
        </row>
        <row r="1080">
          <cell r="A1080">
            <v>16192022</v>
          </cell>
          <cell r="B1080" t="str">
            <v/>
          </cell>
          <cell r="C1080" t="str">
            <v/>
          </cell>
          <cell r="D1080" t="str">
            <v>CC</v>
          </cell>
          <cell r="E1080" t="str">
            <v>ANCELMO</v>
          </cell>
          <cell r="F1080" t="str">
            <v>GUTIERREZ JOVEN</v>
          </cell>
          <cell r="G1080" t="str">
            <v>GUTIERREZ JOVEN ANCELMO</v>
          </cell>
          <cell r="H1080" t="str">
            <v>RESI</v>
          </cell>
          <cell r="I1080" t="str">
            <v>REGIMEN SIMPLIFICADO</v>
          </cell>
          <cell r="J1080" t="str">
            <v>TERCERO CREADO SIN RUT AUTORIZADO POR AREA FINANCIERA</v>
          </cell>
          <cell r="K1080" t="str">
            <v>17001</v>
          </cell>
          <cell r="L1080" t="str">
            <v>MANIZALES</v>
          </cell>
          <cell r="M1080" t="str">
            <v>999999999</v>
          </cell>
        </row>
        <row r="1081">
          <cell r="A1081">
            <v>16203287</v>
          </cell>
          <cell r="B1081" t="str">
            <v>7</v>
          </cell>
          <cell r="C1081" t="str">
            <v/>
          </cell>
          <cell r="D1081" t="str">
            <v>NP</v>
          </cell>
          <cell r="E1081" t="str">
            <v>ALVARO</v>
          </cell>
          <cell r="F1081" t="str">
            <v>JARAMILLO SIERRA</v>
          </cell>
          <cell r="G1081" t="str">
            <v>JARAMILLO SIERRA ALVARO</v>
          </cell>
          <cell r="H1081" t="str">
            <v>IMVE</v>
          </cell>
          <cell r="I1081" t="str">
            <v>IMPUESTO SOBRE LAS VENTAS</v>
          </cell>
          <cell r="J1081" t="str">
            <v>CR 23 47 21</v>
          </cell>
          <cell r="K1081" t="str">
            <v>17001</v>
          </cell>
          <cell r="L1081" t="str">
            <v>MANIZALES</v>
          </cell>
          <cell r="M1081" t="str">
            <v>3108302122</v>
          </cell>
        </row>
        <row r="1082">
          <cell r="A1082">
            <v>16253874</v>
          </cell>
          <cell r="B1082" t="str">
            <v>4</v>
          </cell>
          <cell r="C1082" t="str">
            <v/>
          </cell>
          <cell r="D1082" t="str">
            <v>NP</v>
          </cell>
          <cell r="E1082" t="str">
            <v>PEDRO NEL</v>
          </cell>
          <cell r="F1082" t="str">
            <v>GARCIA CRUZ</v>
          </cell>
          <cell r="G1082" t="str">
            <v>GARCIA CRUZ PEDRO NEL</v>
          </cell>
          <cell r="H1082" t="str">
            <v>RESI</v>
          </cell>
          <cell r="I1082" t="str">
            <v>REGIMEN SIMPLIFICADO</v>
          </cell>
          <cell r="J1082" t="str">
            <v>CL 48 A   5 A   03</v>
          </cell>
          <cell r="K1082" t="str">
            <v>85001</v>
          </cell>
          <cell r="L1082" t="str">
            <v>YOPAL</v>
          </cell>
          <cell r="M1082" t="str">
            <v>3138549258</v>
          </cell>
        </row>
        <row r="1083">
          <cell r="A1083">
            <v>16270499</v>
          </cell>
          <cell r="B1083" t="str">
            <v>7</v>
          </cell>
          <cell r="C1083" t="str">
            <v/>
          </cell>
          <cell r="D1083" t="str">
            <v>NP</v>
          </cell>
          <cell r="E1083" t="str">
            <v>GUILLERMO</v>
          </cell>
          <cell r="F1083" t="str">
            <v>OSORIO SCARPETTA</v>
          </cell>
          <cell r="G1083" t="str">
            <v>OSORIO SCARPETTA GUILLERMO</v>
          </cell>
          <cell r="H1083" t="str">
            <v>RCPN</v>
          </cell>
          <cell r="I1083" t="str">
            <v>RESPONSABLE IVA PERSONA NATURAL</v>
          </cell>
          <cell r="J1083" t="str">
            <v>CL 8 1 10 CL DEL COMERCIO</v>
          </cell>
          <cell r="K1083" t="str">
            <v>19318</v>
          </cell>
          <cell r="L1083" t="str">
            <v>GUAPI</v>
          </cell>
          <cell r="M1083" t="str">
            <v>3168217312</v>
          </cell>
        </row>
        <row r="1084">
          <cell r="A1084">
            <v>16355703</v>
          </cell>
          <cell r="B1084" t="str">
            <v>1</v>
          </cell>
          <cell r="C1084" t="str">
            <v/>
          </cell>
          <cell r="D1084" t="str">
            <v>NP</v>
          </cell>
          <cell r="E1084" t="str">
            <v>MARIO</v>
          </cell>
          <cell r="F1084" t="str">
            <v>GUARNIZO MARTINEZ</v>
          </cell>
          <cell r="G1084" t="str">
            <v>GUARNIZO MARTINEZ MARIO</v>
          </cell>
          <cell r="H1084" t="str">
            <v>RECO</v>
          </cell>
          <cell r="I1084" t="str">
            <v>REGIMEN COMUN</v>
          </cell>
          <cell r="J1084" t="str">
            <v>CR 6 16 03</v>
          </cell>
          <cell r="K1084" t="str">
            <v>76001</v>
          </cell>
          <cell r="L1084" t="str">
            <v>CALI</v>
          </cell>
          <cell r="M1084" t="str">
            <v>8899251</v>
          </cell>
        </row>
        <row r="1085">
          <cell r="A1085">
            <v>16435018</v>
          </cell>
          <cell r="B1085" t="str">
            <v>8</v>
          </cell>
          <cell r="C1085" t="str">
            <v/>
          </cell>
          <cell r="D1085" t="str">
            <v>NP</v>
          </cell>
          <cell r="E1085" t="str">
            <v>GERARDO</v>
          </cell>
          <cell r="F1085" t="str">
            <v>ADARVE MARTINEZ</v>
          </cell>
          <cell r="G1085" t="str">
            <v>ADARVE MARTINEZ GERARDO</v>
          </cell>
          <cell r="H1085" t="str">
            <v>RESI</v>
          </cell>
          <cell r="I1085" t="str">
            <v>REGIMEN SIMPLIFICADO</v>
          </cell>
          <cell r="J1085" t="str">
            <v>CR 23  14  30  P3</v>
          </cell>
          <cell r="K1085" t="str">
            <v>17001</v>
          </cell>
          <cell r="L1085" t="str">
            <v>MANIZALES</v>
          </cell>
          <cell r="M1085" t="str">
            <v>8845024</v>
          </cell>
        </row>
        <row r="1086">
          <cell r="A1086">
            <v>16480434</v>
          </cell>
          <cell r="B1086" t="str">
            <v>1</v>
          </cell>
          <cell r="C1086" t="str">
            <v/>
          </cell>
          <cell r="D1086" t="str">
            <v>NP</v>
          </cell>
          <cell r="E1086" t="str">
            <v>BELISARIO</v>
          </cell>
          <cell r="F1086" t="str">
            <v>MANYOMA LIZALDA</v>
          </cell>
          <cell r="G1086" t="str">
            <v>MANYOMA LIZALDA BELISARIO</v>
          </cell>
          <cell r="H1086" t="str">
            <v>RESI</v>
          </cell>
          <cell r="I1086" t="str">
            <v>REGIMEN SIMPLIFICADO</v>
          </cell>
          <cell r="J1086" t="str">
            <v>BRR EL CARMEN</v>
          </cell>
          <cell r="K1086" t="str">
            <v>27075</v>
          </cell>
          <cell r="L1086" t="str">
            <v>BAHÍA SOLANO</v>
          </cell>
          <cell r="M1086" t="str">
            <v>3204345195</v>
          </cell>
        </row>
        <row r="1087">
          <cell r="A1087">
            <v>16482122</v>
          </cell>
          <cell r="B1087" t="str">
            <v>6</v>
          </cell>
          <cell r="C1087" t="str">
            <v/>
          </cell>
          <cell r="D1087" t="str">
            <v>NP</v>
          </cell>
          <cell r="E1087" t="str">
            <v>OHIBAR</v>
          </cell>
          <cell r="F1087" t="str">
            <v>ANCHICO VIVAS</v>
          </cell>
          <cell r="G1087" t="str">
            <v>ANCHICO VIVAS OHIBAR</v>
          </cell>
          <cell r="H1087" t="str">
            <v>RESI</v>
          </cell>
          <cell r="I1087" t="str">
            <v>REGIMEN SIMPLIFICADO</v>
          </cell>
          <cell r="J1087" t="str">
            <v>BRR LA PISTA C 1 A</v>
          </cell>
          <cell r="K1087" t="str">
            <v>52490</v>
          </cell>
          <cell r="L1087" t="str">
            <v>OLAYA HERRERA</v>
          </cell>
          <cell r="M1087" t="str">
            <v>3217292858</v>
          </cell>
        </row>
        <row r="1088">
          <cell r="A1088">
            <v>16495101</v>
          </cell>
          <cell r="B1088" t="str">
            <v/>
          </cell>
          <cell r="C1088" t="str">
            <v/>
          </cell>
          <cell r="D1088" t="str">
            <v>CC</v>
          </cell>
          <cell r="E1088" t="str">
            <v>JHONY</v>
          </cell>
          <cell r="F1088" t="str">
            <v>MANTILLA ALEGRIA</v>
          </cell>
          <cell r="G1088" t="str">
            <v>MANTILLA ALEGRIA JHONY</v>
          </cell>
          <cell r="H1088" t="str">
            <v>RESI</v>
          </cell>
          <cell r="I1088" t="str">
            <v>REGIMEN SIMPLIFICADO</v>
          </cell>
          <cell r="J1088" t="str">
            <v>MLL MCP GUAPI</v>
          </cell>
          <cell r="K1088" t="str">
            <v>52250</v>
          </cell>
          <cell r="L1088" t="str">
            <v>EL CHARCO</v>
          </cell>
          <cell r="M1088" t="str">
            <v>7470064</v>
          </cell>
        </row>
        <row r="1089">
          <cell r="A1089">
            <v>16506776</v>
          </cell>
          <cell r="B1089" t="str">
            <v>8</v>
          </cell>
          <cell r="C1089" t="str">
            <v/>
          </cell>
          <cell r="D1089" t="str">
            <v>NP</v>
          </cell>
          <cell r="E1089" t="str">
            <v>JESUS LEOPOLDO</v>
          </cell>
          <cell r="F1089" t="str">
            <v>DCROZ AGUIRRE</v>
          </cell>
          <cell r="G1089" t="str">
            <v>DCROZ AGUIRRE JESUS LEOPOLDO</v>
          </cell>
          <cell r="H1089" t="str">
            <v>REOR</v>
          </cell>
          <cell r="I1089" t="str">
            <v>RENTA REGIMEN ORDINARIO</v>
          </cell>
          <cell r="J1089" t="str">
            <v>CR 4 CL 6 21 C 70</v>
          </cell>
          <cell r="K1089" t="str">
            <v>76109</v>
          </cell>
          <cell r="L1089" t="str">
            <v>BUENAVENTURA</v>
          </cell>
          <cell r="M1089" t="str">
            <v>3148276657</v>
          </cell>
        </row>
        <row r="1090">
          <cell r="A1090">
            <v>16514194</v>
          </cell>
          <cell r="B1090" t="str">
            <v/>
          </cell>
          <cell r="C1090" t="str">
            <v/>
          </cell>
          <cell r="D1090" t="str">
            <v>CC</v>
          </cell>
          <cell r="E1090" t="str">
            <v>MARLON</v>
          </cell>
          <cell r="F1090" t="str">
            <v>CUNDUMI SANCHEZ</v>
          </cell>
          <cell r="G1090" t="str">
            <v>CUNDUMI SANCHEZ MARLON</v>
          </cell>
          <cell r="H1090" t="str">
            <v>FUNC</v>
          </cell>
          <cell r="I1090" t="str">
            <v>FUNCIONARIO</v>
          </cell>
          <cell r="J1090" t="str">
            <v>B  SAN FRANCISCO CR 5 CLL 12  GUAPI</v>
          </cell>
          <cell r="K1090" t="str">
            <v>97001</v>
          </cell>
          <cell r="L1090" t="str">
            <v>MITÚ</v>
          </cell>
          <cell r="M1090" t="str">
            <v>3113357614</v>
          </cell>
        </row>
        <row r="1091">
          <cell r="A1091">
            <v>16588426</v>
          </cell>
          <cell r="B1091" t="str">
            <v/>
          </cell>
          <cell r="C1091" t="str">
            <v/>
          </cell>
          <cell r="D1091" t="str">
            <v>CC</v>
          </cell>
          <cell r="E1091" t="str">
            <v>JOSE ORLANDO</v>
          </cell>
          <cell r="F1091" t="str">
            <v>PATIÑO BURGOS</v>
          </cell>
          <cell r="G1091" t="str">
            <v>PATIÑO BURGOS JOSE ORLANDO</v>
          </cell>
          <cell r="H1091" t="str">
            <v>RESI</v>
          </cell>
          <cell r="I1091" t="str">
            <v>REGIMEN SIMPLIFICADO</v>
          </cell>
          <cell r="J1091" t="str">
            <v>CR 11   24   42</v>
          </cell>
          <cell r="K1091" t="str">
            <v>99001</v>
          </cell>
          <cell r="L1091" t="str">
            <v>PUERTO CARREÑO</v>
          </cell>
          <cell r="M1091" t="str">
            <v>3115793671</v>
          </cell>
        </row>
        <row r="1092">
          <cell r="A1092">
            <v>16596862</v>
          </cell>
          <cell r="B1092" t="str">
            <v>8</v>
          </cell>
          <cell r="C1092" t="str">
            <v/>
          </cell>
          <cell r="D1092" t="str">
            <v>NP</v>
          </cell>
          <cell r="E1092" t="str">
            <v>ALVARO JOSE</v>
          </cell>
          <cell r="F1092" t="str">
            <v>HOLGUIN VALLEJO</v>
          </cell>
          <cell r="G1092" t="str">
            <v>HOLGUIN VALLEJO ALVARO JOSE</v>
          </cell>
          <cell r="H1092" t="str">
            <v>RECO</v>
          </cell>
          <cell r="I1092" t="str">
            <v>REGIMEN COMUN</v>
          </cell>
          <cell r="J1092" t="str">
            <v>CL 16 A OESTE 5 252 CA D 2</v>
          </cell>
          <cell r="K1092" t="str">
            <v>76001</v>
          </cell>
          <cell r="L1092" t="str">
            <v>CALI</v>
          </cell>
          <cell r="M1092" t="str">
            <v>8938008</v>
          </cell>
        </row>
        <row r="1093">
          <cell r="A1093">
            <v>16611791</v>
          </cell>
          <cell r="B1093" t="str">
            <v>8</v>
          </cell>
          <cell r="C1093" t="str">
            <v/>
          </cell>
          <cell r="D1093" t="str">
            <v>NP</v>
          </cell>
          <cell r="E1093" t="str">
            <v>ELEAZAR</v>
          </cell>
          <cell r="F1093" t="str">
            <v>TENORIO GIL</v>
          </cell>
          <cell r="G1093" t="str">
            <v>TENORIO GIL ELEAZAR</v>
          </cell>
          <cell r="H1093" t="str">
            <v>RECO</v>
          </cell>
          <cell r="I1093" t="str">
            <v>REGIMEN COMUN</v>
          </cell>
          <cell r="J1093" t="str">
            <v>CR 29 CL 14 CC UNICENTRO LC 267</v>
          </cell>
          <cell r="K1093" t="str">
            <v>85001</v>
          </cell>
          <cell r="L1093" t="str">
            <v>YOPAL</v>
          </cell>
          <cell r="M1093" t="str">
            <v>3215299740</v>
          </cell>
        </row>
        <row r="1094">
          <cell r="A1094">
            <v>16641116</v>
          </cell>
          <cell r="B1094" t="str">
            <v>4</v>
          </cell>
          <cell r="C1094" t="str">
            <v/>
          </cell>
          <cell r="D1094" t="str">
            <v>NP</v>
          </cell>
          <cell r="E1094" t="str">
            <v>JAIRO E</v>
          </cell>
          <cell r="F1094" t="str">
            <v>ZAMUDIO SUAREZ</v>
          </cell>
          <cell r="G1094" t="str">
            <v>ZAMUDIO SUAREZ JAIRO E</v>
          </cell>
          <cell r="H1094" t="str">
            <v>RECO</v>
          </cell>
          <cell r="I1094" t="str">
            <v>REGIMEN COMUN</v>
          </cell>
          <cell r="J1094" t="str">
            <v>CL 5 B 1 36 40</v>
          </cell>
          <cell r="K1094" t="str">
            <v>76001</v>
          </cell>
          <cell r="L1094" t="str">
            <v>CALI</v>
          </cell>
          <cell r="M1094" t="str">
            <v>5567597</v>
          </cell>
        </row>
        <row r="1095">
          <cell r="A1095">
            <v>16695764</v>
          </cell>
          <cell r="B1095" t="str">
            <v>0</v>
          </cell>
          <cell r="C1095" t="str">
            <v/>
          </cell>
          <cell r="D1095" t="str">
            <v>CC</v>
          </cell>
          <cell r="E1095" t="str">
            <v>ARCE POSSO</v>
          </cell>
          <cell r="F1095" t="str">
            <v>JULIO MAURICIO</v>
          </cell>
          <cell r="G1095" t="str">
            <v>ARCE POSSO JULIO MAURICIO</v>
          </cell>
          <cell r="H1095" t="str">
            <v>FUNC</v>
          </cell>
          <cell r="I1095" t="str">
            <v>FUNCIONARIO</v>
          </cell>
          <cell r="J1095" t="str">
            <v>CL 70   27   57 AP 501</v>
          </cell>
          <cell r="K1095" t="str">
            <v>17001</v>
          </cell>
          <cell r="L1095" t="str">
            <v>MANIZALES</v>
          </cell>
          <cell r="M1095" t="str">
            <v>8877178</v>
          </cell>
        </row>
        <row r="1096">
          <cell r="A1096">
            <v>16697659</v>
          </cell>
          <cell r="B1096" t="str">
            <v>2</v>
          </cell>
          <cell r="C1096" t="str">
            <v/>
          </cell>
          <cell r="D1096" t="str">
            <v>NP</v>
          </cell>
          <cell r="E1096" t="str">
            <v xml:space="preserve">JAHIR </v>
          </cell>
          <cell r="F1096" t="str">
            <v>GOMEZ MINA</v>
          </cell>
          <cell r="G1096" t="str">
            <v>JAHIR GOMEZ MINA</v>
          </cell>
          <cell r="H1096" t="str">
            <v>RECO</v>
          </cell>
          <cell r="I1096" t="str">
            <v>REGIMEN COMUN</v>
          </cell>
          <cell r="J1096" t="str">
            <v>CR 33 B 16 32</v>
          </cell>
          <cell r="K1096" t="str">
            <v>76001</v>
          </cell>
          <cell r="L1096" t="str">
            <v>CALI</v>
          </cell>
          <cell r="M1096" t="str">
            <v>3122098740</v>
          </cell>
        </row>
        <row r="1097">
          <cell r="A1097">
            <v>16699639</v>
          </cell>
          <cell r="B1097" t="str">
            <v/>
          </cell>
          <cell r="C1097" t="str">
            <v/>
          </cell>
          <cell r="D1097" t="str">
            <v>CC</v>
          </cell>
          <cell r="E1097" t="str">
            <v>ARNAUD</v>
          </cell>
          <cell r="F1097" t="str">
            <v>GRISALES ARIAS</v>
          </cell>
          <cell r="G1097" t="str">
            <v>GRISALES ARIAS ARNAUD</v>
          </cell>
          <cell r="H1097" t="str">
            <v>FUNC</v>
          </cell>
          <cell r="I1097" t="str">
            <v>FUNCIONARIO</v>
          </cell>
          <cell r="J1097" t="str">
            <v>CR 4   8  14 AGUADAS</v>
          </cell>
          <cell r="K1097" t="str">
            <v>17013</v>
          </cell>
          <cell r="L1097" t="str">
            <v>AGUADAS</v>
          </cell>
          <cell r="M1097" t="str">
            <v>3207254995</v>
          </cell>
        </row>
        <row r="1098">
          <cell r="A1098">
            <v>16710909</v>
          </cell>
          <cell r="B1098" t="str">
            <v/>
          </cell>
          <cell r="C1098" t="str">
            <v/>
          </cell>
          <cell r="D1098" t="str">
            <v>CC</v>
          </cell>
          <cell r="E1098" t="str">
            <v>JORGE ELIECER</v>
          </cell>
          <cell r="F1098" t="str">
            <v>RAMIREZ MURILLO</v>
          </cell>
          <cell r="G1098" t="str">
            <v>RAMIREZ MURILLO JORGE ELIECER</v>
          </cell>
          <cell r="H1098" t="str">
            <v>FUNC</v>
          </cell>
          <cell r="I1098" t="str">
            <v>FUNCIONARIO</v>
          </cell>
          <cell r="J1098" t="str">
            <v>CL 67   29   29</v>
          </cell>
          <cell r="K1098" t="str">
            <v>17001</v>
          </cell>
          <cell r="L1098" t="str">
            <v>MANIZALES</v>
          </cell>
          <cell r="M1098" t="str">
            <v>3125845684</v>
          </cell>
        </row>
        <row r="1099">
          <cell r="A1099">
            <v>16728479</v>
          </cell>
          <cell r="B1099" t="str">
            <v>8</v>
          </cell>
          <cell r="C1099" t="str">
            <v/>
          </cell>
          <cell r="D1099" t="str">
            <v>NP</v>
          </cell>
          <cell r="E1099" t="str">
            <v>JOSE LUIS</v>
          </cell>
          <cell r="F1099" t="str">
            <v>CHAPARRO NINCO</v>
          </cell>
          <cell r="G1099" t="str">
            <v>CHAPARRO NINCO JOSE LUIS</v>
          </cell>
          <cell r="H1099" t="str">
            <v>RECO</v>
          </cell>
          <cell r="I1099" t="str">
            <v>REGIMEN COMUN</v>
          </cell>
          <cell r="J1099" t="str">
            <v>CR 6 15 81 BRR SAN NICOLAS</v>
          </cell>
          <cell r="K1099" t="str">
            <v>76001</v>
          </cell>
          <cell r="L1099" t="str">
            <v>CALI</v>
          </cell>
          <cell r="M1099" t="str">
            <v>8801867</v>
          </cell>
        </row>
        <row r="1100">
          <cell r="A1100">
            <v>16820545</v>
          </cell>
          <cell r="B1100" t="str">
            <v>9</v>
          </cell>
          <cell r="C1100" t="str">
            <v/>
          </cell>
          <cell r="D1100" t="str">
            <v>NP</v>
          </cell>
          <cell r="E1100" t="str">
            <v>OVIDIO</v>
          </cell>
          <cell r="F1100" t="str">
            <v>OSPINA DELGADO</v>
          </cell>
          <cell r="G1100" t="str">
            <v>OSPINA DELGADO OVIDIO</v>
          </cell>
          <cell r="H1100" t="str">
            <v>RESI</v>
          </cell>
          <cell r="I1100" t="str">
            <v>REGIMEN SIMPLIFICADO</v>
          </cell>
          <cell r="J1100" t="str">
            <v>CR 3 9 03</v>
          </cell>
          <cell r="K1100" t="str">
            <v>27075</v>
          </cell>
          <cell r="L1100" t="str">
            <v>BAHÍA SOLANO</v>
          </cell>
          <cell r="M1100" t="str">
            <v>3136855178</v>
          </cell>
        </row>
        <row r="1101">
          <cell r="A1101">
            <v>16863175</v>
          </cell>
          <cell r="B1101" t="str">
            <v/>
          </cell>
          <cell r="C1101" t="str">
            <v/>
          </cell>
          <cell r="D1101" t="str">
            <v>CC</v>
          </cell>
          <cell r="E1101" t="str">
            <v>GIOVANNY</v>
          </cell>
          <cell r="F1101" t="str">
            <v>MENESES MORA</v>
          </cell>
          <cell r="G1101" t="str">
            <v>MENESES MORA GIOVANNY</v>
          </cell>
          <cell r="H1101" t="str">
            <v>FUNC</v>
          </cell>
          <cell r="I1101" t="str">
            <v>FUNCIONARIO</v>
          </cell>
          <cell r="J1101" t="str">
            <v>CR 9    71   100 BRR LA FLORESTA</v>
          </cell>
          <cell r="K1101" t="str">
            <v>97001</v>
          </cell>
          <cell r="L1101" t="str">
            <v>MITÚ</v>
          </cell>
          <cell r="M1101" t="str">
            <v>8909512</v>
          </cell>
        </row>
        <row r="1102">
          <cell r="A1102">
            <v>16885381</v>
          </cell>
          <cell r="B1102" t="str">
            <v>7</v>
          </cell>
          <cell r="C1102" t="str">
            <v/>
          </cell>
          <cell r="D1102" t="str">
            <v>NP</v>
          </cell>
          <cell r="E1102" t="str">
            <v>WILSON AMADIS</v>
          </cell>
          <cell r="F1102" t="str">
            <v>DUQUE BERNAL</v>
          </cell>
          <cell r="G1102" t="str">
            <v>DUQUE BERNAL WILSON AMADIS</v>
          </cell>
          <cell r="H1102" t="str">
            <v>REOR</v>
          </cell>
          <cell r="I1102" t="str">
            <v>RENTA REGIMEN ORDINARIO</v>
          </cell>
          <cell r="J1102" t="str">
            <v>CR  75  13 A  57 AP 501 UR MARANDRES  BRR QUINTAS DE DON SIMON</v>
          </cell>
          <cell r="K1102" t="str">
            <v>76001</v>
          </cell>
          <cell r="L1102" t="str">
            <v>CALI</v>
          </cell>
          <cell r="M1102" t="str">
            <v>3113567766</v>
          </cell>
        </row>
        <row r="1103">
          <cell r="A1103">
            <v>16926147</v>
          </cell>
          <cell r="B1103" t="str">
            <v/>
          </cell>
          <cell r="C1103" t="str">
            <v/>
          </cell>
          <cell r="D1103" t="str">
            <v>CC</v>
          </cell>
          <cell r="E1103" t="str">
            <v>RODRIGO FERNAND</v>
          </cell>
          <cell r="F1103" t="str">
            <v>OBREGON ROMERO</v>
          </cell>
          <cell r="G1103" t="str">
            <v>OBREGON ROMERO RODRIGO FERNAND</v>
          </cell>
          <cell r="H1103" t="str">
            <v>FUNC</v>
          </cell>
          <cell r="I1103" t="str">
            <v>FUNCIONARIO</v>
          </cell>
          <cell r="J1103" t="str">
            <v>BARRIO EL JARDIN</v>
          </cell>
          <cell r="K1103" t="str">
            <v>19318</v>
          </cell>
          <cell r="L1103" t="str">
            <v>GUAPI</v>
          </cell>
          <cell r="M1103" t="str">
            <v>3104415387</v>
          </cell>
        </row>
        <row r="1104">
          <cell r="A1104">
            <v>16943850</v>
          </cell>
          <cell r="B1104" t="str">
            <v>9</v>
          </cell>
          <cell r="C1104" t="str">
            <v/>
          </cell>
          <cell r="D1104" t="str">
            <v>NP</v>
          </cell>
          <cell r="E1104" t="str">
            <v>RONALD</v>
          </cell>
          <cell r="F1104" t="str">
            <v>LEON GARCIA</v>
          </cell>
          <cell r="G1104" t="str">
            <v>LEON GARCIA RONALD</v>
          </cell>
          <cell r="H1104" t="str">
            <v>RECO</v>
          </cell>
          <cell r="I1104" t="str">
            <v>REGIMEN COMUN</v>
          </cell>
          <cell r="J1104" t="str">
            <v>KM 70 VIA MANIZALES AL MAGDALENA</v>
          </cell>
          <cell r="K1104" t="str">
            <v>73347</v>
          </cell>
          <cell r="L1104" t="str">
            <v>HERVEO</v>
          </cell>
          <cell r="M1104" t="str">
            <v>3123862092</v>
          </cell>
        </row>
        <row r="1105">
          <cell r="A1105">
            <v>16948040</v>
          </cell>
          <cell r="B1105" t="str">
            <v>2</v>
          </cell>
          <cell r="C1105" t="str">
            <v/>
          </cell>
          <cell r="D1105" t="str">
            <v>NP</v>
          </cell>
          <cell r="E1105" t="str">
            <v>JOHN FABER</v>
          </cell>
          <cell r="F1105" t="str">
            <v>GONZALEZ HURTADO</v>
          </cell>
          <cell r="G1105" t="str">
            <v>GONZALEZ HURTADO JOHN FABER</v>
          </cell>
          <cell r="H1105" t="str">
            <v>RESI</v>
          </cell>
          <cell r="I1105" t="str">
            <v>REGIMEN SIMPLIFICADO</v>
          </cell>
          <cell r="J1105" t="str">
            <v>CR 73   1   214 BRR ALFONSO LOPEZ MICHELSEN</v>
          </cell>
          <cell r="K1105" t="str">
            <v>76109</v>
          </cell>
          <cell r="L1105" t="str">
            <v>BUENAVENTURA</v>
          </cell>
          <cell r="M1105" t="str">
            <v>3173739581</v>
          </cell>
        </row>
        <row r="1106">
          <cell r="A1106">
            <v>17014248</v>
          </cell>
          <cell r="B1106" t="str">
            <v>2</v>
          </cell>
          <cell r="C1106" t="str">
            <v/>
          </cell>
          <cell r="D1106" t="str">
            <v>NP</v>
          </cell>
          <cell r="E1106" t="str">
            <v>GONZALO</v>
          </cell>
          <cell r="F1106" t="str">
            <v>BARRERA VARGAS</v>
          </cell>
          <cell r="G1106" t="str">
            <v>GONZALO BARRERA VARGAS</v>
          </cell>
          <cell r="H1106" t="str">
            <v>REOR</v>
          </cell>
          <cell r="I1106" t="str">
            <v>RENTA REGIMEN ORDINARIO</v>
          </cell>
          <cell r="J1106" t="str">
            <v xml:space="preserve"> VRD SAN JUDAS TADEO SECTOR ATRAVIEZA</v>
          </cell>
          <cell r="K1106" t="str">
            <v>15820</v>
          </cell>
          <cell r="L1106" t="str">
            <v>TÓPAGA</v>
          </cell>
          <cell r="M1106" t="str">
            <v>3125845723</v>
          </cell>
        </row>
        <row r="1107">
          <cell r="A1107">
            <v>17112288</v>
          </cell>
          <cell r="B1107" t="str">
            <v>7</v>
          </cell>
          <cell r="C1107" t="str">
            <v/>
          </cell>
          <cell r="D1107" t="str">
            <v>NP</v>
          </cell>
          <cell r="E1107" t="str">
            <v>JORGE ENRIQUE</v>
          </cell>
          <cell r="F1107" t="str">
            <v>PACHON RODRIGUEZ</v>
          </cell>
          <cell r="G1107" t="str">
            <v>PACHON RODRIGUEZ JORGE ENRIQUE</v>
          </cell>
          <cell r="H1107" t="str">
            <v>RESI</v>
          </cell>
          <cell r="I1107" t="str">
            <v>REGIMEN SIMPLIFICADO</v>
          </cell>
          <cell r="J1107" t="str">
            <v>CR 12A  134 B  55 IN 8  URB ANTIGUA</v>
          </cell>
          <cell r="K1107" t="str">
            <v>15516</v>
          </cell>
          <cell r="L1107" t="str">
            <v>PAIPA</v>
          </cell>
          <cell r="M1107" t="str">
            <v>3004993979</v>
          </cell>
        </row>
        <row r="1108">
          <cell r="A1108">
            <v>17113989</v>
          </cell>
          <cell r="B1108" t="str">
            <v>6</v>
          </cell>
          <cell r="C1108" t="str">
            <v/>
          </cell>
          <cell r="D1108" t="str">
            <v>NP</v>
          </cell>
          <cell r="E1108" t="str">
            <v>LUIS ALEJANDRO</v>
          </cell>
          <cell r="F1108" t="str">
            <v>FERNANDEZ ALVAREZ</v>
          </cell>
          <cell r="G1108" t="str">
            <v xml:space="preserve">FERNANDEZ ALVAREZ LUIS ALEJANDRO                            </v>
          </cell>
          <cell r="H1108" t="str">
            <v>IMVE</v>
          </cell>
          <cell r="I1108" t="str">
            <v>IMPUESTO SOBRE LAS VENTAS</v>
          </cell>
          <cell r="J1108" t="str">
            <v>CR 14 16  41</v>
          </cell>
          <cell r="K1108" t="str">
            <v>15759</v>
          </cell>
          <cell r="L1108" t="str">
            <v>SOGAMOSO</v>
          </cell>
          <cell r="M1108" t="str">
            <v>7700751</v>
          </cell>
        </row>
        <row r="1109">
          <cell r="A1109">
            <v>17116300</v>
          </cell>
          <cell r="B1109" t="str">
            <v>6</v>
          </cell>
          <cell r="C1109" t="str">
            <v/>
          </cell>
          <cell r="D1109" t="str">
            <v>NP</v>
          </cell>
          <cell r="E1109" t="str">
            <v>JOSE VICENTE</v>
          </cell>
          <cell r="F1109" t="str">
            <v>ALFARO GUZMAN</v>
          </cell>
          <cell r="G1109" t="str">
            <v>ALFARO GUZMAN JOSE VICENTE</v>
          </cell>
          <cell r="H1109" t="str">
            <v>RECO</v>
          </cell>
          <cell r="I1109" t="str">
            <v>REGIMEN COMUN</v>
          </cell>
          <cell r="J1109" t="str">
            <v>CL 12 B 23 17</v>
          </cell>
          <cell r="K1109" t="str">
            <v>11001</v>
          </cell>
          <cell r="L1109" t="str">
            <v>BOGOTA DC</v>
          </cell>
          <cell r="M1109" t="str">
            <v>4085261</v>
          </cell>
        </row>
        <row r="1110">
          <cell r="A1110">
            <v>17131853</v>
          </cell>
          <cell r="B1110" t="str">
            <v>1</v>
          </cell>
          <cell r="C1110" t="str">
            <v/>
          </cell>
          <cell r="D1110" t="str">
            <v>NP</v>
          </cell>
          <cell r="E1110" t="str">
            <v>JOSE VICENTE</v>
          </cell>
          <cell r="F1110" t="str">
            <v>RODRIGUEZ ACOSTA</v>
          </cell>
          <cell r="G1110" t="str">
            <v>RODRIGUEZ ACOSTA JOSE VICENTE</v>
          </cell>
          <cell r="H1110" t="str">
            <v>GRAU</v>
          </cell>
          <cell r="I1110" t="str">
            <v>GRAN CONTRIBUYENTE AUTORRETENEDO</v>
          </cell>
          <cell r="J1110" t="str">
            <v>AV LIBERTADORES 25 70</v>
          </cell>
          <cell r="K1110" t="str">
            <v>15516</v>
          </cell>
          <cell r="L1110" t="str">
            <v>PAIPA</v>
          </cell>
          <cell r="M1110" t="str">
            <v>7850836</v>
          </cell>
        </row>
        <row r="1111">
          <cell r="A1111">
            <v>17134647</v>
          </cell>
          <cell r="B1111" t="str">
            <v>2</v>
          </cell>
          <cell r="C1111" t="str">
            <v/>
          </cell>
          <cell r="D1111" t="str">
            <v>NP</v>
          </cell>
          <cell r="E1111" t="str">
            <v>HERNANDO</v>
          </cell>
          <cell r="F1111" t="str">
            <v>MORALES CASTRO</v>
          </cell>
          <cell r="G1111" t="str">
            <v>MORALES CASTRO HERNANDO</v>
          </cell>
          <cell r="H1111" t="str">
            <v>RECO</v>
          </cell>
          <cell r="I1111" t="str">
            <v>REGIMEN COMUN</v>
          </cell>
          <cell r="J1111" t="str">
            <v>CR 23   8   55</v>
          </cell>
          <cell r="K1111" t="str">
            <v>85001</v>
          </cell>
          <cell r="L1111" t="str">
            <v>YOPAL</v>
          </cell>
          <cell r="M1111" t="str">
            <v>3115317947</v>
          </cell>
        </row>
        <row r="1112">
          <cell r="A1112">
            <v>17142912</v>
          </cell>
          <cell r="B1112" t="str">
            <v>3</v>
          </cell>
          <cell r="C1112" t="str">
            <v/>
          </cell>
          <cell r="D1112" t="str">
            <v>NP</v>
          </cell>
          <cell r="E1112" t="str">
            <v>JORGE ENRIQUE</v>
          </cell>
          <cell r="F1112" t="str">
            <v>RIOS RODRIGUEZ</v>
          </cell>
          <cell r="G1112" t="str">
            <v>RIOS RODRIGUEZ JORGE ENRIQUE</v>
          </cell>
          <cell r="H1112" t="str">
            <v>RESI</v>
          </cell>
          <cell r="I1112" t="str">
            <v>REGIMEN SIMPLIFICADO</v>
          </cell>
          <cell r="J1112" t="str">
            <v>CR 27   63 G   13</v>
          </cell>
          <cell r="K1112" t="str">
            <v>11001</v>
          </cell>
          <cell r="L1112" t="str">
            <v>BOGOTA DC</v>
          </cell>
          <cell r="M1112" t="str">
            <v>2315114</v>
          </cell>
        </row>
        <row r="1113">
          <cell r="A1113">
            <v>17144896</v>
          </cell>
          <cell r="B1113" t="str">
            <v>2</v>
          </cell>
          <cell r="C1113" t="str">
            <v/>
          </cell>
          <cell r="D1113" t="str">
            <v>NP</v>
          </cell>
          <cell r="E1113" t="str">
            <v>CARLOS JULIO</v>
          </cell>
          <cell r="F1113" t="str">
            <v>HUERTAS CELIS</v>
          </cell>
          <cell r="G1113" t="str">
            <v>HUERTAS CELIS CARLOS JULIO</v>
          </cell>
          <cell r="H1113" t="str">
            <v>RECO</v>
          </cell>
          <cell r="I1113" t="str">
            <v>REGIMEN COMUN</v>
          </cell>
          <cell r="J1113" t="str">
            <v>CR 11   55 B   21</v>
          </cell>
          <cell r="K1113" t="str">
            <v>17001</v>
          </cell>
          <cell r="L1113" t="str">
            <v>MANIZALES</v>
          </cell>
          <cell r="M1113" t="str">
            <v>8724778</v>
          </cell>
        </row>
        <row r="1114">
          <cell r="A1114">
            <v>17146366</v>
          </cell>
          <cell r="B1114" t="str">
            <v>1</v>
          </cell>
          <cell r="C1114" t="str">
            <v/>
          </cell>
          <cell r="D1114" t="str">
            <v>NP</v>
          </cell>
          <cell r="E1114" t="str">
            <v>JAIRO GERMAN</v>
          </cell>
          <cell r="F1114" t="str">
            <v>GAITAN GONZALEZ</v>
          </cell>
          <cell r="G1114" t="str">
            <v>GAITAN GONZALEZ JAIRO GERMAN</v>
          </cell>
          <cell r="H1114" t="str">
            <v>REOR</v>
          </cell>
          <cell r="I1114" t="str">
            <v>RENTA REGIMEN ORDINARIO</v>
          </cell>
          <cell r="J1114" t="str">
            <v>CL 124 22 20 BRR SANTA BARBARA</v>
          </cell>
          <cell r="K1114" t="str">
            <v>11001</v>
          </cell>
          <cell r="L1114" t="str">
            <v>BOGOTA DC</v>
          </cell>
          <cell r="M1114" t="str">
            <v>3002212117</v>
          </cell>
        </row>
        <row r="1115">
          <cell r="A1115">
            <v>17160201</v>
          </cell>
          <cell r="B1115" t="str">
            <v>1</v>
          </cell>
          <cell r="C1115" t="str">
            <v/>
          </cell>
          <cell r="D1115" t="str">
            <v>NP</v>
          </cell>
          <cell r="E1115" t="str">
            <v>ADOLFO</v>
          </cell>
          <cell r="F1115" t="str">
            <v>PE¿A BRAND</v>
          </cell>
          <cell r="G1115" t="str">
            <v>PE¿A BRAND ADOLFO</v>
          </cell>
          <cell r="H1115" t="str">
            <v>RESI</v>
          </cell>
          <cell r="I1115" t="str">
            <v>REGIMEN SIMPLIFICADO</v>
          </cell>
          <cell r="J1115" t="str">
            <v>AV CR 89 127 05 AP 601 IN 5</v>
          </cell>
          <cell r="K1115" t="str">
            <v>11001</v>
          </cell>
          <cell r="L1115" t="str">
            <v>BOGOTA DC</v>
          </cell>
          <cell r="M1115" t="str">
            <v>3005622655</v>
          </cell>
        </row>
        <row r="1116">
          <cell r="A1116">
            <v>17162352</v>
          </cell>
          <cell r="B1116" t="str">
            <v>4</v>
          </cell>
          <cell r="C1116" t="str">
            <v/>
          </cell>
          <cell r="D1116" t="str">
            <v>NP</v>
          </cell>
          <cell r="E1116" t="str">
            <v>RICARDO</v>
          </cell>
          <cell r="F1116" t="str">
            <v>ALVAREZ LEON</v>
          </cell>
          <cell r="G1116" t="str">
            <v>ALVAREZ LEON RICARDO</v>
          </cell>
          <cell r="H1116" t="str">
            <v>RESI</v>
          </cell>
          <cell r="I1116" t="str">
            <v>REGIMEN SIMPLIFICADO</v>
          </cell>
          <cell r="J1116" t="str">
            <v>CR 25 61 20 AP 201 BRR LA ESTRELLA</v>
          </cell>
          <cell r="K1116" t="str">
            <v>17001</v>
          </cell>
          <cell r="L1116" t="str">
            <v>MANIZALES</v>
          </cell>
          <cell r="M1116" t="str">
            <v>8851056</v>
          </cell>
        </row>
        <row r="1117">
          <cell r="A1117">
            <v>17265402</v>
          </cell>
          <cell r="B1117" t="str">
            <v>7</v>
          </cell>
          <cell r="C1117" t="str">
            <v/>
          </cell>
          <cell r="D1117" t="str">
            <v>NP</v>
          </cell>
          <cell r="E1117" t="str">
            <v>ELMER MILLAN</v>
          </cell>
          <cell r="F1117" t="str">
            <v>DIAZ HERRERA</v>
          </cell>
          <cell r="G1117" t="str">
            <v>DIAZ HERRERA ELMER MILLAN</v>
          </cell>
          <cell r="H1117" t="str">
            <v>RESI</v>
          </cell>
          <cell r="I1117" t="str">
            <v>REGIMEN SIMPLIFICADO</v>
          </cell>
          <cell r="J1117" t="str">
            <v>BRR PRIMERO DE MAYO</v>
          </cell>
          <cell r="K1117" t="str">
            <v>50450</v>
          </cell>
          <cell r="L1117" t="str">
            <v>PUERTO CONCORDIA</v>
          </cell>
          <cell r="M1117" t="str">
            <v>3112005124</v>
          </cell>
        </row>
        <row r="1118">
          <cell r="A1118">
            <v>17268110</v>
          </cell>
          <cell r="B1118" t="str">
            <v>5</v>
          </cell>
          <cell r="C1118" t="str">
            <v/>
          </cell>
          <cell r="D1118" t="str">
            <v>NP</v>
          </cell>
          <cell r="E1118" t="str">
            <v>JESUS GABRIEL</v>
          </cell>
          <cell r="F1118" t="str">
            <v>VASQUEZ WILLIAMS</v>
          </cell>
          <cell r="G1118" t="str">
            <v>VASQUEZ WILLIAMS JESUS GABRIEL</v>
          </cell>
          <cell r="H1118" t="str">
            <v>RECO</v>
          </cell>
          <cell r="I1118" t="str">
            <v>REGIMEN COMUN</v>
          </cell>
          <cell r="J1118" t="str">
            <v>VIA MONFORTH KILOMETRO 5</v>
          </cell>
          <cell r="K1118" t="str">
            <v>97001</v>
          </cell>
          <cell r="L1118" t="str">
            <v>MITÚ</v>
          </cell>
          <cell r="M1118" t="str">
            <v>3114212863</v>
          </cell>
        </row>
        <row r="1119">
          <cell r="A1119">
            <v>17303826</v>
          </cell>
          <cell r="B1119" t="str">
            <v/>
          </cell>
          <cell r="C1119" t="str">
            <v/>
          </cell>
          <cell r="D1119" t="str">
            <v>CC</v>
          </cell>
          <cell r="E1119" t="str">
            <v>LUIS HERNANDO</v>
          </cell>
          <cell r="F1119" t="str">
            <v>LEON TIRIA</v>
          </cell>
          <cell r="G1119" t="str">
            <v>LEON TIRIA LUIS HERNANDO</v>
          </cell>
          <cell r="H1119" t="str">
            <v>RESI</v>
          </cell>
          <cell r="I1119" t="str">
            <v>REGIMEN SIMPLIFICADO</v>
          </cell>
          <cell r="J1119" t="str">
            <v>CR 9   32   03</v>
          </cell>
          <cell r="K1119" t="str">
            <v>27001</v>
          </cell>
          <cell r="L1119" t="str">
            <v>QUIBDO</v>
          </cell>
          <cell r="M1119" t="str">
            <v>3127355781</v>
          </cell>
        </row>
        <row r="1120">
          <cell r="A1120">
            <v>17306581</v>
          </cell>
          <cell r="B1120" t="str">
            <v/>
          </cell>
          <cell r="C1120" t="str">
            <v/>
          </cell>
          <cell r="D1120" t="str">
            <v>CC</v>
          </cell>
          <cell r="E1120" t="str">
            <v>ALBERTO</v>
          </cell>
          <cell r="F1120" t="str">
            <v>ARENAS RIAÑO</v>
          </cell>
          <cell r="G1120" t="str">
            <v>ARENAS RIAÑO ALBERTO</v>
          </cell>
          <cell r="H1120" t="str">
            <v>RESI</v>
          </cell>
          <cell r="I1120" t="str">
            <v>REGIMEN SIMPLIFICADO</v>
          </cell>
          <cell r="J1120" t="str">
            <v>MCP TRINIDAD VRD MATA DE ZAMURO FCA ARIZONA</v>
          </cell>
          <cell r="K1120" t="str">
            <v>17001</v>
          </cell>
          <cell r="L1120" t="str">
            <v>MANIZALES</v>
          </cell>
          <cell r="M1120" t="str">
            <v>3107778946</v>
          </cell>
        </row>
        <row r="1121">
          <cell r="A1121">
            <v>17307241</v>
          </cell>
          <cell r="B1121" t="str">
            <v>1</v>
          </cell>
          <cell r="C1121" t="str">
            <v/>
          </cell>
          <cell r="D1121" t="str">
            <v>NP</v>
          </cell>
          <cell r="E1121" t="str">
            <v>JOSE RAMON</v>
          </cell>
          <cell r="F1121" t="str">
            <v>MOJICA REYES</v>
          </cell>
          <cell r="G1121" t="str">
            <v>MOJICA REYES JOSE RAMON</v>
          </cell>
          <cell r="H1121" t="str">
            <v>RESI</v>
          </cell>
          <cell r="I1121" t="str">
            <v>REGIMEN SIMPLIFICADO</v>
          </cell>
          <cell r="J1121" t="str">
            <v>CR 19   19   60</v>
          </cell>
          <cell r="K1121" t="str">
            <v>85001</v>
          </cell>
          <cell r="L1121" t="str">
            <v>YOPAL</v>
          </cell>
          <cell r="M1121" t="str">
            <v>6344090</v>
          </cell>
        </row>
        <row r="1122">
          <cell r="A1122">
            <v>17307428</v>
          </cell>
          <cell r="B1122" t="str">
            <v>1</v>
          </cell>
          <cell r="C1122" t="str">
            <v/>
          </cell>
          <cell r="D1122" t="str">
            <v>NP</v>
          </cell>
          <cell r="E1122" t="str">
            <v>CARLOS JULIO</v>
          </cell>
          <cell r="F1122" t="str">
            <v>GUTIERREZ RINCON</v>
          </cell>
          <cell r="G1122" t="str">
            <v>CARLOS JULIO GUTIERREZ RINCON</v>
          </cell>
          <cell r="H1122" t="str">
            <v>NORE</v>
          </cell>
          <cell r="I1122" t="str">
            <v>NO RESPONSABLE DE IVA</v>
          </cell>
          <cell r="J1122" t="str">
            <v>CR 14 H ESTE 62 A 11 SUR</v>
          </cell>
          <cell r="K1122" t="str">
            <v>11001</v>
          </cell>
          <cell r="L1122" t="str">
            <v>BOGOTA DC</v>
          </cell>
          <cell r="M1122" t="str">
            <v>8756262</v>
          </cell>
        </row>
        <row r="1123">
          <cell r="A1123">
            <v>17309709</v>
          </cell>
          <cell r="B1123" t="str">
            <v>3</v>
          </cell>
          <cell r="C1123" t="str">
            <v/>
          </cell>
          <cell r="D1123" t="str">
            <v>NP</v>
          </cell>
          <cell r="E1123" t="str">
            <v>ORLANDO</v>
          </cell>
          <cell r="F1123" t="str">
            <v>BAQUERO MARTINEZ</v>
          </cell>
          <cell r="G1123" t="str">
            <v>BAQUERO MARTINEZ ORLANDO</v>
          </cell>
          <cell r="H1123" t="str">
            <v>RECO</v>
          </cell>
          <cell r="I1123" t="str">
            <v>REGIMEN COMUN</v>
          </cell>
          <cell r="J1123" t="str">
            <v>CR 38  26 32 BRR 7 DE AGOSTO</v>
          </cell>
          <cell r="K1123" t="str">
            <v>50001</v>
          </cell>
          <cell r="L1123" t="str">
            <v>VILLAVICENCIO</v>
          </cell>
          <cell r="M1123" t="str">
            <v>6636993</v>
          </cell>
        </row>
        <row r="1124">
          <cell r="A1124">
            <v>17310068</v>
          </cell>
          <cell r="B1124" t="str">
            <v>2</v>
          </cell>
          <cell r="C1124" t="str">
            <v/>
          </cell>
          <cell r="D1124" t="str">
            <v>NP</v>
          </cell>
          <cell r="E1124" t="str">
            <v>JOSE ANTONIO</v>
          </cell>
          <cell r="F1124" t="str">
            <v>DELGADO ORTIZ</v>
          </cell>
          <cell r="G1124" t="str">
            <v>DELGADO ORTIZ JOSE ANTONIO</v>
          </cell>
          <cell r="H1124" t="str">
            <v>RECO</v>
          </cell>
          <cell r="I1124" t="str">
            <v>REGIMEN COMUN</v>
          </cell>
          <cell r="J1124" t="str">
            <v>CR 10   7   79</v>
          </cell>
          <cell r="K1124" t="str">
            <v>85250</v>
          </cell>
          <cell r="L1124" t="str">
            <v>PAZ DE ARIPORO</v>
          </cell>
          <cell r="M1124" t="str">
            <v>6376753</v>
          </cell>
        </row>
        <row r="1125">
          <cell r="A1125">
            <v>17312959</v>
          </cell>
          <cell r="B1125" t="str">
            <v/>
          </cell>
          <cell r="C1125" t="str">
            <v/>
          </cell>
          <cell r="D1125" t="str">
            <v>CC</v>
          </cell>
          <cell r="E1125" t="str">
            <v>TITO</v>
          </cell>
          <cell r="F1125" t="str">
            <v>LARA TARACHE</v>
          </cell>
          <cell r="G1125" t="str">
            <v>LARA TARACHE TITO</v>
          </cell>
          <cell r="H1125" t="str">
            <v>RESI</v>
          </cell>
          <cell r="I1125" t="str">
            <v>REGIMEN SIMPLIFICADO</v>
          </cell>
          <cell r="J1125" t="str">
            <v>VRD SAN FRANCISCO FCA EL CONVENIO</v>
          </cell>
          <cell r="K1125" t="str">
            <v>85325</v>
          </cell>
          <cell r="L1125" t="str">
            <v>SAN LUIS DE PALENQUE</v>
          </cell>
          <cell r="M1125" t="str">
            <v>3112572396</v>
          </cell>
        </row>
        <row r="1126">
          <cell r="A1126">
            <v>17314676</v>
          </cell>
          <cell r="B1126" t="str">
            <v>9</v>
          </cell>
          <cell r="C1126" t="str">
            <v/>
          </cell>
          <cell r="D1126" t="str">
            <v>NP</v>
          </cell>
          <cell r="E1126" t="str">
            <v>YESID</v>
          </cell>
          <cell r="F1126" t="str">
            <v>CARVAJAL GONZALEZ</v>
          </cell>
          <cell r="G1126" t="str">
            <v>CARVAJAL GONZALEZ YESID</v>
          </cell>
          <cell r="H1126" t="str">
            <v>RESI</v>
          </cell>
          <cell r="I1126" t="str">
            <v>REGIMEN SIMPLIFICADO</v>
          </cell>
          <cell r="J1126" t="str">
            <v>CR 13  A  15 16 BRR BRISAS</v>
          </cell>
          <cell r="K1126" t="str">
            <v>97001</v>
          </cell>
          <cell r="L1126" t="str">
            <v>MITÚ</v>
          </cell>
          <cell r="M1126" t="str">
            <v>3133484191</v>
          </cell>
        </row>
        <row r="1127">
          <cell r="A1127">
            <v>17315945</v>
          </cell>
          <cell r="B1127" t="str">
            <v>1</v>
          </cell>
          <cell r="C1127" t="str">
            <v/>
          </cell>
          <cell r="D1127" t="str">
            <v>NP</v>
          </cell>
          <cell r="E1127" t="str">
            <v>RAMIRO</v>
          </cell>
          <cell r="F1127" t="str">
            <v>PARRADO GUTIERREZ</v>
          </cell>
          <cell r="G1127" t="str">
            <v>PARRADO GUTIERREZ RAMIRO</v>
          </cell>
          <cell r="H1127" t="str">
            <v>RESI</v>
          </cell>
          <cell r="I1127" t="str">
            <v>REGIMEN SIMPLIFICADO</v>
          </cell>
          <cell r="J1127" t="str">
            <v>BRR CENTRO FRENTE A AUDITORIO</v>
          </cell>
          <cell r="K1127" t="str">
            <v>97001</v>
          </cell>
          <cell r="L1127" t="str">
            <v>MITÚ</v>
          </cell>
          <cell r="M1127" t="str">
            <v>3208187569</v>
          </cell>
        </row>
        <row r="1128">
          <cell r="A1128">
            <v>17318832</v>
          </cell>
          <cell r="B1128" t="str">
            <v>1</v>
          </cell>
          <cell r="C1128" t="str">
            <v/>
          </cell>
          <cell r="D1128" t="str">
            <v>NP</v>
          </cell>
          <cell r="E1128" t="str">
            <v>WILLIAM</v>
          </cell>
          <cell r="F1128" t="str">
            <v>AVILA GOMEZ</v>
          </cell>
          <cell r="G1128" t="str">
            <v>AVILA GOMEZ WILLIAM</v>
          </cell>
          <cell r="H1128" t="str">
            <v>RESI</v>
          </cell>
          <cell r="I1128" t="str">
            <v>REGIMEN SIMPLIFICADO</v>
          </cell>
          <cell r="J1128" t="str">
            <v>TV 13   13   22 BRR VILLA ALIX</v>
          </cell>
          <cell r="K1128" t="str">
            <v>97001</v>
          </cell>
          <cell r="L1128" t="str">
            <v>MITÚ</v>
          </cell>
          <cell r="M1128" t="str">
            <v>3143128607</v>
          </cell>
        </row>
        <row r="1129">
          <cell r="A1129">
            <v>17319736</v>
          </cell>
          <cell r="B1129" t="str">
            <v>5</v>
          </cell>
          <cell r="C1129" t="str">
            <v/>
          </cell>
          <cell r="D1129" t="str">
            <v>NP</v>
          </cell>
          <cell r="E1129" t="str">
            <v>JOSE</v>
          </cell>
          <cell r="F1129" t="str">
            <v>DAZA REY</v>
          </cell>
          <cell r="G1129" t="str">
            <v>DAZA REY JOSE</v>
          </cell>
          <cell r="H1129" t="str">
            <v>IMVE</v>
          </cell>
          <cell r="I1129" t="str">
            <v>IMPUESTO SOBRE LAS VENTAS</v>
          </cell>
          <cell r="J1129" t="str">
            <v>CR 12 15 35 BRR CENTRO</v>
          </cell>
          <cell r="K1129" t="str">
            <v>97001</v>
          </cell>
          <cell r="L1129" t="str">
            <v>MITÚ</v>
          </cell>
          <cell r="M1129" t="str">
            <v>3102887758</v>
          </cell>
        </row>
        <row r="1130">
          <cell r="A1130">
            <v>17322712</v>
          </cell>
          <cell r="B1130" t="str">
            <v/>
          </cell>
          <cell r="C1130" t="str">
            <v/>
          </cell>
          <cell r="D1130" t="str">
            <v>CC</v>
          </cell>
          <cell r="E1130" t="str">
            <v>HERNAN</v>
          </cell>
          <cell r="F1130" t="str">
            <v>LEAL CHAVITA</v>
          </cell>
          <cell r="G1130" t="str">
            <v>LEAL CHAVITA HERNAN</v>
          </cell>
          <cell r="H1130" t="str">
            <v>RESI</v>
          </cell>
          <cell r="I1130" t="str">
            <v>REGIMEN SIMPLIFICADO</v>
          </cell>
          <cell r="J1130" t="str">
            <v>BRR EL JARDIN</v>
          </cell>
          <cell r="K1130" t="str">
            <v>99524</v>
          </cell>
          <cell r="L1130" t="str">
            <v>LA PRIMAVERA</v>
          </cell>
          <cell r="M1130" t="str">
            <v>3144785928</v>
          </cell>
        </row>
        <row r="1131">
          <cell r="A1131">
            <v>17322869</v>
          </cell>
          <cell r="B1131" t="str">
            <v>7</v>
          </cell>
          <cell r="C1131" t="str">
            <v/>
          </cell>
          <cell r="D1131" t="str">
            <v>NP</v>
          </cell>
          <cell r="E1131" t="str">
            <v>JORGE ARTURO</v>
          </cell>
          <cell r="F1131" t="str">
            <v>SIERRA ROA</v>
          </cell>
          <cell r="G1131" t="str">
            <v>SIERRA ROA JORGE ARTURO</v>
          </cell>
          <cell r="H1131" t="str">
            <v>RECO</v>
          </cell>
          <cell r="I1131" t="str">
            <v>REGIMEN COMUN</v>
          </cell>
          <cell r="J1131" t="str">
            <v>CR 17 A 35 B 34</v>
          </cell>
          <cell r="K1131" t="str">
            <v>50001</v>
          </cell>
          <cell r="L1131" t="str">
            <v>VILLAVICENCIO</v>
          </cell>
          <cell r="M1131" t="str">
            <v>6648644</v>
          </cell>
        </row>
        <row r="1132">
          <cell r="A1132">
            <v>17323052</v>
          </cell>
          <cell r="B1132" t="str">
            <v/>
          </cell>
          <cell r="C1132" t="str">
            <v/>
          </cell>
          <cell r="D1132" t="str">
            <v>CC</v>
          </cell>
          <cell r="E1132" t="str">
            <v>JAIME HUMBERTO</v>
          </cell>
          <cell r="F1132" t="str">
            <v>CASTRO HERRERA</v>
          </cell>
          <cell r="G1132" t="str">
            <v>CASTRO HERRERA JAIME HUMBERTO</v>
          </cell>
          <cell r="H1132" t="str">
            <v>FUNC</v>
          </cell>
          <cell r="I1132" t="str">
            <v>FUNCIONARIO</v>
          </cell>
          <cell r="J1132" t="str">
            <v>CR 19 30 54</v>
          </cell>
          <cell r="K1132" t="str">
            <v>94001</v>
          </cell>
          <cell r="L1132" t="str">
            <v>INÍRIDA</v>
          </cell>
          <cell r="M1132" t="str">
            <v>3133083160</v>
          </cell>
        </row>
        <row r="1133">
          <cell r="A1133">
            <v>17324054</v>
          </cell>
          <cell r="B1133" t="str">
            <v>0</v>
          </cell>
          <cell r="C1133" t="str">
            <v/>
          </cell>
          <cell r="D1133" t="str">
            <v>NP</v>
          </cell>
          <cell r="E1133" t="str">
            <v>JAVIER DE JESUS</v>
          </cell>
          <cell r="F1133" t="str">
            <v xml:space="preserve">LONDOÑO </v>
          </cell>
          <cell r="G1133" t="str">
            <v>JAVIER DE JESUS LONDOÑO</v>
          </cell>
          <cell r="H1133" t="str">
            <v>RESI</v>
          </cell>
          <cell r="I1133" t="str">
            <v>REGIMEN SIMPLIFICADO</v>
          </cell>
          <cell r="J1133" t="str">
            <v>BRR CENTRO</v>
          </cell>
          <cell r="K1133" t="str">
            <v>97001</v>
          </cell>
          <cell r="L1133" t="str">
            <v>MITÚ</v>
          </cell>
          <cell r="M1133" t="str">
            <v>3123672406</v>
          </cell>
        </row>
        <row r="1134">
          <cell r="A1134">
            <v>17326508</v>
          </cell>
          <cell r="B1134" t="str">
            <v>1</v>
          </cell>
          <cell r="C1134" t="str">
            <v/>
          </cell>
          <cell r="D1134" t="str">
            <v>NP</v>
          </cell>
          <cell r="E1134" t="str">
            <v>FREDY HERNAN</v>
          </cell>
          <cell r="F1134" t="str">
            <v>PEREZ</v>
          </cell>
          <cell r="G1134" t="str">
            <v>PEREZ FREDY HERNAN</v>
          </cell>
          <cell r="H1134" t="str">
            <v>RECO</v>
          </cell>
          <cell r="I1134" t="str">
            <v>REGIMEN COMUN</v>
          </cell>
          <cell r="J1134" t="str">
            <v>CL 27 44 C 274 BL 8 AP 304 CON ALTOS DE VILLACODEM</v>
          </cell>
          <cell r="K1134" t="str">
            <v>50001</v>
          </cell>
          <cell r="L1134" t="str">
            <v>VILLAVICENCIO</v>
          </cell>
          <cell r="M1134" t="str">
            <v>66446830</v>
          </cell>
        </row>
        <row r="1135">
          <cell r="A1135">
            <v>17326648</v>
          </cell>
          <cell r="B1135" t="str">
            <v/>
          </cell>
          <cell r="C1135" t="str">
            <v/>
          </cell>
          <cell r="D1135" t="str">
            <v>CC</v>
          </cell>
          <cell r="E1135" t="str">
            <v>ARNULFO</v>
          </cell>
          <cell r="F1135" t="str">
            <v>RINCON MORALES</v>
          </cell>
          <cell r="G1135" t="str">
            <v>RINCON MORALES ARNULFO</v>
          </cell>
          <cell r="H1135" t="str">
            <v>RESI</v>
          </cell>
          <cell r="I1135" t="str">
            <v>REGIMEN SIMPLIFICADO</v>
          </cell>
          <cell r="J1135" t="str">
            <v>MCP LA PRIMAVERA</v>
          </cell>
          <cell r="K1135" t="str">
            <v>99524</v>
          </cell>
          <cell r="L1135" t="str">
            <v>LA PRIMAVERA</v>
          </cell>
          <cell r="M1135" t="str">
            <v>8756262</v>
          </cell>
        </row>
        <row r="1136">
          <cell r="A1136">
            <v>17326719</v>
          </cell>
          <cell r="B1136" t="str">
            <v>9</v>
          </cell>
          <cell r="C1136" t="str">
            <v/>
          </cell>
          <cell r="D1136" t="str">
            <v>NP</v>
          </cell>
          <cell r="E1136" t="str">
            <v>JUAN JESUS</v>
          </cell>
          <cell r="F1136" t="str">
            <v>GAMEZ ESTUPIÑAN</v>
          </cell>
          <cell r="G1136" t="str">
            <v>GAMEZ ESTUPIÑAN JUAN JESUS</v>
          </cell>
          <cell r="H1136" t="str">
            <v>RESI</v>
          </cell>
          <cell r="I1136" t="str">
            <v>REGIMEN SIMPLIFICADO</v>
          </cell>
          <cell r="J1136" t="str">
            <v>CR 6 18 6 MZ 1 B BRR CENTRO</v>
          </cell>
          <cell r="K1136" t="str">
            <v>94001</v>
          </cell>
          <cell r="L1136" t="str">
            <v>INÍRIDA</v>
          </cell>
          <cell r="M1136" t="str">
            <v>3123438103</v>
          </cell>
        </row>
        <row r="1137">
          <cell r="A1137">
            <v>17329388</v>
          </cell>
          <cell r="B1137" t="str">
            <v>8</v>
          </cell>
          <cell r="C1137" t="str">
            <v/>
          </cell>
          <cell r="D1137" t="str">
            <v>NP</v>
          </cell>
          <cell r="E1137" t="str">
            <v>ERASMO</v>
          </cell>
          <cell r="F1137" t="str">
            <v>VARGAS</v>
          </cell>
          <cell r="G1137" t="str">
            <v>VARGAS ERASMO</v>
          </cell>
          <cell r="H1137" t="str">
            <v>RESI</v>
          </cell>
          <cell r="I1137" t="str">
            <v>REGIMEN SIMPLIFICADO</v>
          </cell>
          <cell r="J1137" t="str">
            <v>CL 5 7 31 BRR CENTRO</v>
          </cell>
          <cell r="K1137" t="str">
            <v>99524</v>
          </cell>
          <cell r="L1137" t="str">
            <v>LA PRIMAVERA</v>
          </cell>
          <cell r="M1137" t="str">
            <v>3202366886</v>
          </cell>
        </row>
        <row r="1138">
          <cell r="A1138">
            <v>17334297</v>
          </cell>
          <cell r="B1138" t="str">
            <v>6</v>
          </cell>
          <cell r="C1138" t="str">
            <v/>
          </cell>
          <cell r="D1138" t="str">
            <v>NP</v>
          </cell>
          <cell r="E1138" t="str">
            <v>FERNANDO</v>
          </cell>
          <cell r="F1138" t="str">
            <v>PLATA REYES</v>
          </cell>
          <cell r="G1138" t="str">
            <v>PLATA REYES FERNANDO</v>
          </cell>
          <cell r="H1138" t="str">
            <v>RESI</v>
          </cell>
          <cell r="I1138" t="str">
            <v>REGIMEN SIMPLIFICADO</v>
          </cell>
          <cell r="J1138" t="str">
            <v>LC 21 TER DE TRANSPORTES</v>
          </cell>
          <cell r="K1138" t="str">
            <v>50001</v>
          </cell>
          <cell r="L1138" t="str">
            <v>VILLAVICENCIO</v>
          </cell>
          <cell r="M1138" t="str">
            <v>6608890</v>
          </cell>
        </row>
        <row r="1139">
          <cell r="A1139">
            <v>17335260</v>
          </cell>
          <cell r="B1139" t="str">
            <v>9</v>
          </cell>
          <cell r="C1139" t="str">
            <v/>
          </cell>
          <cell r="D1139" t="str">
            <v>NP</v>
          </cell>
          <cell r="E1139" t="str">
            <v>EDILSON</v>
          </cell>
          <cell r="F1139" t="str">
            <v>SANDOVAL ESCOBAR</v>
          </cell>
          <cell r="G1139" t="str">
            <v>SANDOVAL ESCOBAR EDILSON</v>
          </cell>
          <cell r="H1139" t="str">
            <v>RESI</v>
          </cell>
          <cell r="I1139" t="str">
            <v>REGIMEN SIMPLIFICADO</v>
          </cell>
          <cell r="J1139" t="str">
            <v>FINCA LA FORTUNA LA PRIMAVERA</v>
          </cell>
          <cell r="K1139" t="str">
            <v>99524</v>
          </cell>
          <cell r="L1139" t="str">
            <v>LA PRIMAVERA</v>
          </cell>
          <cell r="M1139" t="str">
            <v>3202064349</v>
          </cell>
        </row>
        <row r="1140">
          <cell r="A1140">
            <v>17335430</v>
          </cell>
          <cell r="B1140" t="str">
            <v/>
          </cell>
          <cell r="C1140" t="str">
            <v/>
          </cell>
          <cell r="D1140" t="str">
            <v>CC</v>
          </cell>
          <cell r="E1140" t="str">
            <v>NELSON GERMAN</v>
          </cell>
          <cell r="F1140" t="str">
            <v>CALDERON CASTAÑEDA</v>
          </cell>
          <cell r="G1140" t="str">
            <v>CALDERON CASTAÑEDA NELSON GERMAN</v>
          </cell>
          <cell r="H1140" t="str">
            <v>FUNC</v>
          </cell>
          <cell r="I1140" t="str">
            <v>FUNCIONARIO</v>
          </cell>
          <cell r="J1140" t="str">
            <v>DOCE DE OCTUBRE</v>
          </cell>
          <cell r="K1140" t="str">
            <v>97001</v>
          </cell>
          <cell r="L1140" t="str">
            <v>MITÚ</v>
          </cell>
          <cell r="M1140" t="str">
            <v>3112817964</v>
          </cell>
        </row>
        <row r="1141">
          <cell r="A1141">
            <v>17338000</v>
          </cell>
          <cell r="B1141" t="str">
            <v>4</v>
          </cell>
          <cell r="C1141" t="str">
            <v/>
          </cell>
          <cell r="D1141" t="str">
            <v>NP</v>
          </cell>
          <cell r="E1141" t="str">
            <v>MILTON</v>
          </cell>
          <cell r="F1141" t="str">
            <v>BELTRAN DUEÑAS</v>
          </cell>
          <cell r="G1141" t="str">
            <v>BELTRAN DUEÑAS MILTON</v>
          </cell>
          <cell r="H1141" t="str">
            <v>RESI</v>
          </cell>
          <cell r="I1141" t="str">
            <v>REGIMEN SIMPLIFICADO</v>
          </cell>
          <cell r="J1141" t="str">
            <v>CR 24 18 75 BRR GABRIEL ROBLEDO</v>
          </cell>
          <cell r="K1141" t="str">
            <v>99001</v>
          </cell>
          <cell r="L1141" t="str">
            <v>PUERTO CARREÑO</v>
          </cell>
          <cell r="M1141" t="str">
            <v>3125840860</v>
          </cell>
        </row>
        <row r="1142">
          <cell r="A1142">
            <v>17338845</v>
          </cell>
          <cell r="B1142" t="str">
            <v/>
          </cell>
          <cell r="C1142" t="str">
            <v/>
          </cell>
          <cell r="D1142" t="str">
            <v>CC</v>
          </cell>
          <cell r="E1142" t="str">
            <v>JOSE ANTONIO</v>
          </cell>
          <cell r="F1142" t="str">
            <v>SALAS</v>
          </cell>
          <cell r="G1142" t="str">
            <v>SALAS JOSE ANTONIO</v>
          </cell>
          <cell r="H1142" t="str">
            <v>RESI</v>
          </cell>
          <cell r="I1142" t="str">
            <v>REGIMEN SIMPLIFICADO</v>
          </cell>
          <cell r="J1142" t="str">
            <v>MCP TRINIDAD C BOCAS DEL PAUTO</v>
          </cell>
          <cell r="K1142" t="str">
            <v>85430</v>
          </cell>
          <cell r="L1142" t="str">
            <v>TRINIDAD</v>
          </cell>
          <cell r="M1142" t="str">
            <v>3134303710</v>
          </cell>
        </row>
        <row r="1143">
          <cell r="A1143">
            <v>17342135</v>
          </cell>
          <cell r="B1143" t="str">
            <v>5</v>
          </cell>
          <cell r="C1143" t="str">
            <v/>
          </cell>
          <cell r="D1143" t="str">
            <v>NP</v>
          </cell>
          <cell r="E1143" t="str">
            <v>RAFAEL EDUARDO</v>
          </cell>
          <cell r="F1143" t="str">
            <v>PEREZ BETANCOURTH</v>
          </cell>
          <cell r="G1143" t="str">
            <v>PEREZ BETANCOURTH RAFAEL EDUARDO</v>
          </cell>
          <cell r="H1143" t="str">
            <v>RESI</v>
          </cell>
          <cell r="I1143" t="str">
            <v>REGIMEN SIMPLIFICADO</v>
          </cell>
          <cell r="J1143" t="str">
            <v>VRD EL CAIMAN FCA EL CAIMAN</v>
          </cell>
          <cell r="K1143" t="str">
            <v>85325</v>
          </cell>
          <cell r="L1143" t="str">
            <v>SAN LUIS DE PALENQUE</v>
          </cell>
          <cell r="M1143" t="str">
            <v>6644192</v>
          </cell>
        </row>
        <row r="1144">
          <cell r="A1144">
            <v>17345351</v>
          </cell>
          <cell r="B1144" t="str">
            <v>3</v>
          </cell>
          <cell r="C1144" t="str">
            <v/>
          </cell>
          <cell r="D1144" t="str">
            <v>NP</v>
          </cell>
          <cell r="E1144" t="str">
            <v>ALBEIRO</v>
          </cell>
          <cell r="F1144" t="str">
            <v>BEDOYA OLMOS</v>
          </cell>
          <cell r="G1144" t="str">
            <v>BEDOYA OLMOS ALBEIRO</v>
          </cell>
          <cell r="H1144" t="str">
            <v>RESI</v>
          </cell>
          <cell r="I1144" t="str">
            <v>REGIMEN SIMPLIFICADO</v>
          </cell>
          <cell r="J1144" t="str">
            <v>CL 7   8   40 BRR BELLO HORIZONTE</v>
          </cell>
          <cell r="K1144" t="str">
            <v>99524</v>
          </cell>
          <cell r="L1144" t="str">
            <v>LA PRIMAVERA</v>
          </cell>
          <cell r="M1144" t="str">
            <v>3204653688</v>
          </cell>
        </row>
        <row r="1145">
          <cell r="A1145">
            <v>17345658</v>
          </cell>
          <cell r="B1145" t="str">
            <v>9</v>
          </cell>
          <cell r="C1145" t="str">
            <v/>
          </cell>
          <cell r="D1145" t="str">
            <v>NP</v>
          </cell>
          <cell r="E1145" t="str">
            <v>YESID</v>
          </cell>
          <cell r="F1145" t="str">
            <v>RIVERA BARRAGAN</v>
          </cell>
          <cell r="G1145" t="str">
            <v>RIVERA BARRAGAN YESID</v>
          </cell>
          <cell r="H1145" t="str">
            <v>RESI</v>
          </cell>
          <cell r="I1145" t="str">
            <v>REGIMEN SIMPLIFICADO</v>
          </cell>
          <cell r="J1145" t="str">
            <v>CL 3   34 A   64</v>
          </cell>
          <cell r="K1145" t="str">
            <v>50001</v>
          </cell>
          <cell r="L1145" t="str">
            <v>VILLAVICENCIO</v>
          </cell>
          <cell r="M1145" t="str">
            <v>6682123</v>
          </cell>
        </row>
        <row r="1146">
          <cell r="A1146">
            <v>17346937</v>
          </cell>
          <cell r="B1146" t="str">
            <v>3</v>
          </cell>
          <cell r="C1146" t="str">
            <v/>
          </cell>
          <cell r="D1146" t="str">
            <v>NP</v>
          </cell>
          <cell r="E1146" t="str">
            <v>JOSE RAFAEL</v>
          </cell>
          <cell r="F1146" t="str">
            <v>ROJAS RUIZ</v>
          </cell>
          <cell r="G1146" t="str">
            <v>ROJAS RUIZ JOSE RAFAEL</v>
          </cell>
          <cell r="H1146" t="str">
            <v>REOR</v>
          </cell>
          <cell r="I1146" t="str">
            <v>RENTA REGIMEN ORDINARIO</v>
          </cell>
          <cell r="J1146" t="str">
            <v>CL 40 27 60 LC 1 CONJ EL PRADO BRR EMPORIO</v>
          </cell>
          <cell r="K1146" t="str">
            <v>50001</v>
          </cell>
          <cell r="L1146" t="str">
            <v>VILLAVICENCIO</v>
          </cell>
          <cell r="M1146" t="str">
            <v>6644464</v>
          </cell>
        </row>
        <row r="1147">
          <cell r="A1147">
            <v>17347803</v>
          </cell>
          <cell r="B1147" t="str">
            <v/>
          </cell>
          <cell r="C1147" t="str">
            <v/>
          </cell>
          <cell r="D1147" t="str">
            <v>CC</v>
          </cell>
          <cell r="E1147" t="str">
            <v>CARLOS JAVIER</v>
          </cell>
          <cell r="F1147" t="str">
            <v>HERRERA CURBELO</v>
          </cell>
          <cell r="G1147" t="str">
            <v>HERRERA CURBELO CARLOS JAVIER</v>
          </cell>
          <cell r="H1147" t="str">
            <v>RESI</v>
          </cell>
          <cell r="I1147" t="str">
            <v>REGIMEN SIMPLIFICADO</v>
          </cell>
          <cell r="J1147" t="str">
            <v>BRR CEN</v>
          </cell>
          <cell r="K1147" t="str">
            <v>99524</v>
          </cell>
          <cell r="L1147" t="str">
            <v>LA PRIMAVERA</v>
          </cell>
          <cell r="M1147" t="str">
            <v>3144542511</v>
          </cell>
        </row>
        <row r="1148">
          <cell r="A1148">
            <v>17385291</v>
          </cell>
          <cell r="B1148" t="str">
            <v/>
          </cell>
          <cell r="C1148" t="str">
            <v/>
          </cell>
          <cell r="D1148" t="str">
            <v>CC</v>
          </cell>
          <cell r="E1148" t="str">
            <v>JORGE ELIECER</v>
          </cell>
          <cell r="F1148" t="str">
            <v>FORERO MONROY</v>
          </cell>
          <cell r="G1148" t="str">
            <v>FORERO MONROY JORGE ELIECER</v>
          </cell>
          <cell r="H1148" t="str">
            <v>RESI</v>
          </cell>
          <cell r="I1148" t="str">
            <v>REGIMEN SIMPLIFICADO</v>
          </cell>
          <cell r="J1148" t="str">
            <v>MCP TRINIDAD C BOCAS DEL PAUTO</v>
          </cell>
          <cell r="K1148" t="str">
            <v>85430</v>
          </cell>
          <cell r="L1148" t="str">
            <v>TRINIDAD</v>
          </cell>
          <cell r="M1148" t="str">
            <v>3204527338</v>
          </cell>
        </row>
        <row r="1149">
          <cell r="A1149">
            <v>17388342</v>
          </cell>
          <cell r="B1149" t="str">
            <v>1</v>
          </cell>
          <cell r="C1149" t="str">
            <v/>
          </cell>
          <cell r="D1149" t="str">
            <v>NP</v>
          </cell>
          <cell r="E1149" t="str">
            <v>FRAXIER</v>
          </cell>
          <cell r="F1149" t="str">
            <v>ROZO CASTELLANOS</v>
          </cell>
          <cell r="G1149" t="str">
            <v>ROZO CASTELLANOS FRAXIER</v>
          </cell>
          <cell r="H1149" t="str">
            <v>RESI</v>
          </cell>
          <cell r="I1149" t="str">
            <v>REGIMEN SIMPLIFICADO</v>
          </cell>
          <cell r="J1149" t="str">
            <v>CR 29 C 44 04 BRR CAMINOS DE MONTECARLO</v>
          </cell>
          <cell r="K1149" t="str">
            <v>50001</v>
          </cell>
          <cell r="L1149" t="str">
            <v>VILLAVICENCIO</v>
          </cell>
          <cell r="M1149" t="str">
            <v>3143914606</v>
          </cell>
        </row>
        <row r="1150">
          <cell r="A1150">
            <v>17389504</v>
          </cell>
          <cell r="B1150" t="str">
            <v>2</v>
          </cell>
          <cell r="C1150" t="str">
            <v/>
          </cell>
          <cell r="D1150" t="str">
            <v>NP</v>
          </cell>
          <cell r="E1150" t="str">
            <v>JOSE RAMON</v>
          </cell>
          <cell r="F1150" t="str">
            <v>VELANDIA GONZALEZ</v>
          </cell>
          <cell r="G1150" t="str">
            <v>VELANDIA GONZALEZ JOSE RAMON</v>
          </cell>
          <cell r="H1150" t="str">
            <v>RESI</v>
          </cell>
          <cell r="I1150" t="str">
            <v>REGIMEN SIMPLIFICADO</v>
          </cell>
          <cell r="J1150" t="str">
            <v>CR 35   19 A   34 CONJ RINCON DE LAS MARGARITAS II</v>
          </cell>
          <cell r="K1150" t="str">
            <v>50001</v>
          </cell>
          <cell r="L1150" t="str">
            <v>VILLAVICENCIO</v>
          </cell>
          <cell r="M1150" t="str">
            <v>3005679583</v>
          </cell>
        </row>
        <row r="1151">
          <cell r="A1151">
            <v>17545134</v>
          </cell>
          <cell r="B1151" t="str">
            <v/>
          </cell>
          <cell r="C1151" t="str">
            <v/>
          </cell>
          <cell r="D1151" t="str">
            <v>CC</v>
          </cell>
          <cell r="E1151" t="str">
            <v>GUILLERMO</v>
          </cell>
          <cell r="F1151" t="str">
            <v>VASQUEZ  ZAMBRANO</v>
          </cell>
          <cell r="G1151" t="str">
            <v>VASQUEZ  ZAMBRANO GUILLERMO</v>
          </cell>
          <cell r="H1151" t="str">
            <v>RESI</v>
          </cell>
          <cell r="I1151" t="str">
            <v>REGIMEN SIMPLIFICADO</v>
          </cell>
          <cell r="J1151" t="str">
            <v>VRD EL SOCORRO FCA LOS FURELES</v>
          </cell>
          <cell r="K1151" t="str">
            <v>85325</v>
          </cell>
          <cell r="L1151" t="str">
            <v>SAN LUIS DE PALENQUE</v>
          </cell>
          <cell r="M1151" t="str">
            <v>3138939121</v>
          </cell>
        </row>
        <row r="1152">
          <cell r="A1152">
            <v>17549412</v>
          </cell>
          <cell r="B1152" t="str">
            <v/>
          </cell>
          <cell r="C1152" t="str">
            <v/>
          </cell>
          <cell r="D1152" t="str">
            <v>CC</v>
          </cell>
          <cell r="E1152" t="str">
            <v>ELIUD</v>
          </cell>
          <cell r="F1152" t="str">
            <v>IVICA ROMERO</v>
          </cell>
          <cell r="G1152" t="str">
            <v>IVICA ROMERO ELIUD</v>
          </cell>
          <cell r="H1152" t="str">
            <v>RESI</v>
          </cell>
          <cell r="I1152" t="str">
            <v>REGIMEN SIMPLIFICADO</v>
          </cell>
          <cell r="J1152" t="str">
            <v>XX</v>
          </cell>
          <cell r="K1152" t="str">
            <v>85125</v>
          </cell>
          <cell r="L1152" t="str">
            <v>HATO COROZAL</v>
          </cell>
          <cell r="M1152" t="str">
            <v>XX</v>
          </cell>
        </row>
        <row r="1153">
          <cell r="A1153">
            <v>17580465</v>
          </cell>
          <cell r="B1153" t="str">
            <v>0</v>
          </cell>
          <cell r="C1153" t="str">
            <v/>
          </cell>
          <cell r="D1153" t="str">
            <v>NP</v>
          </cell>
          <cell r="E1153" t="str">
            <v>JOSE EMIRO</v>
          </cell>
          <cell r="F1153" t="str">
            <v>PALENCIA ALVAREZ</v>
          </cell>
          <cell r="G1153" t="str">
            <v>JOSE EMIRO PALENCIA ALVAREZ</v>
          </cell>
          <cell r="H1153" t="str">
            <v>RECO</v>
          </cell>
          <cell r="I1153" t="str">
            <v>REGIMEN COMUN</v>
          </cell>
          <cell r="J1153" t="str">
            <v xml:space="preserve">CR 23 N 64B 33                     </v>
          </cell>
          <cell r="K1153" t="str">
            <v>17001</v>
          </cell>
          <cell r="L1153" t="str">
            <v>MANIZALES</v>
          </cell>
          <cell r="M1153" t="str">
            <v>8756262</v>
          </cell>
        </row>
        <row r="1154">
          <cell r="A1154">
            <v>17582847</v>
          </cell>
          <cell r="B1154" t="str">
            <v/>
          </cell>
          <cell r="C1154" t="str">
            <v/>
          </cell>
          <cell r="D1154" t="str">
            <v>CC</v>
          </cell>
          <cell r="E1154" t="str">
            <v>PEDRO PABLO</v>
          </cell>
          <cell r="F1154" t="str">
            <v>TORRES GEREZ</v>
          </cell>
          <cell r="G1154" t="str">
            <v>TORRES GEREZ PEDRO PABLO</v>
          </cell>
          <cell r="H1154" t="str">
            <v>RESI</v>
          </cell>
          <cell r="I1154" t="str">
            <v>REGIMEN SIMPLIFICADO</v>
          </cell>
          <cell r="J1154" t="str">
            <v>MCP TRINIDAD</v>
          </cell>
          <cell r="K1154" t="str">
            <v>85430</v>
          </cell>
          <cell r="L1154" t="str">
            <v>TRINIDAD</v>
          </cell>
          <cell r="M1154" t="str">
            <v>8874100</v>
          </cell>
        </row>
        <row r="1155">
          <cell r="A1155">
            <v>17596477</v>
          </cell>
          <cell r="B1155" t="str">
            <v/>
          </cell>
          <cell r="C1155" t="str">
            <v/>
          </cell>
          <cell r="D1155" t="str">
            <v>CC</v>
          </cell>
          <cell r="E1155" t="str">
            <v>YEISON YESID</v>
          </cell>
          <cell r="F1155" t="str">
            <v>PEREZ PATIÑO</v>
          </cell>
          <cell r="G1155" t="str">
            <v>PEREZ PATIÑO YEISON YESID</v>
          </cell>
          <cell r="H1155" t="str">
            <v>FUNC</v>
          </cell>
          <cell r="I1155" t="str">
            <v>FUNCIONARIO</v>
          </cell>
          <cell r="J1155" t="str">
            <v xml:space="preserve">BRR CENTRO A </v>
          </cell>
          <cell r="K1155" t="str">
            <v>97001</v>
          </cell>
          <cell r="L1155" t="str">
            <v>MITÚ</v>
          </cell>
          <cell r="M1155" t="str">
            <v>8884062</v>
          </cell>
        </row>
        <row r="1156">
          <cell r="A1156">
            <v>17621011</v>
          </cell>
          <cell r="B1156" t="str">
            <v/>
          </cell>
          <cell r="C1156" t="str">
            <v/>
          </cell>
          <cell r="D1156" t="str">
            <v>CC</v>
          </cell>
          <cell r="E1156" t="str">
            <v>HERNANDO</v>
          </cell>
          <cell r="F1156" t="str">
            <v>DOMINGUEZ CUELLAR</v>
          </cell>
          <cell r="G1156" t="str">
            <v>DOMINGUEZ CUELLAR HERNANDO</v>
          </cell>
          <cell r="H1156" t="str">
            <v>RESI</v>
          </cell>
          <cell r="I1156" t="str">
            <v>REGIMEN SIMPLIFICADO</v>
          </cell>
          <cell r="J1156" t="str">
            <v>XXX</v>
          </cell>
          <cell r="K1156" t="str">
            <v>17001</v>
          </cell>
          <cell r="L1156" t="str">
            <v>MANIZALES</v>
          </cell>
          <cell r="M1156" t="str">
            <v>XXX</v>
          </cell>
        </row>
        <row r="1157">
          <cell r="A1157">
            <v>17640606</v>
          </cell>
          <cell r="B1157" t="str">
            <v/>
          </cell>
          <cell r="C1157" t="str">
            <v/>
          </cell>
          <cell r="D1157" t="str">
            <v>CC</v>
          </cell>
          <cell r="E1157" t="str">
            <v>RAUL OSWALDO</v>
          </cell>
          <cell r="F1157" t="str">
            <v>MOTTA RODRIGUEZ</v>
          </cell>
          <cell r="G1157" t="str">
            <v>MOTTA RODRIGUEZ RAUL OSWALDO</v>
          </cell>
          <cell r="H1157" t="str">
            <v>RECO</v>
          </cell>
          <cell r="I1157" t="str">
            <v>REGIMEN COMUN</v>
          </cell>
          <cell r="J1157" t="str">
            <v>CR 3 17-09</v>
          </cell>
          <cell r="K1157" t="str">
            <v>17380</v>
          </cell>
          <cell r="L1157" t="str">
            <v>LA DORADA</v>
          </cell>
          <cell r="M1157" t="str">
            <v>8576745</v>
          </cell>
        </row>
        <row r="1158">
          <cell r="A1158">
            <v>17645198</v>
          </cell>
          <cell r="B1158" t="str">
            <v/>
          </cell>
          <cell r="C1158" t="str">
            <v/>
          </cell>
          <cell r="D1158" t="str">
            <v>CC</v>
          </cell>
          <cell r="E1158" t="str">
            <v>ALEXANDER</v>
          </cell>
          <cell r="F1158" t="str">
            <v>DOMINGUEZ CUELLAR</v>
          </cell>
          <cell r="G1158" t="str">
            <v>DOMINGUEZ CUELLAR ALEXANDER</v>
          </cell>
          <cell r="H1158" t="str">
            <v>RESI</v>
          </cell>
          <cell r="I1158" t="str">
            <v>REGIMEN SIMPLIFICADO</v>
          </cell>
          <cell r="J1158" t="str">
            <v>XXX</v>
          </cell>
          <cell r="K1158" t="str">
            <v>17001</v>
          </cell>
          <cell r="L1158" t="str">
            <v>MANIZALES</v>
          </cell>
          <cell r="M1158" t="str">
            <v>XXX</v>
          </cell>
        </row>
        <row r="1159">
          <cell r="A1159">
            <v>17654953</v>
          </cell>
          <cell r="B1159" t="str">
            <v/>
          </cell>
          <cell r="C1159" t="str">
            <v/>
          </cell>
          <cell r="D1159" t="str">
            <v>CC</v>
          </cell>
          <cell r="E1159" t="str">
            <v>RAÚL</v>
          </cell>
          <cell r="F1159" t="str">
            <v>RAMIREZ</v>
          </cell>
          <cell r="G1159" t="str">
            <v>RAMIREZ RAÚL</v>
          </cell>
          <cell r="H1159" t="str">
            <v>RESI</v>
          </cell>
          <cell r="I1159" t="str">
            <v>REGIMEN SIMPLIFICADO</v>
          </cell>
          <cell r="J1159" t="str">
            <v>CL 4 7 19 BRR LA PRIMAVERA SECTOR UNO MALVINAS</v>
          </cell>
          <cell r="K1159" t="str">
            <v>18001</v>
          </cell>
          <cell r="L1159" t="str">
            <v>FLORENCIA</v>
          </cell>
          <cell r="M1159" t="str">
            <v>3168714908</v>
          </cell>
        </row>
        <row r="1160">
          <cell r="A1160">
            <v>17655159</v>
          </cell>
          <cell r="B1160" t="str">
            <v/>
          </cell>
          <cell r="C1160" t="str">
            <v/>
          </cell>
          <cell r="D1160" t="str">
            <v>CC</v>
          </cell>
          <cell r="E1160" t="str">
            <v>NEIBER</v>
          </cell>
          <cell r="F1160" t="str">
            <v>SANCHEZ LASSO</v>
          </cell>
          <cell r="G1160" t="str">
            <v>SANCHEZ LASSO NEIBER</v>
          </cell>
          <cell r="H1160" t="str">
            <v>RESI</v>
          </cell>
          <cell r="I1160" t="str">
            <v>REGIMEN SIMPLIFICADO</v>
          </cell>
          <cell r="J1160" t="str">
            <v>XXX</v>
          </cell>
          <cell r="K1160" t="str">
            <v>17001</v>
          </cell>
          <cell r="L1160" t="str">
            <v>MANIZALES</v>
          </cell>
          <cell r="M1160" t="str">
            <v>XX</v>
          </cell>
        </row>
        <row r="1161">
          <cell r="A1161">
            <v>17668415</v>
          </cell>
          <cell r="B1161" t="str">
            <v>2</v>
          </cell>
          <cell r="C1161" t="str">
            <v/>
          </cell>
          <cell r="D1161" t="str">
            <v>NP</v>
          </cell>
          <cell r="E1161" t="str">
            <v>JOSE</v>
          </cell>
          <cell r="F1161" t="str">
            <v>VARON TRUJILLO</v>
          </cell>
          <cell r="G1161" t="str">
            <v>VARON TRUJILLO JOSE</v>
          </cell>
          <cell r="H1161" t="str">
            <v>RESI</v>
          </cell>
          <cell r="I1161" t="str">
            <v>REGIMEN SIMPLIFICADO</v>
          </cell>
          <cell r="J1161" t="str">
            <v>CL 18   16   91 BRR LIBERTADORES</v>
          </cell>
          <cell r="K1161" t="str">
            <v>94001</v>
          </cell>
          <cell r="L1161" t="str">
            <v>INÍRIDA</v>
          </cell>
          <cell r="M1161" t="str">
            <v>3133508998</v>
          </cell>
        </row>
        <row r="1162">
          <cell r="A1162">
            <v>17675772</v>
          </cell>
          <cell r="B1162" t="str">
            <v/>
          </cell>
          <cell r="C1162" t="str">
            <v/>
          </cell>
          <cell r="D1162" t="str">
            <v>CC</v>
          </cell>
          <cell r="E1162" t="str">
            <v>FERNANDO</v>
          </cell>
          <cell r="F1162" t="str">
            <v>GIRALDO LOZADA</v>
          </cell>
          <cell r="G1162" t="str">
            <v>GIRALDO LOZADA FERNANDO</v>
          </cell>
          <cell r="H1162" t="str">
            <v>RESI</v>
          </cell>
          <cell r="I1162" t="str">
            <v>REGIMEN SIMPLIFICADO</v>
          </cell>
          <cell r="J1162" t="str">
            <v>XXX</v>
          </cell>
          <cell r="K1162" t="str">
            <v>17001</v>
          </cell>
          <cell r="L1162" t="str">
            <v>MANIZALES</v>
          </cell>
          <cell r="M1162" t="str">
            <v>XXX</v>
          </cell>
        </row>
        <row r="1163">
          <cell r="A1163">
            <v>17704264</v>
          </cell>
          <cell r="B1163" t="str">
            <v/>
          </cell>
          <cell r="C1163" t="str">
            <v/>
          </cell>
          <cell r="D1163" t="str">
            <v>CC</v>
          </cell>
          <cell r="E1163" t="str">
            <v>OLIMPO</v>
          </cell>
          <cell r="F1163" t="str">
            <v>GÓMEZ RODRÍGUEZ</v>
          </cell>
          <cell r="G1163" t="str">
            <v>GÓMEZ RODRÍGUEZ OLIMPO</v>
          </cell>
          <cell r="H1163" t="str">
            <v>NORE</v>
          </cell>
          <cell r="I1163" t="str">
            <v>NO RESPONSABLE DE IVA</v>
          </cell>
          <cell r="J1163" t="str">
            <v>PARQUE PRINCIPAL</v>
          </cell>
          <cell r="K1163" t="str">
            <v>18860</v>
          </cell>
          <cell r="L1163" t="str">
            <v>VALPARAÍSO</v>
          </cell>
          <cell r="M1163" t="str">
            <v>012345678</v>
          </cell>
        </row>
        <row r="1164">
          <cell r="A1164">
            <v>17802270</v>
          </cell>
          <cell r="B1164" t="str">
            <v>6</v>
          </cell>
          <cell r="C1164" t="str">
            <v/>
          </cell>
          <cell r="D1164" t="str">
            <v>NP</v>
          </cell>
          <cell r="E1164" t="str">
            <v>JUVENAL</v>
          </cell>
          <cell r="F1164" t="str">
            <v>PAZ URIANA</v>
          </cell>
          <cell r="G1164" t="str">
            <v>PAZ URIANA JUVENAL</v>
          </cell>
          <cell r="H1164" t="str">
            <v>REOR</v>
          </cell>
          <cell r="I1164" t="str">
            <v>RENTA REGIMEN ORDINARIO</v>
          </cell>
          <cell r="J1164" t="str">
            <v>COMUNIDAD  INDIGENA  MASHOU CARR VIA LA MAJAYURA</v>
          </cell>
          <cell r="K1164" t="str">
            <v>44430</v>
          </cell>
          <cell r="L1164" t="str">
            <v>MAICAO</v>
          </cell>
          <cell r="M1164" t="str">
            <v>3107125853</v>
          </cell>
        </row>
        <row r="1165">
          <cell r="A1165">
            <v>17902571</v>
          </cell>
          <cell r="B1165" t="str">
            <v>7</v>
          </cell>
          <cell r="C1165" t="str">
            <v/>
          </cell>
          <cell r="D1165" t="str">
            <v>NP</v>
          </cell>
          <cell r="E1165" t="str">
            <v>SALOMON JAIR</v>
          </cell>
          <cell r="F1165" t="str">
            <v>MEZA BERARDINELLI</v>
          </cell>
          <cell r="G1165" t="str">
            <v>MEZA BERARDINELLI SALOMON JAIR</v>
          </cell>
          <cell r="H1165" t="str">
            <v>RESI</v>
          </cell>
          <cell r="I1165" t="str">
            <v>REGIMEN SIMPLIFICADO</v>
          </cell>
          <cell r="J1165" t="str">
            <v>CR 26   9   17</v>
          </cell>
          <cell r="K1165" t="str">
            <v>44430</v>
          </cell>
          <cell r="L1165" t="str">
            <v>MAICAO</v>
          </cell>
          <cell r="M1165" t="str">
            <v>3116883522</v>
          </cell>
        </row>
        <row r="1166">
          <cell r="A1166">
            <v>17959264</v>
          </cell>
          <cell r="B1166" t="str">
            <v/>
          </cell>
          <cell r="C1166" t="str">
            <v/>
          </cell>
          <cell r="D1166" t="str">
            <v>CC</v>
          </cell>
          <cell r="E1166" t="str">
            <v>ALFREDO ALONSO</v>
          </cell>
          <cell r="F1166" t="str">
            <v>GIL CUELLO</v>
          </cell>
          <cell r="G1166" t="str">
            <v>GIL CUELLO ALFREDO ALONSO</v>
          </cell>
          <cell r="H1166" t="str">
            <v>FUNC</v>
          </cell>
          <cell r="I1166" t="str">
            <v>FUNCIONARIO</v>
          </cell>
          <cell r="J1166" t="str">
            <v>CL 27 C  41 A BRR ENTRERIOS RIOHACHA</v>
          </cell>
          <cell r="K1166" t="str">
            <v>08001</v>
          </cell>
          <cell r="L1166" t="str">
            <v>BARRANQUILLA</v>
          </cell>
          <cell r="M1166" t="str">
            <v>6799497</v>
          </cell>
        </row>
        <row r="1167">
          <cell r="A1167">
            <v>18111499</v>
          </cell>
          <cell r="B1167" t="str">
            <v>3</v>
          </cell>
          <cell r="C1167" t="str">
            <v/>
          </cell>
          <cell r="D1167" t="str">
            <v>NP</v>
          </cell>
          <cell r="E1167" t="str">
            <v>JESUS ANTONIO</v>
          </cell>
          <cell r="F1167" t="str">
            <v>ARROYO GOMEZ</v>
          </cell>
          <cell r="G1167" t="str">
            <v>ARROYO GOMEZ JESUS ANTONIO</v>
          </cell>
          <cell r="H1167" t="str">
            <v>RESI</v>
          </cell>
          <cell r="I1167" t="str">
            <v>REGIMEN SIMPLIFICADO</v>
          </cell>
          <cell r="J1167" t="str">
            <v>CR 26 CL 33 34 BRR GALAN</v>
          </cell>
          <cell r="K1167" t="str">
            <v>86568</v>
          </cell>
          <cell r="L1167" t="str">
            <v>PUERTO ASÍS</v>
          </cell>
          <cell r="M1167" t="str">
            <v>4220601</v>
          </cell>
        </row>
        <row r="1168">
          <cell r="A1168">
            <v>18186879</v>
          </cell>
          <cell r="B1168" t="str">
            <v>0</v>
          </cell>
          <cell r="C1168" t="str">
            <v/>
          </cell>
          <cell r="D1168" t="str">
            <v>NP</v>
          </cell>
          <cell r="E1168" t="str">
            <v>WILLIAM ANTONIO</v>
          </cell>
          <cell r="F1168" t="str">
            <v>BARCO BRAVO</v>
          </cell>
          <cell r="G1168" t="str">
            <v>BARCO BRAVO WILLIAM ANTONIO</v>
          </cell>
          <cell r="H1168" t="str">
            <v>RECO</v>
          </cell>
          <cell r="I1168" t="str">
            <v>REGIMEN COMUN</v>
          </cell>
          <cell r="J1168" t="str">
            <v>CL 7 SUR 22 A 131 BL 5 AP 301 CON AGUALONGO</v>
          </cell>
          <cell r="K1168" t="str">
            <v>52001</v>
          </cell>
          <cell r="L1168" t="str">
            <v xml:space="preserve">PASTO	</v>
          </cell>
          <cell r="M1168" t="str">
            <v>7301190</v>
          </cell>
        </row>
        <row r="1169">
          <cell r="A1169">
            <v>18201283</v>
          </cell>
          <cell r="B1169" t="str">
            <v/>
          </cell>
          <cell r="C1169" t="str">
            <v/>
          </cell>
          <cell r="D1169" t="str">
            <v>CC</v>
          </cell>
          <cell r="E1169" t="str">
            <v>JUAN DE JESUS</v>
          </cell>
          <cell r="F1169" t="str">
            <v>LOPEZ CUELLAR</v>
          </cell>
          <cell r="G1169" t="str">
            <v>LOPEZ CUELLAR JUAN DE JESUS</v>
          </cell>
          <cell r="H1169" t="str">
            <v>RESI</v>
          </cell>
          <cell r="I1169" t="str">
            <v>REGIMEN SIMPLIFICADO</v>
          </cell>
          <cell r="J1169" t="str">
            <v>XX</v>
          </cell>
          <cell r="K1169" t="str">
            <v>97161</v>
          </cell>
          <cell r="L1169" t="str">
            <v>CARURU</v>
          </cell>
          <cell r="M1169" t="str">
            <v>XX</v>
          </cell>
        </row>
        <row r="1170">
          <cell r="A1170">
            <v>18201674</v>
          </cell>
          <cell r="B1170" t="str">
            <v>2</v>
          </cell>
          <cell r="C1170" t="str">
            <v/>
          </cell>
          <cell r="D1170" t="str">
            <v>NP</v>
          </cell>
          <cell r="E1170" t="str">
            <v>JOSE EUSTACIO</v>
          </cell>
          <cell r="F1170" t="str">
            <v>CHEQUEMARCA GOMEZ</v>
          </cell>
          <cell r="G1170" t="str">
            <v>CHEQUEMARCA GOMEZ JOSE EUSTACIO</v>
          </cell>
          <cell r="H1170" t="str">
            <v>NORE</v>
          </cell>
          <cell r="I1170" t="str">
            <v>NO RESPONSABLE DE IVA</v>
          </cell>
          <cell r="J1170" t="str">
            <v xml:space="preserve"> C  R 7 6 BRR SIETE DE AGOSTO</v>
          </cell>
          <cell r="K1170" t="str">
            <v>17001</v>
          </cell>
          <cell r="L1170" t="str">
            <v>MANIZALES</v>
          </cell>
          <cell r="M1170" t="str">
            <v>3148974765</v>
          </cell>
        </row>
        <row r="1171">
          <cell r="A1171">
            <v>18201679</v>
          </cell>
          <cell r="B1171" t="str">
            <v>9</v>
          </cell>
          <cell r="C1171" t="str">
            <v/>
          </cell>
          <cell r="D1171" t="str">
            <v>NP</v>
          </cell>
          <cell r="E1171" t="str">
            <v>EVELIO</v>
          </cell>
          <cell r="F1171" t="str">
            <v>RAMIREZ SABANA</v>
          </cell>
          <cell r="G1171" t="str">
            <v>RAMIREZ SABANA EVELIO</v>
          </cell>
          <cell r="H1171" t="str">
            <v>RESI</v>
          </cell>
          <cell r="I1171" t="str">
            <v>REGIMEN SIMPLIFICADO</v>
          </cell>
          <cell r="J1171" t="str">
            <v>CRA. 6 NO. 28-46 B. PRIMAVERA</v>
          </cell>
          <cell r="K1171" t="str">
            <v>94001</v>
          </cell>
          <cell r="L1171" t="str">
            <v>INÍRIDA</v>
          </cell>
          <cell r="M1171" t="str">
            <v>3114528204</v>
          </cell>
        </row>
        <row r="1172">
          <cell r="A1172">
            <v>18201766</v>
          </cell>
          <cell r="B1172" t="str">
            <v/>
          </cell>
          <cell r="C1172" t="str">
            <v/>
          </cell>
          <cell r="D1172" t="str">
            <v>CC</v>
          </cell>
          <cell r="E1172" t="str">
            <v>JESUS EMILIO</v>
          </cell>
          <cell r="F1172" t="str">
            <v>SANCHEZ GUTIERREZ</v>
          </cell>
          <cell r="G1172" t="str">
            <v>SANCHEZ GUTIERREZ JESUS EMILIO</v>
          </cell>
          <cell r="H1172" t="str">
            <v>FUNC</v>
          </cell>
          <cell r="I1172" t="str">
            <v>FUNCIONARIO</v>
          </cell>
          <cell r="J1172" t="str">
            <v>La brisa</v>
          </cell>
          <cell r="K1172" t="str">
            <v>97001</v>
          </cell>
          <cell r="L1172" t="str">
            <v>MITÚ</v>
          </cell>
          <cell r="M1172" t="str">
            <v>3208820084</v>
          </cell>
        </row>
        <row r="1173">
          <cell r="A1173">
            <v>18201876</v>
          </cell>
          <cell r="B1173" t="str">
            <v/>
          </cell>
          <cell r="C1173" t="str">
            <v/>
          </cell>
          <cell r="D1173" t="str">
            <v>CC</v>
          </cell>
          <cell r="E1173" t="str">
            <v>SERVANDO</v>
          </cell>
          <cell r="F1173" t="str">
            <v>PINZON RUEDA</v>
          </cell>
          <cell r="G1173" t="str">
            <v>PINZON RUEDA SERVANDO</v>
          </cell>
          <cell r="H1173" t="str">
            <v>FUNC</v>
          </cell>
          <cell r="I1173" t="str">
            <v>FUNCIONARIO</v>
          </cell>
          <cell r="J1173" t="str">
            <v>CR 3 CRT MITU</v>
          </cell>
          <cell r="K1173" t="str">
            <v>97001</v>
          </cell>
          <cell r="L1173" t="str">
            <v>MITÚ</v>
          </cell>
          <cell r="M1173" t="str">
            <v>3207722235</v>
          </cell>
        </row>
        <row r="1174">
          <cell r="A1174">
            <v>18202106</v>
          </cell>
          <cell r="B1174" t="str">
            <v/>
          </cell>
          <cell r="C1174" t="str">
            <v/>
          </cell>
          <cell r="D1174" t="str">
            <v>CC</v>
          </cell>
          <cell r="E1174" t="str">
            <v>JOSE IGNACIO</v>
          </cell>
          <cell r="F1174" t="str">
            <v>GONGORA RICAURTE</v>
          </cell>
          <cell r="G1174" t="str">
            <v>GONGORA RICAURTE JOSE IGNACIO</v>
          </cell>
          <cell r="H1174" t="str">
            <v>FUNC</v>
          </cell>
          <cell r="I1174" t="str">
            <v>FUNCIONARIO</v>
          </cell>
          <cell r="J1174" t="str">
            <v>CR 5 5 15</v>
          </cell>
          <cell r="K1174" t="str">
            <v>97001</v>
          </cell>
          <cell r="L1174" t="str">
            <v>MITÚ</v>
          </cell>
          <cell r="M1174" t="str">
            <v>3164670872</v>
          </cell>
        </row>
        <row r="1175">
          <cell r="A1175">
            <v>18202128</v>
          </cell>
          <cell r="B1175" t="str">
            <v>7</v>
          </cell>
          <cell r="C1175" t="str">
            <v/>
          </cell>
          <cell r="D1175" t="str">
            <v>NP</v>
          </cell>
          <cell r="E1175" t="str">
            <v>IVAN DARIO</v>
          </cell>
          <cell r="F1175" t="str">
            <v>SANDOVAL PERILLA</v>
          </cell>
          <cell r="G1175" t="str">
            <v>SANDOVAL PERILLA IVAN DARIO</v>
          </cell>
          <cell r="H1175" t="str">
            <v>IMVE</v>
          </cell>
          <cell r="I1175" t="str">
            <v>IMPUESTO SOBRE LAS VENTAS</v>
          </cell>
          <cell r="J1175" t="str">
            <v>TV 7 14 02 BRR NAVARRO BONILLA</v>
          </cell>
          <cell r="K1175" t="str">
            <v>97001</v>
          </cell>
          <cell r="L1175" t="str">
            <v>MITÚ</v>
          </cell>
          <cell r="M1175" t="str">
            <v>8042176</v>
          </cell>
        </row>
        <row r="1176">
          <cell r="A1176">
            <v>18202219</v>
          </cell>
          <cell r="B1176" t="str">
            <v>9</v>
          </cell>
          <cell r="C1176" t="str">
            <v/>
          </cell>
          <cell r="D1176" t="str">
            <v>NP</v>
          </cell>
          <cell r="E1176" t="str">
            <v>NELSON</v>
          </cell>
          <cell r="F1176" t="str">
            <v>VIAFARA MINA</v>
          </cell>
          <cell r="G1176" t="str">
            <v>VIAFARA MINA NELSON</v>
          </cell>
          <cell r="H1176" t="str">
            <v>REOR</v>
          </cell>
          <cell r="I1176" t="str">
            <v>RENTA REGIMEN ORDINARIO</v>
          </cell>
          <cell r="J1176" t="str">
            <v>BRR VILLA VICTORIA</v>
          </cell>
          <cell r="K1176" t="str">
            <v>97001</v>
          </cell>
          <cell r="L1176" t="str">
            <v>MITÚ</v>
          </cell>
          <cell r="M1176" t="str">
            <v>3115069268</v>
          </cell>
        </row>
        <row r="1177">
          <cell r="A1177">
            <v>18202442</v>
          </cell>
          <cell r="B1177" t="str">
            <v/>
          </cell>
          <cell r="C1177" t="str">
            <v/>
          </cell>
          <cell r="D1177" t="str">
            <v>CC</v>
          </cell>
          <cell r="E1177" t="str">
            <v>EFRAIN</v>
          </cell>
          <cell r="F1177" t="str">
            <v>GIL ALVAREZ</v>
          </cell>
          <cell r="G1177" t="str">
            <v>GIL ALVAREZ EFRAIN</v>
          </cell>
          <cell r="H1177" t="str">
            <v>FUNC</v>
          </cell>
          <cell r="I1177" t="str">
            <v>FUNCIONARIO</v>
          </cell>
          <cell r="J1177" t="str">
            <v>CAS COMUNIDAD DE SABTACRUZ</v>
          </cell>
          <cell r="K1177" t="str">
            <v>97001</v>
          </cell>
          <cell r="L1177" t="str">
            <v>MITÚ</v>
          </cell>
          <cell r="M1177" t="str">
            <v>5432608</v>
          </cell>
        </row>
        <row r="1178">
          <cell r="A1178">
            <v>18202452</v>
          </cell>
          <cell r="B1178" t="str">
            <v/>
          </cell>
          <cell r="C1178" t="str">
            <v/>
          </cell>
          <cell r="D1178" t="str">
            <v>CC</v>
          </cell>
          <cell r="E1178" t="str">
            <v>GERMAN</v>
          </cell>
          <cell r="F1178" t="str">
            <v>HERRERA GOMEZ</v>
          </cell>
          <cell r="G1178" t="str">
            <v>HERRERA GOMEZ GERMAN</v>
          </cell>
          <cell r="H1178" t="str">
            <v>FUNC</v>
          </cell>
          <cell r="I1178" t="str">
            <v>FUNCIONARIO</v>
          </cell>
          <cell r="J1178" t="str">
            <v>COMUN TAYAZÚ</v>
          </cell>
          <cell r="K1178" t="str">
            <v>97001</v>
          </cell>
          <cell r="L1178" t="str">
            <v>MITÚ</v>
          </cell>
          <cell r="M1178" t="str">
            <v>8756262</v>
          </cell>
        </row>
        <row r="1179">
          <cell r="A1179">
            <v>18202678</v>
          </cell>
          <cell r="B1179" t="str">
            <v/>
          </cell>
          <cell r="C1179" t="str">
            <v/>
          </cell>
          <cell r="D1179" t="str">
            <v>CC</v>
          </cell>
          <cell r="E1179" t="str">
            <v>LUIS FERNANDO</v>
          </cell>
          <cell r="F1179" t="str">
            <v>OSORIO PERDOMO</v>
          </cell>
          <cell r="G1179" t="str">
            <v>OSORIO PERDOMO LUIS FERNANDO</v>
          </cell>
          <cell r="H1179" t="str">
            <v>FUNC</v>
          </cell>
          <cell r="I1179" t="str">
            <v>FUNCIONARIO</v>
          </cell>
          <cell r="J1179" t="str">
            <v>Tayazu</v>
          </cell>
          <cell r="K1179" t="str">
            <v>17001</v>
          </cell>
          <cell r="L1179" t="str">
            <v>MANIZALES</v>
          </cell>
          <cell r="M1179" t="str">
            <v>3124774081</v>
          </cell>
        </row>
        <row r="1180">
          <cell r="A1180">
            <v>18202778</v>
          </cell>
          <cell r="B1180" t="str">
            <v/>
          </cell>
          <cell r="C1180" t="str">
            <v/>
          </cell>
          <cell r="D1180" t="str">
            <v>CC</v>
          </cell>
          <cell r="E1180" t="str">
            <v>CASIMIRO</v>
          </cell>
          <cell r="F1180" t="str">
            <v>GONZALEZ ARANGO</v>
          </cell>
          <cell r="G1180" t="str">
            <v>GONZALEZ ARANGO CASIMIRO</v>
          </cell>
          <cell r="H1180" t="str">
            <v>RESI</v>
          </cell>
          <cell r="I1180" t="str">
            <v>REGIMEN SIMPLIFICADO</v>
          </cell>
          <cell r="J1180" t="str">
            <v>MITU</v>
          </cell>
          <cell r="K1180" t="str">
            <v>97001</v>
          </cell>
          <cell r="L1180" t="str">
            <v>MITÚ</v>
          </cell>
          <cell r="M1180" t="str">
            <v>3222407759</v>
          </cell>
        </row>
        <row r="1181">
          <cell r="A1181">
            <v>18202938</v>
          </cell>
          <cell r="B1181" t="str">
            <v/>
          </cell>
          <cell r="C1181" t="str">
            <v/>
          </cell>
          <cell r="D1181" t="str">
            <v>CC</v>
          </cell>
          <cell r="E1181" t="str">
            <v>JULIAN</v>
          </cell>
          <cell r="F1181" t="str">
            <v>RODRIGUEZ BENJUMEA</v>
          </cell>
          <cell r="G1181" t="str">
            <v>RODRIGUEZ BENJUMEA JULIAN</v>
          </cell>
          <cell r="H1181" t="str">
            <v>FUNC</v>
          </cell>
          <cell r="I1181" t="str">
            <v>FUNCIONARIO</v>
          </cell>
          <cell r="J1181" t="str">
            <v>CR 14 14 23</v>
          </cell>
          <cell r="K1181" t="str">
            <v>97001</v>
          </cell>
          <cell r="L1181" t="str">
            <v>MITÚ</v>
          </cell>
          <cell r="M1181" t="str">
            <v>3212046798</v>
          </cell>
        </row>
        <row r="1182">
          <cell r="A1182">
            <v>18203172</v>
          </cell>
          <cell r="B1182" t="str">
            <v>6</v>
          </cell>
          <cell r="C1182" t="str">
            <v/>
          </cell>
          <cell r="D1182" t="str">
            <v>NP</v>
          </cell>
          <cell r="E1182" t="str">
            <v>JHON HERNANDO</v>
          </cell>
          <cell r="F1182" t="str">
            <v>ESPINOSA TORRES</v>
          </cell>
          <cell r="G1182" t="str">
            <v>ESPINOSA TORRES JHON HERNANDO</v>
          </cell>
          <cell r="H1182" t="str">
            <v>NORE</v>
          </cell>
          <cell r="I1182" t="str">
            <v>NO RESPONSABLE DE IVA</v>
          </cell>
          <cell r="J1182" t="str">
            <v>CR 8 9 A 05 BRR INAYA</v>
          </cell>
          <cell r="K1182" t="str">
            <v>50001</v>
          </cell>
          <cell r="L1182" t="str">
            <v>VILLAVICENCIO</v>
          </cell>
          <cell r="M1182" t="str">
            <v>3104702813</v>
          </cell>
        </row>
        <row r="1183">
          <cell r="A1183">
            <v>18203265</v>
          </cell>
          <cell r="B1183" t="str">
            <v>2</v>
          </cell>
          <cell r="C1183" t="str">
            <v/>
          </cell>
          <cell r="D1183" t="str">
            <v>NP</v>
          </cell>
          <cell r="E1183" t="str">
            <v>GELBER WILCHEZ</v>
          </cell>
          <cell r="F1183" t="str">
            <v>QUEVEDO VALENCIA</v>
          </cell>
          <cell r="G1183" t="str">
            <v>QUEVEDO VALENCIA GELBER WILCHEZ</v>
          </cell>
          <cell r="H1183" t="str">
            <v>RESI</v>
          </cell>
          <cell r="I1183" t="str">
            <v>REGIMEN SIMPLIFICADO</v>
          </cell>
          <cell r="J1183" t="str">
            <v>CL 14A  12 33 BRR ESPERANZA</v>
          </cell>
          <cell r="K1183" t="str">
            <v>97001</v>
          </cell>
          <cell r="L1183" t="str">
            <v>MITÚ</v>
          </cell>
          <cell r="M1183" t="str">
            <v>3214837692</v>
          </cell>
        </row>
        <row r="1184">
          <cell r="A1184">
            <v>18203539</v>
          </cell>
          <cell r="B1184" t="str">
            <v/>
          </cell>
          <cell r="C1184" t="str">
            <v/>
          </cell>
          <cell r="D1184" t="str">
            <v>CC</v>
          </cell>
          <cell r="E1184" t="str">
            <v>JAIRO</v>
          </cell>
          <cell r="F1184" t="str">
            <v>VALENCIA MEJIA</v>
          </cell>
          <cell r="G1184" t="str">
            <v>VALENCIA MEJIA JAIRO</v>
          </cell>
          <cell r="H1184" t="str">
            <v>FUNC</v>
          </cell>
          <cell r="I1184" t="str">
            <v>FUNCIONARIO</v>
          </cell>
          <cell r="J1184" t="str">
            <v>SANTA CRUZ MITU</v>
          </cell>
          <cell r="K1184" t="str">
            <v>97001</v>
          </cell>
          <cell r="L1184" t="str">
            <v>MITÚ</v>
          </cell>
          <cell r="M1184" t="str">
            <v>8756262</v>
          </cell>
        </row>
        <row r="1185">
          <cell r="A1185">
            <v>18203577</v>
          </cell>
          <cell r="B1185" t="str">
            <v>5</v>
          </cell>
          <cell r="C1185" t="str">
            <v/>
          </cell>
          <cell r="D1185" t="str">
            <v>NP</v>
          </cell>
          <cell r="E1185" t="str">
            <v>DORIAN ALBERTO</v>
          </cell>
          <cell r="F1185" t="str">
            <v>CANO  MARIN</v>
          </cell>
          <cell r="G1185" t="str">
            <v>CANO  MARIN DORIAN ALBERTO</v>
          </cell>
          <cell r="H1185" t="str">
            <v>RESI</v>
          </cell>
          <cell r="I1185" t="str">
            <v>REGIMEN SIMPLIFICADO</v>
          </cell>
          <cell r="J1185" t="str">
            <v>BRR CENTRO</v>
          </cell>
          <cell r="K1185" t="str">
            <v>97001</v>
          </cell>
          <cell r="L1185" t="str">
            <v>MITÚ</v>
          </cell>
          <cell r="M1185" t="str">
            <v>3143086874</v>
          </cell>
        </row>
        <row r="1186">
          <cell r="A1186">
            <v>18203635</v>
          </cell>
          <cell r="B1186" t="str">
            <v/>
          </cell>
          <cell r="C1186" t="str">
            <v/>
          </cell>
          <cell r="D1186" t="str">
            <v>CC</v>
          </cell>
          <cell r="E1186" t="str">
            <v>FREDY ALEXIS</v>
          </cell>
          <cell r="F1186" t="str">
            <v>VASQUEZ LINARES</v>
          </cell>
          <cell r="G1186" t="str">
            <v>VASQUEZ LINARES FREDY ALEXIS</v>
          </cell>
          <cell r="H1186" t="str">
            <v>RESI</v>
          </cell>
          <cell r="I1186" t="str">
            <v>REGIMEN SIMPLIFICADO</v>
          </cell>
          <cell r="J1186" t="str">
            <v>MCP MITU</v>
          </cell>
          <cell r="K1186" t="str">
            <v>97001</v>
          </cell>
          <cell r="L1186" t="str">
            <v>MITÚ</v>
          </cell>
          <cell r="M1186" t="str">
            <v>NO TIENE</v>
          </cell>
        </row>
        <row r="1187">
          <cell r="A1187">
            <v>18203650</v>
          </cell>
          <cell r="B1187" t="str">
            <v/>
          </cell>
          <cell r="C1187" t="str">
            <v/>
          </cell>
          <cell r="D1187" t="str">
            <v>CC</v>
          </cell>
          <cell r="E1187" t="str">
            <v>AGUSTIN</v>
          </cell>
          <cell r="F1187" t="str">
            <v>GARCIA SANDOVAL</v>
          </cell>
          <cell r="G1187" t="str">
            <v>GARCIA SANDOVAL AGUSTIN</v>
          </cell>
          <cell r="H1187" t="str">
            <v>FUNC</v>
          </cell>
          <cell r="I1187" t="str">
            <v>FUNCIONARIO</v>
          </cell>
          <cell r="J1187" t="str">
            <v>BRR MIGUEL CUERVO ARAOZ</v>
          </cell>
          <cell r="K1187" t="str">
            <v>97001</v>
          </cell>
          <cell r="L1187" t="str">
            <v>MITÚ</v>
          </cell>
          <cell r="M1187" t="str">
            <v>3124865515</v>
          </cell>
        </row>
        <row r="1188">
          <cell r="A1188">
            <v>18203654</v>
          </cell>
          <cell r="B1188" t="str">
            <v/>
          </cell>
          <cell r="C1188" t="str">
            <v/>
          </cell>
          <cell r="D1188" t="str">
            <v>CC</v>
          </cell>
          <cell r="E1188" t="str">
            <v>ARTURO</v>
          </cell>
          <cell r="F1188" t="str">
            <v>HERNANDEZ ORTIZ</v>
          </cell>
          <cell r="G1188" t="str">
            <v>HERNANDEZ ORTIZ ARTURO</v>
          </cell>
          <cell r="H1188" t="str">
            <v>FUNC</v>
          </cell>
          <cell r="I1188" t="str">
            <v>FUNCIONARIO</v>
          </cell>
          <cell r="J1188" t="str">
            <v>BRR TRUBON</v>
          </cell>
          <cell r="K1188" t="str">
            <v>17001</v>
          </cell>
          <cell r="L1188" t="str">
            <v>MANIZALES</v>
          </cell>
          <cell r="M1188" t="str">
            <v>3137658595</v>
          </cell>
        </row>
        <row r="1189">
          <cell r="A1189">
            <v>18203909</v>
          </cell>
          <cell r="B1189" t="str">
            <v/>
          </cell>
          <cell r="C1189" t="str">
            <v/>
          </cell>
          <cell r="D1189" t="str">
            <v>CC</v>
          </cell>
          <cell r="E1189" t="str">
            <v>GUSTAVO BELARMINO</v>
          </cell>
          <cell r="F1189" t="str">
            <v>VALENCIA RESTREPO</v>
          </cell>
          <cell r="G1189" t="str">
            <v>VALENCIA RESTREPO GUSTAVO BELARMINO</v>
          </cell>
          <cell r="H1189" t="str">
            <v>FUNC</v>
          </cell>
          <cell r="I1189" t="str">
            <v>FUNCIONARIO</v>
          </cell>
          <cell r="J1189" t="str">
            <v>BRR COMUNIDAD CARMEN SAN PABLO</v>
          </cell>
          <cell r="K1189" t="str">
            <v>97001</v>
          </cell>
          <cell r="L1189" t="str">
            <v>MITÚ</v>
          </cell>
          <cell r="M1189" t="str">
            <v>3173878891</v>
          </cell>
        </row>
        <row r="1190">
          <cell r="A1190">
            <v>18203936</v>
          </cell>
          <cell r="B1190" t="str">
            <v>6</v>
          </cell>
          <cell r="C1190" t="str">
            <v/>
          </cell>
          <cell r="D1190" t="str">
            <v>NP</v>
          </cell>
          <cell r="E1190" t="str">
            <v>HENRY</v>
          </cell>
          <cell r="F1190" t="str">
            <v>GONZALEZ TORRES</v>
          </cell>
          <cell r="G1190" t="str">
            <v>GONZALEZ TORRES HENRY</v>
          </cell>
          <cell r="H1190" t="str">
            <v>RESI</v>
          </cell>
          <cell r="I1190" t="str">
            <v>REGIMEN SIMPLIFICADO</v>
          </cell>
          <cell r="J1190" t="str">
            <v>SC TRUBON</v>
          </cell>
          <cell r="K1190" t="str">
            <v>97001</v>
          </cell>
          <cell r="L1190" t="str">
            <v>MITÚ</v>
          </cell>
          <cell r="M1190" t="str">
            <v>5221891</v>
          </cell>
        </row>
        <row r="1191">
          <cell r="A1191">
            <v>18203964</v>
          </cell>
          <cell r="B1191" t="str">
            <v/>
          </cell>
          <cell r="C1191" t="str">
            <v/>
          </cell>
          <cell r="D1191" t="str">
            <v>CC</v>
          </cell>
          <cell r="E1191" t="str">
            <v>TRAVIESA ALVEZ</v>
          </cell>
          <cell r="F1191" t="str">
            <v>JAVIER ANTONIO</v>
          </cell>
          <cell r="G1191" t="str">
            <v>JAVIER ANTONIO TRAVIESA ALVEZ</v>
          </cell>
          <cell r="H1191" t="str">
            <v>FUNC</v>
          </cell>
          <cell r="I1191" t="str">
            <v>FUNCIONARIO</v>
          </cell>
          <cell r="J1191" t="str">
            <v>CR 6 15 22</v>
          </cell>
          <cell r="K1191" t="str">
            <v>97001</v>
          </cell>
          <cell r="L1191" t="str">
            <v>MITÚ</v>
          </cell>
          <cell r="M1191" t="str">
            <v>3148204488</v>
          </cell>
        </row>
        <row r="1192">
          <cell r="A1192">
            <v>18203970</v>
          </cell>
          <cell r="B1192" t="str">
            <v/>
          </cell>
          <cell r="C1192" t="str">
            <v/>
          </cell>
          <cell r="D1192" t="str">
            <v>CC</v>
          </cell>
          <cell r="E1192" t="str">
            <v>DAGOBERTO</v>
          </cell>
          <cell r="F1192" t="str">
            <v>HERNANDEZ CASTILLO</v>
          </cell>
          <cell r="G1192" t="str">
            <v>HERNANDEZ CASTILLO  DAGOBERTO</v>
          </cell>
          <cell r="H1192" t="str">
            <v>FUNC</v>
          </cell>
          <cell r="I1192" t="str">
            <v>FUNCIONARIO</v>
          </cell>
          <cell r="J1192" t="str">
            <v>BRR COMUN SANTA CRUZ</v>
          </cell>
          <cell r="K1192" t="str">
            <v>97001</v>
          </cell>
          <cell r="L1192" t="str">
            <v>MITÚ</v>
          </cell>
          <cell r="M1192" t="str">
            <v>3132537785</v>
          </cell>
        </row>
        <row r="1193">
          <cell r="A1193">
            <v>18204081</v>
          </cell>
          <cell r="B1193" t="str">
            <v/>
          </cell>
          <cell r="C1193" t="str">
            <v/>
          </cell>
          <cell r="D1193" t="str">
            <v>CC</v>
          </cell>
          <cell r="E1193" t="str">
            <v>JESUS IGNACIO</v>
          </cell>
          <cell r="F1193" t="str">
            <v>ATAIDE MUÑOZ</v>
          </cell>
          <cell r="G1193" t="str">
            <v>ATAIDE MUÑOZ JESUS IGNACIO</v>
          </cell>
          <cell r="H1193" t="str">
            <v>FUNC</v>
          </cell>
          <cell r="I1193" t="str">
            <v>FUNCIONARIO</v>
          </cell>
          <cell r="J1193" t="str">
            <v>CLLE 8 # 5 140</v>
          </cell>
          <cell r="K1193" t="str">
            <v>97001</v>
          </cell>
          <cell r="L1193" t="str">
            <v>MITÚ</v>
          </cell>
          <cell r="M1193" t="str">
            <v>3112053415</v>
          </cell>
        </row>
        <row r="1194">
          <cell r="A1194">
            <v>18204292</v>
          </cell>
          <cell r="B1194" t="str">
            <v>6</v>
          </cell>
          <cell r="C1194" t="str">
            <v/>
          </cell>
          <cell r="D1194" t="str">
            <v>NP</v>
          </cell>
          <cell r="E1194" t="str">
            <v>EMIR</v>
          </cell>
          <cell r="F1194" t="str">
            <v>MONTERO CHIMONJA</v>
          </cell>
          <cell r="G1194" t="str">
            <v>MONTERO CHIMONJA EMIR</v>
          </cell>
          <cell r="H1194" t="str">
            <v>RESI</v>
          </cell>
          <cell r="I1194" t="str">
            <v>REGIMEN SIMPLIFICADO</v>
          </cell>
          <cell r="J1194" t="str">
            <v>CR 13 A  14 24 BRR CENTRO</v>
          </cell>
          <cell r="K1194" t="str">
            <v>97001</v>
          </cell>
          <cell r="L1194" t="str">
            <v>MITÚ</v>
          </cell>
          <cell r="M1194" t="str">
            <v>3104997026</v>
          </cell>
        </row>
        <row r="1195">
          <cell r="A1195">
            <v>18204436</v>
          </cell>
          <cell r="B1195" t="str">
            <v/>
          </cell>
          <cell r="C1195" t="str">
            <v/>
          </cell>
          <cell r="D1195" t="str">
            <v>CC</v>
          </cell>
          <cell r="E1195" t="str">
            <v>LEOCADIO</v>
          </cell>
          <cell r="F1195" t="str">
            <v>VALENCIA MEJIA</v>
          </cell>
          <cell r="G1195" t="str">
            <v>VALENCIA MEJIA LEOCADIO</v>
          </cell>
          <cell r="H1195" t="str">
            <v>FUNC</v>
          </cell>
          <cell r="I1195" t="str">
            <v>FUNCIONARIO</v>
          </cell>
          <cell r="J1195" t="str">
            <v>MCP MITU</v>
          </cell>
          <cell r="K1195" t="str">
            <v>97001</v>
          </cell>
          <cell r="L1195" t="str">
            <v>MITÚ</v>
          </cell>
          <cell r="M1195" t="str">
            <v>3107620342</v>
          </cell>
        </row>
        <row r="1196">
          <cell r="A1196">
            <v>18204723</v>
          </cell>
          <cell r="B1196" t="str">
            <v/>
          </cell>
          <cell r="C1196" t="str">
            <v/>
          </cell>
          <cell r="D1196" t="str">
            <v>CC</v>
          </cell>
          <cell r="E1196" t="str">
            <v>CARLOS HUMBER</v>
          </cell>
          <cell r="F1196" t="str">
            <v>RESTREPO MARQUEZ</v>
          </cell>
          <cell r="G1196" t="str">
            <v>RESTREPO MARQUEZ CARLOS HUMBER</v>
          </cell>
          <cell r="H1196" t="str">
            <v>FUNC</v>
          </cell>
          <cell r="I1196" t="str">
            <v>FUNCIONARIO</v>
          </cell>
          <cell r="J1196" t="str">
            <v>CRA 9 NO. 17-12 CUERVO ARAOZ</v>
          </cell>
          <cell r="K1196" t="str">
            <v>97001</v>
          </cell>
          <cell r="L1196" t="str">
            <v>MITÚ</v>
          </cell>
          <cell r="M1196" t="str">
            <v>5642438</v>
          </cell>
        </row>
        <row r="1197">
          <cell r="A1197">
            <v>18204742</v>
          </cell>
          <cell r="B1197" t="str">
            <v/>
          </cell>
          <cell r="C1197" t="str">
            <v/>
          </cell>
          <cell r="D1197" t="str">
            <v>CC</v>
          </cell>
          <cell r="E1197" t="str">
            <v>FLORENTINO</v>
          </cell>
          <cell r="F1197" t="str">
            <v>MOSQUERA ALVAREZ</v>
          </cell>
          <cell r="G1197" t="str">
            <v>MOSQUERA ALVAREZ FLORENTINO</v>
          </cell>
          <cell r="H1197" t="str">
            <v>FUNC</v>
          </cell>
          <cell r="I1197" t="str">
            <v>FUNCIONARIO</v>
          </cell>
          <cell r="J1197" t="str">
            <v>BRR COMUNIDAD SANTA CRUZ</v>
          </cell>
          <cell r="K1197" t="str">
            <v>17001</v>
          </cell>
          <cell r="L1197" t="str">
            <v>MANIZALES</v>
          </cell>
          <cell r="M1197" t="str">
            <v>3144147201</v>
          </cell>
        </row>
        <row r="1198">
          <cell r="A1198">
            <v>18204929</v>
          </cell>
          <cell r="B1198" t="str">
            <v/>
          </cell>
          <cell r="C1198" t="str">
            <v/>
          </cell>
          <cell r="D1198" t="str">
            <v>CC</v>
          </cell>
          <cell r="E1198" t="str">
            <v>JOSE ANTONIO</v>
          </cell>
          <cell r="F1198" t="str">
            <v>RAMIREZ MARTINEZ</v>
          </cell>
          <cell r="G1198" t="str">
            <v>RAMIREZ MARTINEZ JOSE ANTONIO</v>
          </cell>
          <cell r="H1198" t="str">
            <v>FUNC</v>
          </cell>
          <cell r="I1198" t="str">
            <v>FUNCIONARIO</v>
          </cell>
          <cell r="J1198" t="str">
            <v>BRR GUAMAL</v>
          </cell>
          <cell r="K1198" t="str">
            <v>97001</v>
          </cell>
          <cell r="L1198" t="str">
            <v>MITÚ</v>
          </cell>
          <cell r="M1198" t="str">
            <v>322477204</v>
          </cell>
        </row>
        <row r="1199">
          <cell r="A1199">
            <v>18204974</v>
          </cell>
          <cell r="B1199" t="str">
            <v/>
          </cell>
          <cell r="C1199" t="str">
            <v/>
          </cell>
          <cell r="D1199" t="str">
            <v>CC</v>
          </cell>
          <cell r="E1199" t="str">
            <v>PEDRO SERGIO</v>
          </cell>
          <cell r="F1199" t="str">
            <v>LOPEZ FURIA</v>
          </cell>
          <cell r="G1199" t="str">
            <v>LOPEZ FURIA PEDRO SERGIO</v>
          </cell>
          <cell r="H1199" t="str">
            <v>FUNC</v>
          </cell>
          <cell r="I1199" t="str">
            <v>FUNCIONARIO</v>
          </cell>
          <cell r="J1199" t="str">
            <v>COMUNIDAD DE TIMBO</v>
          </cell>
          <cell r="K1199" t="str">
            <v>97001</v>
          </cell>
          <cell r="L1199" t="str">
            <v>MITÚ</v>
          </cell>
          <cell r="M1199" t="str">
            <v>3147626251</v>
          </cell>
        </row>
        <row r="1200">
          <cell r="A1200">
            <v>18205172</v>
          </cell>
          <cell r="B1200" t="str">
            <v/>
          </cell>
          <cell r="C1200" t="str">
            <v/>
          </cell>
          <cell r="D1200" t="str">
            <v>CC</v>
          </cell>
          <cell r="E1200" t="str">
            <v>JUAN FERNANDO</v>
          </cell>
          <cell r="F1200" t="str">
            <v>CAICEDO MAYA</v>
          </cell>
          <cell r="G1200" t="str">
            <v>CAICEDO MAYA JUAN FERNANDO</v>
          </cell>
          <cell r="H1200" t="str">
            <v>FUNC</v>
          </cell>
          <cell r="I1200" t="str">
            <v>FUNCIONARIO</v>
          </cell>
          <cell r="J1200" t="str">
            <v>CL 11 6 37</v>
          </cell>
          <cell r="K1200" t="str">
            <v>97001</v>
          </cell>
          <cell r="L1200" t="str">
            <v>MITÚ</v>
          </cell>
          <cell r="M1200" t="str">
            <v>3135345766</v>
          </cell>
        </row>
        <row r="1201">
          <cell r="A1201">
            <v>18205317</v>
          </cell>
          <cell r="B1201" t="str">
            <v/>
          </cell>
          <cell r="C1201" t="str">
            <v/>
          </cell>
          <cell r="D1201" t="str">
            <v>CC</v>
          </cell>
          <cell r="E1201" t="str">
            <v>ARLEY ROBINSON</v>
          </cell>
          <cell r="F1201" t="str">
            <v>CAMARGO CASAS</v>
          </cell>
          <cell r="G1201" t="str">
            <v>CAMARGO CASAS ARLEY ROBINSON</v>
          </cell>
          <cell r="H1201" t="str">
            <v>FUNC</v>
          </cell>
          <cell r="I1201" t="str">
            <v>FUNCIONARIO</v>
          </cell>
          <cell r="J1201" t="str">
            <v>CR 10 7 A 138 BRR FLORESTA</v>
          </cell>
          <cell r="K1201" t="str">
            <v>17001</v>
          </cell>
          <cell r="L1201" t="str">
            <v>MANIZALES</v>
          </cell>
          <cell r="M1201" t="str">
            <v>3178695765</v>
          </cell>
        </row>
        <row r="1202">
          <cell r="A1202">
            <v>18205539</v>
          </cell>
          <cell r="B1202" t="str">
            <v/>
          </cell>
          <cell r="C1202" t="str">
            <v/>
          </cell>
          <cell r="D1202" t="str">
            <v>CC</v>
          </cell>
          <cell r="E1202" t="str">
            <v>JOSE REINEL</v>
          </cell>
          <cell r="F1202" t="str">
            <v>MOSQUERA GARCIA</v>
          </cell>
          <cell r="G1202" t="str">
            <v>MOSQUERA GARCIA JOSE REINEL</v>
          </cell>
          <cell r="H1202" t="str">
            <v>FUNC</v>
          </cell>
          <cell r="I1202" t="str">
            <v>FUNCIONARIO</v>
          </cell>
          <cell r="J1202" t="str">
            <v>BRR TAYAZU</v>
          </cell>
          <cell r="K1202" t="str">
            <v>17001</v>
          </cell>
          <cell r="L1202" t="str">
            <v>MANIZALES</v>
          </cell>
          <cell r="M1202" t="str">
            <v>3128702386</v>
          </cell>
        </row>
        <row r="1203">
          <cell r="A1203">
            <v>18205637</v>
          </cell>
          <cell r="B1203" t="str">
            <v/>
          </cell>
          <cell r="C1203" t="str">
            <v/>
          </cell>
          <cell r="D1203" t="str">
            <v>CC</v>
          </cell>
          <cell r="E1203" t="str">
            <v>VICTOR LAUREANO</v>
          </cell>
          <cell r="F1203" t="str">
            <v>DIAZ SASTOQUE</v>
          </cell>
          <cell r="G1203" t="str">
            <v>DIAZ SASTOQUE VICTOR LAUREANO</v>
          </cell>
          <cell r="H1203" t="str">
            <v>FUNC</v>
          </cell>
          <cell r="I1203" t="str">
            <v>FUNCIONARIO</v>
          </cell>
          <cell r="J1203" t="str">
            <v>CARRERA 15 N° 7-149</v>
          </cell>
          <cell r="K1203" t="str">
            <v>97001</v>
          </cell>
          <cell r="L1203" t="str">
            <v>MITÚ</v>
          </cell>
          <cell r="M1203" t="str">
            <v>3027273315</v>
          </cell>
        </row>
        <row r="1204">
          <cell r="A1204">
            <v>18205672</v>
          </cell>
          <cell r="B1204" t="str">
            <v/>
          </cell>
          <cell r="C1204" t="str">
            <v/>
          </cell>
          <cell r="D1204" t="str">
            <v>CC</v>
          </cell>
          <cell r="E1204" t="str">
            <v>MANUEL VICENTE</v>
          </cell>
          <cell r="F1204" t="str">
            <v>PALACIOS ROJAS</v>
          </cell>
          <cell r="G1204" t="str">
            <v>PALACIOS ROJAS MANUEL VICENTE</v>
          </cell>
          <cell r="H1204" t="str">
            <v>COIM</v>
          </cell>
          <cell r="I1204" t="str">
            <v>CONTROL DE IMPUESTOS</v>
          </cell>
          <cell r="J1204" t="str">
            <v>COMUNIDAD SAN FRANCISCO</v>
          </cell>
          <cell r="K1204" t="str">
            <v>97001</v>
          </cell>
          <cell r="L1204" t="str">
            <v>MITÚ</v>
          </cell>
          <cell r="M1204" t="str">
            <v>3123343535</v>
          </cell>
        </row>
        <row r="1205">
          <cell r="A1205">
            <v>18205695</v>
          </cell>
          <cell r="B1205" t="str">
            <v/>
          </cell>
          <cell r="C1205" t="str">
            <v/>
          </cell>
          <cell r="D1205" t="str">
            <v>CC</v>
          </cell>
          <cell r="E1205" t="str">
            <v>VALENCIA RODRIGUEZ</v>
          </cell>
          <cell r="F1205" t="str">
            <v>LUIS</v>
          </cell>
          <cell r="G1205" t="str">
            <v>LUIS VALENCIA RODRIGUEZ</v>
          </cell>
          <cell r="H1205" t="str">
            <v>FUNC</v>
          </cell>
          <cell r="I1205" t="str">
            <v>FUNCIONARIO</v>
          </cell>
          <cell r="J1205" t="str">
            <v>AV DEL RIO VAUPES TRECE DE JUNIO</v>
          </cell>
          <cell r="K1205" t="str">
            <v>97001</v>
          </cell>
          <cell r="L1205" t="str">
            <v>MITÚ</v>
          </cell>
          <cell r="M1205" t="str">
            <v>3219843579</v>
          </cell>
        </row>
        <row r="1206">
          <cell r="A1206">
            <v>18215166</v>
          </cell>
          <cell r="B1206" t="str">
            <v/>
          </cell>
          <cell r="C1206" t="str">
            <v/>
          </cell>
          <cell r="D1206" t="str">
            <v>CC</v>
          </cell>
          <cell r="E1206" t="str">
            <v>CELIANO</v>
          </cell>
          <cell r="F1206" t="str">
            <v>VILLEGAS TENORIO</v>
          </cell>
          <cell r="G1206" t="str">
            <v>VILLEGAS TENORIO CELIANO</v>
          </cell>
          <cell r="H1206" t="str">
            <v>NORE</v>
          </cell>
          <cell r="I1206" t="str">
            <v>NO RESPONSABLE DE IVA</v>
          </cell>
          <cell r="J1206" t="str">
            <v>BRR KAMARITAGUA DPTO LA PRADERA AMAZONAS</v>
          </cell>
          <cell r="K1206" t="str">
            <v>91001</v>
          </cell>
          <cell r="L1206" t="str">
            <v>LETICIA</v>
          </cell>
          <cell r="M1206" t="str">
            <v>NO APLICA</v>
          </cell>
        </row>
        <row r="1207">
          <cell r="A1207">
            <v>18250726</v>
          </cell>
          <cell r="B1207" t="str">
            <v/>
          </cell>
          <cell r="C1207" t="str">
            <v/>
          </cell>
          <cell r="D1207" t="str">
            <v>CC</v>
          </cell>
          <cell r="E1207" t="str">
            <v>JUBENCIO</v>
          </cell>
          <cell r="F1207" t="str">
            <v>ALDANA CASTAÑEDA</v>
          </cell>
          <cell r="G1207" t="str">
            <v>ALDANA CASTAÑEDA JUBENCIO</v>
          </cell>
          <cell r="H1207" t="str">
            <v>RESI</v>
          </cell>
          <cell r="I1207" t="str">
            <v>REGIMEN SIMPLIFICADO</v>
          </cell>
          <cell r="J1207" t="str">
            <v>XXX</v>
          </cell>
          <cell r="K1207" t="str">
            <v>99773</v>
          </cell>
          <cell r="L1207" t="str">
            <v>CUMARIBO</v>
          </cell>
          <cell r="M1207" t="str">
            <v>XXX</v>
          </cell>
        </row>
        <row r="1208">
          <cell r="A1208">
            <v>18255259</v>
          </cell>
          <cell r="B1208" t="str">
            <v>0</v>
          </cell>
          <cell r="C1208" t="str">
            <v/>
          </cell>
          <cell r="D1208" t="str">
            <v>NP</v>
          </cell>
          <cell r="E1208" t="str">
            <v>LUIS EDEN</v>
          </cell>
          <cell r="F1208" t="str">
            <v>BARRETO BARRERA</v>
          </cell>
          <cell r="G1208" t="str">
            <v>BARRETO BARRERA LUIS EDEN</v>
          </cell>
          <cell r="H1208" t="str">
            <v>RESI</v>
          </cell>
          <cell r="I1208" t="str">
            <v>REGIMEN SIMPLIFICADO</v>
          </cell>
          <cell r="J1208" t="str">
            <v>CR 8   2   02 BRR LA LAGUNA</v>
          </cell>
          <cell r="K1208" t="str">
            <v>99524</v>
          </cell>
          <cell r="L1208" t="str">
            <v>LA PRIMAVERA</v>
          </cell>
          <cell r="M1208" t="str">
            <v>3125228230</v>
          </cell>
        </row>
        <row r="1209">
          <cell r="A1209">
            <v>18255463</v>
          </cell>
          <cell r="B1209" t="str">
            <v>7</v>
          </cell>
          <cell r="C1209" t="str">
            <v/>
          </cell>
          <cell r="D1209" t="str">
            <v>NP</v>
          </cell>
          <cell r="E1209" t="str">
            <v>WILSON JAVIER</v>
          </cell>
          <cell r="F1209" t="str">
            <v>PEREZ</v>
          </cell>
          <cell r="G1209" t="str">
            <v>PEREZ WILSON JAVIER</v>
          </cell>
          <cell r="H1209" t="str">
            <v>RESI</v>
          </cell>
          <cell r="I1209" t="str">
            <v>REGIMEN SIMPLIFICADO</v>
          </cell>
          <cell r="J1209" t="str">
            <v>MZ 6 CA 5 CR 31   3 C   74 BRR SESQUICENTENARIO</v>
          </cell>
          <cell r="K1209" t="str">
            <v>50001</v>
          </cell>
          <cell r="L1209" t="str">
            <v>VILLAVICENCIO</v>
          </cell>
          <cell r="M1209" t="str">
            <v>3208489422</v>
          </cell>
        </row>
        <row r="1210">
          <cell r="A1210">
            <v>18255553</v>
          </cell>
          <cell r="B1210" t="str">
            <v>1</v>
          </cell>
          <cell r="C1210" t="str">
            <v/>
          </cell>
          <cell r="D1210" t="str">
            <v>NP</v>
          </cell>
          <cell r="E1210" t="str">
            <v>JAVIER</v>
          </cell>
          <cell r="F1210" t="str">
            <v>CUELLAR  FUENTES</v>
          </cell>
          <cell r="G1210" t="str">
            <v>CUELLAR  FUENTES JAVIER</v>
          </cell>
          <cell r="H1210" t="str">
            <v>RESI</v>
          </cell>
          <cell r="I1210" t="str">
            <v>REGIMEN SIMPLIFICADO</v>
          </cell>
          <cell r="J1210" t="str">
            <v>CR 19 19 21</v>
          </cell>
          <cell r="K1210" t="str">
            <v>99001</v>
          </cell>
          <cell r="L1210" t="str">
            <v>PUERTO CARREÑO</v>
          </cell>
          <cell r="M1210" t="str">
            <v>3123042697</v>
          </cell>
        </row>
        <row r="1211">
          <cell r="A1211">
            <v>18255809</v>
          </cell>
          <cell r="B1211" t="str">
            <v/>
          </cell>
          <cell r="C1211" t="str">
            <v/>
          </cell>
          <cell r="D1211" t="str">
            <v>CC</v>
          </cell>
          <cell r="E1211" t="str">
            <v>ROGERT ARBEY</v>
          </cell>
          <cell r="F1211" t="str">
            <v>CASTRO UNDA</v>
          </cell>
          <cell r="G1211" t="str">
            <v>CASTRO UNDA ROGERT ARBEY</v>
          </cell>
          <cell r="H1211" t="str">
            <v>RESI</v>
          </cell>
          <cell r="I1211" t="str">
            <v>REGIMEN SIMPLIFICADO</v>
          </cell>
          <cell r="J1211" t="str">
            <v>MCP LA PRIMAVERA</v>
          </cell>
          <cell r="K1211" t="str">
            <v>85001</v>
          </cell>
          <cell r="L1211" t="str">
            <v>YOPAL</v>
          </cell>
          <cell r="M1211" t="str">
            <v>SE CREO SIN RUT</v>
          </cell>
        </row>
        <row r="1212">
          <cell r="A1212">
            <v>18256028</v>
          </cell>
          <cell r="B1212" t="str">
            <v/>
          </cell>
          <cell r="C1212" t="str">
            <v/>
          </cell>
          <cell r="D1212" t="str">
            <v>CC</v>
          </cell>
          <cell r="E1212" t="str">
            <v>CARLOS RAFAEL</v>
          </cell>
          <cell r="F1212" t="str">
            <v>PEREZ</v>
          </cell>
          <cell r="G1212" t="str">
            <v>PEREZ CARLOS RAFAEL</v>
          </cell>
          <cell r="H1212" t="str">
            <v>RESI</v>
          </cell>
          <cell r="I1212" t="str">
            <v>REGIMEN SIMPLIFICADO</v>
          </cell>
          <cell r="J1212" t="str">
            <v>MCP SANTA ROSALIA</v>
          </cell>
          <cell r="K1212" t="str">
            <v>99624</v>
          </cell>
          <cell r="L1212" t="str">
            <v>SANTA ROSALÍA</v>
          </cell>
          <cell r="M1212" t="str">
            <v>8874100</v>
          </cell>
        </row>
        <row r="1213">
          <cell r="A1213">
            <v>18256073</v>
          </cell>
          <cell r="B1213" t="str">
            <v/>
          </cell>
          <cell r="C1213" t="str">
            <v/>
          </cell>
          <cell r="D1213" t="str">
            <v>CC</v>
          </cell>
          <cell r="E1213" t="str">
            <v>PLUTARCO</v>
          </cell>
          <cell r="F1213" t="str">
            <v>PEREZ PEREZ</v>
          </cell>
          <cell r="G1213" t="str">
            <v>PEREZ PEREZ PLUTARCO</v>
          </cell>
          <cell r="H1213" t="str">
            <v>RESI</v>
          </cell>
          <cell r="I1213" t="str">
            <v>REGIMEN SIMPLIFICADO</v>
          </cell>
          <cell r="J1213" t="str">
            <v>MCP LA PRIMAVERA</v>
          </cell>
          <cell r="K1213" t="str">
            <v>99524</v>
          </cell>
          <cell r="L1213" t="str">
            <v>LA PRIMAVERA</v>
          </cell>
          <cell r="M1213" t="str">
            <v>8756262</v>
          </cell>
        </row>
        <row r="1214">
          <cell r="A1214">
            <v>18256270</v>
          </cell>
          <cell r="B1214" t="str">
            <v/>
          </cell>
          <cell r="C1214" t="str">
            <v/>
          </cell>
          <cell r="D1214" t="str">
            <v>CC</v>
          </cell>
          <cell r="E1214" t="str">
            <v>ALONSO</v>
          </cell>
          <cell r="F1214" t="str">
            <v>DOMINGUEZ MENDIVELSO</v>
          </cell>
          <cell r="G1214" t="str">
            <v>DOMINGUEZ MENDIVELSO ALONSO</v>
          </cell>
          <cell r="H1214" t="str">
            <v>RESI</v>
          </cell>
          <cell r="I1214" t="str">
            <v>REGIMEN SIMPLIFICADO</v>
          </cell>
          <cell r="J1214" t="str">
            <v>BRR SANTANDER DG COLEGIO BACHILLERATO</v>
          </cell>
          <cell r="K1214" t="str">
            <v>99524</v>
          </cell>
          <cell r="L1214" t="str">
            <v>LA PRIMAVERA</v>
          </cell>
          <cell r="M1214" t="str">
            <v>3114460385</v>
          </cell>
        </row>
        <row r="1215">
          <cell r="A1215">
            <v>18256730</v>
          </cell>
          <cell r="B1215" t="str">
            <v>3</v>
          </cell>
          <cell r="C1215" t="str">
            <v/>
          </cell>
          <cell r="D1215" t="str">
            <v>NP</v>
          </cell>
          <cell r="E1215" t="str">
            <v>JUAN CARLOS</v>
          </cell>
          <cell r="F1215" t="str">
            <v>CORTES GRANADO</v>
          </cell>
          <cell r="G1215" t="str">
            <v>CORTES GRANADO JUAN CARLOS</v>
          </cell>
          <cell r="H1215" t="str">
            <v>NORE</v>
          </cell>
          <cell r="I1215" t="str">
            <v>NO RESPONSABLE DE IVA</v>
          </cell>
          <cell r="J1215" t="str">
            <v>CL 22 17-31 BRR LA FLORIDA</v>
          </cell>
          <cell r="K1215" t="str">
            <v>99001</v>
          </cell>
          <cell r="L1215" t="str">
            <v>PUERTO CARREÑO</v>
          </cell>
          <cell r="M1215" t="str">
            <v>3185679593</v>
          </cell>
        </row>
        <row r="1216">
          <cell r="A1216">
            <v>18262114</v>
          </cell>
          <cell r="B1216" t="str">
            <v/>
          </cell>
          <cell r="C1216" t="str">
            <v/>
          </cell>
          <cell r="D1216" t="str">
            <v>CC</v>
          </cell>
          <cell r="E1216" t="str">
            <v>FERNEY</v>
          </cell>
          <cell r="F1216" t="str">
            <v>CASTRO</v>
          </cell>
          <cell r="G1216" t="str">
            <v>CASTRO FERNEY</v>
          </cell>
          <cell r="H1216" t="str">
            <v>RESI</v>
          </cell>
          <cell r="I1216" t="str">
            <v>REGIMEN SIMPLIFICADO</v>
          </cell>
          <cell r="J1216" t="str">
            <v>MCP SANTA ROSALIA</v>
          </cell>
          <cell r="K1216" t="str">
            <v>99624</v>
          </cell>
          <cell r="L1216" t="str">
            <v>SANTA ROSALÍA</v>
          </cell>
          <cell r="M1216" t="str">
            <v>3112118433</v>
          </cell>
        </row>
        <row r="1217">
          <cell r="A1217">
            <v>18262330</v>
          </cell>
          <cell r="B1217" t="str">
            <v/>
          </cell>
          <cell r="C1217" t="str">
            <v/>
          </cell>
          <cell r="D1217" t="str">
            <v>CC</v>
          </cell>
          <cell r="E1217" t="str">
            <v>WILLIAM RAFAEL</v>
          </cell>
          <cell r="F1217" t="str">
            <v>GONZALEZ FRANCO</v>
          </cell>
          <cell r="G1217" t="str">
            <v>GONZALEZ FRANCO WILLIAM RAFAEL</v>
          </cell>
          <cell r="H1217" t="str">
            <v>FUNC</v>
          </cell>
          <cell r="I1217" t="str">
            <v>FUNCIONARIO</v>
          </cell>
          <cell r="J1217" t="str">
            <v>CL 14 8 14</v>
          </cell>
          <cell r="K1217" t="str">
            <v>94001</v>
          </cell>
          <cell r="L1217" t="str">
            <v>INÍRIDA</v>
          </cell>
          <cell r="M1217" t="str">
            <v>3212335334</v>
          </cell>
        </row>
        <row r="1218">
          <cell r="A1218">
            <v>18262414</v>
          </cell>
          <cell r="B1218" t="str">
            <v/>
          </cell>
          <cell r="C1218" t="str">
            <v/>
          </cell>
          <cell r="D1218" t="str">
            <v>CC</v>
          </cell>
          <cell r="E1218" t="str">
            <v>JESUS ANDRES</v>
          </cell>
          <cell r="F1218" t="str">
            <v>HERNANDEZ</v>
          </cell>
          <cell r="G1218" t="str">
            <v>HERNANDEZ JESUS ANDRES</v>
          </cell>
          <cell r="H1218" t="str">
            <v>RESI</v>
          </cell>
          <cell r="I1218" t="str">
            <v>REGIMEN SIMPLIFICADO</v>
          </cell>
          <cell r="J1218" t="str">
            <v>CR 10 12  09</v>
          </cell>
          <cell r="K1218" t="str">
            <v>99001</v>
          </cell>
          <cell r="L1218" t="str">
            <v>PUERTO CARREÑO</v>
          </cell>
          <cell r="M1218" t="str">
            <v>3124973366</v>
          </cell>
        </row>
        <row r="1219">
          <cell r="A1219">
            <v>18385183</v>
          </cell>
          <cell r="B1219" t="str">
            <v>7</v>
          </cell>
          <cell r="C1219" t="str">
            <v/>
          </cell>
          <cell r="D1219" t="str">
            <v>NP</v>
          </cell>
          <cell r="E1219" t="str">
            <v>GUILLERMO</v>
          </cell>
          <cell r="F1219" t="str">
            <v>MEJIA BOTERO</v>
          </cell>
          <cell r="G1219" t="str">
            <v>MEJIA BOTERO GUILLERMO</v>
          </cell>
          <cell r="H1219" t="str">
            <v>RECO</v>
          </cell>
          <cell r="I1219" t="str">
            <v>REGIMEN COMUN</v>
          </cell>
          <cell r="J1219" t="str">
            <v>CR 15  15  NORTE 40 BL A AP 402 SEC LA FOGOTA</v>
          </cell>
          <cell r="K1219" t="str">
            <v>17001</v>
          </cell>
          <cell r="L1219" t="str">
            <v>MANIZALES</v>
          </cell>
          <cell r="M1219" t="str">
            <v>3183820352</v>
          </cell>
        </row>
        <row r="1220">
          <cell r="A1220">
            <v>18392876</v>
          </cell>
          <cell r="B1220" t="str">
            <v>1</v>
          </cell>
          <cell r="C1220" t="str">
            <v/>
          </cell>
          <cell r="D1220" t="str">
            <v>NP</v>
          </cell>
          <cell r="E1220" t="str">
            <v>GUILLERMO</v>
          </cell>
          <cell r="F1220" t="str">
            <v>VALERO ATEHORTUA</v>
          </cell>
          <cell r="G1220" t="str">
            <v>VALERO ATEHORTUA GUILLERMO</v>
          </cell>
          <cell r="H1220" t="str">
            <v>RESI</v>
          </cell>
          <cell r="I1220" t="str">
            <v>REGIMEN SIMPLIFICADO</v>
          </cell>
          <cell r="J1220" t="str">
            <v>CR 8  15 47 BRR CUERVO ARAOZ</v>
          </cell>
          <cell r="K1220" t="str">
            <v>97001</v>
          </cell>
          <cell r="L1220" t="str">
            <v>MITÚ</v>
          </cell>
          <cell r="M1220" t="str">
            <v>3103345053</v>
          </cell>
        </row>
        <row r="1221">
          <cell r="A1221">
            <v>18419678</v>
          </cell>
          <cell r="B1221" t="str">
            <v/>
          </cell>
          <cell r="C1221" t="str">
            <v/>
          </cell>
          <cell r="D1221" t="str">
            <v>CC</v>
          </cell>
          <cell r="E1221" t="str">
            <v>DIEGO ALEJANDRO</v>
          </cell>
          <cell r="F1221" t="str">
            <v>ARIAS ARANGO</v>
          </cell>
          <cell r="G1221" t="str">
            <v>ARIAS ARANGO DIEGO ALEJANDRO</v>
          </cell>
          <cell r="H1221" t="str">
            <v>FUNC</v>
          </cell>
          <cell r="I1221" t="str">
            <v>FUNCIONARIO</v>
          </cell>
          <cell r="J1221" t="str">
            <v>CALLE 12A - 13A 75 APTO 205</v>
          </cell>
          <cell r="K1221" t="str">
            <v>17001</v>
          </cell>
          <cell r="L1221" t="str">
            <v>MANIZALES</v>
          </cell>
          <cell r="M1221" t="str">
            <v>3128963992</v>
          </cell>
        </row>
        <row r="1222">
          <cell r="A1222">
            <v>18494950</v>
          </cell>
          <cell r="B1222" t="str">
            <v>7</v>
          </cell>
          <cell r="C1222" t="str">
            <v/>
          </cell>
          <cell r="D1222" t="str">
            <v>NP</v>
          </cell>
          <cell r="E1222" t="str">
            <v>CARLOS JULIO</v>
          </cell>
          <cell r="F1222" t="str">
            <v>ARBOLEDA AUDRITO</v>
          </cell>
          <cell r="G1222" t="str">
            <v>CARLOS JULIO ARBOLEDA AUDRITO</v>
          </cell>
          <cell r="H1222" t="str">
            <v>RECO</v>
          </cell>
          <cell r="I1222" t="str">
            <v>REGIMEN COMUN</v>
          </cell>
          <cell r="J1222" t="str">
            <v>AV 19 30 65 CA b 8 con la aurora</v>
          </cell>
          <cell r="K1222" t="str">
            <v>05059</v>
          </cell>
          <cell r="L1222" t="str">
            <v>ARMENIA</v>
          </cell>
          <cell r="M1222" t="str">
            <v>3116351574</v>
          </cell>
        </row>
        <row r="1223">
          <cell r="A1223">
            <v>18593660</v>
          </cell>
          <cell r="B1223" t="str">
            <v>0</v>
          </cell>
          <cell r="C1223" t="str">
            <v/>
          </cell>
          <cell r="D1223" t="str">
            <v>NP</v>
          </cell>
          <cell r="E1223" t="str">
            <v>GIOVANNI FLAVIO</v>
          </cell>
          <cell r="F1223" t="str">
            <v>RIVAS GIRALDO</v>
          </cell>
          <cell r="G1223" t="str">
            <v>RIVAS GIRALDO GIOVANNI FLAVIO</v>
          </cell>
          <cell r="H1223" t="str">
            <v>IMVE</v>
          </cell>
          <cell r="I1223" t="str">
            <v>IMPUESTO SOBRE LAS VENTAS</v>
          </cell>
          <cell r="J1223" t="str">
            <v>CR 24 A 23 A 13</v>
          </cell>
          <cell r="K1223" t="str">
            <v>66682</v>
          </cell>
          <cell r="L1223" t="str">
            <v>SANTA ROSA DE CABAL</v>
          </cell>
          <cell r="M1223" t="str">
            <v>3656867</v>
          </cell>
        </row>
        <row r="1224">
          <cell r="A1224">
            <v>18601739</v>
          </cell>
          <cell r="B1224" t="str">
            <v>9</v>
          </cell>
          <cell r="C1224" t="str">
            <v/>
          </cell>
          <cell r="D1224" t="str">
            <v>NP</v>
          </cell>
          <cell r="E1224" t="str">
            <v>DIOS EDIBIER</v>
          </cell>
          <cell r="F1224" t="str">
            <v>LOPEZ GOMEZ</v>
          </cell>
          <cell r="G1224" t="str">
            <v>LOPEZ GOMEZ DIOS EDIBIER</v>
          </cell>
          <cell r="H1224" t="str">
            <v>RECO</v>
          </cell>
          <cell r="I1224" t="str">
            <v>REGIMEN COMUN</v>
          </cell>
          <cell r="J1224" t="str">
            <v>CR 2 A   8   34</v>
          </cell>
          <cell r="K1224" t="str">
            <v>19318</v>
          </cell>
          <cell r="L1224" t="str">
            <v>GUAPI</v>
          </cell>
          <cell r="M1224" t="str">
            <v>8400101</v>
          </cell>
        </row>
        <row r="1225">
          <cell r="A1225">
            <v>18618637</v>
          </cell>
          <cell r="B1225" t="str">
            <v>0</v>
          </cell>
          <cell r="C1225" t="str">
            <v/>
          </cell>
          <cell r="D1225" t="str">
            <v>NP</v>
          </cell>
          <cell r="E1225" t="str">
            <v>MAURICIO</v>
          </cell>
          <cell r="F1225" t="str">
            <v>HERRERA HINCAPIE</v>
          </cell>
          <cell r="G1225" t="str">
            <v>HERRERA HINCAPIE MAURICIO</v>
          </cell>
          <cell r="H1225" t="str">
            <v>IMVE</v>
          </cell>
          <cell r="I1225" t="str">
            <v>IMPUESTO SOBRE LAS VENTAS</v>
          </cell>
          <cell r="J1225" t="str">
            <v xml:space="preserve"> BRR  BARRIO PANQUIACO</v>
          </cell>
          <cell r="K1225" t="str">
            <v>27075</v>
          </cell>
          <cell r="L1225" t="str">
            <v>BAHÍA SOLANO</v>
          </cell>
          <cell r="M1225" t="str">
            <v>3147732369</v>
          </cell>
        </row>
        <row r="1226">
          <cell r="A1226">
            <v>18972085</v>
          </cell>
          <cell r="B1226" t="str">
            <v/>
          </cell>
          <cell r="C1226" t="str">
            <v/>
          </cell>
          <cell r="D1226" t="str">
            <v>CC</v>
          </cell>
          <cell r="E1226" t="str">
            <v>RAMON ANTONIO</v>
          </cell>
          <cell r="F1226" t="str">
            <v>MARTINEZ PICON</v>
          </cell>
          <cell r="G1226" t="str">
            <v>MARTINEZ PICON RAMON ANTONIO</v>
          </cell>
          <cell r="H1226" t="str">
            <v>RESI</v>
          </cell>
          <cell r="I1226" t="str">
            <v>REGIMEN SIMPLIFICADO</v>
          </cell>
          <cell r="J1226" t="str">
            <v>XXX</v>
          </cell>
          <cell r="K1226" t="str">
            <v>17001</v>
          </cell>
          <cell r="L1226" t="str">
            <v>MANIZALES</v>
          </cell>
          <cell r="M1226" t="str">
            <v>XXX</v>
          </cell>
        </row>
        <row r="1227">
          <cell r="A1227">
            <v>18973820</v>
          </cell>
          <cell r="B1227" t="str">
            <v/>
          </cell>
          <cell r="C1227" t="str">
            <v/>
          </cell>
          <cell r="D1227" t="str">
            <v>CC</v>
          </cell>
          <cell r="E1227" t="str">
            <v>EVARISTO</v>
          </cell>
          <cell r="F1227" t="str">
            <v>ARGOTA ARGOTA</v>
          </cell>
          <cell r="G1227" t="str">
            <v>ARGOTA ARGOTA EVARISTO</v>
          </cell>
          <cell r="H1227" t="str">
            <v>NORE</v>
          </cell>
          <cell r="I1227" t="str">
            <v>NO RESPONSABLE DE IVA</v>
          </cell>
          <cell r="J1227" t="str">
            <v>MCP CURUMANÍ</v>
          </cell>
          <cell r="K1227" t="str">
            <v>20228</v>
          </cell>
          <cell r="L1227" t="str">
            <v>CURUMANÍ</v>
          </cell>
          <cell r="M1227" t="str">
            <v>NO PRESENTA</v>
          </cell>
        </row>
        <row r="1228">
          <cell r="A1228">
            <v>19000179</v>
          </cell>
          <cell r="B1228" t="str">
            <v>9</v>
          </cell>
          <cell r="C1228" t="str">
            <v/>
          </cell>
          <cell r="D1228" t="str">
            <v>NP</v>
          </cell>
          <cell r="E1228" t="str">
            <v>FABIO</v>
          </cell>
          <cell r="F1228" t="str">
            <v>RIVERA PARRA</v>
          </cell>
          <cell r="G1228" t="str">
            <v>RIVERA PARRA FABIO</v>
          </cell>
          <cell r="H1228" t="str">
            <v>IMVE</v>
          </cell>
          <cell r="I1228" t="str">
            <v>IMPUESTO SOBRE LAS VENTAS</v>
          </cell>
          <cell r="J1228" t="str">
            <v>CL 38 28 30 BRR VILLA JULIA</v>
          </cell>
          <cell r="K1228" t="str">
            <v>50001</v>
          </cell>
          <cell r="L1228" t="str">
            <v>VILLAVICENCIO</v>
          </cell>
          <cell r="M1228" t="str">
            <v>3138540220</v>
          </cell>
        </row>
        <row r="1229">
          <cell r="A1229">
            <v>19000765</v>
          </cell>
          <cell r="B1229" t="str">
            <v>5</v>
          </cell>
          <cell r="C1229" t="str">
            <v/>
          </cell>
          <cell r="D1229" t="str">
            <v>NP</v>
          </cell>
          <cell r="E1229" t="str">
            <v>JOSE FIDEL</v>
          </cell>
          <cell r="F1229" t="str">
            <v>MEDINA FERNANDEZ</v>
          </cell>
          <cell r="G1229" t="str">
            <v>MEDINA FERNANDEZ JOSE FIDEL</v>
          </cell>
          <cell r="H1229" t="str">
            <v>RCPN</v>
          </cell>
          <cell r="I1229" t="str">
            <v>RESPONSABLE IVA PERSONA NATURAL</v>
          </cell>
          <cell r="J1229" t="str">
            <v>CR 8  15 18 BRR CENTRO</v>
          </cell>
          <cell r="K1229" t="str">
            <v>17001</v>
          </cell>
          <cell r="L1229" t="str">
            <v>MANIZALES</v>
          </cell>
          <cell r="M1229" t="str">
            <v>3106131770</v>
          </cell>
        </row>
        <row r="1230">
          <cell r="A1230">
            <v>19000873</v>
          </cell>
          <cell r="B1230" t="str">
            <v>2</v>
          </cell>
          <cell r="C1230" t="str">
            <v/>
          </cell>
          <cell r="D1230" t="str">
            <v>NP</v>
          </cell>
          <cell r="E1230" t="str">
            <v>RAFAEL</v>
          </cell>
          <cell r="F1230" t="str">
            <v>SANDOVAL PASSOS</v>
          </cell>
          <cell r="G1230" t="str">
            <v>SANDOVAL PASSOS RAFAEL</v>
          </cell>
          <cell r="H1230" t="str">
            <v>RECO</v>
          </cell>
          <cell r="I1230" t="str">
            <v>REGIMEN COMUN</v>
          </cell>
          <cell r="J1230" t="str">
            <v>CL 19  9  35  BRR COMUNEROS</v>
          </cell>
          <cell r="K1230" t="str">
            <v>94001</v>
          </cell>
          <cell r="L1230" t="str">
            <v>INÍRIDA</v>
          </cell>
          <cell r="M1230" t="str">
            <v>3103208244</v>
          </cell>
        </row>
        <row r="1231">
          <cell r="A1231">
            <v>19001004</v>
          </cell>
          <cell r="B1231" t="str">
            <v>3</v>
          </cell>
          <cell r="C1231" t="str">
            <v/>
          </cell>
          <cell r="D1231" t="str">
            <v>NP</v>
          </cell>
          <cell r="E1231" t="str">
            <v>EMIR</v>
          </cell>
          <cell r="F1231" t="str">
            <v>BARRERA DASILVA</v>
          </cell>
          <cell r="G1231" t="str">
            <v>BARRERA DASILVA EMIR</v>
          </cell>
          <cell r="H1231" t="str">
            <v>NORE</v>
          </cell>
          <cell r="I1231" t="str">
            <v>NO RESPONSABLE DE IVA</v>
          </cell>
          <cell r="J1231" t="str">
            <v>CR 7  28 15 BRR PRIMAVERA II</v>
          </cell>
          <cell r="K1231" t="str">
            <v>94001</v>
          </cell>
          <cell r="L1231" t="str">
            <v>INÍRIDA</v>
          </cell>
          <cell r="M1231" t="str">
            <v>3164353988</v>
          </cell>
        </row>
        <row r="1232">
          <cell r="A1232">
            <v>19001008</v>
          </cell>
          <cell r="B1232" t="str">
            <v>2</v>
          </cell>
          <cell r="C1232" t="str">
            <v/>
          </cell>
          <cell r="D1232" t="str">
            <v>NP</v>
          </cell>
          <cell r="E1232" t="str">
            <v>PABLO EMILIO</v>
          </cell>
          <cell r="F1232" t="str">
            <v>MEDINA FETECUA</v>
          </cell>
          <cell r="G1232" t="str">
            <v>MEDINA FETECUA  PABLO EMILIO</v>
          </cell>
          <cell r="H1232" t="str">
            <v>RECO</v>
          </cell>
          <cell r="I1232" t="str">
            <v>REGIMEN COMUN</v>
          </cell>
          <cell r="J1232" t="str">
            <v>CL 16 3 51 BRR CENTRO</v>
          </cell>
          <cell r="K1232" t="str">
            <v>94001</v>
          </cell>
          <cell r="L1232" t="str">
            <v>INÍRIDA</v>
          </cell>
          <cell r="M1232" t="str">
            <v>5656333</v>
          </cell>
        </row>
        <row r="1233">
          <cell r="A1233">
            <v>19001056</v>
          </cell>
          <cell r="B1233" t="str">
            <v/>
          </cell>
          <cell r="C1233" t="str">
            <v/>
          </cell>
          <cell r="D1233" t="str">
            <v>CC</v>
          </cell>
          <cell r="E1233" t="str">
            <v>NIXO JOSE</v>
          </cell>
          <cell r="F1233" t="str">
            <v>GRIMALDO LANDAETA</v>
          </cell>
          <cell r="G1233" t="str">
            <v>NIXO JOSE GRIMALDO LANDAETA</v>
          </cell>
          <cell r="H1233" t="str">
            <v>FUNC</v>
          </cell>
          <cell r="I1233" t="str">
            <v>FUNCIONARIO</v>
          </cell>
          <cell r="J1233" t="str">
            <v>INIRIDA</v>
          </cell>
          <cell r="K1233" t="str">
            <v>94001</v>
          </cell>
          <cell r="L1233" t="str">
            <v>INÍRIDA</v>
          </cell>
          <cell r="M1233" t="str">
            <v>3108161810</v>
          </cell>
        </row>
        <row r="1234">
          <cell r="A1234">
            <v>19001144</v>
          </cell>
          <cell r="B1234" t="str">
            <v/>
          </cell>
          <cell r="C1234" t="str">
            <v/>
          </cell>
          <cell r="D1234" t="str">
            <v>CC</v>
          </cell>
          <cell r="E1234" t="str">
            <v>EDGAR PAUL</v>
          </cell>
          <cell r="F1234" t="str">
            <v>ESPITIA GOMEZ</v>
          </cell>
          <cell r="G1234" t="str">
            <v>ESPITIA GOMEZ EDGAR PAUL</v>
          </cell>
          <cell r="H1234" t="str">
            <v>FUNC</v>
          </cell>
          <cell r="I1234" t="str">
            <v>FUNCIONARIO</v>
          </cell>
          <cell r="J1234" t="str">
            <v>CR 6   29   25</v>
          </cell>
          <cell r="K1234" t="str">
            <v>94001</v>
          </cell>
          <cell r="L1234" t="str">
            <v>INÍRIDA</v>
          </cell>
          <cell r="M1234" t="str">
            <v>8745471</v>
          </cell>
        </row>
        <row r="1235">
          <cell r="A1235">
            <v>19001170</v>
          </cell>
          <cell r="B1235" t="str">
            <v/>
          </cell>
          <cell r="C1235" t="str">
            <v/>
          </cell>
          <cell r="D1235" t="str">
            <v>CC</v>
          </cell>
          <cell r="E1235" t="str">
            <v xml:space="preserve">JUAREZ </v>
          </cell>
          <cell r="F1235" t="str">
            <v>ACEVEDO LUZTOSA</v>
          </cell>
          <cell r="G1235" t="str">
            <v xml:space="preserve">ACEVEDO LUZTOSA JUAREZ </v>
          </cell>
          <cell r="H1235" t="str">
            <v>FUNC</v>
          </cell>
          <cell r="I1235" t="str">
            <v>FUNCIONARIO</v>
          </cell>
          <cell r="J1235" t="str">
            <v>INIRIDA</v>
          </cell>
          <cell r="K1235" t="str">
            <v>94001</v>
          </cell>
          <cell r="L1235" t="str">
            <v>INÍRIDA</v>
          </cell>
          <cell r="M1235" t="str">
            <v>5656848</v>
          </cell>
        </row>
        <row r="1236">
          <cell r="A1236">
            <v>19001371</v>
          </cell>
          <cell r="B1236" t="str">
            <v>1</v>
          </cell>
          <cell r="C1236" t="str">
            <v/>
          </cell>
          <cell r="D1236" t="str">
            <v>NP</v>
          </cell>
          <cell r="E1236" t="str">
            <v>JIMMY ALEXANDER</v>
          </cell>
          <cell r="F1236" t="str">
            <v>MORALES ALARCON</v>
          </cell>
          <cell r="G1236" t="str">
            <v>MORALES ALARCON JIMMY ALEXANDER</v>
          </cell>
          <cell r="H1236" t="str">
            <v>IMVE</v>
          </cell>
          <cell r="I1236" t="str">
            <v>IMPUESTO SOBRE LAS VENTAS</v>
          </cell>
          <cell r="J1236" t="str">
            <v>CL 32 N 7 21</v>
          </cell>
          <cell r="K1236" t="str">
            <v>50573</v>
          </cell>
          <cell r="L1236" t="str">
            <v>PUERTO LÓPEZ</v>
          </cell>
          <cell r="M1236" t="str">
            <v>3118116984</v>
          </cell>
        </row>
        <row r="1237">
          <cell r="A1237">
            <v>19001493</v>
          </cell>
          <cell r="B1237" t="str">
            <v/>
          </cell>
          <cell r="C1237" t="str">
            <v/>
          </cell>
          <cell r="D1237" t="str">
            <v>CC</v>
          </cell>
          <cell r="E1237" t="str">
            <v>FREDY FLORIAN</v>
          </cell>
          <cell r="F1237" t="str">
            <v>QUEVEDO MEDINA</v>
          </cell>
          <cell r="G1237" t="str">
            <v>QUEVEDO MEDINA FREDY FLORIAN</v>
          </cell>
          <cell r="H1237" t="str">
            <v>FUNC</v>
          </cell>
          <cell r="I1237" t="str">
            <v>FUNCIONARIO</v>
          </cell>
          <cell r="J1237" t="str">
            <v>CALLE 27 # 14-09</v>
          </cell>
          <cell r="K1237" t="str">
            <v>94001</v>
          </cell>
          <cell r="L1237" t="str">
            <v>INÍRIDA</v>
          </cell>
          <cell r="M1237" t="str">
            <v>3132618009</v>
          </cell>
        </row>
        <row r="1238">
          <cell r="A1238">
            <v>19001536</v>
          </cell>
          <cell r="B1238" t="str">
            <v>1</v>
          </cell>
          <cell r="C1238" t="str">
            <v/>
          </cell>
          <cell r="D1238" t="str">
            <v>NP</v>
          </cell>
          <cell r="E1238" t="str">
            <v>JUAN JAIRO</v>
          </cell>
          <cell r="F1238" t="str">
            <v>CHINGATE TORRES</v>
          </cell>
          <cell r="G1238" t="str">
            <v>CHINGATE TORRES JUAN JAIRO</v>
          </cell>
          <cell r="H1238" t="str">
            <v>RECO</v>
          </cell>
          <cell r="I1238" t="str">
            <v>REGIMEN COMUN</v>
          </cell>
          <cell r="J1238" t="str">
            <v>CL 16   5   53 BRR CENTRO</v>
          </cell>
          <cell r="K1238" t="str">
            <v>94001</v>
          </cell>
          <cell r="L1238" t="str">
            <v>INÍRIDA</v>
          </cell>
          <cell r="M1238" t="str">
            <v>3103412244</v>
          </cell>
        </row>
        <row r="1239">
          <cell r="A1239">
            <v>19001664</v>
          </cell>
          <cell r="B1239" t="str">
            <v/>
          </cell>
          <cell r="C1239" t="str">
            <v/>
          </cell>
          <cell r="D1239" t="str">
            <v>CC</v>
          </cell>
          <cell r="E1239" t="str">
            <v>VICTOR MANUEL</v>
          </cell>
          <cell r="F1239" t="str">
            <v>MARTINEZ MEDINA</v>
          </cell>
          <cell r="G1239" t="str">
            <v>MARTINEZ MEDINA VICTOR MANUEL</v>
          </cell>
          <cell r="H1239" t="str">
            <v>FUNC</v>
          </cell>
          <cell r="I1239" t="str">
            <v>FUNCIONARIO</v>
          </cell>
          <cell r="J1239" t="str">
            <v>CL 33   01 A 65 BRR GALAN</v>
          </cell>
          <cell r="K1239" t="str">
            <v>17001</v>
          </cell>
          <cell r="L1239" t="str">
            <v>MANIZALES</v>
          </cell>
          <cell r="M1239" t="str">
            <v>3115402864</v>
          </cell>
        </row>
        <row r="1240">
          <cell r="A1240">
            <v>19001763</v>
          </cell>
          <cell r="B1240" t="str">
            <v>5</v>
          </cell>
          <cell r="C1240" t="str">
            <v/>
          </cell>
          <cell r="D1240" t="str">
            <v>NP</v>
          </cell>
          <cell r="E1240" t="str">
            <v>WILLIAM HERLEY</v>
          </cell>
          <cell r="F1240" t="str">
            <v>MURCIA FAJARDO</v>
          </cell>
          <cell r="G1240" t="str">
            <v>MURCIA FAJARDO WILLIAM HERLEY</v>
          </cell>
          <cell r="H1240" t="str">
            <v>RESI</v>
          </cell>
          <cell r="I1240" t="str">
            <v>REGIMEN SIMPLIFICADO</v>
          </cell>
          <cell r="J1240" t="str">
            <v>CL 15   4   27 BRR CENTRO</v>
          </cell>
          <cell r="K1240" t="str">
            <v>94001</v>
          </cell>
          <cell r="L1240" t="str">
            <v>INÍRIDA</v>
          </cell>
          <cell r="M1240" t="str">
            <v>3203774892</v>
          </cell>
        </row>
        <row r="1241">
          <cell r="A1241">
            <v>19001917</v>
          </cell>
          <cell r="B1241" t="str">
            <v>2</v>
          </cell>
          <cell r="C1241" t="str">
            <v/>
          </cell>
          <cell r="D1241" t="str">
            <v>NP</v>
          </cell>
          <cell r="E1241" t="str">
            <v>HAWER JHURMAN</v>
          </cell>
          <cell r="F1241" t="str">
            <v>CALDERON ROJAS</v>
          </cell>
          <cell r="G1241" t="str">
            <v>CALDERON ROJAS HAWER JHURMAN</v>
          </cell>
          <cell r="H1241" t="str">
            <v>RESI</v>
          </cell>
          <cell r="I1241" t="str">
            <v>REGIMEN SIMPLIFICADO</v>
          </cell>
          <cell r="J1241" t="str">
            <v>BRR LOS LIBERTADORES CL 19 A 13 60 AP 1</v>
          </cell>
          <cell r="K1241" t="str">
            <v>94001</v>
          </cell>
          <cell r="L1241" t="str">
            <v>INÍRIDA</v>
          </cell>
          <cell r="M1241" t="str">
            <v>3115852435</v>
          </cell>
        </row>
        <row r="1242">
          <cell r="A1242">
            <v>19002026</v>
          </cell>
          <cell r="B1242" t="str">
            <v/>
          </cell>
          <cell r="C1242" t="str">
            <v/>
          </cell>
          <cell r="D1242" t="str">
            <v>CC</v>
          </cell>
          <cell r="E1242" t="str">
            <v>DILMER AUGUSTO</v>
          </cell>
          <cell r="F1242" t="str">
            <v>RINCON MOJICA</v>
          </cell>
          <cell r="G1242" t="str">
            <v>RINCON MOJICA DILMER AUGUSTO</v>
          </cell>
          <cell r="H1242" t="str">
            <v>FUNC</v>
          </cell>
          <cell r="I1242" t="str">
            <v>FUNCIONARIO</v>
          </cell>
          <cell r="J1242" t="str">
            <v>CL 20    8  30 BRR BERLIN</v>
          </cell>
          <cell r="K1242" t="str">
            <v>94001</v>
          </cell>
          <cell r="L1242" t="str">
            <v>INÍRIDA</v>
          </cell>
          <cell r="M1242" t="str">
            <v>5656595</v>
          </cell>
        </row>
        <row r="1243">
          <cell r="A1243">
            <v>19002261</v>
          </cell>
          <cell r="B1243" t="str">
            <v/>
          </cell>
          <cell r="C1243" t="str">
            <v/>
          </cell>
          <cell r="D1243" t="str">
            <v>CC</v>
          </cell>
          <cell r="E1243" t="str">
            <v>WILMER FRANCISCO</v>
          </cell>
          <cell r="F1243" t="str">
            <v>ARENAS TIBIDOR</v>
          </cell>
          <cell r="G1243" t="str">
            <v>ARENAS TIBIDOR WILMER FRANCISCO</v>
          </cell>
          <cell r="H1243" t="str">
            <v>RESI</v>
          </cell>
          <cell r="I1243" t="str">
            <v>REGIMEN SIMPLIFICADO</v>
          </cell>
          <cell r="J1243" t="str">
            <v>BRR GALAN CR 5 34 55</v>
          </cell>
          <cell r="K1243" t="str">
            <v>94001</v>
          </cell>
          <cell r="L1243" t="str">
            <v>INÍRIDA</v>
          </cell>
          <cell r="M1243" t="str">
            <v>3142092399</v>
          </cell>
        </row>
        <row r="1244">
          <cell r="A1244">
            <v>19002269</v>
          </cell>
          <cell r="B1244" t="str">
            <v>2</v>
          </cell>
          <cell r="C1244" t="str">
            <v/>
          </cell>
          <cell r="D1244" t="str">
            <v>NP</v>
          </cell>
          <cell r="E1244" t="str">
            <v>JERSON</v>
          </cell>
          <cell r="F1244" t="str">
            <v>PEREIRA BAUTISTA</v>
          </cell>
          <cell r="G1244" t="str">
            <v>PEREIRA BAUTISTA JERSON</v>
          </cell>
          <cell r="H1244" t="str">
            <v>RESI</v>
          </cell>
          <cell r="I1244" t="str">
            <v>REGIMEN SIMPLIFICADO</v>
          </cell>
          <cell r="J1244" t="str">
            <v>CR 9  25 47 55 BRR PRIMAVERA PRIMERA ETAPA</v>
          </cell>
          <cell r="K1244" t="str">
            <v>94001</v>
          </cell>
          <cell r="L1244" t="str">
            <v>INÍRIDA</v>
          </cell>
          <cell r="M1244" t="str">
            <v>3214508728</v>
          </cell>
        </row>
        <row r="1245">
          <cell r="A1245">
            <v>19002744</v>
          </cell>
          <cell r="B1245" t="str">
            <v>1</v>
          </cell>
          <cell r="C1245" t="str">
            <v/>
          </cell>
          <cell r="D1245" t="str">
            <v>NP</v>
          </cell>
          <cell r="E1245" t="str">
            <v>OSCAR ALBERTO</v>
          </cell>
          <cell r="F1245" t="str">
            <v>RUGE PINZON</v>
          </cell>
          <cell r="G1245" t="str">
            <v>RUGE PINZON OSCAR ALBERTO</v>
          </cell>
          <cell r="H1245" t="str">
            <v>RECO</v>
          </cell>
          <cell r="I1245" t="str">
            <v>REGIMEN COMUN</v>
          </cell>
          <cell r="J1245" t="str">
            <v>CL 16 5 33 BRR CENTRO</v>
          </cell>
          <cell r="K1245" t="str">
            <v>94001</v>
          </cell>
          <cell r="L1245" t="str">
            <v>INÍRIDA</v>
          </cell>
          <cell r="M1245" t="str">
            <v>5657245</v>
          </cell>
        </row>
        <row r="1246">
          <cell r="A1246">
            <v>19002832</v>
          </cell>
          <cell r="B1246" t="str">
            <v/>
          </cell>
          <cell r="C1246" t="str">
            <v/>
          </cell>
          <cell r="D1246" t="str">
            <v>CC</v>
          </cell>
          <cell r="E1246" t="str">
            <v>SELIANO</v>
          </cell>
          <cell r="F1246" t="str">
            <v>TORRES ROJAS</v>
          </cell>
          <cell r="G1246" t="str">
            <v>TORRES ROJAS SELIANO</v>
          </cell>
          <cell r="H1246" t="str">
            <v>FUNC</v>
          </cell>
          <cell r="I1246" t="str">
            <v>FUNCIONARIO</v>
          </cell>
          <cell r="J1246" t="str">
            <v>CLLE 25 # 8- 74</v>
          </cell>
          <cell r="K1246" t="str">
            <v>94001</v>
          </cell>
          <cell r="L1246" t="str">
            <v>INÍRIDA</v>
          </cell>
          <cell r="M1246" t="str">
            <v>3142203008</v>
          </cell>
        </row>
        <row r="1247">
          <cell r="A1247">
            <v>19002915</v>
          </cell>
          <cell r="B1247" t="str">
            <v/>
          </cell>
          <cell r="C1247" t="str">
            <v/>
          </cell>
          <cell r="D1247" t="str">
            <v>CC</v>
          </cell>
          <cell r="E1247" t="str">
            <v>JOSE ISMAEL</v>
          </cell>
          <cell r="F1247" t="str">
            <v>APONTTE GARRIDO</v>
          </cell>
          <cell r="G1247" t="str">
            <v>APONTTE GARRIDO JOSE ISMAEL</v>
          </cell>
          <cell r="H1247" t="str">
            <v>FUNC</v>
          </cell>
          <cell r="I1247" t="str">
            <v>FUNCIONARIO</v>
          </cell>
          <cell r="J1247" t="str">
            <v>BRR COCO</v>
          </cell>
          <cell r="K1247" t="str">
            <v>94001</v>
          </cell>
          <cell r="L1247" t="str">
            <v>INÍRIDA</v>
          </cell>
          <cell r="M1247" t="str">
            <v>3138681211</v>
          </cell>
        </row>
        <row r="1248">
          <cell r="A1248">
            <v>19003358</v>
          </cell>
          <cell r="B1248" t="str">
            <v>4</v>
          </cell>
          <cell r="C1248" t="str">
            <v/>
          </cell>
          <cell r="D1248" t="str">
            <v>NP</v>
          </cell>
          <cell r="E1248" t="str">
            <v>ESQUIVEL</v>
          </cell>
          <cell r="F1248" t="str">
            <v>QUIMBAYO APONTE</v>
          </cell>
          <cell r="G1248" t="str">
            <v>QUIMBAYO APONTE ESQUIVEL</v>
          </cell>
          <cell r="H1248" t="str">
            <v>NORE</v>
          </cell>
          <cell r="I1248" t="str">
            <v>NO RESPONSABLE DE IVA</v>
          </cell>
          <cell r="J1248" t="str">
            <v>CR 8 15 12 BRR BERLIN</v>
          </cell>
          <cell r="K1248" t="str">
            <v>94001</v>
          </cell>
          <cell r="L1248" t="str">
            <v>INÍRIDA</v>
          </cell>
          <cell r="M1248" t="str">
            <v>3118891785</v>
          </cell>
        </row>
        <row r="1249">
          <cell r="A1249">
            <v>19008439</v>
          </cell>
          <cell r="B1249" t="str">
            <v/>
          </cell>
          <cell r="C1249" t="str">
            <v/>
          </cell>
          <cell r="D1249" t="str">
            <v>CC</v>
          </cell>
          <cell r="E1249" t="str">
            <v>LEONARDO CRISTOBAL</v>
          </cell>
          <cell r="F1249" t="str">
            <v>RODRIGUEZ PEREZ</v>
          </cell>
          <cell r="G1249" t="str">
            <v>RODRIGUEZ PEREZ LEONARDO CRISTOBAL</v>
          </cell>
          <cell r="H1249" t="str">
            <v>FUNC</v>
          </cell>
          <cell r="I1249" t="str">
            <v>FUNCIONARIO</v>
          </cell>
          <cell r="J1249" t="str">
            <v>PORVENIR</v>
          </cell>
          <cell r="K1249" t="str">
            <v>94001</v>
          </cell>
          <cell r="L1249" t="str">
            <v>INÍRIDA</v>
          </cell>
          <cell r="M1249" t="str">
            <v>3205319792</v>
          </cell>
        </row>
        <row r="1250">
          <cell r="A1250">
            <v>19015453</v>
          </cell>
          <cell r="B1250" t="str">
            <v>8</v>
          </cell>
          <cell r="C1250" t="str">
            <v/>
          </cell>
          <cell r="D1250" t="str">
            <v>NP</v>
          </cell>
          <cell r="E1250" t="str">
            <v>JOSE ARCELIO</v>
          </cell>
          <cell r="F1250" t="str">
            <v>ROMERO Q</v>
          </cell>
          <cell r="G1250" t="str">
            <v>ROMERO Q JOSE ARCELIO</v>
          </cell>
          <cell r="H1250" t="str">
            <v>RESI</v>
          </cell>
          <cell r="I1250" t="str">
            <v>REGIMEN SIMPLIFICADO</v>
          </cell>
          <cell r="J1250" t="str">
            <v>INIRIDA</v>
          </cell>
          <cell r="K1250" t="str">
            <v>94001</v>
          </cell>
          <cell r="L1250" t="str">
            <v>INÍRIDA</v>
          </cell>
          <cell r="M1250" t="str">
            <v>3103229597</v>
          </cell>
        </row>
        <row r="1251">
          <cell r="A1251">
            <v>19015955</v>
          </cell>
          <cell r="B1251" t="str">
            <v>3</v>
          </cell>
          <cell r="C1251" t="str">
            <v/>
          </cell>
          <cell r="D1251" t="str">
            <v>NP</v>
          </cell>
          <cell r="E1251" t="str">
            <v>CARLOS JULIO</v>
          </cell>
          <cell r="F1251" t="str">
            <v>LINARES MEDINA</v>
          </cell>
          <cell r="G1251" t="str">
            <v>LINARES MEDINA CARLOS JULIO</v>
          </cell>
          <cell r="H1251" t="str">
            <v>RESI</v>
          </cell>
          <cell r="I1251" t="str">
            <v>REGIMEN SIMPLIFICADO</v>
          </cell>
          <cell r="J1251" t="str">
            <v>CL 19  15 39 BRR LOS LIBERTADORES</v>
          </cell>
          <cell r="K1251" t="str">
            <v>94001</v>
          </cell>
          <cell r="L1251" t="str">
            <v>INÍRIDA</v>
          </cell>
          <cell r="M1251" t="str">
            <v>3123248790</v>
          </cell>
        </row>
        <row r="1252">
          <cell r="A1252">
            <v>19016217</v>
          </cell>
          <cell r="B1252" t="str">
            <v>0</v>
          </cell>
          <cell r="C1252" t="str">
            <v/>
          </cell>
          <cell r="D1252" t="str">
            <v>NP</v>
          </cell>
          <cell r="E1252" t="str">
            <v>CARLOS HUMBERTO</v>
          </cell>
          <cell r="F1252" t="str">
            <v>RODRIGUEZ CALDAS</v>
          </cell>
          <cell r="G1252" t="str">
            <v>RODRIGUEZ CALDAS CARLOS HUMBERTO</v>
          </cell>
          <cell r="H1252" t="str">
            <v>RESI</v>
          </cell>
          <cell r="I1252" t="str">
            <v>REGIMEN SIMPLIFICADO</v>
          </cell>
          <cell r="J1252" t="str">
            <v>CL 21 9 43 C 10 BRR LOS COMUNEROS</v>
          </cell>
          <cell r="K1252" t="str">
            <v>94001</v>
          </cell>
          <cell r="L1252" t="str">
            <v>INÍRIDA</v>
          </cell>
          <cell r="M1252" t="str">
            <v>3208973153</v>
          </cell>
        </row>
        <row r="1253">
          <cell r="A1253">
            <v>19016397</v>
          </cell>
          <cell r="B1253" t="str">
            <v/>
          </cell>
          <cell r="C1253" t="str">
            <v/>
          </cell>
          <cell r="D1253" t="str">
            <v>CC</v>
          </cell>
          <cell r="E1253" t="str">
            <v>JOAQUIN</v>
          </cell>
          <cell r="F1253" t="str">
            <v>ROJAS PEREZ</v>
          </cell>
          <cell r="G1253" t="str">
            <v>ROJAS PEREZ JOAQUIN</v>
          </cell>
          <cell r="H1253" t="str">
            <v>RESI</v>
          </cell>
          <cell r="I1253" t="str">
            <v>REGIMEN SIMPLIFICADO</v>
          </cell>
          <cell r="J1253" t="str">
            <v>BARRIO EL CENTRO CALLE 16 5-54</v>
          </cell>
          <cell r="K1253" t="str">
            <v>17001</v>
          </cell>
          <cell r="L1253" t="str">
            <v>MANIZALES</v>
          </cell>
          <cell r="M1253" t="str">
            <v>5656263</v>
          </cell>
        </row>
        <row r="1254">
          <cell r="A1254">
            <v>19016985</v>
          </cell>
          <cell r="B1254" t="str">
            <v/>
          </cell>
          <cell r="C1254" t="str">
            <v/>
          </cell>
          <cell r="D1254" t="str">
            <v>CC</v>
          </cell>
          <cell r="E1254" t="str">
            <v>HUGO</v>
          </cell>
          <cell r="F1254" t="str">
            <v>VARON ROA</v>
          </cell>
          <cell r="G1254" t="str">
            <v>VARON ROA HUGO</v>
          </cell>
          <cell r="H1254" t="str">
            <v>FUNC</v>
          </cell>
          <cell r="I1254" t="str">
            <v>FUNCIONARIO</v>
          </cell>
          <cell r="J1254" t="str">
            <v>CL 20 10 74</v>
          </cell>
          <cell r="K1254" t="str">
            <v>94001</v>
          </cell>
          <cell r="L1254" t="str">
            <v>INÍRIDA</v>
          </cell>
          <cell r="M1254" t="str">
            <v>3143231621</v>
          </cell>
        </row>
        <row r="1255">
          <cell r="A1255">
            <v>19017004</v>
          </cell>
          <cell r="B1255" t="str">
            <v>3</v>
          </cell>
          <cell r="C1255" t="str">
            <v/>
          </cell>
          <cell r="D1255" t="str">
            <v>NP</v>
          </cell>
          <cell r="E1255" t="str">
            <v>WILFREDO</v>
          </cell>
          <cell r="F1255" t="str">
            <v>LOPEZ SOUZA</v>
          </cell>
          <cell r="G1255" t="str">
            <v>LOPEZ SOUZA WILFREDO</v>
          </cell>
          <cell r="H1255" t="str">
            <v>RESI</v>
          </cell>
          <cell r="I1255" t="str">
            <v>REGIMEN SIMPLIFICADO</v>
          </cell>
          <cell r="J1255" t="str">
            <v>CR 6 27 30 BRR PRIMAVERA SEGUNDA ETAPA</v>
          </cell>
          <cell r="K1255" t="str">
            <v>94001</v>
          </cell>
          <cell r="L1255" t="str">
            <v>INÍRIDA</v>
          </cell>
          <cell r="M1255" t="str">
            <v>3123866395</v>
          </cell>
        </row>
        <row r="1256">
          <cell r="A1256">
            <v>19017029</v>
          </cell>
          <cell r="B1256" t="str">
            <v>7</v>
          </cell>
          <cell r="C1256" t="str">
            <v/>
          </cell>
          <cell r="D1256" t="str">
            <v>NP</v>
          </cell>
          <cell r="E1256" t="str">
            <v>RICARDO JOSE</v>
          </cell>
          <cell r="F1256" t="str">
            <v>DELVASTO LARA</v>
          </cell>
          <cell r="G1256" t="str">
            <v>DELVASTO LARA RICARDO JOSE</v>
          </cell>
          <cell r="H1256" t="str">
            <v>RESI</v>
          </cell>
          <cell r="I1256" t="str">
            <v>REGIMEN SIMPLIFICADO</v>
          </cell>
          <cell r="J1256" t="str">
            <v>BRR LOS LIBERTADORES CL 20 11 06</v>
          </cell>
          <cell r="K1256" t="str">
            <v>94001</v>
          </cell>
          <cell r="L1256" t="str">
            <v>INÍRIDA</v>
          </cell>
          <cell r="M1256" t="str">
            <v>3105518055</v>
          </cell>
        </row>
        <row r="1257">
          <cell r="A1257">
            <v>19017119</v>
          </cell>
          <cell r="B1257" t="str">
            <v>1</v>
          </cell>
          <cell r="C1257" t="str">
            <v/>
          </cell>
          <cell r="D1257" t="str">
            <v>NP</v>
          </cell>
          <cell r="E1257" t="str">
            <v>NELSON</v>
          </cell>
          <cell r="F1257" t="str">
            <v>DIMATE RODRIGUEZ</v>
          </cell>
          <cell r="G1257" t="str">
            <v>DIMATE RODRIGUEZ NELSON</v>
          </cell>
          <cell r="H1257" t="str">
            <v>RESI</v>
          </cell>
          <cell r="I1257" t="str">
            <v>REGIMEN SIMPLIFICADO</v>
          </cell>
          <cell r="J1257" t="str">
            <v>CR 7  20  52  BRR BERLIN</v>
          </cell>
          <cell r="K1257" t="str">
            <v>94001</v>
          </cell>
          <cell r="L1257" t="str">
            <v>INÍRIDA</v>
          </cell>
          <cell r="M1257" t="str">
            <v>3114781847</v>
          </cell>
        </row>
        <row r="1258">
          <cell r="A1258">
            <v>19017151</v>
          </cell>
          <cell r="B1258" t="str">
            <v>8</v>
          </cell>
          <cell r="C1258" t="str">
            <v/>
          </cell>
          <cell r="D1258" t="str">
            <v>NP</v>
          </cell>
          <cell r="E1258" t="str">
            <v>HENRY</v>
          </cell>
          <cell r="F1258" t="str">
            <v>CAICEDO ZAMORA</v>
          </cell>
          <cell r="G1258" t="str">
            <v>CAICEDO ZAMORA HENRY</v>
          </cell>
          <cell r="H1258" t="str">
            <v>RECO</v>
          </cell>
          <cell r="I1258" t="str">
            <v>REGIMEN COMUN</v>
          </cell>
          <cell r="J1258" t="str">
            <v>CL 16 3 51 53 BRR CENTRO</v>
          </cell>
          <cell r="K1258" t="str">
            <v>94001</v>
          </cell>
          <cell r="L1258" t="str">
            <v>INÍRIDA</v>
          </cell>
          <cell r="M1258" t="str">
            <v>3143157084</v>
          </cell>
        </row>
        <row r="1259">
          <cell r="A1259">
            <v>19017159</v>
          </cell>
          <cell r="B1259" t="str">
            <v>6</v>
          </cell>
          <cell r="C1259" t="str">
            <v/>
          </cell>
          <cell r="D1259" t="str">
            <v>NP</v>
          </cell>
          <cell r="E1259" t="str">
            <v>ALDEMIR</v>
          </cell>
          <cell r="F1259" t="str">
            <v>DASILVA CARIOCA</v>
          </cell>
          <cell r="G1259" t="str">
            <v>DASILVA CARIOCA ALDEMIR</v>
          </cell>
          <cell r="H1259" t="str">
            <v>RESI</v>
          </cell>
          <cell r="I1259" t="str">
            <v>REGIMEN SIMPLIFICADO</v>
          </cell>
          <cell r="J1259" t="str">
            <v>CAS RESGUARDO PAUJIL COMUNIDAD PORVENIR</v>
          </cell>
          <cell r="K1259" t="str">
            <v>94001</v>
          </cell>
          <cell r="L1259" t="str">
            <v>INÍRIDA</v>
          </cell>
          <cell r="M1259" t="str">
            <v>3133995518</v>
          </cell>
        </row>
        <row r="1260">
          <cell r="A1260">
            <v>19017180</v>
          </cell>
          <cell r="B1260" t="str">
            <v/>
          </cell>
          <cell r="C1260" t="str">
            <v/>
          </cell>
          <cell r="D1260" t="str">
            <v>CC</v>
          </cell>
          <cell r="E1260" t="str">
            <v>CARLOS EFREN</v>
          </cell>
          <cell r="F1260" t="str">
            <v>INSUASTY ALDANA</v>
          </cell>
          <cell r="G1260" t="str">
            <v>INSUASTY ALDANA CARLOS EFREN</v>
          </cell>
          <cell r="H1260" t="str">
            <v>EXFU</v>
          </cell>
          <cell r="I1260" t="str">
            <v>EX-FUNCIONARIOS</v>
          </cell>
          <cell r="J1260" t="str">
            <v>BARRIO BERLIN</v>
          </cell>
          <cell r="K1260" t="str">
            <v>94001</v>
          </cell>
          <cell r="L1260" t="str">
            <v>INÍRIDA</v>
          </cell>
          <cell r="M1260" t="str">
            <v>3168938213</v>
          </cell>
        </row>
        <row r="1261">
          <cell r="A1261">
            <v>19017182</v>
          </cell>
          <cell r="B1261" t="str">
            <v>6</v>
          </cell>
          <cell r="C1261" t="str">
            <v/>
          </cell>
          <cell r="D1261" t="str">
            <v>NP</v>
          </cell>
          <cell r="E1261" t="str">
            <v>CRISTOBAL</v>
          </cell>
          <cell r="F1261" t="str">
            <v>BALAGUERA</v>
          </cell>
          <cell r="G1261" t="str">
            <v>BALAGUERA CRISTOBAL</v>
          </cell>
          <cell r="H1261" t="str">
            <v>RESI</v>
          </cell>
          <cell r="I1261" t="str">
            <v>REGIMEN SIMPLIFICADO</v>
          </cell>
          <cell r="J1261" t="str">
            <v>CR 27 A 27 26</v>
          </cell>
          <cell r="K1261" t="str">
            <v>94001</v>
          </cell>
          <cell r="L1261" t="str">
            <v>INÍRIDA</v>
          </cell>
          <cell r="M1261" t="str">
            <v>3103342808</v>
          </cell>
        </row>
        <row r="1262">
          <cell r="A1262">
            <v>19017201</v>
          </cell>
          <cell r="B1262" t="str">
            <v/>
          </cell>
          <cell r="C1262" t="str">
            <v/>
          </cell>
          <cell r="D1262" t="str">
            <v>CC</v>
          </cell>
          <cell r="E1262" t="str">
            <v>DASILVA HERRY</v>
          </cell>
          <cell r="F1262" t="str">
            <v xml:space="preserve">MENDOZA </v>
          </cell>
          <cell r="G1262" t="str">
            <v>MENDOZA  DASILVA HERRY</v>
          </cell>
          <cell r="H1262" t="str">
            <v>FUNC</v>
          </cell>
          <cell r="I1262" t="str">
            <v>FUNCIONARIO</v>
          </cell>
          <cell r="J1262" t="str">
            <v>MCP DE INIRIDA</v>
          </cell>
          <cell r="K1262" t="str">
            <v>94001</v>
          </cell>
          <cell r="L1262" t="str">
            <v>INÍRIDA</v>
          </cell>
          <cell r="M1262" t="str">
            <v>3144795378</v>
          </cell>
        </row>
        <row r="1263">
          <cell r="A1263">
            <v>19017231</v>
          </cell>
          <cell r="B1263" t="str">
            <v>9</v>
          </cell>
          <cell r="C1263" t="str">
            <v/>
          </cell>
          <cell r="D1263" t="str">
            <v>NP</v>
          </cell>
          <cell r="E1263" t="str">
            <v>MARIO ALBERTO</v>
          </cell>
          <cell r="F1263" t="str">
            <v>CARDONA VELEZ</v>
          </cell>
          <cell r="G1263" t="str">
            <v>CARDONA VELEZ MARIO ALBERTO</v>
          </cell>
          <cell r="H1263" t="str">
            <v>RESI</v>
          </cell>
          <cell r="I1263" t="str">
            <v>REGIMEN SIMPLIFICADO</v>
          </cell>
          <cell r="J1263" t="str">
            <v>CR  5  25  19  BRR EL PARAISO</v>
          </cell>
          <cell r="K1263" t="str">
            <v>94001</v>
          </cell>
          <cell r="L1263" t="str">
            <v>INÍRIDA</v>
          </cell>
          <cell r="M1263" t="str">
            <v>3212047003</v>
          </cell>
        </row>
        <row r="1264">
          <cell r="A1264">
            <v>19017458</v>
          </cell>
          <cell r="B1264" t="str">
            <v>3</v>
          </cell>
          <cell r="C1264" t="str">
            <v/>
          </cell>
          <cell r="D1264" t="str">
            <v>NP</v>
          </cell>
          <cell r="E1264" t="str">
            <v>JOSE RODOLFO</v>
          </cell>
          <cell r="F1264" t="str">
            <v>BARRERA DASILVA</v>
          </cell>
          <cell r="G1264" t="str">
            <v>BARRERA DASILVA JOSE RODOLFO</v>
          </cell>
          <cell r="H1264" t="str">
            <v>RESI</v>
          </cell>
          <cell r="I1264" t="str">
            <v>REGIMEN SIMPLIFICADO</v>
          </cell>
          <cell r="J1264" t="str">
            <v>CL 26 12 75 BRR NUEVO HORIZONTE</v>
          </cell>
          <cell r="K1264" t="str">
            <v>94001</v>
          </cell>
          <cell r="L1264" t="str">
            <v>INÍRIDA</v>
          </cell>
          <cell r="M1264" t="str">
            <v>3138393843</v>
          </cell>
        </row>
        <row r="1265">
          <cell r="A1265">
            <v>19017697</v>
          </cell>
          <cell r="B1265" t="str">
            <v>7</v>
          </cell>
          <cell r="C1265" t="str">
            <v/>
          </cell>
          <cell r="D1265" t="str">
            <v>NP</v>
          </cell>
          <cell r="E1265" t="str">
            <v>LUIS CARLOS</v>
          </cell>
          <cell r="F1265" t="str">
            <v>ZAMBRANO GIMENEZ</v>
          </cell>
          <cell r="G1265" t="str">
            <v>ZAMBRANO GIMENEZ LUIS CARLOS</v>
          </cell>
          <cell r="H1265" t="str">
            <v>RESI</v>
          </cell>
          <cell r="I1265" t="str">
            <v>REGIMEN SIMPLIFICADO</v>
          </cell>
          <cell r="J1265" t="str">
            <v>CL 16 9 84 BRR EL CENTRO</v>
          </cell>
          <cell r="K1265" t="str">
            <v>94001</v>
          </cell>
          <cell r="L1265" t="str">
            <v>INÍRIDA</v>
          </cell>
          <cell r="M1265" t="str">
            <v>3115630124</v>
          </cell>
        </row>
        <row r="1266">
          <cell r="A1266">
            <v>19017740</v>
          </cell>
          <cell r="B1266" t="str">
            <v>6</v>
          </cell>
          <cell r="C1266" t="str">
            <v/>
          </cell>
          <cell r="D1266" t="str">
            <v>NP</v>
          </cell>
          <cell r="E1266" t="str">
            <v>POLO ABELARDO</v>
          </cell>
          <cell r="F1266" t="str">
            <v>SUAREZ GOMEZ</v>
          </cell>
          <cell r="G1266" t="str">
            <v>SUAREZ GOMEZ POLO ABELARDO</v>
          </cell>
          <cell r="H1266" t="str">
            <v>RESI</v>
          </cell>
          <cell r="I1266" t="str">
            <v>REGIMEN SIMPLIFICADO</v>
          </cell>
          <cell r="J1266" t="str">
            <v>CL 29 20 34 BRR BRISAS DEL PALMAR</v>
          </cell>
          <cell r="K1266" t="str">
            <v>94001</v>
          </cell>
          <cell r="L1266" t="str">
            <v>INÍRIDA</v>
          </cell>
          <cell r="M1266" t="str">
            <v>5656351</v>
          </cell>
        </row>
        <row r="1267">
          <cell r="A1267">
            <v>19017742</v>
          </cell>
          <cell r="B1267" t="str">
            <v/>
          </cell>
          <cell r="C1267" t="str">
            <v/>
          </cell>
          <cell r="D1267" t="str">
            <v>CC</v>
          </cell>
          <cell r="E1267" t="str">
            <v>SIN RUT- RAMIRO</v>
          </cell>
          <cell r="F1267" t="str">
            <v>LOPEZ MARTINEZ</v>
          </cell>
          <cell r="G1267" t="str">
            <v>LOPEZ MARTINEZ SIN RUT- RAMIRO</v>
          </cell>
          <cell r="H1267" t="str">
            <v>NORE</v>
          </cell>
          <cell r="I1267" t="str">
            <v>NO RESPONSABLE DE IVA</v>
          </cell>
          <cell r="J1267" t="str">
            <v>MCP DE INIRIDA</v>
          </cell>
          <cell r="K1267" t="str">
            <v>94001</v>
          </cell>
          <cell r="L1267" t="str">
            <v>INÍRIDA</v>
          </cell>
          <cell r="M1267" t="str">
            <v>no presenta</v>
          </cell>
        </row>
        <row r="1268">
          <cell r="A1268">
            <v>19058780</v>
          </cell>
          <cell r="B1268" t="str">
            <v>6</v>
          </cell>
          <cell r="C1268" t="str">
            <v/>
          </cell>
          <cell r="D1268" t="str">
            <v>NP</v>
          </cell>
          <cell r="E1268" t="str">
            <v>JULIO ENRIQUE</v>
          </cell>
          <cell r="F1268" t="str">
            <v>RAMIREZ CORTES</v>
          </cell>
          <cell r="G1268" t="str">
            <v>RAMIREZ CORTES JULIO ENRIQUE</v>
          </cell>
          <cell r="H1268" t="str">
            <v>RECO</v>
          </cell>
          <cell r="I1268" t="str">
            <v>REGIMEN COMUN</v>
          </cell>
          <cell r="J1268" t="str">
            <v>AV 13 69   16</v>
          </cell>
          <cell r="K1268" t="str">
            <v>11001</v>
          </cell>
          <cell r="L1268" t="str">
            <v>BOGOTA DC</v>
          </cell>
          <cell r="M1268" t="str">
            <v>2357945</v>
          </cell>
        </row>
        <row r="1269">
          <cell r="A1269">
            <v>19065286</v>
          </cell>
          <cell r="B1269" t="str">
            <v>8</v>
          </cell>
          <cell r="C1269" t="str">
            <v/>
          </cell>
          <cell r="D1269" t="str">
            <v>NP</v>
          </cell>
          <cell r="E1269" t="str">
            <v>ILDEFONSO ANTONIO</v>
          </cell>
          <cell r="F1269" t="str">
            <v>BERDUGO ALBARRACIN</v>
          </cell>
          <cell r="G1269" t="str">
            <v>BERDUGO ALBARRACIN ILDEFONSO ANTONIO</v>
          </cell>
          <cell r="H1269" t="str">
            <v>IMVE</v>
          </cell>
          <cell r="I1269" t="str">
            <v>IMPUESTO SOBRE LAS VENTAS</v>
          </cell>
          <cell r="J1269" t="str">
            <v>CL 13 18 89</v>
          </cell>
          <cell r="K1269" t="str">
            <v>15238</v>
          </cell>
          <cell r="L1269" t="str">
            <v>DUITAMA</v>
          </cell>
          <cell r="M1269" t="str">
            <v>6087605491</v>
          </cell>
        </row>
        <row r="1270">
          <cell r="A1270">
            <v>19076835</v>
          </cell>
          <cell r="B1270" t="str">
            <v>9</v>
          </cell>
          <cell r="C1270" t="str">
            <v/>
          </cell>
          <cell r="D1270" t="str">
            <v>NP</v>
          </cell>
          <cell r="E1270" t="str">
            <v>PROSPERO JOSE</v>
          </cell>
          <cell r="F1270" t="str">
            <v>TOLEDO PEREZ</v>
          </cell>
          <cell r="G1270" t="str">
            <v>TOLEDO PEREZ PROSPERO JOSE</v>
          </cell>
          <cell r="H1270" t="str">
            <v>RESI</v>
          </cell>
          <cell r="I1270" t="str">
            <v>REGIMEN SIMPLIFICADO</v>
          </cell>
          <cell r="J1270" t="str">
            <v>CL 12  10 48 AP 503</v>
          </cell>
          <cell r="K1270" t="str">
            <v>15759</v>
          </cell>
          <cell r="L1270" t="str">
            <v>SOGAMOSO</v>
          </cell>
          <cell r="M1270" t="str">
            <v>3103433220</v>
          </cell>
        </row>
        <row r="1271">
          <cell r="A1271">
            <v>19080528</v>
          </cell>
          <cell r="B1271" t="str">
            <v>8</v>
          </cell>
          <cell r="C1271" t="str">
            <v/>
          </cell>
          <cell r="D1271" t="str">
            <v>NP</v>
          </cell>
          <cell r="E1271" t="str">
            <v>MIGUEL ANTONIO</v>
          </cell>
          <cell r="F1271" t="str">
            <v>CARO PEREZ</v>
          </cell>
          <cell r="G1271" t="str">
            <v>CARO PEREZ MIGUEL ANTONIO</v>
          </cell>
          <cell r="H1271" t="str">
            <v>RECO</v>
          </cell>
          <cell r="I1271" t="str">
            <v>REGIMEN COMUN</v>
          </cell>
          <cell r="J1271" t="str">
            <v>CL 14 A 16 30</v>
          </cell>
          <cell r="K1271" t="str">
            <v>15759</v>
          </cell>
          <cell r="L1271" t="str">
            <v>SOGAMOSO</v>
          </cell>
          <cell r="M1271" t="str">
            <v>3108822669</v>
          </cell>
        </row>
        <row r="1272">
          <cell r="A1272">
            <v>19088347</v>
          </cell>
          <cell r="B1272" t="str">
            <v>8</v>
          </cell>
          <cell r="C1272" t="str">
            <v/>
          </cell>
          <cell r="D1272" t="str">
            <v>NP</v>
          </cell>
          <cell r="E1272" t="str">
            <v>HECTOR JULIO</v>
          </cell>
          <cell r="F1272" t="str">
            <v>BONILLA ARAQUE</v>
          </cell>
          <cell r="G1272" t="str">
            <v>BONILLA ARAQUE HECTOR JULIO</v>
          </cell>
          <cell r="H1272" t="str">
            <v>RECO</v>
          </cell>
          <cell r="I1272" t="str">
            <v>REGIMEN COMUN</v>
          </cell>
          <cell r="J1272" t="str">
            <v>CR 20   14   18</v>
          </cell>
          <cell r="K1272" t="str">
            <v>85001</v>
          </cell>
          <cell r="L1272" t="str">
            <v>YOPAL</v>
          </cell>
          <cell r="M1272" t="str">
            <v>6347880</v>
          </cell>
        </row>
        <row r="1273">
          <cell r="A1273">
            <v>19093582</v>
          </cell>
          <cell r="B1273" t="str">
            <v/>
          </cell>
          <cell r="C1273" t="str">
            <v/>
          </cell>
          <cell r="D1273" t="str">
            <v>CC</v>
          </cell>
          <cell r="E1273" t="str">
            <v>PEDRO TIRSO</v>
          </cell>
          <cell r="F1273" t="str">
            <v>ZARAZA FREITAS</v>
          </cell>
          <cell r="G1273" t="str">
            <v>ZARAZA FREITAS PEDRO TIRSO</v>
          </cell>
          <cell r="H1273" t="str">
            <v>RESI</v>
          </cell>
          <cell r="I1273" t="str">
            <v>REGIMEN SIMPLIFICADO</v>
          </cell>
          <cell r="J1273" t="str">
            <v>CR 9 A   97 A 25</v>
          </cell>
          <cell r="K1273" t="str">
            <v>11001</v>
          </cell>
          <cell r="L1273" t="str">
            <v>BOGOTA DC</v>
          </cell>
          <cell r="M1273" t="str">
            <v>2361255</v>
          </cell>
        </row>
        <row r="1274">
          <cell r="A1274">
            <v>19099642</v>
          </cell>
          <cell r="B1274" t="str">
            <v>3</v>
          </cell>
          <cell r="C1274" t="str">
            <v/>
          </cell>
          <cell r="D1274" t="str">
            <v>NP</v>
          </cell>
          <cell r="E1274" t="str">
            <v>LUIS ENRIQUE</v>
          </cell>
          <cell r="F1274" t="str">
            <v>CRUZ</v>
          </cell>
          <cell r="G1274" t="str">
            <v>CRUZ LUIS ENRIQUE</v>
          </cell>
          <cell r="H1274" t="str">
            <v>RST</v>
          </cell>
          <cell r="I1274" t="str">
            <v>REGIMEN SIMPLE DE TRIBUTACION</v>
          </cell>
          <cell r="J1274" t="str">
            <v>AV LIBERTADORES 22 01</v>
          </cell>
          <cell r="K1274" t="str">
            <v>15516</v>
          </cell>
          <cell r="L1274" t="str">
            <v>PAIPA</v>
          </cell>
          <cell r="M1274" t="str">
            <v>3103298256</v>
          </cell>
        </row>
        <row r="1275">
          <cell r="A1275">
            <v>19106280</v>
          </cell>
          <cell r="B1275" t="str">
            <v>1</v>
          </cell>
          <cell r="C1275" t="str">
            <v/>
          </cell>
          <cell r="D1275" t="str">
            <v>NP</v>
          </cell>
          <cell r="E1275" t="str">
            <v>HUGO ALBERTO</v>
          </cell>
          <cell r="F1275" t="str">
            <v>ARIAS DUQUE</v>
          </cell>
          <cell r="G1275" t="str">
            <v>ARIAS DUQUE HUGO ALBERTO</v>
          </cell>
          <cell r="H1275" t="str">
            <v>RECO</v>
          </cell>
          <cell r="I1275" t="str">
            <v>REGIMEN COMUN</v>
          </cell>
          <cell r="J1275" t="str">
            <v xml:space="preserve">CL 20 N 22 31 OF203 934237790        </v>
          </cell>
          <cell r="K1275" t="str">
            <v>17001</v>
          </cell>
          <cell r="L1275" t="str">
            <v>MANIZALES</v>
          </cell>
          <cell r="M1275" t="str">
            <v>8843118</v>
          </cell>
        </row>
        <row r="1276">
          <cell r="A1276">
            <v>19129327</v>
          </cell>
          <cell r="B1276" t="str">
            <v>8</v>
          </cell>
          <cell r="C1276" t="str">
            <v/>
          </cell>
          <cell r="D1276" t="str">
            <v>NP</v>
          </cell>
          <cell r="E1276" t="str">
            <v>CARLOS EDUARDO</v>
          </cell>
          <cell r="F1276" t="str">
            <v>PERALTA SANTOS</v>
          </cell>
          <cell r="G1276" t="str">
            <v>PERALTA SANTOS CARLOS EDUARDO</v>
          </cell>
          <cell r="H1276" t="str">
            <v>RECO</v>
          </cell>
          <cell r="I1276" t="str">
            <v>REGIMEN COMUN</v>
          </cell>
          <cell r="J1276" t="str">
            <v>CL 11 A 72 B 20</v>
          </cell>
          <cell r="K1276" t="str">
            <v>11001</v>
          </cell>
          <cell r="L1276" t="str">
            <v>BOGOTA DC</v>
          </cell>
          <cell r="M1276" t="str">
            <v>4755071</v>
          </cell>
        </row>
        <row r="1277">
          <cell r="A1277">
            <v>19130277</v>
          </cell>
          <cell r="B1277" t="str">
            <v>1</v>
          </cell>
          <cell r="C1277" t="str">
            <v/>
          </cell>
          <cell r="D1277" t="str">
            <v>NP</v>
          </cell>
          <cell r="E1277" t="str">
            <v>GUILLERMO</v>
          </cell>
          <cell r="F1277" t="str">
            <v>HENAO RAMIREZ</v>
          </cell>
          <cell r="G1277" t="str">
            <v>HENAO RAMIREZ GUILLERMO</v>
          </cell>
          <cell r="H1277" t="str">
            <v>IMVE</v>
          </cell>
          <cell r="I1277" t="str">
            <v>IMPUESTO SOBRE LAS VENTAS</v>
          </cell>
          <cell r="J1277" t="str">
            <v>CL 16   8   54</v>
          </cell>
          <cell r="K1277" t="str">
            <v>15001</v>
          </cell>
          <cell r="L1277" t="str">
            <v>TUNJA</v>
          </cell>
          <cell r="M1277" t="str">
            <v>7409557</v>
          </cell>
        </row>
        <row r="1278">
          <cell r="A1278">
            <v>19139575</v>
          </cell>
          <cell r="B1278" t="str">
            <v>0</v>
          </cell>
          <cell r="C1278" t="str">
            <v/>
          </cell>
          <cell r="D1278" t="str">
            <v>NP</v>
          </cell>
          <cell r="E1278" t="str">
            <v>HERNANDO ENRIQUE</v>
          </cell>
          <cell r="F1278" t="str">
            <v>CASTAÑEDA</v>
          </cell>
          <cell r="G1278" t="str">
            <v>CASTAÑEDA HERNANDO ENRIQUE</v>
          </cell>
          <cell r="H1278" t="str">
            <v>RECO</v>
          </cell>
          <cell r="I1278" t="str">
            <v>REGIMEN COMUN</v>
          </cell>
          <cell r="J1278" t="str">
            <v>CR 18 13 57</v>
          </cell>
          <cell r="K1278" t="str">
            <v>15238</v>
          </cell>
          <cell r="L1278" t="str">
            <v>DUITAMA</v>
          </cell>
          <cell r="M1278" t="str">
            <v>3108763763</v>
          </cell>
        </row>
        <row r="1279">
          <cell r="A1279">
            <v>19147389</v>
          </cell>
          <cell r="B1279" t="str">
            <v/>
          </cell>
          <cell r="C1279" t="str">
            <v/>
          </cell>
          <cell r="D1279" t="str">
            <v>CC</v>
          </cell>
          <cell r="E1279" t="str">
            <v>OSCAR</v>
          </cell>
          <cell r="F1279" t="str">
            <v>GONZALEZ BLACARCEL</v>
          </cell>
          <cell r="G1279" t="str">
            <v>GONZALEZ BLACARCEL OSCAR</v>
          </cell>
          <cell r="H1279" t="str">
            <v>RESI</v>
          </cell>
          <cell r="I1279" t="str">
            <v>REGIMEN SIMPLIFICADO</v>
          </cell>
          <cell r="J1279" t="str">
            <v>MCP TRINIDAD VRD EL LORO PD EL RETIRO</v>
          </cell>
          <cell r="K1279" t="str">
            <v>17001</v>
          </cell>
          <cell r="L1279" t="str">
            <v>MANIZALES</v>
          </cell>
          <cell r="M1279" t="str">
            <v>3106806134</v>
          </cell>
        </row>
        <row r="1280">
          <cell r="A1280">
            <v>19162172</v>
          </cell>
          <cell r="B1280" t="str">
            <v>2</v>
          </cell>
          <cell r="C1280" t="str">
            <v/>
          </cell>
          <cell r="D1280" t="str">
            <v>NP</v>
          </cell>
          <cell r="E1280" t="str">
            <v>RICARDO HERNANDO</v>
          </cell>
          <cell r="F1280" t="str">
            <v>SILVA GOMEZ</v>
          </cell>
          <cell r="G1280" t="str">
            <v>RICARDO HERNANDO SILVA GOMEZ</v>
          </cell>
          <cell r="H1280" t="str">
            <v>RCPN</v>
          </cell>
          <cell r="I1280" t="str">
            <v>RESPONSABLE IVA PERSONA NATURAL</v>
          </cell>
          <cell r="J1280" t="str">
            <v>CL 146 13 48 AP 1106 ED VERONA</v>
          </cell>
          <cell r="K1280" t="str">
            <v>11001</v>
          </cell>
          <cell r="L1280" t="str">
            <v>BOGOTA DC</v>
          </cell>
          <cell r="M1280" t="str">
            <v>3208583481</v>
          </cell>
        </row>
        <row r="1281">
          <cell r="A1281">
            <v>19175213</v>
          </cell>
          <cell r="B1281" t="str">
            <v>2</v>
          </cell>
          <cell r="C1281" t="str">
            <v/>
          </cell>
          <cell r="D1281" t="str">
            <v>NP</v>
          </cell>
          <cell r="E1281" t="str">
            <v>URIEL</v>
          </cell>
          <cell r="F1281" t="str">
            <v>GIRALDO AGUDELO</v>
          </cell>
          <cell r="G1281" t="str">
            <v>GIRALDO AGUDELO URIEL</v>
          </cell>
          <cell r="H1281" t="str">
            <v>RESI</v>
          </cell>
          <cell r="I1281" t="str">
            <v>REGIMEN SIMPLIFICADO</v>
          </cell>
          <cell r="J1281" t="str">
            <v>CL 7 4 29</v>
          </cell>
          <cell r="K1281" t="str">
            <v>17174</v>
          </cell>
          <cell r="L1281" t="str">
            <v>CHINCHINÁ</v>
          </cell>
          <cell r="M1281" t="str">
            <v>8756262</v>
          </cell>
        </row>
        <row r="1282">
          <cell r="A1282">
            <v>19190706</v>
          </cell>
          <cell r="B1282" t="str">
            <v>4</v>
          </cell>
          <cell r="C1282" t="str">
            <v/>
          </cell>
          <cell r="D1282" t="str">
            <v>NP</v>
          </cell>
          <cell r="E1282" t="str">
            <v>PABLO ENRIQUE</v>
          </cell>
          <cell r="F1282" t="str">
            <v>PEÑA GARZON</v>
          </cell>
          <cell r="G1282" t="str">
            <v>PEÑA GARZON PABLO ENRIQUE</v>
          </cell>
          <cell r="H1282" t="str">
            <v>RECO</v>
          </cell>
          <cell r="I1282" t="str">
            <v>REGIMEN COMUN</v>
          </cell>
          <cell r="J1282" t="str">
            <v>CR 19   36   65</v>
          </cell>
          <cell r="K1282" t="str">
            <v>85001</v>
          </cell>
          <cell r="L1282" t="str">
            <v>YOPAL</v>
          </cell>
          <cell r="M1282" t="str">
            <v>6345762</v>
          </cell>
        </row>
        <row r="1283">
          <cell r="A1283">
            <v>19192792</v>
          </cell>
          <cell r="B1283" t="str">
            <v/>
          </cell>
          <cell r="C1283" t="str">
            <v/>
          </cell>
          <cell r="D1283" t="str">
            <v>CC</v>
          </cell>
          <cell r="E1283" t="str">
            <v>VICTOR MANUEL</v>
          </cell>
          <cell r="F1283" t="str">
            <v>CHAVEZ PEÑA</v>
          </cell>
          <cell r="G1283" t="str">
            <v>CHAVEZ PEÑA VICTOR MANUEL</v>
          </cell>
          <cell r="H1283" t="str">
            <v>RECO</v>
          </cell>
          <cell r="I1283" t="str">
            <v>REGIMEN COMUN</v>
          </cell>
          <cell r="J1283" t="str">
            <v>CL 93 BIS 19 50 OF 202</v>
          </cell>
          <cell r="K1283" t="str">
            <v>11001</v>
          </cell>
          <cell r="L1283" t="str">
            <v>BOGOTA DC</v>
          </cell>
          <cell r="M1283" t="str">
            <v>6210753</v>
          </cell>
        </row>
        <row r="1284">
          <cell r="A1284">
            <v>19206457</v>
          </cell>
          <cell r="B1284" t="str">
            <v>7</v>
          </cell>
          <cell r="C1284" t="str">
            <v/>
          </cell>
          <cell r="D1284" t="str">
            <v>NP</v>
          </cell>
          <cell r="E1284" t="str">
            <v>PLINIO</v>
          </cell>
          <cell r="F1284" t="str">
            <v>POVEDA GARZON</v>
          </cell>
          <cell r="G1284" t="str">
            <v>POVEDA GARZON PLINIO</v>
          </cell>
          <cell r="H1284" t="str">
            <v>IMVE</v>
          </cell>
          <cell r="I1284" t="str">
            <v>IMPUESTO SOBRE LAS VENTAS</v>
          </cell>
          <cell r="J1284" t="str">
            <v>CR 19  19 42</v>
          </cell>
          <cell r="K1284" t="str">
            <v>15238</v>
          </cell>
          <cell r="L1284" t="str">
            <v>DUITAMA</v>
          </cell>
          <cell r="M1284" t="str">
            <v>7603352</v>
          </cell>
        </row>
        <row r="1285">
          <cell r="A1285">
            <v>19210489</v>
          </cell>
          <cell r="B1285" t="str">
            <v>8</v>
          </cell>
          <cell r="C1285" t="str">
            <v/>
          </cell>
          <cell r="D1285" t="str">
            <v>NP</v>
          </cell>
          <cell r="E1285" t="str">
            <v>JOSE EFRAIN</v>
          </cell>
          <cell r="F1285" t="str">
            <v>MONTERO NOVA</v>
          </cell>
          <cell r="G1285" t="str">
            <v>MONTERO NOVA JOSE EFRAIN</v>
          </cell>
          <cell r="H1285" t="str">
            <v>RECO</v>
          </cell>
          <cell r="I1285" t="str">
            <v>REGIMEN COMUN</v>
          </cell>
          <cell r="J1285" t="str">
            <v>CL 17  10 45</v>
          </cell>
          <cell r="K1285" t="str">
            <v>94001</v>
          </cell>
          <cell r="L1285" t="str">
            <v>INÍRIDA</v>
          </cell>
          <cell r="M1285" t="str">
            <v>3102858463</v>
          </cell>
        </row>
        <row r="1286">
          <cell r="A1286">
            <v>19229571</v>
          </cell>
          <cell r="B1286" t="str">
            <v>8</v>
          </cell>
          <cell r="C1286" t="str">
            <v/>
          </cell>
          <cell r="D1286" t="str">
            <v>NP</v>
          </cell>
          <cell r="E1286" t="str">
            <v>MANUEL GUSTAVO</v>
          </cell>
          <cell r="F1286" t="str">
            <v>ROMERO RAFFO</v>
          </cell>
          <cell r="G1286" t="str">
            <v>ROMERO RAFFO MANUEL GUSTAVO</v>
          </cell>
          <cell r="H1286" t="str">
            <v>NORE</v>
          </cell>
          <cell r="I1286" t="str">
            <v>NO RESPONSABLE DE IVA</v>
          </cell>
          <cell r="J1286" t="str">
            <v>CL 20 10 31 BARRIO COMUNEROS</v>
          </cell>
          <cell r="K1286" t="str">
            <v>94001</v>
          </cell>
          <cell r="L1286" t="str">
            <v>INÍRIDA</v>
          </cell>
          <cell r="M1286" t="str">
            <v>5656623</v>
          </cell>
        </row>
        <row r="1287">
          <cell r="A1287">
            <v>19231886</v>
          </cell>
          <cell r="B1287" t="str">
            <v>9</v>
          </cell>
          <cell r="C1287" t="str">
            <v/>
          </cell>
          <cell r="D1287" t="str">
            <v>NP</v>
          </cell>
          <cell r="E1287" t="str">
            <v>MIGUEL ANGEL</v>
          </cell>
          <cell r="F1287" t="str">
            <v>DIAZ TELLEZ</v>
          </cell>
          <cell r="G1287" t="str">
            <v>DIAZ TELLEZ MIGUEL ANGEL</v>
          </cell>
          <cell r="H1287" t="str">
            <v>RECO</v>
          </cell>
          <cell r="I1287" t="str">
            <v>REGIMEN COMUN</v>
          </cell>
          <cell r="J1287" t="str">
            <v>AV CARACAS   75   69</v>
          </cell>
          <cell r="K1287" t="str">
            <v>11001</v>
          </cell>
          <cell r="L1287" t="str">
            <v>BOGOTA DC</v>
          </cell>
          <cell r="M1287" t="str">
            <v>3457558</v>
          </cell>
        </row>
        <row r="1288">
          <cell r="A1288">
            <v>19244118</v>
          </cell>
          <cell r="B1288" t="str">
            <v>7</v>
          </cell>
          <cell r="C1288" t="str">
            <v/>
          </cell>
          <cell r="D1288" t="str">
            <v>NP</v>
          </cell>
          <cell r="E1288" t="str">
            <v>LEOVEDIS ELIAS</v>
          </cell>
          <cell r="F1288" t="str">
            <v>MARTINEZ DURAN</v>
          </cell>
          <cell r="G1288" t="str">
            <v>MARTINEZ DURAN LEOVEDIS ELIAS</v>
          </cell>
          <cell r="H1288" t="str">
            <v>RECO</v>
          </cell>
          <cell r="I1288" t="str">
            <v>REGIMEN COMUN</v>
          </cell>
          <cell r="J1288" t="str">
            <v>CR 13   64   29</v>
          </cell>
          <cell r="K1288" t="str">
            <v>11001</v>
          </cell>
          <cell r="L1288" t="str">
            <v>BOGOTA DC</v>
          </cell>
          <cell r="M1288" t="str">
            <v>3000861</v>
          </cell>
        </row>
        <row r="1289">
          <cell r="A1289">
            <v>19245932</v>
          </cell>
          <cell r="B1289" t="str">
            <v>0</v>
          </cell>
          <cell r="C1289" t="str">
            <v/>
          </cell>
          <cell r="D1289" t="str">
            <v>NP</v>
          </cell>
          <cell r="E1289" t="str">
            <v>LUIS FERNANDO</v>
          </cell>
          <cell r="F1289" t="str">
            <v xml:space="preserve">GALLO </v>
          </cell>
          <cell r="G1289" t="str">
            <v>LUIS FERNANDO GALLO</v>
          </cell>
          <cell r="H1289" t="str">
            <v>RECO</v>
          </cell>
          <cell r="I1289" t="str">
            <v>REGIMEN COMUN</v>
          </cell>
          <cell r="J1289" t="str">
            <v xml:space="preserve">CR 23 N 64B 33                     </v>
          </cell>
          <cell r="K1289" t="str">
            <v>17001</v>
          </cell>
          <cell r="L1289" t="str">
            <v>MANIZALES</v>
          </cell>
          <cell r="M1289" t="str">
            <v>8756262</v>
          </cell>
        </row>
        <row r="1290">
          <cell r="A1290">
            <v>19264868</v>
          </cell>
          <cell r="B1290" t="str">
            <v>8</v>
          </cell>
          <cell r="C1290" t="str">
            <v/>
          </cell>
          <cell r="D1290" t="str">
            <v>NP</v>
          </cell>
          <cell r="E1290" t="str">
            <v>EDGAR EDUARDO</v>
          </cell>
          <cell r="F1290" t="str">
            <v>GALVIS</v>
          </cell>
          <cell r="G1290" t="str">
            <v>GALVIS EDGAR EDUARDO</v>
          </cell>
          <cell r="H1290" t="str">
            <v>RESI</v>
          </cell>
          <cell r="I1290" t="str">
            <v>REGIMEN SIMPLIFICADO</v>
          </cell>
          <cell r="J1290" t="str">
            <v>CL 23 A 26 15 P2 BRR SALITRE</v>
          </cell>
          <cell r="K1290" t="str">
            <v>85001</v>
          </cell>
          <cell r="L1290" t="str">
            <v>YOPAL</v>
          </cell>
          <cell r="M1290" t="str">
            <v>3108519447</v>
          </cell>
        </row>
        <row r="1291">
          <cell r="A1291">
            <v>19269547</v>
          </cell>
          <cell r="B1291" t="str">
            <v>1</v>
          </cell>
          <cell r="C1291" t="str">
            <v/>
          </cell>
          <cell r="D1291" t="str">
            <v>NP</v>
          </cell>
          <cell r="E1291" t="str">
            <v>GUSTAVO</v>
          </cell>
          <cell r="F1291" t="str">
            <v>GUEVARA CAMARGO</v>
          </cell>
          <cell r="G1291" t="str">
            <v>GUEVARA CAMARGO GUSTAVO</v>
          </cell>
          <cell r="H1291" t="str">
            <v>NORE</v>
          </cell>
          <cell r="I1291" t="str">
            <v>NO RESPONSABLE DE IVA</v>
          </cell>
          <cell r="J1291" t="str">
            <v>CL 26 20 78</v>
          </cell>
          <cell r="K1291" t="str">
            <v>15516</v>
          </cell>
          <cell r="L1291" t="str">
            <v>PAIPA</v>
          </cell>
          <cell r="M1291" t="str">
            <v>3115035762</v>
          </cell>
        </row>
        <row r="1292">
          <cell r="A1292">
            <v>19281072</v>
          </cell>
          <cell r="B1292" t="str">
            <v>4</v>
          </cell>
          <cell r="C1292" t="str">
            <v/>
          </cell>
          <cell r="D1292" t="str">
            <v>NP</v>
          </cell>
          <cell r="E1292" t="str">
            <v>GUILLERMO</v>
          </cell>
          <cell r="F1292" t="str">
            <v>LEON</v>
          </cell>
          <cell r="G1292" t="str">
            <v>LEON GUILLERMO</v>
          </cell>
          <cell r="H1292" t="str">
            <v>NORE</v>
          </cell>
          <cell r="I1292" t="str">
            <v>NO RESPONSABLE DE IVA</v>
          </cell>
          <cell r="J1292" t="str">
            <v>CR 18 11 16 BRR VEINTE DE JULIO</v>
          </cell>
          <cell r="K1292" t="str">
            <v>15759</v>
          </cell>
          <cell r="L1292" t="str">
            <v>SOGAMOSO</v>
          </cell>
          <cell r="M1292" t="str">
            <v>3102827420</v>
          </cell>
        </row>
        <row r="1293">
          <cell r="A1293">
            <v>19282859</v>
          </cell>
          <cell r="B1293" t="str">
            <v>8</v>
          </cell>
          <cell r="C1293" t="str">
            <v/>
          </cell>
          <cell r="D1293" t="str">
            <v>NP</v>
          </cell>
          <cell r="E1293" t="str">
            <v>WILLIAM GERARDO</v>
          </cell>
          <cell r="F1293" t="str">
            <v>VARGAS MORENO</v>
          </cell>
          <cell r="G1293" t="str">
            <v>WILLIAM GERARDO VARGAS MORENO</v>
          </cell>
          <cell r="H1293" t="str">
            <v>RECO</v>
          </cell>
          <cell r="I1293" t="str">
            <v>REGIMEN COMUN</v>
          </cell>
          <cell r="J1293" t="str">
            <v xml:space="preserve">CR 23 N 64B 33                     </v>
          </cell>
          <cell r="K1293" t="str">
            <v>17001</v>
          </cell>
          <cell r="L1293" t="str">
            <v>MANIZALES</v>
          </cell>
          <cell r="M1293" t="str">
            <v>8756262</v>
          </cell>
        </row>
        <row r="1294">
          <cell r="A1294">
            <v>19290480</v>
          </cell>
          <cell r="B1294" t="str">
            <v>4</v>
          </cell>
          <cell r="C1294" t="str">
            <v/>
          </cell>
          <cell r="D1294" t="str">
            <v>NP</v>
          </cell>
          <cell r="E1294" t="str">
            <v>DIEGO</v>
          </cell>
          <cell r="F1294" t="str">
            <v>CAICEDO LARA</v>
          </cell>
          <cell r="G1294" t="str">
            <v>CAICEDO LARA DIEGO</v>
          </cell>
          <cell r="H1294" t="str">
            <v>RECO</v>
          </cell>
          <cell r="I1294" t="str">
            <v>REGIMEN COMUN</v>
          </cell>
          <cell r="J1294" t="str">
            <v>CL 6   14   14</v>
          </cell>
          <cell r="K1294" t="str">
            <v>85410</v>
          </cell>
          <cell r="L1294" t="str">
            <v>TAURAMENA</v>
          </cell>
          <cell r="M1294" t="str">
            <v>3102330129</v>
          </cell>
        </row>
        <row r="1295">
          <cell r="A1295">
            <v>19290909</v>
          </cell>
          <cell r="B1295" t="str">
            <v>1</v>
          </cell>
          <cell r="C1295" t="str">
            <v/>
          </cell>
          <cell r="D1295" t="str">
            <v>NP</v>
          </cell>
          <cell r="E1295" t="str">
            <v>NICOLAS</v>
          </cell>
          <cell r="F1295" t="str">
            <v>PEREZ ORJUELA</v>
          </cell>
          <cell r="G1295" t="str">
            <v>PEREZ ORJUELA NICOLAS</v>
          </cell>
          <cell r="H1295" t="str">
            <v>RCPN</v>
          </cell>
          <cell r="I1295" t="str">
            <v>RESPONSABLE IVA PERSONA NATURAL</v>
          </cell>
          <cell r="J1295" t="str">
            <v>CR 68 D   25 B 86</v>
          </cell>
          <cell r="K1295" t="str">
            <v>11001</v>
          </cell>
          <cell r="L1295" t="str">
            <v>BOGOTA DC</v>
          </cell>
          <cell r="M1295" t="str">
            <v>4059595</v>
          </cell>
        </row>
        <row r="1296">
          <cell r="A1296">
            <v>19292660</v>
          </cell>
          <cell r="B1296" t="str">
            <v/>
          </cell>
          <cell r="C1296" t="str">
            <v/>
          </cell>
          <cell r="D1296" t="str">
            <v>CC</v>
          </cell>
          <cell r="E1296" t="str">
            <v>MARIO ENRIQUE</v>
          </cell>
          <cell r="F1296" t="str">
            <v>GONZALEZ BALCARCEL</v>
          </cell>
          <cell r="G1296" t="str">
            <v>GONZALEZ BALCARCEL MARIO ENRIQUE</v>
          </cell>
          <cell r="H1296" t="str">
            <v>RESI</v>
          </cell>
          <cell r="I1296" t="str">
            <v>REGIMEN SIMPLIFICADO</v>
          </cell>
          <cell r="J1296" t="str">
            <v>MCP TRINIDAD VRD EL LORO PD EL RETIRO</v>
          </cell>
          <cell r="K1296" t="str">
            <v>17001</v>
          </cell>
          <cell r="L1296" t="str">
            <v>MANIZALES</v>
          </cell>
          <cell r="M1296" t="str">
            <v>3106808134</v>
          </cell>
        </row>
        <row r="1297">
          <cell r="A1297">
            <v>19300864</v>
          </cell>
          <cell r="B1297" t="str">
            <v>3</v>
          </cell>
          <cell r="C1297" t="str">
            <v/>
          </cell>
          <cell r="D1297" t="str">
            <v>NP</v>
          </cell>
          <cell r="E1297" t="str">
            <v xml:space="preserve">ROBERTO </v>
          </cell>
          <cell r="F1297" t="str">
            <v>HURTADO SANCHEZ</v>
          </cell>
          <cell r="G1297" t="str">
            <v>ROBERTO HURTADO SANCHEZ</v>
          </cell>
          <cell r="H1297" t="str">
            <v>RESI</v>
          </cell>
          <cell r="I1297" t="str">
            <v>REGIMEN SIMPLIFICADO</v>
          </cell>
          <cell r="J1297" t="str">
            <v>CL 15 N 17 A   40</v>
          </cell>
          <cell r="K1297" t="str">
            <v>15516</v>
          </cell>
          <cell r="L1297" t="str">
            <v>PAIPA</v>
          </cell>
          <cell r="M1297" t="str">
            <v>7853826</v>
          </cell>
        </row>
        <row r="1298">
          <cell r="A1298">
            <v>19303225</v>
          </cell>
          <cell r="B1298" t="str">
            <v>0</v>
          </cell>
          <cell r="C1298" t="str">
            <v/>
          </cell>
          <cell r="D1298" t="str">
            <v>NP</v>
          </cell>
          <cell r="E1298" t="str">
            <v>SAUL</v>
          </cell>
          <cell r="F1298" t="str">
            <v>LIZARAZO LIZARAZO</v>
          </cell>
          <cell r="G1298" t="str">
            <v>LIZARAZO LIZARAZO SAUL</v>
          </cell>
          <cell r="H1298" t="str">
            <v>RESI</v>
          </cell>
          <cell r="I1298" t="str">
            <v>REGIMEN SIMPLIFICADO</v>
          </cell>
          <cell r="J1298" t="str">
            <v>VDA SAN LORENZO DE ABAJO</v>
          </cell>
          <cell r="K1298" t="str">
            <v>15238</v>
          </cell>
          <cell r="L1298" t="str">
            <v>DUITAMA</v>
          </cell>
          <cell r="M1298" t="str">
            <v>7638091</v>
          </cell>
        </row>
        <row r="1299">
          <cell r="A1299">
            <v>19304594</v>
          </cell>
          <cell r="B1299" t="str">
            <v>8</v>
          </cell>
          <cell r="C1299" t="str">
            <v/>
          </cell>
          <cell r="D1299" t="str">
            <v>NP</v>
          </cell>
          <cell r="E1299" t="str">
            <v>HERIBERTO</v>
          </cell>
          <cell r="F1299" t="str">
            <v>SAAVEDRA TRUJILLO</v>
          </cell>
          <cell r="G1299" t="str">
            <v>SAAVEDRA TRUJILLO HERIBERTO</v>
          </cell>
          <cell r="H1299" t="str">
            <v>RESI</v>
          </cell>
          <cell r="I1299" t="str">
            <v>REGIMEN SIMPLIFICADO</v>
          </cell>
          <cell r="J1299" t="str">
            <v>CL18  10 30 BRR COMUNEROS</v>
          </cell>
          <cell r="K1299" t="str">
            <v>94001</v>
          </cell>
          <cell r="L1299" t="str">
            <v>INÍRIDA</v>
          </cell>
          <cell r="M1299" t="str">
            <v>3133774631</v>
          </cell>
        </row>
        <row r="1300">
          <cell r="A1300">
            <v>19314632</v>
          </cell>
          <cell r="B1300" t="str">
            <v/>
          </cell>
          <cell r="C1300" t="str">
            <v/>
          </cell>
          <cell r="D1300" t="str">
            <v>CC</v>
          </cell>
          <cell r="E1300" t="str">
            <v>JAIRO ALBERTO</v>
          </cell>
          <cell r="F1300" t="str">
            <v>CORTES GOMEZ</v>
          </cell>
          <cell r="G1300" t="str">
            <v>CORTES GOMEZ JAIRO ALBERTO</v>
          </cell>
          <cell r="H1300" t="str">
            <v>FUNC</v>
          </cell>
          <cell r="I1300" t="str">
            <v>FUNCIONARIO</v>
          </cell>
          <cell r="J1300" t="str">
            <v>CR 04   10   40</v>
          </cell>
          <cell r="K1300" t="str">
            <v>17001</v>
          </cell>
          <cell r="L1300" t="str">
            <v>MANIZALES</v>
          </cell>
          <cell r="M1300" t="str">
            <v>8554119</v>
          </cell>
        </row>
        <row r="1301">
          <cell r="A1301">
            <v>19317026</v>
          </cell>
          <cell r="B1301" t="str">
            <v>2</v>
          </cell>
          <cell r="C1301" t="str">
            <v/>
          </cell>
          <cell r="D1301" t="str">
            <v>NP</v>
          </cell>
          <cell r="E1301" t="str">
            <v>HERNAN</v>
          </cell>
          <cell r="F1301" t="str">
            <v>MONTAÑA RODRIGUEZ</v>
          </cell>
          <cell r="G1301" t="str">
            <v>MONTAÑA RODRIGUEZ HERNAN</v>
          </cell>
          <cell r="H1301" t="str">
            <v>RECO</v>
          </cell>
          <cell r="I1301" t="str">
            <v>REGIMEN COMUN</v>
          </cell>
          <cell r="J1301" t="str">
            <v>CR 10 21 33 P 2</v>
          </cell>
          <cell r="K1301" t="str">
            <v>15001</v>
          </cell>
          <cell r="L1301" t="str">
            <v>TUNJA</v>
          </cell>
          <cell r="M1301" t="str">
            <v>7442672</v>
          </cell>
        </row>
        <row r="1302">
          <cell r="A1302">
            <v>19332538</v>
          </cell>
          <cell r="B1302" t="str">
            <v>4</v>
          </cell>
          <cell r="C1302" t="str">
            <v/>
          </cell>
          <cell r="D1302" t="str">
            <v>NP</v>
          </cell>
          <cell r="E1302" t="str">
            <v>CARLOS ALONSO</v>
          </cell>
          <cell r="F1302" t="str">
            <v>VILLABA</v>
          </cell>
          <cell r="G1302" t="str">
            <v>VILLABA CARLOS ALONSO/COMERCIAL DE COPIADORAS</v>
          </cell>
          <cell r="H1302" t="str">
            <v>RESI</v>
          </cell>
          <cell r="I1302" t="str">
            <v>REGIMEN SIMPLIFICADO</v>
          </cell>
          <cell r="J1302" t="str">
            <v>CR 48 69 A 52</v>
          </cell>
          <cell r="K1302" t="str">
            <v>11001</v>
          </cell>
          <cell r="L1302" t="str">
            <v>BOGOTA DC</v>
          </cell>
          <cell r="M1302" t="str">
            <v>4808152</v>
          </cell>
        </row>
        <row r="1303">
          <cell r="A1303">
            <v>19341631</v>
          </cell>
          <cell r="B1303" t="str">
            <v>1</v>
          </cell>
          <cell r="C1303" t="str">
            <v/>
          </cell>
          <cell r="D1303" t="str">
            <v>NP</v>
          </cell>
          <cell r="E1303" t="str">
            <v>JESUS ALFREDO</v>
          </cell>
          <cell r="F1303" t="str">
            <v>CUBILLOS LEAL</v>
          </cell>
          <cell r="G1303" t="str">
            <v>CUBILLOS LEAL JESUS ALFREDO</v>
          </cell>
          <cell r="H1303" t="str">
            <v>RESI</v>
          </cell>
          <cell r="I1303" t="str">
            <v>REGIMEN SIMPLIFICADO</v>
          </cell>
          <cell r="J1303" t="str">
            <v>CL 23 5   27</v>
          </cell>
          <cell r="K1303" t="str">
            <v>11001</v>
          </cell>
          <cell r="L1303" t="str">
            <v>BOGOTA DC</v>
          </cell>
          <cell r="M1303" t="str">
            <v>8296294</v>
          </cell>
        </row>
        <row r="1304">
          <cell r="A1304">
            <v>19349647</v>
          </cell>
          <cell r="B1304" t="str">
            <v>3</v>
          </cell>
          <cell r="C1304" t="str">
            <v/>
          </cell>
          <cell r="D1304" t="str">
            <v>NP</v>
          </cell>
          <cell r="E1304" t="str">
            <v>ORFILIO</v>
          </cell>
          <cell r="F1304" t="str">
            <v>GONZALEZ CRISTANCHO</v>
          </cell>
          <cell r="G1304" t="str">
            <v>GONZALEZ CRISTANCHO ORFILIO</v>
          </cell>
          <cell r="H1304" t="str">
            <v>RECO</v>
          </cell>
          <cell r="I1304" t="str">
            <v>REGIMEN COMUN</v>
          </cell>
          <cell r="J1304" t="str">
            <v>CR 19   9   40</v>
          </cell>
          <cell r="K1304" t="str">
            <v>85010</v>
          </cell>
          <cell r="L1304" t="str">
            <v>AGUAZUL</v>
          </cell>
          <cell r="M1304" t="str">
            <v>6382747</v>
          </cell>
        </row>
        <row r="1305">
          <cell r="A1305">
            <v>19356527</v>
          </cell>
          <cell r="B1305" t="str">
            <v/>
          </cell>
          <cell r="C1305" t="str">
            <v/>
          </cell>
          <cell r="D1305" t="str">
            <v>CC</v>
          </cell>
          <cell r="E1305" t="str">
            <v>PEDRO DARIO</v>
          </cell>
          <cell r="F1305" t="str">
            <v>LESMES COMBARIZA</v>
          </cell>
          <cell r="G1305" t="str">
            <v>LESMES COMBARIZA PEDRO DARIO</v>
          </cell>
          <cell r="H1305" t="str">
            <v>FUNC</v>
          </cell>
          <cell r="I1305" t="str">
            <v>FUNCIONARIO</v>
          </cell>
          <cell r="J1305" t="str">
            <v>CR 27   20   56 DUITAMA</v>
          </cell>
          <cell r="K1305" t="str">
            <v>15516</v>
          </cell>
          <cell r="L1305" t="str">
            <v>PAIPA</v>
          </cell>
          <cell r="M1305" t="str">
            <v>8872388</v>
          </cell>
        </row>
        <row r="1306">
          <cell r="A1306">
            <v>19368344</v>
          </cell>
          <cell r="B1306" t="str">
            <v>8</v>
          </cell>
          <cell r="C1306" t="str">
            <v/>
          </cell>
          <cell r="D1306" t="str">
            <v>NP</v>
          </cell>
          <cell r="E1306" t="str">
            <v>JORGE MARTIN</v>
          </cell>
          <cell r="F1306" t="str">
            <v>CUEVAS VALDERRAMA</v>
          </cell>
          <cell r="G1306" t="str">
            <v>CUEVAS VALDERRAMA JORGE MARTIN</v>
          </cell>
          <cell r="H1306" t="str">
            <v>IMVE</v>
          </cell>
          <cell r="I1306" t="str">
            <v>IMPUESTO SOBRE LAS VENTAS</v>
          </cell>
          <cell r="J1306" t="str">
            <v xml:space="preserve"> CR 28B N 66 10 AP 403</v>
          </cell>
          <cell r="K1306" t="str">
            <v>17001</v>
          </cell>
          <cell r="L1306" t="str">
            <v>MANIZALES</v>
          </cell>
          <cell r="M1306" t="str">
            <v>3104556172</v>
          </cell>
        </row>
        <row r="1307">
          <cell r="A1307">
            <v>19372895</v>
          </cell>
          <cell r="B1307" t="str">
            <v>1</v>
          </cell>
          <cell r="C1307" t="str">
            <v/>
          </cell>
          <cell r="D1307" t="str">
            <v>NP</v>
          </cell>
          <cell r="E1307" t="str">
            <v>JORGE ALBERTO</v>
          </cell>
          <cell r="F1307" t="str">
            <v>CALDERON CARDENAS</v>
          </cell>
          <cell r="G1307" t="str">
            <v>JORGE ALBERTO CALDERON CARDENAS</v>
          </cell>
          <cell r="H1307" t="str">
            <v>REOR</v>
          </cell>
          <cell r="I1307" t="str">
            <v>RENTA REGIMEN ORDINARIO</v>
          </cell>
          <cell r="J1307" t="str">
            <v>CL 145 A 28 33 IN 8</v>
          </cell>
          <cell r="K1307" t="str">
            <v>11001</v>
          </cell>
          <cell r="L1307" t="str">
            <v>BOGOTA DC</v>
          </cell>
          <cell r="M1307" t="str">
            <v>6273173</v>
          </cell>
        </row>
        <row r="1308">
          <cell r="A1308">
            <v>19387160</v>
          </cell>
          <cell r="B1308" t="str">
            <v>0</v>
          </cell>
          <cell r="C1308" t="str">
            <v/>
          </cell>
          <cell r="D1308" t="str">
            <v>NP</v>
          </cell>
          <cell r="E1308" t="str">
            <v>GABRIEL</v>
          </cell>
          <cell r="F1308" t="str">
            <v>URIBE ROLDAN</v>
          </cell>
          <cell r="G1308" t="str">
            <v>URIBE ROLDAN GABRIEL</v>
          </cell>
          <cell r="H1308" t="str">
            <v>RECO</v>
          </cell>
          <cell r="I1308" t="str">
            <v>REGIMEN COMUN</v>
          </cell>
          <cell r="J1308" t="str">
            <v>CL 18   28 A   51</v>
          </cell>
          <cell r="K1308" t="str">
            <v>11001</v>
          </cell>
          <cell r="L1308" t="str">
            <v>BOGOTA DC</v>
          </cell>
          <cell r="M1308" t="str">
            <v>2370010</v>
          </cell>
        </row>
        <row r="1309">
          <cell r="A1309">
            <v>19388621</v>
          </cell>
          <cell r="B1309" t="str">
            <v/>
          </cell>
          <cell r="C1309" t="str">
            <v/>
          </cell>
          <cell r="D1309" t="str">
            <v>CC</v>
          </cell>
          <cell r="E1309" t="str">
            <v>ALFONSO</v>
          </cell>
          <cell r="F1309" t="str">
            <v>SANCHEZ GUERRERO</v>
          </cell>
          <cell r="G1309" t="str">
            <v>SANCHEZ GUERRERO ALFONSO</v>
          </cell>
          <cell r="H1309" t="str">
            <v>FUNC</v>
          </cell>
          <cell r="I1309" t="str">
            <v>FUNCIONARIO</v>
          </cell>
          <cell r="J1309" t="str">
            <v>CR 17 N 3 49 BRR ARRAYANES</v>
          </cell>
          <cell r="K1309" t="str">
            <v>15759</v>
          </cell>
          <cell r="L1309" t="str">
            <v>SOGAMOSO</v>
          </cell>
          <cell r="M1309" t="str">
            <v>3206776409</v>
          </cell>
        </row>
        <row r="1310">
          <cell r="A1310">
            <v>19403754</v>
          </cell>
          <cell r="B1310" t="str">
            <v>4</v>
          </cell>
          <cell r="C1310" t="str">
            <v/>
          </cell>
          <cell r="D1310" t="str">
            <v>NP</v>
          </cell>
          <cell r="E1310" t="str">
            <v>JOSE MARIA</v>
          </cell>
          <cell r="F1310" t="str">
            <v>VARGAS LAVERDE</v>
          </cell>
          <cell r="G1310" t="str">
            <v>VARGAS LAVERDE JOSE MARIA</v>
          </cell>
          <cell r="H1310" t="str">
            <v>RECO</v>
          </cell>
          <cell r="I1310" t="str">
            <v>REGIMEN COMUN</v>
          </cell>
          <cell r="J1310" t="str">
            <v>CL 5 CR 8   05</v>
          </cell>
          <cell r="K1310" t="str">
            <v>85230</v>
          </cell>
          <cell r="L1310" t="str">
            <v>OROCUÉ</v>
          </cell>
          <cell r="M1310" t="str">
            <v>6365065</v>
          </cell>
        </row>
        <row r="1311">
          <cell r="A1311">
            <v>19404927</v>
          </cell>
          <cell r="B1311" t="str">
            <v>6</v>
          </cell>
          <cell r="C1311" t="str">
            <v/>
          </cell>
          <cell r="D1311" t="str">
            <v>NP</v>
          </cell>
          <cell r="E1311" t="str">
            <v>ANDRES BERNANRDO</v>
          </cell>
          <cell r="F1311" t="str">
            <v>ALVAREZ BONILLA</v>
          </cell>
          <cell r="G1311" t="str">
            <v>ALVAREZ BONILLA ANDRES BERNANRDO</v>
          </cell>
          <cell r="H1311" t="str">
            <v>RECO</v>
          </cell>
          <cell r="I1311" t="str">
            <v>REGIMEN COMUN</v>
          </cell>
          <cell r="J1311" t="str">
            <v>CR 53   115   20 AP 203 BRR LA ALHAMBRA</v>
          </cell>
          <cell r="K1311" t="str">
            <v>11001</v>
          </cell>
          <cell r="L1311" t="str">
            <v>BOGOTA DC</v>
          </cell>
          <cell r="M1311" t="str">
            <v>6195185</v>
          </cell>
        </row>
        <row r="1312">
          <cell r="A1312">
            <v>19410651</v>
          </cell>
          <cell r="B1312" t="str">
            <v>3</v>
          </cell>
          <cell r="C1312" t="str">
            <v/>
          </cell>
          <cell r="D1312" t="str">
            <v>NP</v>
          </cell>
          <cell r="E1312" t="str">
            <v>JOSE LIZARDO</v>
          </cell>
          <cell r="F1312" t="str">
            <v>DELVASTO LARA</v>
          </cell>
          <cell r="G1312" t="str">
            <v>DELVASTO LARA JOSE LIZARDO</v>
          </cell>
          <cell r="H1312" t="str">
            <v>RESI</v>
          </cell>
          <cell r="I1312" t="str">
            <v>REGIMEN SIMPLIFICADO</v>
          </cell>
          <cell r="J1312" t="str">
            <v>CL 15 9 62 BRR LA ESPERANZA</v>
          </cell>
          <cell r="K1312" t="str">
            <v>94001</v>
          </cell>
          <cell r="L1312" t="str">
            <v>INÍRIDA</v>
          </cell>
          <cell r="M1312" t="str">
            <v>3115067058</v>
          </cell>
        </row>
        <row r="1313">
          <cell r="A1313">
            <v>19414892</v>
          </cell>
          <cell r="B1313" t="str">
            <v>1</v>
          </cell>
          <cell r="C1313" t="str">
            <v/>
          </cell>
          <cell r="D1313" t="str">
            <v>NP</v>
          </cell>
          <cell r="E1313" t="str">
            <v>MIGUEL ANGEL</v>
          </cell>
          <cell r="F1313" t="str">
            <v>GOMEZ MOLLER</v>
          </cell>
          <cell r="G1313" t="str">
            <v>GOMEZ MOLLER MIGUEL ANGEL</v>
          </cell>
          <cell r="H1313" t="str">
            <v>RESI</v>
          </cell>
          <cell r="I1313" t="str">
            <v>REGIMEN SIMPLIFICADO</v>
          </cell>
          <cell r="J1313" t="str">
            <v>CL 34 SUR  78 C  39 BL 18  AP 304  BRR KENNEDY</v>
          </cell>
          <cell r="K1313" t="str">
            <v>11001</v>
          </cell>
          <cell r="L1313" t="str">
            <v>BOGOTA DC</v>
          </cell>
          <cell r="M1313" t="str">
            <v>3103137297</v>
          </cell>
        </row>
        <row r="1314">
          <cell r="A1314">
            <v>19438771</v>
          </cell>
          <cell r="B1314" t="str">
            <v>0</v>
          </cell>
          <cell r="C1314" t="str">
            <v/>
          </cell>
          <cell r="D1314" t="str">
            <v>NP</v>
          </cell>
          <cell r="E1314" t="str">
            <v>JOSE MIGUEL</v>
          </cell>
          <cell r="F1314" t="str">
            <v>ACOSTA SUAREZ</v>
          </cell>
          <cell r="G1314" t="str">
            <v>ACOSTA SUAREZ JOSE MIGUEL</v>
          </cell>
          <cell r="H1314" t="str">
            <v>RECO</v>
          </cell>
          <cell r="I1314" t="str">
            <v>REGIMEN COMUN</v>
          </cell>
          <cell r="J1314" t="str">
            <v>CL 71   2 A 44 AP 301</v>
          </cell>
          <cell r="K1314" t="str">
            <v>11001</v>
          </cell>
          <cell r="L1314" t="str">
            <v>BOGOTA DC</v>
          </cell>
          <cell r="M1314" t="str">
            <v>6751614</v>
          </cell>
        </row>
        <row r="1315">
          <cell r="A1315">
            <v>19440556</v>
          </cell>
          <cell r="B1315" t="str">
            <v/>
          </cell>
          <cell r="C1315" t="str">
            <v/>
          </cell>
          <cell r="D1315" t="str">
            <v>CC</v>
          </cell>
          <cell r="E1315" t="str">
            <v>GUILLERMO</v>
          </cell>
          <cell r="F1315" t="str">
            <v>DUENAS HERNANDEZ</v>
          </cell>
          <cell r="G1315" t="str">
            <v>DUENAS HERNANDEZ GUILLERMO</v>
          </cell>
          <cell r="H1315" t="str">
            <v>FUNC</v>
          </cell>
          <cell r="I1315" t="str">
            <v>FUNCIONARIO</v>
          </cell>
          <cell r="J1315" t="str">
            <v>CALLE 14A No 8A-88 BARRIO VILLA REPUBLICANA MZ F CASA 44</v>
          </cell>
          <cell r="K1315" t="str">
            <v>15693</v>
          </cell>
          <cell r="L1315" t="str">
            <v>SANTA ROSA DE VITERBO</v>
          </cell>
          <cell r="M1315" t="str">
            <v>3107954549</v>
          </cell>
        </row>
        <row r="1316">
          <cell r="A1316">
            <v>19455473</v>
          </cell>
          <cell r="B1316" t="str">
            <v/>
          </cell>
          <cell r="C1316" t="str">
            <v/>
          </cell>
          <cell r="D1316" t="str">
            <v>CC</v>
          </cell>
          <cell r="E1316" t="str">
            <v>HECTOR</v>
          </cell>
          <cell r="F1316" t="str">
            <v>SANCHEZ CUELLAR</v>
          </cell>
          <cell r="G1316" t="str">
            <v>SANCHEZ CUELLAR HECTOR</v>
          </cell>
          <cell r="H1316" t="str">
            <v>RECO</v>
          </cell>
          <cell r="I1316" t="str">
            <v>REGIMEN COMUN</v>
          </cell>
          <cell r="J1316" t="str">
            <v>CR 16   6   34</v>
          </cell>
          <cell r="K1316" t="str">
            <v>18001</v>
          </cell>
          <cell r="L1316" t="str">
            <v>FLORENCIA</v>
          </cell>
          <cell r="M1316" t="str">
            <v>3125925389</v>
          </cell>
        </row>
        <row r="1317">
          <cell r="A1317">
            <v>19457671</v>
          </cell>
          <cell r="B1317" t="str">
            <v>3</v>
          </cell>
          <cell r="C1317" t="str">
            <v/>
          </cell>
          <cell r="D1317" t="str">
            <v>NP</v>
          </cell>
          <cell r="E1317" t="str">
            <v>RICARDO ARTURO</v>
          </cell>
          <cell r="F1317" t="str">
            <v>AREVALO HADDAD</v>
          </cell>
          <cell r="G1317" t="str">
            <v>AREVALO HADDAD RICARDO ARTURO</v>
          </cell>
          <cell r="H1317" t="str">
            <v>REOR</v>
          </cell>
          <cell r="I1317" t="str">
            <v>RENTA REGIMEN ORDINARIO</v>
          </cell>
          <cell r="J1317" t="str">
            <v>CR 9 BIS   96   61 AP 204</v>
          </cell>
          <cell r="K1317" t="str">
            <v>11001</v>
          </cell>
          <cell r="L1317" t="str">
            <v>BOGOTA DC</v>
          </cell>
          <cell r="M1317" t="str">
            <v>7598726</v>
          </cell>
        </row>
        <row r="1318">
          <cell r="A1318">
            <v>19487260</v>
          </cell>
          <cell r="B1318" t="str">
            <v>8</v>
          </cell>
          <cell r="C1318" t="str">
            <v/>
          </cell>
          <cell r="D1318" t="str">
            <v>NP</v>
          </cell>
          <cell r="E1318" t="str">
            <v>ALVARO RENE</v>
          </cell>
          <cell r="F1318" t="str">
            <v>LARRAÑAGA NARCAEZ</v>
          </cell>
          <cell r="G1318" t="str">
            <v>LARRAÑAGA NARCAEZ ALVARO RENE</v>
          </cell>
          <cell r="H1318" t="str">
            <v>RESI</v>
          </cell>
          <cell r="I1318" t="str">
            <v>REGIMEN SIMPLIFICADO</v>
          </cell>
          <cell r="J1318" t="str">
            <v>CL 16 5 112 BRR EL CENTRO</v>
          </cell>
          <cell r="K1318" t="str">
            <v>94001</v>
          </cell>
          <cell r="L1318" t="str">
            <v>INÍRIDA</v>
          </cell>
          <cell r="M1318" t="str">
            <v>3212500627</v>
          </cell>
        </row>
        <row r="1319">
          <cell r="A1319">
            <v>19489314</v>
          </cell>
          <cell r="B1319" t="str">
            <v>6</v>
          </cell>
          <cell r="C1319" t="str">
            <v/>
          </cell>
          <cell r="D1319" t="str">
            <v>NP</v>
          </cell>
          <cell r="E1319" t="str">
            <v>JOSE ABELARDO</v>
          </cell>
          <cell r="F1319" t="str">
            <v>AMADOR SANCHEZ</v>
          </cell>
          <cell r="G1319" t="str">
            <v>AMADOR SANCHEZ JOSE ABELARDO</v>
          </cell>
          <cell r="H1319" t="str">
            <v>RECO</v>
          </cell>
          <cell r="I1319" t="str">
            <v>REGIMEN COMUN</v>
          </cell>
          <cell r="J1319" t="str">
            <v>CL 27   14   19 AP 303</v>
          </cell>
          <cell r="K1319" t="str">
            <v>85001</v>
          </cell>
          <cell r="L1319" t="str">
            <v>YOPAL</v>
          </cell>
          <cell r="M1319" t="str">
            <v>3102633105</v>
          </cell>
        </row>
        <row r="1320">
          <cell r="A1320">
            <v>19490691</v>
          </cell>
          <cell r="B1320" t="str">
            <v/>
          </cell>
          <cell r="C1320" t="str">
            <v/>
          </cell>
          <cell r="D1320" t="str">
            <v>CC</v>
          </cell>
          <cell r="E1320" t="str">
            <v>JOSE ANTONIO</v>
          </cell>
          <cell r="F1320" t="str">
            <v>PULIDO SALAZAR</v>
          </cell>
          <cell r="G1320" t="str">
            <v>PULIDO SALAZAR JOSE ANTONIO</v>
          </cell>
          <cell r="H1320" t="str">
            <v>RESI</v>
          </cell>
          <cell r="I1320" t="str">
            <v>REGIMEN SIMPLIFICADO</v>
          </cell>
          <cell r="J1320" t="str">
            <v>VEREDA EL MEREY PREDIO RURAL BUENAVISTA</v>
          </cell>
          <cell r="K1320" t="str">
            <v>85325</v>
          </cell>
          <cell r="L1320" t="str">
            <v>SAN LUIS DE PALENQUE</v>
          </cell>
          <cell r="M1320" t="str">
            <v>3115210898</v>
          </cell>
        </row>
        <row r="1321">
          <cell r="A1321">
            <v>19598295</v>
          </cell>
          <cell r="B1321" t="str">
            <v/>
          </cell>
          <cell r="C1321" t="str">
            <v/>
          </cell>
          <cell r="D1321" t="str">
            <v>CC</v>
          </cell>
          <cell r="E1321" t="str">
            <v>FRANKLIN ESTHEY</v>
          </cell>
          <cell r="F1321" t="str">
            <v>TORREGROZA CANTILLO</v>
          </cell>
          <cell r="G1321" t="str">
            <v>TORREGROZA CANTILLO FRANKLIN ESTHEY</v>
          </cell>
          <cell r="H1321" t="str">
            <v>RESI</v>
          </cell>
          <cell r="I1321" t="str">
            <v>REGIMEN SIMPLIFICADO</v>
          </cell>
          <cell r="J1321" t="str">
            <v>XXX</v>
          </cell>
          <cell r="K1321" t="str">
            <v>47288</v>
          </cell>
          <cell r="L1321" t="str">
            <v>FUNDACIÓN</v>
          </cell>
          <cell r="M1321" t="str">
            <v>XXX</v>
          </cell>
        </row>
        <row r="1322">
          <cell r="A1322">
            <v>20492261</v>
          </cell>
          <cell r="B1322" t="str">
            <v>9</v>
          </cell>
          <cell r="C1322" t="str">
            <v/>
          </cell>
          <cell r="D1322" t="str">
            <v>NP</v>
          </cell>
          <cell r="E1322" t="str">
            <v>MATILDE</v>
          </cell>
          <cell r="F1322" t="str">
            <v>ALDANA HERNANDEZ</v>
          </cell>
          <cell r="G1322" t="str">
            <v>ALDANA HERNANDEZ MATILDE</v>
          </cell>
          <cell r="H1322" t="str">
            <v>RESI</v>
          </cell>
          <cell r="I1322" t="str">
            <v>REGIMEN SIMPLIFICADO</v>
          </cell>
          <cell r="J1322" t="str">
            <v>CL 7 6 73</v>
          </cell>
          <cell r="K1322" t="str">
            <v>25183</v>
          </cell>
          <cell r="L1322" t="str">
            <v>CHOCONTÁ</v>
          </cell>
          <cell r="M1322" t="str">
            <v>3123789152</v>
          </cell>
        </row>
        <row r="1323">
          <cell r="A1323">
            <v>20866386</v>
          </cell>
          <cell r="B1323" t="str">
            <v>7</v>
          </cell>
          <cell r="C1323" t="str">
            <v/>
          </cell>
          <cell r="D1323" t="str">
            <v>NP</v>
          </cell>
          <cell r="E1323" t="str">
            <v>OLGA LUCIA</v>
          </cell>
          <cell r="F1323" t="str">
            <v>ARTEAGA BURGOS</v>
          </cell>
          <cell r="G1323" t="str">
            <v>ARTEAGA BURGOS OLGA LUCIA</v>
          </cell>
          <cell r="H1323" t="str">
            <v>NORE</v>
          </cell>
          <cell r="I1323" t="str">
            <v>NO RESPONSABLE DE IVA</v>
          </cell>
          <cell r="J1323" t="str">
            <v>CL 15 555</v>
          </cell>
          <cell r="K1323" t="str">
            <v>94001</v>
          </cell>
          <cell r="L1323" t="str">
            <v>INÍRIDA</v>
          </cell>
          <cell r="M1323" t="str">
            <v>3222488620</v>
          </cell>
        </row>
        <row r="1324">
          <cell r="A1324">
            <v>20932106</v>
          </cell>
          <cell r="B1324" t="str">
            <v>4</v>
          </cell>
          <cell r="C1324" t="str">
            <v/>
          </cell>
          <cell r="D1324" t="str">
            <v>NP</v>
          </cell>
          <cell r="E1324" t="str">
            <v>NANCY JUDITH</v>
          </cell>
          <cell r="F1324" t="str">
            <v>RODRIGUEZ SALGADO</v>
          </cell>
          <cell r="G1324" t="str">
            <v>RODRIGUEZ SALGADO NANCY JUDITH</v>
          </cell>
          <cell r="H1324" t="str">
            <v>RESI</v>
          </cell>
          <cell r="I1324" t="str">
            <v>REGIMEN SIMPLIFICADO</v>
          </cell>
          <cell r="J1324" t="str">
            <v>BRR EL CENTRO CL 16 5 97</v>
          </cell>
          <cell r="K1324" t="str">
            <v>94001</v>
          </cell>
          <cell r="L1324" t="str">
            <v>INÍRIDA</v>
          </cell>
          <cell r="M1324" t="str">
            <v>3138153203</v>
          </cell>
        </row>
        <row r="1325">
          <cell r="A1325">
            <v>21022942</v>
          </cell>
          <cell r="B1325" t="str">
            <v>4</v>
          </cell>
          <cell r="C1325" t="str">
            <v/>
          </cell>
          <cell r="D1325" t="str">
            <v>NP</v>
          </cell>
          <cell r="E1325" t="str">
            <v xml:space="preserve"> SOFIA</v>
          </cell>
          <cell r="F1325" t="str">
            <v>MILLAN</v>
          </cell>
          <cell r="G1325" t="str">
            <v>MILLAN  SOFIA</v>
          </cell>
          <cell r="H1325" t="str">
            <v>RESI</v>
          </cell>
          <cell r="I1325" t="str">
            <v>REGIMEN SIMPLIFICADO</v>
          </cell>
          <cell r="J1325" t="str">
            <v>SOBRE AUTOPISTA VEREDA SATIVA KM 1 PAIPA TUNJA</v>
          </cell>
          <cell r="K1325" t="str">
            <v>15516</v>
          </cell>
          <cell r="L1325" t="str">
            <v>PAIPA</v>
          </cell>
          <cell r="M1325" t="str">
            <v>3118194076</v>
          </cell>
        </row>
        <row r="1326">
          <cell r="A1326">
            <v>21047185</v>
          </cell>
          <cell r="B1326" t="str">
            <v>3</v>
          </cell>
          <cell r="C1326" t="str">
            <v/>
          </cell>
          <cell r="D1326" t="str">
            <v>NP</v>
          </cell>
          <cell r="E1326" t="str">
            <v>CARMEN  LEONILDE</v>
          </cell>
          <cell r="F1326" t="str">
            <v>MELO HERRERA</v>
          </cell>
          <cell r="G1326" t="str">
            <v>MELO HERRERA CARMEN  LEONILDE</v>
          </cell>
          <cell r="H1326" t="str">
            <v>RESI</v>
          </cell>
          <cell r="I1326" t="str">
            <v>REGIMEN SIMPLIFICADO</v>
          </cell>
          <cell r="J1326" t="str">
            <v>CR 7 A   5 51</v>
          </cell>
          <cell r="K1326" t="str">
            <v>11001</v>
          </cell>
          <cell r="L1326" t="str">
            <v>BOGOTA DC</v>
          </cell>
          <cell r="M1326" t="str">
            <v>2460963</v>
          </cell>
        </row>
        <row r="1327">
          <cell r="A1327">
            <v>21166346</v>
          </cell>
          <cell r="B1327" t="str">
            <v>2</v>
          </cell>
          <cell r="C1327" t="str">
            <v/>
          </cell>
          <cell r="D1327" t="str">
            <v>NP</v>
          </cell>
          <cell r="E1327" t="str">
            <v>MARTHA HELENA</v>
          </cell>
          <cell r="F1327" t="str">
            <v>ARIAS DE CONTRERAS</v>
          </cell>
          <cell r="G1327" t="str">
            <v xml:space="preserve">ARIAS DE MARTHA HELENA                                      </v>
          </cell>
          <cell r="H1327" t="str">
            <v>RESI</v>
          </cell>
          <cell r="I1327" t="str">
            <v>REGIMEN SIMPLIFICADO</v>
          </cell>
          <cell r="J1327" t="str">
            <v xml:space="preserve"> CL 185 B  35 G  42</v>
          </cell>
          <cell r="K1327" t="str">
            <v>11001</v>
          </cell>
          <cell r="L1327" t="str">
            <v>BOGOTA DC</v>
          </cell>
          <cell r="M1327" t="str">
            <v>6777174</v>
          </cell>
        </row>
        <row r="1328">
          <cell r="A1328">
            <v>21189681</v>
          </cell>
          <cell r="B1328" t="str">
            <v>4</v>
          </cell>
          <cell r="C1328" t="str">
            <v/>
          </cell>
          <cell r="D1328" t="str">
            <v>NP</v>
          </cell>
          <cell r="E1328" t="str">
            <v>PATRICIA</v>
          </cell>
          <cell r="F1328" t="str">
            <v>AMAYA CAMPOS</v>
          </cell>
          <cell r="G1328" t="str">
            <v>AMAYA CAMPOS PATRICIA</v>
          </cell>
          <cell r="H1328" t="str">
            <v>RECO</v>
          </cell>
          <cell r="I1328" t="str">
            <v>REGIMEN COMUN</v>
          </cell>
          <cell r="J1328" t="str">
            <v>KR 7 18 26</v>
          </cell>
          <cell r="K1328" t="str">
            <v>99001</v>
          </cell>
          <cell r="L1328" t="str">
            <v>PUERTO CARREÑO</v>
          </cell>
          <cell r="M1328" t="str">
            <v>54166</v>
          </cell>
        </row>
        <row r="1329">
          <cell r="A1329">
            <v>21225061</v>
          </cell>
          <cell r="B1329" t="str">
            <v/>
          </cell>
          <cell r="C1329" t="str">
            <v/>
          </cell>
          <cell r="D1329" t="str">
            <v>CC</v>
          </cell>
          <cell r="E1329" t="str">
            <v>ALCIRA</v>
          </cell>
          <cell r="F1329" t="str">
            <v>RINCON</v>
          </cell>
          <cell r="G1329" t="str">
            <v>RINCON ALCIRA</v>
          </cell>
          <cell r="H1329" t="str">
            <v>RESI</v>
          </cell>
          <cell r="I1329" t="str">
            <v>REGIMEN SIMPLIFICADO</v>
          </cell>
          <cell r="J1329" t="str">
            <v>MCP TRINIDAD</v>
          </cell>
          <cell r="K1329" t="str">
            <v>85430</v>
          </cell>
          <cell r="L1329" t="str">
            <v>TRINIDAD</v>
          </cell>
          <cell r="M1329" t="str">
            <v>8756262</v>
          </cell>
        </row>
        <row r="1330">
          <cell r="A1330">
            <v>21240363</v>
          </cell>
          <cell r="B1330" t="str">
            <v>4</v>
          </cell>
          <cell r="C1330" t="str">
            <v/>
          </cell>
          <cell r="D1330" t="str">
            <v>NP</v>
          </cell>
          <cell r="E1330" t="str">
            <v>YOLIMA ZORAYA</v>
          </cell>
          <cell r="F1330" t="str">
            <v>ROMERO MEDRANO</v>
          </cell>
          <cell r="G1330" t="str">
            <v>ROMERO MEDRANO YOLIMA ZORAYA</v>
          </cell>
          <cell r="H1330" t="str">
            <v>RECO</v>
          </cell>
          <cell r="I1330" t="str">
            <v>REGIMEN COMUN</v>
          </cell>
          <cell r="J1330" t="str">
            <v>CR 30 A   39   39 BRR CENTRO NOTARIA PRIMERA</v>
          </cell>
          <cell r="K1330" t="str">
            <v>50001</v>
          </cell>
          <cell r="L1330" t="str">
            <v>VILLAVICENCIO</v>
          </cell>
          <cell r="M1330" t="str">
            <v>6623862</v>
          </cell>
        </row>
        <row r="1331">
          <cell r="A1331">
            <v>21244919</v>
          </cell>
          <cell r="B1331" t="str">
            <v>7</v>
          </cell>
          <cell r="C1331" t="str">
            <v/>
          </cell>
          <cell r="D1331" t="str">
            <v>NP</v>
          </cell>
          <cell r="E1331" t="str">
            <v>GLORIA ALCIRA</v>
          </cell>
          <cell r="F1331" t="str">
            <v>AGUILERA CRUZ</v>
          </cell>
          <cell r="G1331" t="str">
            <v>AGUILERA CRUZ GLORIA ALCIRA</v>
          </cell>
          <cell r="H1331" t="str">
            <v>RECO</v>
          </cell>
          <cell r="I1331" t="str">
            <v>REGIMEN COMUN</v>
          </cell>
          <cell r="J1331" t="str">
            <v>CL 3 9 83 BRR LA CANDELARIA</v>
          </cell>
          <cell r="K1331" t="str">
            <v>85230</v>
          </cell>
          <cell r="L1331" t="str">
            <v>OROCUÉ</v>
          </cell>
          <cell r="M1331" t="str">
            <v>3143709142</v>
          </cell>
        </row>
        <row r="1332">
          <cell r="A1332">
            <v>21245635</v>
          </cell>
          <cell r="B1332" t="str">
            <v/>
          </cell>
          <cell r="C1332" t="str">
            <v/>
          </cell>
          <cell r="D1332" t="str">
            <v>CC</v>
          </cell>
          <cell r="E1332" t="str">
            <v>STELLA</v>
          </cell>
          <cell r="F1332" t="str">
            <v>RAMIREZ</v>
          </cell>
          <cell r="G1332" t="str">
            <v>RAMIREZ STELLA</v>
          </cell>
          <cell r="H1332" t="str">
            <v>RESI</v>
          </cell>
          <cell r="I1332" t="str">
            <v>REGIMEN SIMPLIFICADO</v>
          </cell>
          <cell r="J1332" t="str">
            <v>CR 23   64 B 35</v>
          </cell>
          <cell r="K1332" t="str">
            <v>97001</v>
          </cell>
          <cell r="L1332" t="str">
            <v>MITÚ</v>
          </cell>
          <cell r="M1332" t="str">
            <v>8856262</v>
          </cell>
        </row>
        <row r="1333">
          <cell r="A1333">
            <v>21246430</v>
          </cell>
          <cell r="B1333" t="str">
            <v/>
          </cell>
          <cell r="C1333" t="str">
            <v/>
          </cell>
          <cell r="D1333" t="str">
            <v>CC</v>
          </cell>
          <cell r="E1333" t="str">
            <v>CANDELARIA</v>
          </cell>
          <cell r="F1333" t="str">
            <v>MORENO OSPINA</v>
          </cell>
          <cell r="G1333" t="str">
            <v>MORENO OSPINA CANDELARIA</v>
          </cell>
          <cell r="H1333" t="str">
            <v>RESI</v>
          </cell>
          <cell r="I1333" t="str">
            <v>REGIMEN SIMPLIFICADO</v>
          </cell>
          <cell r="J1333" t="str">
            <v>AV 15 5 38 BRR SAN JOSE</v>
          </cell>
          <cell r="K1333" t="str">
            <v>97001</v>
          </cell>
          <cell r="L1333" t="str">
            <v>MITÚ</v>
          </cell>
          <cell r="M1333" t="str">
            <v>N/A</v>
          </cell>
        </row>
        <row r="1334">
          <cell r="A1334">
            <v>21447873</v>
          </cell>
          <cell r="B1334" t="str">
            <v/>
          </cell>
          <cell r="C1334" t="str">
            <v/>
          </cell>
          <cell r="D1334" t="str">
            <v>CC</v>
          </cell>
          <cell r="E1334" t="str">
            <v>AURA</v>
          </cell>
          <cell r="F1334" t="str">
            <v>VELEZ RUIZ</v>
          </cell>
          <cell r="G1334" t="str">
            <v>VELEZ RUIZ AURA</v>
          </cell>
          <cell r="H1334" t="str">
            <v>RECO</v>
          </cell>
          <cell r="I1334" t="str">
            <v>REGIMEN COMUN</v>
          </cell>
          <cell r="J1334" t="str">
            <v>CL 34 86 A 41AP 401 TO 7 BARRIO LAURELES</v>
          </cell>
          <cell r="K1334" t="str">
            <v>17001</v>
          </cell>
          <cell r="L1334" t="str">
            <v>MANIZALES</v>
          </cell>
          <cell r="M1334" t="str">
            <v>2529986</v>
          </cell>
        </row>
        <row r="1335">
          <cell r="A1335">
            <v>21475699</v>
          </cell>
          <cell r="B1335" t="str">
            <v>2</v>
          </cell>
          <cell r="C1335" t="str">
            <v/>
          </cell>
          <cell r="D1335" t="str">
            <v>NP</v>
          </cell>
          <cell r="E1335" t="str">
            <v>SORANY</v>
          </cell>
          <cell r="F1335" t="str">
            <v>GIRALDO OROZCO</v>
          </cell>
          <cell r="G1335" t="str">
            <v>GIRALDO OROZCO SORANY</v>
          </cell>
          <cell r="H1335" t="str">
            <v>NORE</v>
          </cell>
          <cell r="I1335" t="str">
            <v>NO RESPONSABLE DE IVA</v>
          </cell>
          <cell r="J1335" t="str">
            <v>CORR FLORENCIA</v>
          </cell>
          <cell r="K1335" t="str">
            <v>17662</v>
          </cell>
          <cell r="L1335" t="str">
            <v>SAMANÁ</v>
          </cell>
          <cell r="M1335" t="str">
            <v>3146020649</v>
          </cell>
        </row>
        <row r="1336">
          <cell r="A1336">
            <v>21476480</v>
          </cell>
          <cell r="B1336" t="str">
            <v/>
          </cell>
          <cell r="C1336" t="str">
            <v/>
          </cell>
          <cell r="D1336" t="str">
            <v>CC</v>
          </cell>
          <cell r="E1336" t="str">
            <v>CENAIDA</v>
          </cell>
          <cell r="F1336" t="str">
            <v>CARDONA RONDON</v>
          </cell>
          <cell r="G1336" t="str">
            <v>CARDONA RONDON CENAIDA</v>
          </cell>
          <cell r="H1336" t="str">
            <v>FUNC</v>
          </cell>
          <cell r="I1336" t="str">
            <v>FUNCIONARIO</v>
          </cell>
          <cell r="J1336" t="str">
            <v>CR 31 C   61 A</v>
          </cell>
          <cell r="K1336" t="str">
            <v>17001</v>
          </cell>
          <cell r="L1336" t="str">
            <v>MANIZALES</v>
          </cell>
          <cell r="M1336" t="str">
            <v>3123708588</v>
          </cell>
        </row>
        <row r="1337">
          <cell r="A1337">
            <v>21526981</v>
          </cell>
          <cell r="B1337" t="str">
            <v/>
          </cell>
          <cell r="C1337" t="str">
            <v/>
          </cell>
          <cell r="D1337" t="str">
            <v>CC</v>
          </cell>
          <cell r="E1337" t="str">
            <v>DIANA CRISTINA</v>
          </cell>
          <cell r="F1337" t="str">
            <v>RAMIREZ HERNANDEZ</v>
          </cell>
          <cell r="G1337" t="str">
            <v>RAMIREZ HERNANDEZ DIANA CRISTINA</v>
          </cell>
          <cell r="H1337" t="str">
            <v>FUNC</v>
          </cell>
          <cell r="I1337" t="str">
            <v>FUNCIONARIO</v>
          </cell>
          <cell r="J1337" t="str">
            <v>CR 8 7 62</v>
          </cell>
          <cell r="K1337" t="str">
            <v>17873</v>
          </cell>
          <cell r="L1337" t="str">
            <v>VILLAMARÍA</v>
          </cell>
          <cell r="M1337" t="str">
            <v>3205907136</v>
          </cell>
        </row>
        <row r="1338">
          <cell r="A1338">
            <v>21896162</v>
          </cell>
          <cell r="B1338" t="str">
            <v/>
          </cell>
          <cell r="C1338" t="str">
            <v/>
          </cell>
          <cell r="D1338" t="str">
            <v>CC</v>
          </cell>
          <cell r="E1338" t="str">
            <v>LIGIA</v>
          </cell>
          <cell r="F1338" t="str">
            <v>GIRALDO OROZCO</v>
          </cell>
          <cell r="G1338" t="str">
            <v>GIRALDO OROZCO LIGIA</v>
          </cell>
          <cell r="H1338" t="str">
            <v>RESI</v>
          </cell>
          <cell r="I1338" t="str">
            <v>REGIMEN SIMPLIFICADO</v>
          </cell>
          <cell r="J1338" t="str">
            <v>XX</v>
          </cell>
          <cell r="K1338" t="str">
            <v>52480</v>
          </cell>
          <cell r="L1338" t="str">
            <v>NARIÑO</v>
          </cell>
          <cell r="M1338" t="str">
            <v>XX</v>
          </cell>
        </row>
        <row r="1339">
          <cell r="A1339">
            <v>21896698</v>
          </cell>
          <cell r="B1339" t="str">
            <v>1</v>
          </cell>
          <cell r="C1339" t="str">
            <v/>
          </cell>
          <cell r="D1339" t="str">
            <v>NP</v>
          </cell>
          <cell r="E1339" t="str">
            <v>BLANCA DOLLY</v>
          </cell>
          <cell r="F1339" t="str">
            <v>CALLE GIRALDO</v>
          </cell>
          <cell r="G1339" t="str">
            <v>CALLE GIRALDO BLANCA DOLLY</v>
          </cell>
          <cell r="H1339" t="str">
            <v>NORE</v>
          </cell>
          <cell r="I1339" t="str">
            <v>NO RESPONSABLE DE IVA</v>
          </cell>
          <cell r="J1339" t="str">
            <v>MZ w lote 11 nueva ilusion</v>
          </cell>
          <cell r="K1339" t="str">
            <v>54001</v>
          </cell>
          <cell r="L1339" t="str">
            <v>CÚCUTA</v>
          </cell>
          <cell r="M1339" t="str">
            <v>3107832124</v>
          </cell>
        </row>
        <row r="1340">
          <cell r="A1340">
            <v>21896750</v>
          </cell>
          <cell r="B1340" t="str">
            <v>7</v>
          </cell>
          <cell r="C1340" t="str">
            <v/>
          </cell>
          <cell r="D1340" t="str">
            <v>NP</v>
          </cell>
          <cell r="E1340" t="str">
            <v>MARTHA CECILIA</v>
          </cell>
          <cell r="F1340" t="str">
            <v>CALLE GIRALDO</v>
          </cell>
          <cell r="G1340" t="str">
            <v>CALLE GIRALDO MARTHA CECILIA</v>
          </cell>
          <cell r="H1340" t="str">
            <v>NORE</v>
          </cell>
          <cell r="I1340" t="str">
            <v>NO RESPONSABLE DE IVA</v>
          </cell>
          <cell r="J1340" t="str">
            <v>CORR FLORENCIA FCA RIO CLARO</v>
          </cell>
          <cell r="K1340" t="str">
            <v>17662</v>
          </cell>
          <cell r="L1340" t="str">
            <v>SAMANÁ</v>
          </cell>
          <cell r="M1340" t="str">
            <v>3214610615</v>
          </cell>
        </row>
        <row r="1341">
          <cell r="A1341">
            <v>22010766</v>
          </cell>
          <cell r="B1341" t="str">
            <v>6</v>
          </cell>
          <cell r="C1341" t="str">
            <v/>
          </cell>
          <cell r="D1341" t="str">
            <v>NP</v>
          </cell>
          <cell r="E1341" t="str">
            <v>MARTHA DEL ROSARIO</v>
          </cell>
          <cell r="F1341" t="str">
            <v>RAMIREZ VARGAS</v>
          </cell>
          <cell r="G1341" t="str">
            <v>RAMIREZ VARGAS MARTHA DEL ROSARIO</v>
          </cell>
          <cell r="H1341" t="str">
            <v>RESI</v>
          </cell>
          <cell r="I1341" t="str">
            <v>REGIMEN SIMPLIFICADO</v>
          </cell>
          <cell r="J1341" t="str">
            <v>BRR SAN FRANCISCO CORR LA DANTA</v>
          </cell>
          <cell r="K1341" t="str">
            <v>05756</v>
          </cell>
          <cell r="L1341" t="str">
            <v>SONSON</v>
          </cell>
          <cell r="M1341" t="str">
            <v>3165894551</v>
          </cell>
        </row>
        <row r="1342">
          <cell r="A1342">
            <v>22055976</v>
          </cell>
          <cell r="B1342" t="str">
            <v>1</v>
          </cell>
          <cell r="C1342" t="str">
            <v/>
          </cell>
          <cell r="D1342" t="str">
            <v>NP</v>
          </cell>
          <cell r="E1342" t="str">
            <v>MARIA DORALBA</v>
          </cell>
          <cell r="F1342" t="str">
            <v>PEREZ DE LOPERA</v>
          </cell>
          <cell r="G1342" t="str">
            <v>PEREZ DE LOPERA MARIA DORALBA</v>
          </cell>
          <cell r="H1342" t="str">
            <v>RESI</v>
          </cell>
          <cell r="I1342" t="str">
            <v>REGIMEN SIMPLIFICADO</v>
          </cell>
          <cell r="J1342" t="str">
            <v>CL 6 3 07</v>
          </cell>
          <cell r="K1342" t="str">
            <v>85430</v>
          </cell>
          <cell r="L1342" t="str">
            <v>TRINIDAD</v>
          </cell>
          <cell r="M1342" t="str">
            <v>3143309658</v>
          </cell>
        </row>
        <row r="1343">
          <cell r="A1343">
            <v>22159410</v>
          </cell>
          <cell r="B1343" t="str">
            <v>0</v>
          </cell>
          <cell r="C1343" t="str">
            <v/>
          </cell>
          <cell r="D1343" t="str">
            <v>NP</v>
          </cell>
          <cell r="E1343" t="str">
            <v>DIANA MILENA</v>
          </cell>
          <cell r="F1343" t="str">
            <v>GARCES BLANDON</v>
          </cell>
          <cell r="G1343" t="str">
            <v>GARCES BLANDON DIANA MILENA</v>
          </cell>
          <cell r="H1343" t="str">
            <v>RESI</v>
          </cell>
          <cell r="I1343" t="str">
            <v>REGIMEN SIMPLIFICADO</v>
          </cell>
          <cell r="J1343" t="str">
            <v>CR 13 A   15   45 BRR CENTRO</v>
          </cell>
          <cell r="K1343" t="str">
            <v>97001</v>
          </cell>
          <cell r="L1343" t="str">
            <v>MITÚ</v>
          </cell>
          <cell r="M1343" t="str">
            <v>5642249</v>
          </cell>
        </row>
        <row r="1344">
          <cell r="A1344">
            <v>22209979</v>
          </cell>
          <cell r="B1344" t="str">
            <v>4</v>
          </cell>
          <cell r="C1344" t="str">
            <v/>
          </cell>
          <cell r="D1344" t="str">
            <v>NP</v>
          </cell>
          <cell r="E1344" t="str">
            <v>BLANCA ELENA</v>
          </cell>
          <cell r="F1344" t="str">
            <v>OSORNO GIL</v>
          </cell>
          <cell r="G1344" t="str">
            <v>OSORNO GIL BLANCA ELENA</v>
          </cell>
          <cell r="H1344" t="str">
            <v>REOR</v>
          </cell>
          <cell r="I1344" t="str">
            <v>RENTA REGIMEN ORDINARIO</v>
          </cell>
          <cell r="J1344" t="str">
            <v>VDA PUENTE LA LIBERTAD</v>
          </cell>
          <cell r="K1344" t="str">
            <v>17001</v>
          </cell>
          <cell r="L1344" t="str">
            <v>MANIZALES</v>
          </cell>
          <cell r="M1344" t="str">
            <v>8742484</v>
          </cell>
        </row>
        <row r="1345">
          <cell r="A1345">
            <v>22431872</v>
          </cell>
          <cell r="B1345" t="str">
            <v>5</v>
          </cell>
          <cell r="C1345" t="str">
            <v/>
          </cell>
          <cell r="D1345" t="str">
            <v>NP</v>
          </cell>
          <cell r="E1345" t="str">
            <v>MARIA PIEDAD</v>
          </cell>
          <cell r="F1345" t="str">
            <v>MIER CANTILLO</v>
          </cell>
          <cell r="G1345" t="str">
            <v>MARIA PIEDAD MIER CANTILLO</v>
          </cell>
          <cell r="H1345" t="str">
            <v>RECO</v>
          </cell>
          <cell r="I1345" t="str">
            <v>REGIMEN COMUN</v>
          </cell>
          <cell r="J1345" t="str">
            <v>CR 4 A 87 47 CA 101</v>
          </cell>
          <cell r="K1345" t="str">
            <v>11001</v>
          </cell>
          <cell r="L1345" t="str">
            <v>BOGOTA DC</v>
          </cell>
          <cell r="M1345" t="str">
            <v>5105646</v>
          </cell>
        </row>
        <row r="1346">
          <cell r="A1346">
            <v>22656828</v>
          </cell>
          <cell r="B1346" t="str">
            <v>7</v>
          </cell>
          <cell r="C1346" t="str">
            <v/>
          </cell>
          <cell r="D1346" t="str">
            <v>NP</v>
          </cell>
          <cell r="E1346" t="str">
            <v>KAROLL LISETH</v>
          </cell>
          <cell r="F1346" t="str">
            <v>POLO CASTILLO</v>
          </cell>
          <cell r="G1346" t="str">
            <v>POLO CASTILLO KAROLL LISETH</v>
          </cell>
          <cell r="H1346" t="str">
            <v>RECO</v>
          </cell>
          <cell r="I1346" t="str">
            <v>REGIMEN COMUN</v>
          </cell>
          <cell r="J1346" t="str">
            <v>CR 54 A   127 A 85 CA 76 CONJ NIZA REAL</v>
          </cell>
          <cell r="K1346" t="str">
            <v>11001</v>
          </cell>
          <cell r="L1346" t="str">
            <v>BOGOTA DC</v>
          </cell>
          <cell r="M1346" t="str">
            <v>3156529156</v>
          </cell>
        </row>
        <row r="1347">
          <cell r="A1347">
            <v>23156646</v>
          </cell>
          <cell r="B1347" t="str">
            <v>1</v>
          </cell>
          <cell r="C1347" t="str">
            <v/>
          </cell>
          <cell r="D1347" t="str">
            <v>NP</v>
          </cell>
          <cell r="E1347" t="str">
            <v>MARIA DEL CARMEN</v>
          </cell>
          <cell r="F1347" t="str">
            <v>SOSA DE OLAYA</v>
          </cell>
          <cell r="G1347" t="str">
            <v>SOSA DE OLAYA MARIA DEL CARMEN</v>
          </cell>
          <cell r="H1347" t="str">
            <v>RECO</v>
          </cell>
          <cell r="I1347" t="str">
            <v>REGIMEN COMUN</v>
          </cell>
          <cell r="J1347" t="str">
            <v>CL 11 11 33</v>
          </cell>
          <cell r="K1347" t="str">
            <v>17001</v>
          </cell>
          <cell r="L1347" t="str">
            <v>MANIZALES</v>
          </cell>
          <cell r="M1347" t="str">
            <v>5697378</v>
          </cell>
        </row>
        <row r="1348">
          <cell r="A1348">
            <v>23268285</v>
          </cell>
          <cell r="B1348" t="str">
            <v>7</v>
          </cell>
          <cell r="C1348" t="str">
            <v/>
          </cell>
          <cell r="D1348" t="str">
            <v>NP</v>
          </cell>
          <cell r="E1348" t="str">
            <v>MARIA CHIQUINQUIRA</v>
          </cell>
          <cell r="F1348" t="str">
            <v>GARAVITO DE CANO</v>
          </cell>
          <cell r="G1348" t="str">
            <v>GARAVITO DE CANO MARIA CHIQUINQUIRA</v>
          </cell>
          <cell r="H1348" t="str">
            <v>RESI</v>
          </cell>
          <cell r="I1348" t="str">
            <v>REGIMEN SIMPLIFICADO</v>
          </cell>
          <cell r="J1348" t="str">
            <v>CL 4  7  70</v>
          </cell>
          <cell r="K1348" t="str">
            <v>15837</v>
          </cell>
          <cell r="L1348" t="str">
            <v>TUTA</v>
          </cell>
          <cell r="M1348" t="str">
            <v>3114955662</v>
          </cell>
        </row>
        <row r="1349">
          <cell r="A1349">
            <v>23322111</v>
          </cell>
          <cell r="B1349" t="str">
            <v>5</v>
          </cell>
          <cell r="C1349" t="str">
            <v/>
          </cell>
          <cell r="D1349" t="str">
            <v>NP</v>
          </cell>
          <cell r="E1349" t="str">
            <v>MARGARITA MARIA</v>
          </cell>
          <cell r="F1349" t="str">
            <v>RINCON DE CEPEDA</v>
          </cell>
          <cell r="G1349" t="str">
            <v>RINCON DE CEPEDA MARGARITA MARIA</v>
          </cell>
          <cell r="H1349" t="str">
            <v>RESI</v>
          </cell>
          <cell r="I1349" t="str">
            <v>REGIMEN SIMPLIFICADO</v>
          </cell>
          <cell r="J1349" t="str">
            <v>CR 19 27 33</v>
          </cell>
          <cell r="K1349" t="str">
            <v>11001</v>
          </cell>
          <cell r="L1349" t="str">
            <v>BOGOTA DC</v>
          </cell>
          <cell r="M1349" t="str">
            <v>3204178379</v>
          </cell>
        </row>
        <row r="1350">
          <cell r="A1350">
            <v>23323640</v>
          </cell>
          <cell r="B1350" t="str">
            <v/>
          </cell>
          <cell r="C1350" t="str">
            <v/>
          </cell>
          <cell r="D1350" t="str">
            <v>CC</v>
          </cell>
          <cell r="E1350" t="str">
            <v>RUD CRISTINA</v>
          </cell>
          <cell r="F1350" t="str">
            <v>SALAZAR PALENCIA</v>
          </cell>
          <cell r="G1350" t="str">
            <v>SALAZAR PALENCIA RUD CRISTINA</v>
          </cell>
          <cell r="H1350" t="str">
            <v>FUNC</v>
          </cell>
          <cell r="I1350" t="str">
            <v>FUNCIONARIO</v>
          </cell>
          <cell r="J1350" t="str">
            <v>CL 11   27   98</v>
          </cell>
          <cell r="K1350" t="str">
            <v>15516</v>
          </cell>
          <cell r="L1350" t="str">
            <v>PAIPA</v>
          </cell>
          <cell r="M1350" t="str">
            <v>3112646310</v>
          </cell>
        </row>
        <row r="1351">
          <cell r="A1351">
            <v>23324130</v>
          </cell>
          <cell r="B1351" t="str">
            <v>4</v>
          </cell>
          <cell r="C1351" t="str">
            <v/>
          </cell>
          <cell r="D1351" t="str">
            <v>NP</v>
          </cell>
          <cell r="E1351" t="str">
            <v>BLANCA ROSAURA</v>
          </cell>
          <cell r="F1351" t="str">
            <v>PRIETO TIRANA</v>
          </cell>
          <cell r="G1351" t="str">
            <v>PRIETO TIRANA BLANCA ROSAURA</v>
          </cell>
          <cell r="H1351" t="str">
            <v>RECO</v>
          </cell>
          <cell r="I1351" t="str">
            <v>REGIMEN COMUN</v>
          </cell>
          <cell r="J1351" t="str">
            <v>CL 13 18 57</v>
          </cell>
          <cell r="K1351" t="str">
            <v>15238</v>
          </cell>
          <cell r="L1351" t="str">
            <v>DUITAMA</v>
          </cell>
          <cell r="M1351" t="str">
            <v>3208578630</v>
          </cell>
        </row>
        <row r="1352">
          <cell r="A1352">
            <v>23324332</v>
          </cell>
          <cell r="B1352" t="str">
            <v>5</v>
          </cell>
          <cell r="C1352" t="str">
            <v/>
          </cell>
          <cell r="D1352" t="str">
            <v>NP</v>
          </cell>
          <cell r="E1352" t="str">
            <v>SONIA ESPERANZA</v>
          </cell>
          <cell r="F1352" t="str">
            <v>MARQUEZ MARQUEZ</v>
          </cell>
          <cell r="G1352" t="str">
            <v>MARQUEZ MARQUEZ SONIA ESPERANZA</v>
          </cell>
          <cell r="H1352" t="str">
            <v>REOR</v>
          </cell>
          <cell r="I1352" t="str">
            <v>RENTA REGIMEN ORDINARIO</v>
          </cell>
          <cell r="J1352" t="str">
            <v>CARRERA 32 A 9 A 03</v>
          </cell>
          <cell r="K1352" t="str">
            <v>15238</v>
          </cell>
          <cell r="L1352" t="str">
            <v>DUITAMA</v>
          </cell>
          <cell r="M1352" t="str">
            <v>3112373639</v>
          </cell>
        </row>
        <row r="1353">
          <cell r="A1353">
            <v>23326915</v>
          </cell>
          <cell r="B1353" t="str">
            <v>8</v>
          </cell>
          <cell r="C1353" t="str">
            <v/>
          </cell>
          <cell r="D1353" t="str">
            <v>NP</v>
          </cell>
          <cell r="E1353" t="str">
            <v>LEIDY ARLEY</v>
          </cell>
          <cell r="F1353" t="str">
            <v>MONTAÑEZ VARGAS</v>
          </cell>
          <cell r="G1353" t="str">
            <v>MONTAÑEZ VARGAS LEIDY ARLEY</v>
          </cell>
          <cell r="H1353" t="str">
            <v>RESI</v>
          </cell>
          <cell r="I1353" t="str">
            <v>REGIMEN SIMPLIFICADO</v>
          </cell>
          <cell r="J1353" t="str">
            <v>CR 4   4   23 B</v>
          </cell>
          <cell r="K1353" t="str">
            <v>85430</v>
          </cell>
          <cell r="L1353" t="str">
            <v>TRINIDAD</v>
          </cell>
          <cell r="M1353" t="str">
            <v>3134579897</v>
          </cell>
        </row>
        <row r="1354">
          <cell r="A1354">
            <v>23384366</v>
          </cell>
          <cell r="B1354" t="str">
            <v/>
          </cell>
          <cell r="C1354" t="str">
            <v/>
          </cell>
          <cell r="D1354" t="str">
            <v>CC</v>
          </cell>
          <cell r="E1354" t="str">
            <v>ANA CELIDA</v>
          </cell>
          <cell r="F1354" t="str">
            <v>CARREÑO SANCHEZ</v>
          </cell>
          <cell r="G1354" t="str">
            <v>CARREÑO SANCHEZ ANA CELIDA</v>
          </cell>
          <cell r="H1354" t="str">
            <v>RESI</v>
          </cell>
          <cell r="I1354" t="str">
            <v>REGIMEN SIMPLIFICADO</v>
          </cell>
          <cell r="J1354" t="str">
            <v>XX</v>
          </cell>
          <cell r="K1354" t="str">
            <v>17001</v>
          </cell>
          <cell r="L1354" t="str">
            <v>MANIZALES</v>
          </cell>
          <cell r="M1354" t="str">
            <v>XX</v>
          </cell>
        </row>
        <row r="1355">
          <cell r="A1355">
            <v>23467538</v>
          </cell>
          <cell r="B1355" t="str">
            <v>9</v>
          </cell>
          <cell r="C1355" t="str">
            <v/>
          </cell>
          <cell r="D1355" t="str">
            <v>NP</v>
          </cell>
          <cell r="E1355" t="str">
            <v>LUZ EDITH</v>
          </cell>
          <cell r="F1355" t="str">
            <v>PADILLA AFRICANO</v>
          </cell>
          <cell r="G1355" t="str">
            <v>PADILLA AFRICANO LUZ EDITH</v>
          </cell>
          <cell r="H1355" t="str">
            <v>RESI</v>
          </cell>
          <cell r="I1355" t="str">
            <v>REGIMEN SIMPLIFICADO</v>
          </cell>
          <cell r="J1355" t="str">
            <v>MCP NUNCHIA VRD EL PRETEXTO FCA LA FLORIDA</v>
          </cell>
          <cell r="K1355" t="str">
            <v>85410</v>
          </cell>
          <cell r="L1355" t="str">
            <v>TAURAMENA</v>
          </cell>
          <cell r="M1355" t="str">
            <v>3112867892</v>
          </cell>
        </row>
        <row r="1356">
          <cell r="A1356">
            <v>23467639</v>
          </cell>
          <cell r="B1356" t="str">
            <v>4</v>
          </cell>
          <cell r="C1356" t="str">
            <v/>
          </cell>
          <cell r="D1356" t="str">
            <v>NP</v>
          </cell>
          <cell r="E1356" t="str">
            <v>FLOR LIBIA</v>
          </cell>
          <cell r="F1356" t="str">
            <v>PADILLA AFRICANO</v>
          </cell>
          <cell r="G1356" t="str">
            <v>PADILLA AFRICANO FLOR LIBIA</v>
          </cell>
          <cell r="H1356" t="str">
            <v>RESI</v>
          </cell>
          <cell r="I1356" t="str">
            <v>REGIMEN SIMPLIFICADO</v>
          </cell>
          <cell r="J1356" t="str">
            <v>CL 25   27   70</v>
          </cell>
          <cell r="K1356" t="str">
            <v>85001</v>
          </cell>
          <cell r="L1356" t="str">
            <v>YOPAL</v>
          </cell>
          <cell r="M1356" t="str">
            <v>6343699</v>
          </cell>
        </row>
        <row r="1357">
          <cell r="A1357">
            <v>23474926</v>
          </cell>
          <cell r="B1357" t="str">
            <v>2</v>
          </cell>
          <cell r="C1357" t="str">
            <v/>
          </cell>
          <cell r="D1357" t="str">
            <v>NP</v>
          </cell>
          <cell r="E1357" t="str">
            <v>INGRITH MARCELA</v>
          </cell>
          <cell r="F1357" t="str">
            <v>MUÑOZ CUBIDES</v>
          </cell>
          <cell r="G1357" t="str">
            <v>MUÑOZ CUBIDES INGRITH MARCELA</v>
          </cell>
          <cell r="H1357" t="str">
            <v>NORE</v>
          </cell>
          <cell r="I1357" t="str">
            <v>NO RESPONSABLE DE IVA</v>
          </cell>
          <cell r="J1357" t="str">
            <v>CR 4 1 37</v>
          </cell>
          <cell r="K1357" t="str">
            <v>17001</v>
          </cell>
          <cell r="L1357" t="str">
            <v>MANIZALES</v>
          </cell>
          <cell r="M1357" t="str">
            <v>3102049010</v>
          </cell>
        </row>
        <row r="1358">
          <cell r="A1358">
            <v>23538513</v>
          </cell>
          <cell r="B1358" t="str">
            <v>0</v>
          </cell>
          <cell r="C1358" t="str">
            <v/>
          </cell>
          <cell r="D1358" t="str">
            <v>NP</v>
          </cell>
          <cell r="E1358" t="str">
            <v>EMILIANA</v>
          </cell>
          <cell r="F1358" t="str">
            <v>CORREA DE JAIME</v>
          </cell>
          <cell r="G1358" t="str">
            <v>CORREA DE JAIME EMILIANA</v>
          </cell>
          <cell r="H1358" t="str">
            <v>RESI</v>
          </cell>
          <cell r="I1358" t="str">
            <v>REGIMEN SIMPLIFICADO</v>
          </cell>
          <cell r="J1358" t="str">
            <v>CL 14 16 55</v>
          </cell>
          <cell r="K1358" t="str">
            <v>15238</v>
          </cell>
          <cell r="L1358" t="str">
            <v>DUITAMA</v>
          </cell>
          <cell r="M1358" t="str">
            <v>7603292</v>
          </cell>
        </row>
        <row r="1359">
          <cell r="A1359">
            <v>23546579</v>
          </cell>
          <cell r="B1359" t="str">
            <v>1</v>
          </cell>
          <cell r="C1359" t="str">
            <v/>
          </cell>
          <cell r="D1359" t="str">
            <v>NP</v>
          </cell>
          <cell r="E1359" t="str">
            <v>MARIA TERESA</v>
          </cell>
          <cell r="F1359" t="str">
            <v>GUIO  DE BERNAL</v>
          </cell>
          <cell r="G1359" t="str">
            <v>GUIO  DE BERNAL MARIA TERESA</v>
          </cell>
          <cell r="H1359" t="str">
            <v>RESI</v>
          </cell>
          <cell r="I1359" t="str">
            <v>REGIMEN SIMPLIFICADO</v>
          </cell>
          <cell r="J1359" t="str">
            <v>CL 15 12 50</v>
          </cell>
          <cell r="K1359" t="str">
            <v>15238</v>
          </cell>
          <cell r="L1359" t="str">
            <v>DUITAMA</v>
          </cell>
          <cell r="M1359" t="str">
            <v>3143950035</v>
          </cell>
        </row>
        <row r="1360">
          <cell r="A1360">
            <v>23547935</v>
          </cell>
          <cell r="B1360" t="str">
            <v>3</v>
          </cell>
          <cell r="C1360" t="str">
            <v/>
          </cell>
          <cell r="D1360" t="str">
            <v>NP</v>
          </cell>
          <cell r="E1360" t="str">
            <v>ANA BEATRIZ</v>
          </cell>
          <cell r="F1360" t="str">
            <v>SANDOVAL DE PEREZ</v>
          </cell>
          <cell r="G1360" t="str">
            <v>SANDOVAL DE PEREZ ANA BEATRIZ</v>
          </cell>
          <cell r="H1360" t="str">
            <v>RCPN</v>
          </cell>
          <cell r="I1360" t="str">
            <v>RESPONSABLE IVA PERSONA NATURAL</v>
          </cell>
          <cell r="J1360" t="str">
            <v>CR 19 10 A 16</v>
          </cell>
          <cell r="K1360" t="str">
            <v>15238</v>
          </cell>
          <cell r="L1360" t="str">
            <v>DUITAMA</v>
          </cell>
          <cell r="M1360" t="str">
            <v>7601962</v>
          </cell>
        </row>
        <row r="1361">
          <cell r="A1361">
            <v>23548615</v>
          </cell>
          <cell r="B1361" t="str">
            <v>6</v>
          </cell>
          <cell r="C1361" t="str">
            <v/>
          </cell>
          <cell r="D1361" t="str">
            <v>NP</v>
          </cell>
          <cell r="E1361" t="str">
            <v>GLORIA DEL CARMEN</v>
          </cell>
          <cell r="F1361" t="str">
            <v>SUAREZ</v>
          </cell>
          <cell r="G1361" t="str">
            <v>SUAREZ GLORIA DEL CARMEN</v>
          </cell>
          <cell r="H1361" t="str">
            <v>RECO</v>
          </cell>
          <cell r="I1361" t="str">
            <v>REGIMEN COMUN</v>
          </cell>
          <cell r="J1361" t="str">
            <v>CR 19 12 A 17</v>
          </cell>
          <cell r="K1361" t="str">
            <v>15238</v>
          </cell>
          <cell r="L1361" t="str">
            <v>DUITAMA</v>
          </cell>
          <cell r="M1361" t="str">
            <v>3107858178</v>
          </cell>
        </row>
        <row r="1362">
          <cell r="A1362">
            <v>23550621</v>
          </cell>
          <cell r="B1362" t="str">
            <v>7</v>
          </cell>
          <cell r="C1362" t="str">
            <v/>
          </cell>
          <cell r="D1362" t="str">
            <v>NP</v>
          </cell>
          <cell r="E1362" t="str">
            <v>ANA CELIA</v>
          </cell>
          <cell r="F1362" t="str">
            <v>BECERRA SANCHEZ</v>
          </cell>
          <cell r="G1362" t="str">
            <v>BECERRA SANCHEZ ANA CELIA</v>
          </cell>
          <cell r="H1362" t="str">
            <v>RESI</v>
          </cell>
          <cell r="I1362" t="str">
            <v>REGIMEN SIMPLIFICADO</v>
          </cell>
          <cell r="J1362" t="str">
            <v>CL 18 3 72 BRR LIBERTADOR</v>
          </cell>
          <cell r="K1362" t="str">
            <v>15238</v>
          </cell>
          <cell r="L1362" t="str">
            <v>DUITAMA</v>
          </cell>
          <cell r="M1362" t="str">
            <v>7600369</v>
          </cell>
        </row>
        <row r="1363">
          <cell r="A1363">
            <v>23551052</v>
          </cell>
          <cell r="B1363" t="str">
            <v>0</v>
          </cell>
          <cell r="C1363" t="str">
            <v/>
          </cell>
          <cell r="D1363" t="str">
            <v>NP</v>
          </cell>
          <cell r="E1363" t="str">
            <v>LUZ MARIELA</v>
          </cell>
          <cell r="F1363" t="str">
            <v>PARADA BECERRA</v>
          </cell>
          <cell r="G1363" t="str">
            <v>PARADA BECERRA LUZ MARIELA</v>
          </cell>
          <cell r="H1363" t="str">
            <v>RCPN</v>
          </cell>
          <cell r="I1363" t="str">
            <v>RESPONSABLE IVA PERSONA NATURAL</v>
          </cell>
          <cell r="J1363" t="str">
            <v>CR 18  18-89</v>
          </cell>
          <cell r="K1363" t="str">
            <v>15238</v>
          </cell>
          <cell r="L1363" t="str">
            <v>DUITAMA</v>
          </cell>
          <cell r="M1363" t="str">
            <v>7603983</v>
          </cell>
        </row>
        <row r="1364">
          <cell r="A1364">
            <v>23551967</v>
          </cell>
          <cell r="B1364" t="str">
            <v>4</v>
          </cell>
          <cell r="C1364" t="str">
            <v/>
          </cell>
          <cell r="D1364" t="str">
            <v>NP</v>
          </cell>
          <cell r="E1364" t="str">
            <v>MARTHA CECILIA</v>
          </cell>
          <cell r="F1364" t="str">
            <v>CAUSA DE RODRIGUEZ</v>
          </cell>
          <cell r="G1364" t="str">
            <v>CAUSA DE RODRIGUEZ MARTHA CECILIA</v>
          </cell>
          <cell r="H1364" t="str">
            <v>RECO</v>
          </cell>
          <cell r="I1364" t="str">
            <v>REGIMEN COMUN</v>
          </cell>
          <cell r="J1364" t="str">
            <v>CR 18 14 39</v>
          </cell>
          <cell r="K1364" t="str">
            <v>15238</v>
          </cell>
          <cell r="L1364" t="str">
            <v>DUITAMA</v>
          </cell>
          <cell r="M1364" t="str">
            <v>7611348</v>
          </cell>
        </row>
        <row r="1365">
          <cell r="A1365">
            <v>23552355</v>
          </cell>
          <cell r="B1365" t="str">
            <v>1</v>
          </cell>
          <cell r="C1365" t="str">
            <v/>
          </cell>
          <cell r="D1365" t="str">
            <v>NP</v>
          </cell>
          <cell r="E1365" t="str">
            <v>JULIA MERCEDES</v>
          </cell>
          <cell r="F1365" t="str">
            <v>GOMEZ SALCEDO</v>
          </cell>
          <cell r="G1365" t="str">
            <v>GOMEZ SALCEDO JULIA MERCEDES</v>
          </cell>
          <cell r="H1365" t="str">
            <v>REOR</v>
          </cell>
          <cell r="I1365" t="str">
            <v>RENTA REGIMEN ORDINARIO</v>
          </cell>
          <cell r="J1365" t="str">
            <v>CL 17   26   83</v>
          </cell>
          <cell r="K1365" t="str">
            <v>85001</v>
          </cell>
          <cell r="L1365" t="str">
            <v>YOPAL</v>
          </cell>
          <cell r="M1365" t="str">
            <v>3124321319</v>
          </cell>
        </row>
        <row r="1366">
          <cell r="A1366">
            <v>23552642</v>
          </cell>
          <cell r="B1366" t="str">
            <v>0</v>
          </cell>
          <cell r="C1366" t="str">
            <v/>
          </cell>
          <cell r="D1366" t="str">
            <v>NP</v>
          </cell>
          <cell r="E1366" t="str">
            <v>BLANCA MARIA</v>
          </cell>
          <cell r="F1366" t="str">
            <v>DIAZ ESLAVA</v>
          </cell>
          <cell r="G1366" t="str">
            <v>DIAZ ESLAVA BLANCA MARIA</v>
          </cell>
          <cell r="H1366" t="str">
            <v>RECO</v>
          </cell>
          <cell r="I1366" t="str">
            <v>REGIMEN COMUN</v>
          </cell>
          <cell r="J1366" t="str">
            <v>CR 18 15 36</v>
          </cell>
          <cell r="K1366" t="str">
            <v>15238</v>
          </cell>
          <cell r="L1366" t="str">
            <v>DUITAMA</v>
          </cell>
          <cell r="M1366" t="str">
            <v>7611714</v>
          </cell>
        </row>
        <row r="1367">
          <cell r="A1367">
            <v>23554155</v>
          </cell>
          <cell r="B1367" t="str">
            <v>4</v>
          </cell>
          <cell r="C1367" t="str">
            <v/>
          </cell>
          <cell r="D1367" t="str">
            <v>NP</v>
          </cell>
          <cell r="E1367" t="str">
            <v>NUBIA ESTELA</v>
          </cell>
          <cell r="F1367" t="str">
            <v>PALENCIA MORENO</v>
          </cell>
          <cell r="G1367" t="str">
            <v>PALENCIA MORENO NUBIA ESTELA</v>
          </cell>
          <cell r="H1367" t="str">
            <v>RECO</v>
          </cell>
          <cell r="I1367" t="str">
            <v>REGIMEN COMUN</v>
          </cell>
          <cell r="J1367" t="str">
            <v>CR 9 20 45</v>
          </cell>
          <cell r="K1367" t="str">
            <v>15238</v>
          </cell>
          <cell r="L1367" t="str">
            <v>DUITAMA</v>
          </cell>
          <cell r="M1367" t="str">
            <v>7427977</v>
          </cell>
        </row>
        <row r="1368">
          <cell r="A1368">
            <v>23555250</v>
          </cell>
          <cell r="B1368" t="str">
            <v>0</v>
          </cell>
          <cell r="C1368" t="str">
            <v/>
          </cell>
          <cell r="D1368" t="str">
            <v>NP</v>
          </cell>
          <cell r="E1368" t="str">
            <v>ALICIA DEL CARMEN</v>
          </cell>
          <cell r="F1368" t="str">
            <v>GOMEZ GARCIA</v>
          </cell>
          <cell r="G1368" t="str">
            <v>GOMEZ GARCIA ALICIA DEL CARMEN</v>
          </cell>
          <cell r="H1368" t="str">
            <v>RECO</v>
          </cell>
          <cell r="I1368" t="str">
            <v>REGIMEN COMUN</v>
          </cell>
          <cell r="J1368" t="str">
            <v>CR 19  14-29</v>
          </cell>
          <cell r="K1368" t="str">
            <v>15238</v>
          </cell>
          <cell r="L1368" t="str">
            <v>DUITAMA</v>
          </cell>
          <cell r="M1368" t="str">
            <v>3124323778</v>
          </cell>
        </row>
        <row r="1369">
          <cell r="A1369">
            <v>23555529</v>
          </cell>
          <cell r="B1369" t="str">
            <v>1</v>
          </cell>
          <cell r="C1369" t="str">
            <v/>
          </cell>
          <cell r="D1369" t="str">
            <v>NP</v>
          </cell>
          <cell r="E1369" t="str">
            <v>ANA LUCIA</v>
          </cell>
          <cell r="F1369" t="str">
            <v>RODRIGUEZ FONSECA</v>
          </cell>
          <cell r="G1369" t="str">
            <v>RODRIGUEZ FONSECA ANA LUCIA</v>
          </cell>
          <cell r="H1369" t="str">
            <v>IMVE</v>
          </cell>
          <cell r="I1369" t="str">
            <v>IMPUESTO SOBRE LAS VENTAS</v>
          </cell>
          <cell r="J1369" t="str">
            <v>CALLE 16 1926</v>
          </cell>
          <cell r="K1369" t="str">
            <v>15238</v>
          </cell>
          <cell r="L1369" t="str">
            <v>DUITAMA</v>
          </cell>
          <cell r="M1369" t="str">
            <v>3113208355</v>
          </cell>
        </row>
        <row r="1370">
          <cell r="A1370">
            <v>23581987</v>
          </cell>
          <cell r="B1370" t="str">
            <v>1</v>
          </cell>
          <cell r="C1370" t="str">
            <v/>
          </cell>
          <cell r="D1370" t="str">
            <v>NP</v>
          </cell>
          <cell r="E1370" t="str">
            <v>MARIA DOLORES</v>
          </cell>
          <cell r="F1370" t="str">
            <v>JIMENEZ</v>
          </cell>
          <cell r="G1370" t="str">
            <v>JIMENEZ MARIA DOLORES</v>
          </cell>
          <cell r="H1370" t="str">
            <v>RESI</v>
          </cell>
          <cell r="I1370" t="str">
            <v>REGIMEN SIMPLIFICADO</v>
          </cell>
          <cell r="J1370" t="str">
            <v>CL 13 15 66</v>
          </cell>
          <cell r="K1370" t="str">
            <v>15238</v>
          </cell>
          <cell r="L1370" t="str">
            <v>DUITAMA</v>
          </cell>
          <cell r="M1370" t="str">
            <v>7605514</v>
          </cell>
        </row>
        <row r="1371">
          <cell r="A1371">
            <v>23595859</v>
          </cell>
          <cell r="B1371" t="str">
            <v>6</v>
          </cell>
          <cell r="C1371" t="str">
            <v/>
          </cell>
          <cell r="D1371" t="str">
            <v>NP</v>
          </cell>
          <cell r="E1371" t="str">
            <v>FANY ESTELA</v>
          </cell>
          <cell r="F1371" t="str">
            <v>CUSBA DE DEAQUIZ</v>
          </cell>
          <cell r="G1371" t="str">
            <v>CUSBA DE DEAQUIZ FANY ESTELA</v>
          </cell>
          <cell r="H1371" t="str">
            <v>RESI</v>
          </cell>
          <cell r="I1371" t="str">
            <v>REGIMEN SIMPLIFICADO</v>
          </cell>
          <cell r="J1371" t="str">
            <v xml:space="preserve"> CR 4  5 56</v>
          </cell>
          <cell r="K1371" t="str">
            <v>15215</v>
          </cell>
          <cell r="L1371" t="str">
            <v>CORRALES</v>
          </cell>
          <cell r="M1371" t="str">
            <v>3203412864</v>
          </cell>
        </row>
        <row r="1372">
          <cell r="A1372">
            <v>23710539</v>
          </cell>
          <cell r="B1372" t="str">
            <v>8</v>
          </cell>
          <cell r="C1372" t="str">
            <v/>
          </cell>
          <cell r="D1372" t="str">
            <v>NP</v>
          </cell>
          <cell r="E1372" t="str">
            <v>DANNY</v>
          </cell>
          <cell r="F1372" t="str">
            <v>DELGADO FUENTES</v>
          </cell>
          <cell r="G1372" t="str">
            <v>DELGADO FUENTES DANNY</v>
          </cell>
          <cell r="H1372" t="str">
            <v>RECO</v>
          </cell>
          <cell r="I1372" t="str">
            <v>REGIMEN COMUN</v>
          </cell>
          <cell r="J1372" t="str">
            <v>CL 4   16   25</v>
          </cell>
          <cell r="K1372" t="str">
            <v>85230</v>
          </cell>
          <cell r="L1372" t="str">
            <v>OROCUÉ</v>
          </cell>
          <cell r="M1372" t="str">
            <v>3124206708</v>
          </cell>
        </row>
        <row r="1373">
          <cell r="A1373">
            <v>23739192</v>
          </cell>
          <cell r="B1373" t="str">
            <v>2</v>
          </cell>
          <cell r="C1373" t="str">
            <v/>
          </cell>
          <cell r="D1373" t="str">
            <v>NP</v>
          </cell>
          <cell r="E1373" t="str">
            <v>MARIA UBALDINA</v>
          </cell>
          <cell r="F1373" t="str">
            <v>ESPINOSA TORRES</v>
          </cell>
          <cell r="G1373" t="str">
            <v>ESPINOSA TORRES MARIA UBALDINA</v>
          </cell>
          <cell r="H1373" t="str">
            <v>RESI</v>
          </cell>
          <cell r="I1373" t="str">
            <v>REGIMEN SIMPLIFICADO</v>
          </cell>
          <cell r="J1373" t="str">
            <v>CR 6   4   43</v>
          </cell>
          <cell r="K1373" t="str">
            <v>85230</v>
          </cell>
          <cell r="L1373" t="str">
            <v>OROCUÉ</v>
          </cell>
          <cell r="M1373" t="str">
            <v>6365120</v>
          </cell>
        </row>
        <row r="1374">
          <cell r="A1374">
            <v>23740371</v>
          </cell>
          <cell r="B1374" t="str">
            <v>6</v>
          </cell>
          <cell r="C1374" t="str">
            <v/>
          </cell>
          <cell r="D1374" t="str">
            <v>NP</v>
          </cell>
          <cell r="E1374" t="str">
            <v>MARIA ELISA</v>
          </cell>
          <cell r="F1374" t="str">
            <v>ROA ALFONSO</v>
          </cell>
          <cell r="G1374" t="str">
            <v>ROA ALFONSO MARIA ELISA</v>
          </cell>
          <cell r="H1374" t="str">
            <v>RESI</v>
          </cell>
          <cell r="I1374" t="str">
            <v>REGIMEN SIMPLIFICADO</v>
          </cell>
          <cell r="J1374" t="str">
            <v>C LA CHAPARRERA MCP YOPAL</v>
          </cell>
          <cell r="K1374" t="str">
            <v>85001</v>
          </cell>
          <cell r="L1374" t="str">
            <v>YOPAL</v>
          </cell>
          <cell r="M1374" t="str">
            <v>3112570993</v>
          </cell>
        </row>
        <row r="1375">
          <cell r="A1375">
            <v>23740887</v>
          </cell>
          <cell r="B1375" t="str">
            <v>4</v>
          </cell>
          <cell r="C1375" t="str">
            <v/>
          </cell>
          <cell r="D1375" t="str">
            <v>NP</v>
          </cell>
          <cell r="E1375" t="str">
            <v>ISAURA</v>
          </cell>
          <cell r="F1375" t="str">
            <v>SOLER DE ROJAS</v>
          </cell>
          <cell r="G1375" t="str">
            <v>SOLER DE ROJAS ISAURA</v>
          </cell>
          <cell r="H1375" t="str">
            <v>RESI</v>
          </cell>
          <cell r="I1375" t="str">
            <v>REGIMEN SIMPLIFICADO</v>
          </cell>
          <cell r="J1375" t="str">
            <v>CR 19   6   58</v>
          </cell>
          <cell r="K1375" t="str">
            <v>85001</v>
          </cell>
          <cell r="L1375" t="str">
            <v>YOPAL</v>
          </cell>
          <cell r="M1375" t="str">
            <v>3114816107</v>
          </cell>
        </row>
        <row r="1376">
          <cell r="A1376">
            <v>23741653</v>
          </cell>
          <cell r="B1376" t="str">
            <v/>
          </cell>
          <cell r="C1376" t="str">
            <v/>
          </cell>
          <cell r="D1376" t="str">
            <v>CC</v>
          </cell>
          <cell r="E1376" t="str">
            <v>MARIA MARINA</v>
          </cell>
          <cell r="F1376" t="str">
            <v>MECHE BETANCOURT</v>
          </cell>
          <cell r="G1376" t="str">
            <v>MECHE BETANCOURT MARIA MARINA</v>
          </cell>
          <cell r="H1376" t="str">
            <v>RESI</v>
          </cell>
          <cell r="I1376" t="str">
            <v>REGIMEN SIMPLIFICADO</v>
          </cell>
          <cell r="J1376" t="str">
            <v>MCP NUNCHIA VRD COREA PD EL SUSPIRO</v>
          </cell>
          <cell r="K1376" t="str">
            <v>85001</v>
          </cell>
          <cell r="L1376" t="str">
            <v>YOPAL</v>
          </cell>
          <cell r="M1376" t="str">
            <v>3144700631</v>
          </cell>
        </row>
        <row r="1377">
          <cell r="A1377">
            <v>23741737</v>
          </cell>
          <cell r="B1377" t="str">
            <v>2</v>
          </cell>
          <cell r="C1377" t="str">
            <v/>
          </cell>
          <cell r="D1377" t="str">
            <v>NP</v>
          </cell>
          <cell r="E1377" t="str">
            <v>MARIA JOAQUINA</v>
          </cell>
          <cell r="F1377" t="str">
            <v>NIÑO MENDOZA</v>
          </cell>
          <cell r="G1377" t="str">
            <v>NIÑO MENDOZA MARIA JOAQUINA</v>
          </cell>
          <cell r="H1377" t="str">
            <v>RECO</v>
          </cell>
          <cell r="I1377" t="str">
            <v>REGIMEN COMUN</v>
          </cell>
          <cell r="J1377" t="str">
            <v>CL 11   22   24</v>
          </cell>
          <cell r="K1377" t="str">
            <v>85001</v>
          </cell>
          <cell r="L1377" t="str">
            <v>YOPAL</v>
          </cell>
          <cell r="M1377" t="str">
            <v>3105614396</v>
          </cell>
        </row>
        <row r="1378">
          <cell r="A1378">
            <v>23778233</v>
          </cell>
          <cell r="B1378" t="str">
            <v>2</v>
          </cell>
          <cell r="C1378" t="str">
            <v/>
          </cell>
          <cell r="D1378" t="str">
            <v>NP</v>
          </cell>
          <cell r="E1378" t="str">
            <v>LUZ STELLA</v>
          </cell>
          <cell r="F1378" t="str">
            <v>RODRIGUEZ</v>
          </cell>
          <cell r="G1378" t="str">
            <v>RODRIGUEZ LUZ STELLA</v>
          </cell>
          <cell r="H1378" t="str">
            <v>RECO</v>
          </cell>
          <cell r="I1378" t="str">
            <v>REGIMEN COMUN</v>
          </cell>
          <cell r="J1378" t="str">
            <v>CR 9 21 56</v>
          </cell>
          <cell r="K1378" t="str">
            <v>11001</v>
          </cell>
          <cell r="L1378" t="str">
            <v>BOGOTA DC</v>
          </cell>
          <cell r="M1378" t="str">
            <v>2433364</v>
          </cell>
        </row>
        <row r="1379">
          <cell r="A1379">
            <v>23783243</v>
          </cell>
          <cell r="B1379" t="str">
            <v/>
          </cell>
          <cell r="C1379" t="str">
            <v/>
          </cell>
          <cell r="D1379" t="str">
            <v>CC</v>
          </cell>
          <cell r="E1379" t="str">
            <v>ADRIANA</v>
          </cell>
          <cell r="F1379" t="str">
            <v>TORRES LOPEZ</v>
          </cell>
          <cell r="G1379" t="str">
            <v>TORRES LOPEZ ADRIANA</v>
          </cell>
          <cell r="H1379" t="str">
            <v>FUNC</v>
          </cell>
          <cell r="I1379" t="str">
            <v>FUNCIONARIO</v>
          </cell>
          <cell r="J1379" t="str">
            <v>CALLE 33 No 14-35 CASA 14</v>
          </cell>
          <cell r="K1379" t="str">
            <v>15516</v>
          </cell>
          <cell r="L1379" t="str">
            <v>PAIPA</v>
          </cell>
          <cell r="M1379" t="str">
            <v>3118207973</v>
          </cell>
        </row>
        <row r="1380">
          <cell r="A1380">
            <v>23791169</v>
          </cell>
          <cell r="B1380" t="str">
            <v/>
          </cell>
          <cell r="C1380" t="str">
            <v/>
          </cell>
          <cell r="D1380" t="str">
            <v>CC</v>
          </cell>
          <cell r="E1380" t="str">
            <v>NATALIA  CAROLINA</v>
          </cell>
          <cell r="F1380" t="str">
            <v>GOMEZ RODRIGUEZ</v>
          </cell>
          <cell r="G1380" t="str">
            <v>GOMEZ RODRIGUEZ NATALIA  CAROLINA</v>
          </cell>
          <cell r="H1380" t="str">
            <v>RESI</v>
          </cell>
          <cell r="I1380" t="str">
            <v>REGIMEN SIMPLIFICADO</v>
          </cell>
          <cell r="J1380" t="str">
            <v>CL 25 25 71 P2</v>
          </cell>
          <cell r="K1380" t="str">
            <v>99001</v>
          </cell>
          <cell r="L1380" t="str">
            <v>PUERTO CARREÑO</v>
          </cell>
          <cell r="M1380" t="str">
            <v>3102686851</v>
          </cell>
        </row>
        <row r="1381">
          <cell r="A1381">
            <v>23794084</v>
          </cell>
          <cell r="B1381" t="str">
            <v>9</v>
          </cell>
          <cell r="C1381" t="str">
            <v/>
          </cell>
          <cell r="D1381" t="str">
            <v>NP</v>
          </cell>
          <cell r="E1381" t="str">
            <v>MARORA</v>
          </cell>
          <cell r="F1381" t="str">
            <v>TUMAY</v>
          </cell>
          <cell r="G1381" t="str">
            <v>TUMAY MARORA</v>
          </cell>
          <cell r="H1381" t="str">
            <v>RESI</v>
          </cell>
          <cell r="I1381" t="str">
            <v>REGIMEN SIMPLIFICADO</v>
          </cell>
          <cell r="J1381" t="str">
            <v>CL 10   8   25</v>
          </cell>
          <cell r="K1381" t="str">
            <v>85250</v>
          </cell>
          <cell r="L1381" t="str">
            <v>PAZ DE ARIPORO</v>
          </cell>
          <cell r="M1381" t="str">
            <v>3124321434</v>
          </cell>
        </row>
        <row r="1382">
          <cell r="A1382">
            <v>23826600</v>
          </cell>
          <cell r="B1382" t="str">
            <v>9</v>
          </cell>
          <cell r="C1382" t="str">
            <v/>
          </cell>
          <cell r="D1382" t="str">
            <v>NP</v>
          </cell>
          <cell r="E1382" t="str">
            <v>ANA SILVIA</v>
          </cell>
          <cell r="F1382" t="str">
            <v>VELANDIA DE PONGUTA</v>
          </cell>
          <cell r="G1382" t="str">
            <v>VELANDIA DE PONGUTA ANA SILVIA</v>
          </cell>
          <cell r="H1382" t="str">
            <v>RESI</v>
          </cell>
          <cell r="I1382" t="str">
            <v>REGIMEN SIMPLIFICADO</v>
          </cell>
          <cell r="J1382" t="str">
            <v>CL 13   23   27</v>
          </cell>
          <cell r="K1382" t="str">
            <v>85225</v>
          </cell>
          <cell r="L1382" t="str">
            <v>NUNCHÍA</v>
          </cell>
          <cell r="M1382" t="str">
            <v>3133690877</v>
          </cell>
        </row>
        <row r="1383">
          <cell r="A1383">
            <v>23827384</v>
          </cell>
          <cell r="B1383" t="str">
            <v>7</v>
          </cell>
          <cell r="C1383" t="str">
            <v/>
          </cell>
          <cell r="D1383" t="str">
            <v>NP</v>
          </cell>
          <cell r="E1383" t="str">
            <v>EDILSA</v>
          </cell>
          <cell r="F1383" t="str">
            <v>ESTEPA ROA</v>
          </cell>
          <cell r="G1383" t="str">
            <v>ESTEPA ROA EDILSA</v>
          </cell>
          <cell r="H1383" t="str">
            <v>RECO</v>
          </cell>
          <cell r="I1383" t="str">
            <v>REGIMEN COMUN</v>
          </cell>
          <cell r="J1383" t="str">
            <v>CL 7   4   41 CEN</v>
          </cell>
          <cell r="K1383" t="str">
            <v>85225</v>
          </cell>
          <cell r="L1383" t="str">
            <v>NUNCHÍA</v>
          </cell>
          <cell r="M1383" t="str">
            <v>6352075</v>
          </cell>
        </row>
        <row r="1384">
          <cell r="A1384">
            <v>23827642</v>
          </cell>
          <cell r="B1384" t="str">
            <v>2</v>
          </cell>
          <cell r="C1384" t="str">
            <v/>
          </cell>
          <cell r="D1384" t="str">
            <v>NP</v>
          </cell>
          <cell r="E1384" t="str">
            <v>CASILDA</v>
          </cell>
          <cell r="F1384" t="str">
            <v>BETANCOURT FUENTES</v>
          </cell>
          <cell r="G1384" t="str">
            <v>BETANCOURT FUENTES CASILDA</v>
          </cell>
          <cell r="H1384" t="str">
            <v>RESI</v>
          </cell>
          <cell r="I1384" t="str">
            <v>REGIMEN SIMPLIFICADO</v>
          </cell>
          <cell r="J1384" t="str">
            <v>BRR EL PRADO</v>
          </cell>
          <cell r="K1384" t="str">
            <v>85225</v>
          </cell>
          <cell r="L1384" t="str">
            <v>NUNCHÍA</v>
          </cell>
          <cell r="M1384" t="str">
            <v>3125667490</v>
          </cell>
        </row>
        <row r="1385">
          <cell r="A1385">
            <v>23832050</v>
          </cell>
          <cell r="B1385" t="str">
            <v/>
          </cell>
          <cell r="C1385" t="str">
            <v/>
          </cell>
          <cell r="D1385" t="str">
            <v>CC</v>
          </cell>
          <cell r="E1385" t="str">
            <v>MARIA FLOR ANGELA</v>
          </cell>
          <cell r="F1385" t="str">
            <v>FARFAN</v>
          </cell>
          <cell r="G1385" t="str">
            <v>FARFAN MARIA FLOR ANGELA</v>
          </cell>
          <cell r="H1385" t="str">
            <v>RESI</v>
          </cell>
          <cell r="I1385" t="str">
            <v>REGIMEN SIMPLIFICADO</v>
          </cell>
          <cell r="J1385" t="str">
            <v>MCP NUNCHÍA PD CASUNA</v>
          </cell>
          <cell r="K1385" t="str">
            <v>85225</v>
          </cell>
          <cell r="L1385" t="str">
            <v>NUNCHÍA</v>
          </cell>
          <cell r="M1385" t="str">
            <v>3002566666</v>
          </cell>
        </row>
        <row r="1386">
          <cell r="A1386">
            <v>23834660</v>
          </cell>
          <cell r="B1386" t="str">
            <v>4</v>
          </cell>
          <cell r="C1386" t="str">
            <v/>
          </cell>
          <cell r="D1386" t="str">
            <v>NP</v>
          </cell>
          <cell r="E1386" t="str">
            <v>CARMEN MARGARITA</v>
          </cell>
          <cell r="F1386" t="str">
            <v>REY ROJAS</v>
          </cell>
          <cell r="G1386" t="str">
            <v>REY ROJAS CARMEN MARGARITA</v>
          </cell>
          <cell r="H1386" t="str">
            <v>RESI</v>
          </cell>
          <cell r="I1386" t="str">
            <v>REGIMEN SIMPLIFICADO</v>
          </cell>
          <cell r="J1386" t="str">
            <v>CL 5   8   89</v>
          </cell>
          <cell r="K1386" t="str">
            <v>85230</v>
          </cell>
          <cell r="L1386" t="str">
            <v>OROCUÉ</v>
          </cell>
          <cell r="M1386" t="str">
            <v>6365186</v>
          </cell>
        </row>
        <row r="1387">
          <cell r="A1387">
            <v>23834961</v>
          </cell>
          <cell r="B1387" t="str">
            <v>6</v>
          </cell>
          <cell r="C1387" t="str">
            <v/>
          </cell>
          <cell r="D1387" t="str">
            <v>NP</v>
          </cell>
          <cell r="E1387" t="str">
            <v>ANA ASENCION</v>
          </cell>
          <cell r="F1387" t="str">
            <v>CRUZ MARTINEZ</v>
          </cell>
          <cell r="G1387" t="str">
            <v>CRUZ MARTINEZ ANA ASENCION</v>
          </cell>
          <cell r="H1387" t="str">
            <v>RESI</v>
          </cell>
          <cell r="I1387" t="str">
            <v>REGIMEN SIMPLIFICADO</v>
          </cell>
          <cell r="J1387" t="str">
            <v>VRD LA INDEPENDENCIA</v>
          </cell>
          <cell r="K1387" t="str">
            <v>85230</v>
          </cell>
          <cell r="L1387" t="str">
            <v>OROCUÉ</v>
          </cell>
          <cell r="M1387" t="str">
            <v>3102314657</v>
          </cell>
        </row>
        <row r="1388">
          <cell r="A1388">
            <v>23835166</v>
          </cell>
          <cell r="B1388" t="str">
            <v/>
          </cell>
          <cell r="C1388" t="str">
            <v/>
          </cell>
          <cell r="D1388" t="str">
            <v>CC</v>
          </cell>
          <cell r="E1388" t="str">
            <v>MARIA CLARISA</v>
          </cell>
          <cell r="F1388" t="str">
            <v>POLANCO JIMENEZ</v>
          </cell>
          <cell r="G1388" t="str">
            <v>POLANCO JIMENEZ MARIA CLARISA</v>
          </cell>
          <cell r="H1388" t="str">
            <v>RESI</v>
          </cell>
          <cell r="I1388" t="str">
            <v>REGIMEN SIMPLIFICADO</v>
          </cell>
          <cell r="J1388" t="str">
            <v>MCP SAN LUIS DE PALENQUE VRD MATA DE SANTO</v>
          </cell>
          <cell r="K1388" t="str">
            <v>85325</v>
          </cell>
          <cell r="L1388" t="str">
            <v>SAN LUIS DE PALENQUE</v>
          </cell>
          <cell r="M1388" t="str">
            <v>3212635057</v>
          </cell>
        </row>
        <row r="1389">
          <cell r="A1389">
            <v>23835264</v>
          </cell>
          <cell r="B1389" t="str">
            <v>5</v>
          </cell>
          <cell r="C1389" t="str">
            <v/>
          </cell>
          <cell r="D1389" t="str">
            <v>NP</v>
          </cell>
          <cell r="E1389" t="str">
            <v>MERY</v>
          </cell>
          <cell r="F1389" t="str">
            <v>CATIMAY GUACARAPARE</v>
          </cell>
          <cell r="G1389" t="str">
            <v>CATIMAY GUACARAPARE MERY</v>
          </cell>
          <cell r="H1389" t="str">
            <v>RESI</v>
          </cell>
          <cell r="I1389" t="str">
            <v>REGIMEN SIMPLIFICADO</v>
          </cell>
          <cell r="J1389" t="str">
            <v>CR 7 D 160 A 05 AP 201</v>
          </cell>
          <cell r="K1389" t="str">
            <v>11001</v>
          </cell>
          <cell r="L1389" t="str">
            <v>BOGOTA DC</v>
          </cell>
          <cell r="M1389" t="str">
            <v>3138949882</v>
          </cell>
        </row>
        <row r="1390">
          <cell r="A1390">
            <v>23835317</v>
          </cell>
          <cell r="B1390" t="str">
            <v>7</v>
          </cell>
          <cell r="C1390" t="str">
            <v/>
          </cell>
          <cell r="D1390" t="str">
            <v>NP</v>
          </cell>
          <cell r="E1390" t="str">
            <v>MARELVY</v>
          </cell>
          <cell r="F1390" t="str">
            <v>GARCIA CHAVES</v>
          </cell>
          <cell r="G1390" t="str">
            <v>GARCIA CHAVES MARELVY</v>
          </cell>
          <cell r="H1390" t="str">
            <v>RESI</v>
          </cell>
          <cell r="I1390" t="str">
            <v>REGIMEN SIMPLIFICADO</v>
          </cell>
          <cell r="J1390" t="str">
            <v>CL 5   6   23 BRR CENTRO</v>
          </cell>
          <cell r="K1390" t="str">
            <v>50680</v>
          </cell>
          <cell r="L1390" t="str">
            <v>SAN CARLOS DE GUAROA</v>
          </cell>
          <cell r="M1390" t="str">
            <v>3143352107</v>
          </cell>
        </row>
        <row r="1391">
          <cell r="A1391">
            <v>23852221</v>
          </cell>
          <cell r="B1391" t="str">
            <v/>
          </cell>
          <cell r="C1391" t="str">
            <v/>
          </cell>
          <cell r="D1391" t="str">
            <v>CC</v>
          </cell>
          <cell r="E1391" t="str">
            <v>ANA LIGIA</v>
          </cell>
          <cell r="F1391" t="str">
            <v>GONZALEZ</v>
          </cell>
          <cell r="G1391" t="str">
            <v>GONZALEZ ANA LIGIA</v>
          </cell>
          <cell r="H1391" t="str">
            <v>NORE</v>
          </cell>
          <cell r="I1391" t="str">
            <v>NO RESPONSABLE DE IVA</v>
          </cell>
          <cell r="J1391" t="str">
            <v>MCP MANIZALES</v>
          </cell>
          <cell r="K1391" t="str">
            <v>17001</v>
          </cell>
          <cell r="L1391" t="str">
            <v>MANIZALES</v>
          </cell>
          <cell r="M1391" t="str">
            <v>NO TIENE</v>
          </cell>
        </row>
        <row r="1392">
          <cell r="A1392">
            <v>23853895</v>
          </cell>
          <cell r="B1392" t="str">
            <v>9</v>
          </cell>
          <cell r="C1392" t="str">
            <v/>
          </cell>
          <cell r="D1392" t="str">
            <v>NP</v>
          </cell>
          <cell r="E1392" t="str">
            <v>DORA HILDA</v>
          </cell>
          <cell r="F1392" t="str">
            <v>MEDINA DE PACHECO</v>
          </cell>
          <cell r="G1392" t="str">
            <v>MEDINA DE PACHECO DORA HILDA</v>
          </cell>
          <cell r="H1392" t="str">
            <v>RECO</v>
          </cell>
          <cell r="I1392" t="str">
            <v>REGIMEN COMUN</v>
          </cell>
          <cell r="J1392" t="str">
            <v>CR 54 C 143 A 90 AP 410</v>
          </cell>
          <cell r="K1392" t="str">
            <v>11001</v>
          </cell>
          <cell r="L1392" t="str">
            <v>BOGOTA DC</v>
          </cell>
          <cell r="M1392" t="str">
            <v>3125863017</v>
          </cell>
        </row>
        <row r="1393">
          <cell r="A1393">
            <v>23854232</v>
          </cell>
          <cell r="B1393" t="str">
            <v>0</v>
          </cell>
          <cell r="C1393" t="str">
            <v/>
          </cell>
          <cell r="D1393" t="str">
            <v>NP</v>
          </cell>
          <cell r="E1393" t="str">
            <v>ANA OTILIA</v>
          </cell>
          <cell r="F1393" t="str">
            <v>ORTIZ DE FARFAN</v>
          </cell>
          <cell r="G1393" t="str">
            <v>ORTIZ DE FARFAN ANA OTILIA</v>
          </cell>
          <cell r="H1393" t="str">
            <v>RESI</v>
          </cell>
          <cell r="I1393" t="str">
            <v>REGIMEN SIMPLIFICADO</v>
          </cell>
          <cell r="J1393" t="str">
            <v>CR 22  22 70</v>
          </cell>
          <cell r="K1393" t="str">
            <v>15516</v>
          </cell>
          <cell r="L1393" t="str">
            <v>PAIPA</v>
          </cell>
          <cell r="M1393" t="str">
            <v>3132656003</v>
          </cell>
        </row>
        <row r="1394">
          <cell r="A1394">
            <v>23854351</v>
          </cell>
          <cell r="B1394" t="str">
            <v>9</v>
          </cell>
          <cell r="C1394" t="str">
            <v/>
          </cell>
          <cell r="D1394" t="str">
            <v>NP</v>
          </cell>
          <cell r="E1394" t="str">
            <v>ROSALBA</v>
          </cell>
          <cell r="F1394" t="str">
            <v>MATEUS JIMENEZ</v>
          </cell>
          <cell r="G1394" t="str">
            <v>MATEUS JIMENEZ ROSALBA</v>
          </cell>
          <cell r="H1394" t="str">
            <v>NORE</v>
          </cell>
          <cell r="I1394" t="str">
            <v>NO RESPONSABLE DE IVA</v>
          </cell>
          <cell r="J1394" t="str">
            <v>CL  24 19 121 CC SENDERO PLAZA LC 203</v>
          </cell>
          <cell r="K1394" t="str">
            <v>15516</v>
          </cell>
          <cell r="L1394" t="str">
            <v>PAIPA</v>
          </cell>
          <cell r="M1394" t="str">
            <v>3204946948</v>
          </cell>
        </row>
        <row r="1395">
          <cell r="A1395">
            <v>23855312</v>
          </cell>
          <cell r="B1395" t="str">
            <v>6</v>
          </cell>
          <cell r="C1395" t="str">
            <v/>
          </cell>
          <cell r="D1395" t="str">
            <v>NP</v>
          </cell>
          <cell r="E1395" t="str">
            <v>ELSA NUBIA</v>
          </cell>
          <cell r="F1395" t="str">
            <v>MATEUS JIMENEZ</v>
          </cell>
          <cell r="G1395" t="str">
            <v xml:space="preserve">MATEUS JIMENEZ ELSA NUBIA                                   </v>
          </cell>
          <cell r="H1395" t="str">
            <v>REOR</v>
          </cell>
          <cell r="I1395" t="str">
            <v>RENTA REGIMEN ORDINARIO</v>
          </cell>
          <cell r="J1395" t="str">
            <v>CL 22 20 63</v>
          </cell>
          <cell r="K1395" t="str">
            <v>15516</v>
          </cell>
          <cell r="L1395" t="str">
            <v>PAIPA</v>
          </cell>
          <cell r="M1395" t="str">
            <v>7851030</v>
          </cell>
        </row>
        <row r="1396">
          <cell r="A1396">
            <v>23855363</v>
          </cell>
          <cell r="B1396" t="str">
            <v>1</v>
          </cell>
          <cell r="C1396" t="str">
            <v/>
          </cell>
          <cell r="D1396" t="str">
            <v>NP</v>
          </cell>
          <cell r="E1396" t="str">
            <v xml:space="preserve">MYRIAM </v>
          </cell>
          <cell r="F1396" t="str">
            <v>MARTINEZ NIÑO</v>
          </cell>
          <cell r="G1396" t="str">
            <v>MYRIAM MARTINEZ NIÑO</v>
          </cell>
          <cell r="H1396" t="str">
            <v>RECO</v>
          </cell>
          <cell r="I1396" t="str">
            <v>REGIMEN COMUN</v>
          </cell>
          <cell r="J1396" t="str">
            <v xml:space="preserve">AVD LIBERTADORES N 22 21               </v>
          </cell>
          <cell r="K1396" t="str">
            <v>15238</v>
          </cell>
          <cell r="L1396" t="str">
            <v>DUITAMA</v>
          </cell>
          <cell r="M1396" t="str">
            <v>7851968</v>
          </cell>
        </row>
        <row r="1397">
          <cell r="A1397">
            <v>23855902</v>
          </cell>
          <cell r="B1397" t="str">
            <v>1</v>
          </cell>
          <cell r="C1397" t="str">
            <v/>
          </cell>
          <cell r="D1397" t="str">
            <v>NP</v>
          </cell>
          <cell r="E1397" t="str">
            <v>BLANCA ALCIRA</v>
          </cell>
          <cell r="F1397" t="str">
            <v>LOPEZ BUITRAGO</v>
          </cell>
          <cell r="G1397" t="str">
            <v>LOPEZ BUITRAGO BLANCA ALCIRA</v>
          </cell>
          <cell r="H1397" t="str">
            <v>IMVE</v>
          </cell>
          <cell r="I1397" t="str">
            <v>IMPUESTO SOBRE LAS VENTAS</v>
          </cell>
          <cell r="J1397" t="str">
            <v>CR 19 10 A 41</v>
          </cell>
          <cell r="K1397" t="str">
            <v>15238</v>
          </cell>
          <cell r="L1397" t="str">
            <v>DUITAMA</v>
          </cell>
          <cell r="M1397" t="str">
            <v>7614946</v>
          </cell>
        </row>
        <row r="1398">
          <cell r="A1398">
            <v>23856172</v>
          </cell>
          <cell r="B1398" t="str">
            <v>6</v>
          </cell>
          <cell r="C1398" t="str">
            <v/>
          </cell>
          <cell r="D1398" t="str">
            <v>NP</v>
          </cell>
          <cell r="E1398" t="str">
            <v>NUBIA TERESA</v>
          </cell>
          <cell r="F1398" t="str">
            <v>REYES RODRIGUEZ</v>
          </cell>
          <cell r="G1398" t="str">
            <v>REYES RODRIGUEZ NUBIA TERESA</v>
          </cell>
          <cell r="H1398" t="str">
            <v>NORE</v>
          </cell>
          <cell r="I1398" t="str">
            <v>NO RESPONSABLE DE IVA</v>
          </cell>
          <cell r="J1398" t="str">
            <v>AV LIBERTADORES 37 50 BARRIO CONRINTO</v>
          </cell>
          <cell r="K1398" t="str">
            <v>15516</v>
          </cell>
          <cell r="L1398" t="str">
            <v>PAIPA</v>
          </cell>
          <cell r="M1398" t="str">
            <v>3202085636</v>
          </cell>
        </row>
        <row r="1399">
          <cell r="A1399">
            <v>23856966</v>
          </cell>
          <cell r="B1399" t="str">
            <v>7</v>
          </cell>
          <cell r="C1399" t="str">
            <v/>
          </cell>
          <cell r="D1399" t="str">
            <v>NP</v>
          </cell>
          <cell r="E1399" t="str">
            <v>MIREYA</v>
          </cell>
          <cell r="F1399" t="str">
            <v>RODRIGUEZ VARGAS</v>
          </cell>
          <cell r="G1399" t="str">
            <v>RODRIGUEZ VARGAS MIREYA</v>
          </cell>
          <cell r="H1399" t="str">
            <v>RESI</v>
          </cell>
          <cell r="I1399" t="str">
            <v>REGIMEN SIMPLIFICADO</v>
          </cell>
          <cell r="J1399" t="str">
            <v>CL 22 20 67</v>
          </cell>
          <cell r="K1399" t="str">
            <v>15516</v>
          </cell>
          <cell r="L1399" t="str">
            <v>PAIPA</v>
          </cell>
          <cell r="M1399" t="str">
            <v>3108764729</v>
          </cell>
        </row>
        <row r="1400">
          <cell r="A1400">
            <v>23857074</v>
          </cell>
          <cell r="B1400" t="str">
            <v>7</v>
          </cell>
          <cell r="C1400" t="str">
            <v/>
          </cell>
          <cell r="D1400" t="str">
            <v>NP</v>
          </cell>
          <cell r="E1400" t="str">
            <v>NOHORA LIZHTMERCY</v>
          </cell>
          <cell r="F1400" t="str">
            <v>HURTADO VERGARA</v>
          </cell>
          <cell r="G1400" t="str">
            <v>HURTADO VERGARA NOHORA LIZHTMERCY</v>
          </cell>
          <cell r="H1400" t="str">
            <v>RESI</v>
          </cell>
          <cell r="I1400" t="str">
            <v>REGIMEN SIMPLIFICADO</v>
          </cell>
          <cell r="J1400" t="str">
            <v>CL 27 19 45 BRR JORGE ELIECER GAITAN</v>
          </cell>
          <cell r="K1400" t="str">
            <v>15516</v>
          </cell>
          <cell r="L1400" t="str">
            <v>PAIPA</v>
          </cell>
          <cell r="M1400" t="str">
            <v>3107637766</v>
          </cell>
        </row>
        <row r="1401">
          <cell r="A1401">
            <v>23857349</v>
          </cell>
          <cell r="B1401" t="str">
            <v/>
          </cell>
          <cell r="C1401" t="str">
            <v/>
          </cell>
          <cell r="D1401" t="str">
            <v>CC</v>
          </cell>
          <cell r="E1401" t="str">
            <v>MARIA EUGENIA</v>
          </cell>
          <cell r="F1401" t="str">
            <v>BONILLA PATARROYO</v>
          </cell>
          <cell r="G1401" t="str">
            <v>BONILLA PATARROYO MARIA EUGENIA</v>
          </cell>
          <cell r="H1401" t="str">
            <v>FUNC</v>
          </cell>
          <cell r="I1401" t="str">
            <v>FUNCIONARIO</v>
          </cell>
          <cell r="J1401" t="str">
            <v>CR 20 23 70</v>
          </cell>
          <cell r="K1401" t="str">
            <v>15516</v>
          </cell>
          <cell r="L1401" t="str">
            <v>PAIPA</v>
          </cell>
          <cell r="M1401" t="str">
            <v>3118172571</v>
          </cell>
        </row>
        <row r="1402">
          <cell r="A1402">
            <v>23857537</v>
          </cell>
          <cell r="B1402" t="str">
            <v>5</v>
          </cell>
          <cell r="C1402" t="str">
            <v/>
          </cell>
          <cell r="D1402" t="str">
            <v>NP</v>
          </cell>
          <cell r="E1402" t="str">
            <v xml:space="preserve">ADELINA </v>
          </cell>
          <cell r="F1402" t="str">
            <v>AVELLANEDA ESPINOSA</v>
          </cell>
          <cell r="G1402" t="str">
            <v>ADELINA AVELLANEDA ESPINOSA</v>
          </cell>
          <cell r="H1402" t="str">
            <v>RECO</v>
          </cell>
          <cell r="I1402" t="str">
            <v>REGIMEN COMUN</v>
          </cell>
          <cell r="J1402" t="str">
            <v>CR 27 A   27 20</v>
          </cell>
          <cell r="K1402" t="str">
            <v>15516</v>
          </cell>
          <cell r="L1402" t="str">
            <v>PAIPA</v>
          </cell>
          <cell r="M1402" t="str">
            <v>310 329 6590</v>
          </cell>
        </row>
        <row r="1403">
          <cell r="A1403">
            <v>23913232</v>
          </cell>
          <cell r="B1403" t="str">
            <v/>
          </cell>
          <cell r="C1403" t="str">
            <v/>
          </cell>
          <cell r="D1403" t="str">
            <v>CC</v>
          </cell>
          <cell r="E1403" t="str">
            <v>MARIA BERTHA</v>
          </cell>
          <cell r="F1403" t="str">
            <v>MEJIA URREA</v>
          </cell>
          <cell r="G1403" t="str">
            <v>MEJIA URREA MARIA BERTHA</v>
          </cell>
          <cell r="H1403" t="str">
            <v>RESI</v>
          </cell>
          <cell r="I1403" t="str">
            <v>REGIMEN SIMPLIFICADO</v>
          </cell>
          <cell r="J1403" t="str">
            <v>CL 14A 27A 25 BRR SAN MIGUEL</v>
          </cell>
          <cell r="K1403" t="str">
            <v>15516</v>
          </cell>
          <cell r="L1403" t="str">
            <v>PAIPA</v>
          </cell>
          <cell r="M1403" t="str">
            <v>7850012</v>
          </cell>
        </row>
        <row r="1404">
          <cell r="A1404">
            <v>23914559</v>
          </cell>
          <cell r="B1404" t="str">
            <v>1</v>
          </cell>
          <cell r="C1404" t="str">
            <v/>
          </cell>
          <cell r="D1404" t="str">
            <v>NP</v>
          </cell>
          <cell r="E1404" t="str">
            <v>MARIA ORTENCIA</v>
          </cell>
          <cell r="F1404" t="str">
            <v>FONSECA GOMEZ</v>
          </cell>
          <cell r="G1404" t="str">
            <v>FONSECA GOMEZ MARIA ORTENCIA</v>
          </cell>
          <cell r="H1404" t="str">
            <v>NORE</v>
          </cell>
          <cell r="I1404" t="str">
            <v>NO RESPONSABLE DE IVA</v>
          </cell>
          <cell r="J1404" t="str">
            <v>CL 9   34-36 P 2 LC 202</v>
          </cell>
          <cell r="K1404" t="str">
            <v>15238</v>
          </cell>
          <cell r="L1404" t="str">
            <v>DUITAMA</v>
          </cell>
          <cell r="M1404" t="str">
            <v>3115721066</v>
          </cell>
        </row>
        <row r="1405">
          <cell r="A1405">
            <v>23944786</v>
          </cell>
          <cell r="B1405" t="str">
            <v/>
          </cell>
          <cell r="C1405" t="str">
            <v/>
          </cell>
          <cell r="D1405" t="str">
            <v>CC</v>
          </cell>
          <cell r="E1405" t="str">
            <v>MARIA CRISTINA</v>
          </cell>
          <cell r="F1405" t="str">
            <v>BERNAL BARRERA</v>
          </cell>
          <cell r="G1405" t="str">
            <v>BERNAL BARRERA MARIA CRISTINA</v>
          </cell>
          <cell r="H1405" t="str">
            <v>FUNC</v>
          </cell>
          <cell r="I1405" t="str">
            <v>FUNCIONARIO</v>
          </cell>
          <cell r="J1405" t="str">
            <v>CL 2   8   9</v>
          </cell>
          <cell r="K1405" t="str">
            <v>17001</v>
          </cell>
          <cell r="L1405" t="str">
            <v>MANIZALES</v>
          </cell>
          <cell r="M1405" t="str">
            <v>3204257267</v>
          </cell>
        </row>
        <row r="1406">
          <cell r="A1406">
            <v>24016459</v>
          </cell>
          <cell r="B1406" t="str">
            <v>4</v>
          </cell>
          <cell r="C1406" t="str">
            <v/>
          </cell>
          <cell r="D1406" t="str">
            <v>NP</v>
          </cell>
          <cell r="E1406" t="str">
            <v>MAGDALENA</v>
          </cell>
          <cell r="F1406" t="str">
            <v>GIL</v>
          </cell>
          <cell r="G1406" t="str">
            <v>GIL MAGDALENA</v>
          </cell>
          <cell r="H1406" t="str">
            <v>RESI</v>
          </cell>
          <cell r="I1406" t="str">
            <v>REGIMEN SIMPLIFICADO</v>
          </cell>
          <cell r="J1406" t="str">
            <v>CL 17 14 39</v>
          </cell>
          <cell r="K1406" t="str">
            <v>15238</v>
          </cell>
          <cell r="L1406" t="str">
            <v>DUITAMA</v>
          </cell>
          <cell r="M1406" t="str">
            <v>7604472</v>
          </cell>
        </row>
        <row r="1407">
          <cell r="A1407">
            <v>24017985</v>
          </cell>
          <cell r="B1407" t="str">
            <v>1</v>
          </cell>
          <cell r="C1407" t="str">
            <v/>
          </cell>
          <cell r="D1407" t="str">
            <v>NP</v>
          </cell>
          <cell r="E1407" t="str">
            <v>MARIA NOHEMY</v>
          </cell>
          <cell r="F1407" t="str">
            <v>SIERRA LANCHEROS</v>
          </cell>
          <cell r="G1407" t="str">
            <v>SIERRA LANCHEROS MARIA NOHEMY</v>
          </cell>
          <cell r="H1407" t="str">
            <v>RESI</v>
          </cell>
          <cell r="I1407" t="str">
            <v>REGIMEN SIMPLIFICADO</v>
          </cell>
          <cell r="J1407" t="str">
            <v>CL 114 A BIS 45 15 AP 1406</v>
          </cell>
          <cell r="K1407" t="str">
            <v>11001</v>
          </cell>
          <cell r="L1407" t="str">
            <v>BOGOTA DC</v>
          </cell>
          <cell r="M1407" t="str">
            <v>3102146973</v>
          </cell>
        </row>
        <row r="1408">
          <cell r="A1408">
            <v>24098677</v>
          </cell>
          <cell r="B1408" t="str">
            <v>4</v>
          </cell>
          <cell r="C1408" t="str">
            <v/>
          </cell>
          <cell r="D1408" t="str">
            <v>NP</v>
          </cell>
          <cell r="E1408" t="str">
            <v>BERTHA CECILIA</v>
          </cell>
          <cell r="F1408" t="str">
            <v>ZARATE PAREDES</v>
          </cell>
          <cell r="G1408" t="str">
            <v>BERTHA CECILIA ZARATE PAREDES</v>
          </cell>
          <cell r="H1408" t="str">
            <v>RECO</v>
          </cell>
          <cell r="I1408" t="str">
            <v>REGIMEN COMUN</v>
          </cell>
          <cell r="J1408" t="str">
            <v>CL 5 N 12   31</v>
          </cell>
          <cell r="K1408" t="str">
            <v>15757</v>
          </cell>
          <cell r="L1408" t="str">
            <v>SOCHA</v>
          </cell>
          <cell r="M1408" t="str">
            <v>7874362</v>
          </cell>
        </row>
        <row r="1409">
          <cell r="A1409">
            <v>24112597</v>
          </cell>
          <cell r="B1409" t="str">
            <v>3</v>
          </cell>
          <cell r="C1409" t="str">
            <v/>
          </cell>
          <cell r="D1409" t="str">
            <v>NP</v>
          </cell>
          <cell r="E1409" t="str">
            <v>MARIA DE LOS SANTOS</v>
          </cell>
          <cell r="F1409" t="str">
            <v>ORTEGA DE AVELLA</v>
          </cell>
          <cell r="G1409" t="str">
            <v>ORTEGA DE AVELLA MARIA DE LOS SANTOS</v>
          </cell>
          <cell r="H1409" t="str">
            <v>RESI</v>
          </cell>
          <cell r="I1409" t="str">
            <v>REGIMEN SIMPLIFICADO</v>
          </cell>
          <cell r="J1409" t="str">
            <v>CR 19   11   30</v>
          </cell>
          <cell r="K1409" t="str">
            <v>85001</v>
          </cell>
          <cell r="L1409" t="str">
            <v>YOPAL</v>
          </cell>
          <cell r="M1409" t="str">
            <v>6358872</v>
          </cell>
        </row>
        <row r="1410">
          <cell r="A1410">
            <v>24112712</v>
          </cell>
          <cell r="B1410" t="str">
            <v>4</v>
          </cell>
          <cell r="C1410" t="str">
            <v/>
          </cell>
          <cell r="D1410" t="str">
            <v>NP</v>
          </cell>
          <cell r="E1410" t="str">
            <v>ANA MATILDE</v>
          </cell>
          <cell r="F1410" t="str">
            <v>RAMIREZ BARRERA</v>
          </cell>
          <cell r="G1410" t="str">
            <v>RAMIREZ BARRERA ANA MATILDE</v>
          </cell>
          <cell r="H1410" t="str">
            <v>RECO</v>
          </cell>
          <cell r="I1410" t="str">
            <v>REGIMEN COMUN</v>
          </cell>
          <cell r="J1410" t="str">
            <v>CR 18 17 ESQ PLAZA</v>
          </cell>
          <cell r="K1410" t="str">
            <v>15238</v>
          </cell>
          <cell r="L1410" t="str">
            <v>DUITAMA</v>
          </cell>
          <cell r="M1410" t="str">
            <v>7620515</v>
          </cell>
        </row>
        <row r="1411">
          <cell r="A1411">
            <v>24113767</v>
          </cell>
          <cell r="B1411" t="str">
            <v>3</v>
          </cell>
          <cell r="C1411" t="str">
            <v/>
          </cell>
          <cell r="D1411" t="str">
            <v>NP</v>
          </cell>
          <cell r="E1411" t="str">
            <v>RAFAELA DEL CARMEN</v>
          </cell>
          <cell r="F1411" t="str">
            <v>MEDINA DE BARRERA</v>
          </cell>
          <cell r="G1411" t="str">
            <v>MEDINA DE BARRERA RAFAELA DEL CARMEN</v>
          </cell>
          <cell r="H1411" t="str">
            <v>REOR</v>
          </cell>
          <cell r="I1411" t="str">
            <v>RENTA REGIMEN ORDINARIO</v>
          </cell>
          <cell r="J1411" t="str">
            <v>CR 4  4  90</v>
          </cell>
          <cell r="K1411" t="str">
            <v>15820</v>
          </cell>
          <cell r="L1411" t="str">
            <v>TÓPAGA</v>
          </cell>
          <cell r="M1411" t="str">
            <v>3108784910</v>
          </cell>
        </row>
        <row r="1412">
          <cell r="A1412">
            <v>24116491</v>
          </cell>
          <cell r="B1412" t="str">
            <v>1</v>
          </cell>
          <cell r="C1412" t="str">
            <v/>
          </cell>
          <cell r="D1412" t="str">
            <v>NP</v>
          </cell>
          <cell r="E1412" t="str">
            <v>ALICIA</v>
          </cell>
          <cell r="F1412" t="str">
            <v>FIAGA DE RUEDA</v>
          </cell>
          <cell r="G1412" t="str">
            <v>FIAGA DE RUEDA ALICIA</v>
          </cell>
          <cell r="H1412" t="str">
            <v>REOR</v>
          </cell>
          <cell r="I1412" t="str">
            <v>RENTA REGIMEN ORDINARIO</v>
          </cell>
          <cell r="J1412" t="str">
            <v xml:space="preserve"> A  V 17 20 60</v>
          </cell>
          <cell r="K1412" t="str">
            <v>15759</v>
          </cell>
          <cell r="L1412" t="str">
            <v>SOGAMOSO</v>
          </cell>
          <cell r="M1412" t="str">
            <v>3115963566</v>
          </cell>
        </row>
        <row r="1413">
          <cell r="A1413">
            <v>24117333</v>
          </cell>
          <cell r="B1413" t="str">
            <v>9</v>
          </cell>
          <cell r="C1413" t="str">
            <v/>
          </cell>
          <cell r="D1413" t="str">
            <v>NP</v>
          </cell>
          <cell r="E1413" t="str">
            <v>ELSA MARINA</v>
          </cell>
          <cell r="F1413" t="str">
            <v>FERNANDEZ DE FERNANDEZ</v>
          </cell>
          <cell r="G1413" t="str">
            <v>FERNANDEZ DE FERNANDEZ ELSA MARINA</v>
          </cell>
          <cell r="H1413" t="str">
            <v>RCPN</v>
          </cell>
          <cell r="I1413" t="str">
            <v>RESPONSABLE IVA PERSONA NATURAL</v>
          </cell>
          <cell r="J1413" t="str">
            <v>CR 14 16 41</v>
          </cell>
          <cell r="K1413" t="str">
            <v>15759</v>
          </cell>
          <cell r="L1413" t="str">
            <v>SOGAMOSO</v>
          </cell>
          <cell r="M1413" t="str">
            <v>7 7 0 0 7 5 1</v>
          </cell>
        </row>
        <row r="1414">
          <cell r="A1414">
            <v>24133973</v>
          </cell>
          <cell r="B1414" t="str">
            <v/>
          </cell>
          <cell r="C1414" t="str">
            <v/>
          </cell>
          <cell r="D1414" t="str">
            <v>CC</v>
          </cell>
          <cell r="E1414" t="str">
            <v>JACKELINE</v>
          </cell>
          <cell r="F1414" t="str">
            <v>PEÑARETE</v>
          </cell>
          <cell r="G1414" t="str">
            <v>PEÑARETE JACKELINE</v>
          </cell>
          <cell r="H1414" t="str">
            <v>FUNC</v>
          </cell>
          <cell r="I1414" t="str">
            <v>FUNCIONARIO</v>
          </cell>
          <cell r="J1414" t="str">
            <v>CR 23 13 21</v>
          </cell>
          <cell r="K1414" t="str">
            <v>15516</v>
          </cell>
          <cell r="L1414" t="str">
            <v>PAIPA</v>
          </cell>
          <cell r="M1414" t="str">
            <v>3112227427</v>
          </cell>
        </row>
        <row r="1415">
          <cell r="A1415">
            <v>24148574</v>
          </cell>
          <cell r="B1415" t="str">
            <v>1</v>
          </cell>
          <cell r="C1415" t="str">
            <v/>
          </cell>
          <cell r="D1415" t="str">
            <v>NP</v>
          </cell>
          <cell r="E1415" t="str">
            <v>FANNY DEL CARMEN</v>
          </cell>
          <cell r="F1415" t="str">
            <v>ESTUPIÑAN DE ESTUPIÑAN</v>
          </cell>
          <cell r="G1415" t="str">
            <v>ESTUPIÑAN DE ESTUPIÑAN FANNY DEL CARMEN</v>
          </cell>
          <cell r="H1415" t="str">
            <v>NORE</v>
          </cell>
          <cell r="I1415" t="str">
            <v>NO RESPONSABLE DE IVA</v>
          </cell>
          <cell r="J1415" t="str">
            <v>CL 13 18 72</v>
          </cell>
          <cell r="K1415" t="str">
            <v>15238</v>
          </cell>
          <cell r="L1415" t="str">
            <v>DUITAMA</v>
          </cell>
          <cell r="M1415" t="str">
            <v>3115315842</v>
          </cell>
        </row>
        <row r="1416">
          <cell r="A1416">
            <v>24149226</v>
          </cell>
          <cell r="B1416" t="str">
            <v/>
          </cell>
          <cell r="C1416" t="str">
            <v/>
          </cell>
          <cell r="D1416" t="str">
            <v>CC</v>
          </cell>
          <cell r="E1416" t="str">
            <v>CELINA</v>
          </cell>
          <cell r="F1416" t="str">
            <v>TORRES ANGARITA</v>
          </cell>
          <cell r="G1416" t="str">
            <v>TORRES ANGARITA CELINA</v>
          </cell>
          <cell r="H1416" t="str">
            <v>RESI</v>
          </cell>
          <cell r="I1416" t="str">
            <v>REGIMEN SIMPLIFICADO</v>
          </cell>
          <cell r="J1416" t="str">
            <v>MCP DUITAMA</v>
          </cell>
          <cell r="K1416" t="str">
            <v>15238</v>
          </cell>
          <cell r="L1416" t="str">
            <v>DUITAMA</v>
          </cell>
          <cell r="M1416" t="str">
            <v>SIN T</v>
          </cell>
        </row>
        <row r="1417">
          <cell r="A1417">
            <v>24182230</v>
          </cell>
          <cell r="B1417" t="str">
            <v>5</v>
          </cell>
          <cell r="C1417" t="str">
            <v/>
          </cell>
          <cell r="D1417" t="str">
            <v>NP</v>
          </cell>
          <cell r="E1417" t="str">
            <v>ROSA ELENA</v>
          </cell>
          <cell r="F1417" t="str">
            <v>CRISTANCHO PEREZ</v>
          </cell>
          <cell r="G1417" t="str">
            <v>CRISTANCHO PEREZ ROSA ELENA</v>
          </cell>
          <cell r="H1417" t="str">
            <v>REOR</v>
          </cell>
          <cell r="I1417" t="str">
            <v>RENTA REGIMEN ORDINARIO</v>
          </cell>
          <cell r="J1417" t="str">
            <v xml:space="preserve"> CR 4  2 22</v>
          </cell>
          <cell r="K1417" t="str">
            <v>15820</v>
          </cell>
          <cell r="L1417" t="str">
            <v>TÓPAGA</v>
          </cell>
          <cell r="M1417" t="str">
            <v>3134244316</v>
          </cell>
        </row>
        <row r="1418">
          <cell r="A1418">
            <v>24183027</v>
          </cell>
          <cell r="B1418" t="str">
            <v>0</v>
          </cell>
          <cell r="C1418" t="str">
            <v/>
          </cell>
          <cell r="D1418" t="str">
            <v>NP</v>
          </cell>
          <cell r="E1418" t="str">
            <v>BLANCA LILIA</v>
          </cell>
          <cell r="F1418" t="str">
            <v>GIL CARVAJAL</v>
          </cell>
          <cell r="G1418" t="str">
            <v>GIL CARVAJAL BLANCA LILIA</v>
          </cell>
          <cell r="H1418" t="str">
            <v>RECO</v>
          </cell>
          <cell r="I1418" t="str">
            <v>REGIMEN COMUN</v>
          </cell>
          <cell r="J1418" t="str">
            <v>CL 2  2 67</v>
          </cell>
          <cell r="K1418" t="str">
            <v>15820</v>
          </cell>
          <cell r="L1418" t="str">
            <v>TÓPAGA</v>
          </cell>
          <cell r="M1418" t="str">
            <v>3133512268</v>
          </cell>
        </row>
        <row r="1419">
          <cell r="A1419">
            <v>24190597</v>
          </cell>
          <cell r="B1419" t="str">
            <v>6</v>
          </cell>
          <cell r="C1419" t="str">
            <v/>
          </cell>
          <cell r="D1419" t="str">
            <v>NP</v>
          </cell>
          <cell r="E1419" t="str">
            <v>MYRIAM</v>
          </cell>
          <cell r="F1419" t="str">
            <v>GARCIA OROS</v>
          </cell>
          <cell r="G1419" t="str">
            <v>GARCIA OROS MYRIAM</v>
          </cell>
          <cell r="H1419" t="str">
            <v>RECO</v>
          </cell>
          <cell r="I1419" t="str">
            <v>REGIMEN COMUN</v>
          </cell>
          <cell r="J1419" t="str">
            <v>CL 6   1   15</v>
          </cell>
          <cell r="K1419" t="str">
            <v>85430</v>
          </cell>
          <cell r="L1419" t="str">
            <v>TRINIDAD</v>
          </cell>
          <cell r="M1419" t="str">
            <v>3112361978</v>
          </cell>
        </row>
        <row r="1420">
          <cell r="A1420">
            <v>24191071</v>
          </cell>
          <cell r="B1420" t="str">
            <v>9</v>
          </cell>
          <cell r="C1420" t="str">
            <v/>
          </cell>
          <cell r="D1420" t="str">
            <v>NP</v>
          </cell>
          <cell r="E1420" t="str">
            <v>LILIANA</v>
          </cell>
          <cell r="F1420" t="str">
            <v>GALVIS PLATA</v>
          </cell>
          <cell r="G1420" t="str">
            <v>GALVIS PLATA LILIANA</v>
          </cell>
          <cell r="H1420" t="str">
            <v>RESI</v>
          </cell>
          <cell r="I1420" t="str">
            <v>REGIMEN SIMPLIFICADO</v>
          </cell>
          <cell r="J1420" t="str">
            <v>CR 21 8 19</v>
          </cell>
          <cell r="K1420" t="str">
            <v>85001</v>
          </cell>
          <cell r="L1420" t="str">
            <v>YOPAL</v>
          </cell>
          <cell r="M1420" t="str">
            <v>6342073</v>
          </cell>
        </row>
        <row r="1421">
          <cell r="A1421">
            <v>24191113</v>
          </cell>
          <cell r="B1421" t="str">
            <v/>
          </cell>
          <cell r="C1421" t="str">
            <v/>
          </cell>
          <cell r="D1421" t="str">
            <v>CC</v>
          </cell>
          <cell r="E1421" t="str">
            <v>NILDA</v>
          </cell>
          <cell r="F1421" t="str">
            <v>GUERRERO HERNANDEZ</v>
          </cell>
          <cell r="G1421" t="str">
            <v>GUERRERO HERNANDEZ NILDA</v>
          </cell>
          <cell r="H1421" t="str">
            <v>RESI</v>
          </cell>
          <cell r="I1421" t="str">
            <v>REGIMEN SIMPLIFICADO</v>
          </cell>
          <cell r="J1421" t="str">
            <v>MCP SANTA ROSALÍA</v>
          </cell>
          <cell r="K1421" t="str">
            <v>99624</v>
          </cell>
          <cell r="L1421" t="str">
            <v>SANTA ROSALÍA</v>
          </cell>
          <cell r="M1421" t="str">
            <v>8756262</v>
          </cell>
        </row>
        <row r="1422">
          <cell r="A1422">
            <v>24191380</v>
          </cell>
          <cell r="B1422" t="str">
            <v>1</v>
          </cell>
          <cell r="C1422" t="str">
            <v/>
          </cell>
          <cell r="D1422" t="str">
            <v>NP</v>
          </cell>
          <cell r="E1422" t="str">
            <v>SANDRA MILENA</v>
          </cell>
          <cell r="F1422" t="str">
            <v>VASQUEZ BURGOS</v>
          </cell>
          <cell r="G1422" t="str">
            <v>VASQUEZ BURGOS SANDRA MILENA</v>
          </cell>
          <cell r="H1422" t="str">
            <v>RESI</v>
          </cell>
          <cell r="I1422" t="str">
            <v>REGIMEN SIMPLIFICADO</v>
          </cell>
          <cell r="J1422" t="str">
            <v>CL 27 A   33   16</v>
          </cell>
          <cell r="K1422" t="str">
            <v>85001</v>
          </cell>
          <cell r="L1422" t="str">
            <v>YOPAL</v>
          </cell>
          <cell r="M1422" t="str">
            <v>3143334872</v>
          </cell>
        </row>
        <row r="1423">
          <cell r="A1423">
            <v>24191509</v>
          </cell>
          <cell r="B1423" t="str">
            <v>2</v>
          </cell>
          <cell r="C1423" t="str">
            <v/>
          </cell>
          <cell r="D1423" t="str">
            <v>NP</v>
          </cell>
          <cell r="E1423" t="str">
            <v>MARIA JABED</v>
          </cell>
          <cell r="F1423" t="str">
            <v>GARCIA OCANTO</v>
          </cell>
          <cell r="G1423" t="str">
            <v>GARCIA OCANTO MARIA JABED</v>
          </cell>
          <cell r="H1423" t="str">
            <v>RESI</v>
          </cell>
          <cell r="I1423" t="str">
            <v>REGIMEN SIMPLIFICADO</v>
          </cell>
          <cell r="J1423" t="str">
            <v>CL 10   9   33 BRR SAN JORGE</v>
          </cell>
          <cell r="K1423" t="str">
            <v>85430</v>
          </cell>
          <cell r="L1423" t="str">
            <v>TRINIDAD</v>
          </cell>
          <cell r="M1423" t="str">
            <v>3102544977</v>
          </cell>
        </row>
        <row r="1424">
          <cell r="A1424">
            <v>24191540</v>
          </cell>
          <cell r="B1424" t="str">
            <v>1</v>
          </cell>
          <cell r="C1424" t="str">
            <v/>
          </cell>
          <cell r="D1424" t="str">
            <v>NP</v>
          </cell>
          <cell r="E1424" t="str">
            <v>OTILIA ALAIDA</v>
          </cell>
          <cell r="F1424" t="str">
            <v>TREJOS</v>
          </cell>
          <cell r="G1424" t="str">
            <v>TREJOS OTILIA ALAIDA</v>
          </cell>
          <cell r="H1424" t="str">
            <v>RESI</v>
          </cell>
          <cell r="I1424" t="str">
            <v>REGIMEN SIMPLIFICADO</v>
          </cell>
          <cell r="J1424" t="str">
            <v>CR 6 2 53</v>
          </cell>
          <cell r="K1424" t="str">
            <v>85325</v>
          </cell>
          <cell r="L1424" t="str">
            <v>SAN LUIS DE PALENQUE</v>
          </cell>
          <cell r="M1424" t="str">
            <v>6370122</v>
          </cell>
        </row>
        <row r="1425">
          <cell r="A1425">
            <v>24191547</v>
          </cell>
          <cell r="B1425" t="str">
            <v>2</v>
          </cell>
          <cell r="C1425" t="str">
            <v/>
          </cell>
          <cell r="D1425" t="str">
            <v>NP</v>
          </cell>
          <cell r="E1425" t="str">
            <v>MARIA MARGARITA</v>
          </cell>
          <cell r="F1425" t="str">
            <v>PEREZ BOTELLO</v>
          </cell>
          <cell r="G1425" t="str">
            <v>PEREZ BOTELLO MARIA MARGARITA</v>
          </cell>
          <cell r="H1425" t="str">
            <v>RESI</v>
          </cell>
          <cell r="I1425" t="str">
            <v>REGIMEN SIMPLIFICADO</v>
          </cell>
          <cell r="J1425" t="str">
            <v>VRD EL PALMAR DE GUANAPALO</v>
          </cell>
          <cell r="K1425" t="str">
            <v>85325</v>
          </cell>
          <cell r="L1425" t="str">
            <v>SAN LUIS DE PALENQUE</v>
          </cell>
          <cell r="M1425" t="str">
            <v>3123529226</v>
          </cell>
        </row>
        <row r="1426">
          <cell r="A1426">
            <v>24230053</v>
          </cell>
          <cell r="B1426" t="str">
            <v>4</v>
          </cell>
          <cell r="C1426" t="str">
            <v/>
          </cell>
          <cell r="D1426" t="str">
            <v>NP</v>
          </cell>
          <cell r="E1426" t="str">
            <v>YOLANDA</v>
          </cell>
          <cell r="F1426" t="str">
            <v>GOMEZ TUAY</v>
          </cell>
          <cell r="G1426" t="str">
            <v>GOMEZ TUAY YOLANDA</v>
          </cell>
          <cell r="H1426" t="str">
            <v>RESI</v>
          </cell>
          <cell r="I1426" t="str">
            <v>REGIMEN SIMPLIFICADO</v>
          </cell>
          <cell r="J1426" t="str">
            <v>CL 16   23   63</v>
          </cell>
          <cell r="K1426" t="str">
            <v>85001</v>
          </cell>
          <cell r="L1426" t="str">
            <v>YOPAL</v>
          </cell>
          <cell r="M1426" t="str">
            <v>6345094</v>
          </cell>
        </row>
        <row r="1427">
          <cell r="A1427">
            <v>24289263</v>
          </cell>
          <cell r="B1427" t="str">
            <v/>
          </cell>
          <cell r="C1427" t="str">
            <v/>
          </cell>
          <cell r="D1427" t="str">
            <v>CC</v>
          </cell>
          <cell r="E1427" t="str">
            <v>MARIA RAQUEL</v>
          </cell>
          <cell r="F1427" t="str">
            <v>ORTIZ DE LOPEZ</v>
          </cell>
          <cell r="G1427" t="str">
            <v>ORTIZ DE LOPEZ MARIA RAQUEL</v>
          </cell>
          <cell r="H1427" t="str">
            <v>RESI</v>
          </cell>
          <cell r="I1427" t="str">
            <v>REGIMEN SIMPLIFICADO</v>
          </cell>
          <cell r="J1427" t="str">
            <v>CR 33 105 D 74 BRR LA ENEA</v>
          </cell>
          <cell r="K1427" t="str">
            <v>17001</v>
          </cell>
          <cell r="L1427" t="str">
            <v>MANIZALES</v>
          </cell>
          <cell r="M1427" t="str">
            <v>3127898300</v>
          </cell>
        </row>
        <row r="1428">
          <cell r="A1428">
            <v>24296721</v>
          </cell>
          <cell r="B1428" t="str">
            <v>1</v>
          </cell>
          <cell r="C1428" t="str">
            <v/>
          </cell>
          <cell r="D1428" t="str">
            <v>NP</v>
          </cell>
          <cell r="E1428" t="str">
            <v>MARIA VICTORIA</v>
          </cell>
          <cell r="F1428" t="str">
            <v>GOMEZ DE RESTREPO</v>
          </cell>
          <cell r="G1428" t="str">
            <v>GOMEZ DE RESTREPO MARIA VICTORIA</v>
          </cell>
          <cell r="H1428" t="str">
            <v>RESI</v>
          </cell>
          <cell r="I1428" t="str">
            <v>REGIMEN SIMPLIFICADO</v>
          </cell>
          <cell r="J1428" t="str">
            <v>cr 23 59 70 LC 36 A</v>
          </cell>
          <cell r="K1428" t="str">
            <v>17001</v>
          </cell>
          <cell r="L1428" t="str">
            <v>MANIZALES</v>
          </cell>
          <cell r="M1428" t="str">
            <v>8870353</v>
          </cell>
        </row>
        <row r="1429">
          <cell r="A1429">
            <v>24299468</v>
          </cell>
          <cell r="B1429" t="str">
            <v>4</v>
          </cell>
          <cell r="C1429" t="str">
            <v/>
          </cell>
          <cell r="D1429" t="str">
            <v>NP</v>
          </cell>
          <cell r="E1429" t="str">
            <v>MARIA CRISTINA</v>
          </cell>
          <cell r="F1429" t="str">
            <v>MARULANDA DE GARRIDO</v>
          </cell>
          <cell r="G1429" t="str">
            <v>MARULANDA DE GARRIDO MARIA CRISTINA</v>
          </cell>
          <cell r="H1429" t="str">
            <v>RESI</v>
          </cell>
          <cell r="I1429" t="str">
            <v>REGIMEN SIMPLIFICADO</v>
          </cell>
          <cell r="J1429" t="str">
            <v>CR 23   67 A 43 CC CABLE PLAZA</v>
          </cell>
          <cell r="K1429" t="str">
            <v>17001</v>
          </cell>
          <cell r="L1429" t="str">
            <v>MANIZALES</v>
          </cell>
          <cell r="M1429" t="str">
            <v>8815565</v>
          </cell>
        </row>
        <row r="1430">
          <cell r="A1430">
            <v>24300809</v>
          </cell>
          <cell r="B1430" t="str">
            <v>6</v>
          </cell>
          <cell r="C1430" t="str">
            <v/>
          </cell>
          <cell r="D1430" t="str">
            <v>NP</v>
          </cell>
          <cell r="E1430" t="str">
            <v>MARIA DOLORES</v>
          </cell>
          <cell r="F1430" t="str">
            <v>RODRIGUEZ GARCIA</v>
          </cell>
          <cell r="G1430" t="str">
            <v>MARIA DOLORES RODRIGUEZ GARCIA</v>
          </cell>
          <cell r="H1430" t="str">
            <v>RECO</v>
          </cell>
          <cell r="I1430" t="str">
            <v>REGIMEN COMUN</v>
          </cell>
          <cell r="J1430" t="str">
            <v xml:space="preserve">CLL 52A N 16B 47                        </v>
          </cell>
          <cell r="K1430" t="str">
            <v>17001</v>
          </cell>
          <cell r="L1430" t="str">
            <v>MANIZALES</v>
          </cell>
          <cell r="M1430" t="str">
            <v>8756262</v>
          </cell>
        </row>
        <row r="1431">
          <cell r="A1431">
            <v>24301369</v>
          </cell>
          <cell r="B1431" t="str">
            <v>1</v>
          </cell>
          <cell r="C1431" t="str">
            <v/>
          </cell>
          <cell r="D1431" t="str">
            <v>NP</v>
          </cell>
          <cell r="E1431" t="str">
            <v>PIEDAD</v>
          </cell>
          <cell r="F1431" t="str">
            <v>OSORIO GOMEZ</v>
          </cell>
          <cell r="G1431" t="str">
            <v>OSORIO GOMEZ PIEDAD</v>
          </cell>
          <cell r="H1431" t="str">
            <v>RCPN</v>
          </cell>
          <cell r="I1431" t="str">
            <v>RESPONSABLE IVA PERSONA NATURAL</v>
          </cell>
          <cell r="J1431" t="str">
            <v>CL 65   23 A 32</v>
          </cell>
          <cell r="K1431" t="str">
            <v>17001</v>
          </cell>
          <cell r="L1431" t="str">
            <v>MANIZALES</v>
          </cell>
          <cell r="M1431" t="str">
            <v>8860177</v>
          </cell>
        </row>
        <row r="1432">
          <cell r="A1432">
            <v>24304245</v>
          </cell>
          <cell r="B1432" t="str">
            <v>0</v>
          </cell>
          <cell r="C1432" t="str">
            <v/>
          </cell>
          <cell r="D1432" t="str">
            <v>NP</v>
          </cell>
          <cell r="E1432" t="str">
            <v>MARIA CONSUELO</v>
          </cell>
          <cell r="F1432" t="str">
            <v>ZAPATA MARIN</v>
          </cell>
          <cell r="G1432" t="str">
            <v>MARIA CONSUELO ZAPATA MARIN</v>
          </cell>
          <cell r="H1432" t="str">
            <v>RECO</v>
          </cell>
          <cell r="I1432" t="str">
            <v>REGIMEN COMUN</v>
          </cell>
          <cell r="J1432" t="str">
            <v xml:space="preserve">CR 23 N 64B 33                     </v>
          </cell>
          <cell r="K1432" t="str">
            <v>17001</v>
          </cell>
          <cell r="L1432" t="str">
            <v>MANIZALES</v>
          </cell>
          <cell r="M1432" t="str">
            <v>8756262</v>
          </cell>
        </row>
        <row r="1433">
          <cell r="A1433">
            <v>24309157</v>
          </cell>
          <cell r="B1433" t="str">
            <v>3</v>
          </cell>
          <cell r="C1433" t="str">
            <v/>
          </cell>
          <cell r="D1433" t="str">
            <v>NP</v>
          </cell>
          <cell r="E1433" t="str">
            <v>MARTHA LUCIA</v>
          </cell>
          <cell r="F1433" t="str">
            <v>AGUILAR HERNANDEZ</v>
          </cell>
          <cell r="G1433" t="str">
            <v>MARTHA LUCIA AGUILAR HERNANDEZ</v>
          </cell>
          <cell r="H1433" t="str">
            <v>RECO</v>
          </cell>
          <cell r="I1433" t="str">
            <v>REGIMEN COMUN</v>
          </cell>
          <cell r="J1433" t="str">
            <v xml:space="preserve">CR 23 N 64B 33                     </v>
          </cell>
          <cell r="K1433" t="str">
            <v>17001</v>
          </cell>
          <cell r="L1433" t="str">
            <v>MANIZALES</v>
          </cell>
          <cell r="M1433" t="str">
            <v>8756262</v>
          </cell>
        </row>
        <row r="1434">
          <cell r="A1434">
            <v>24309912</v>
          </cell>
          <cell r="B1434" t="str">
            <v>8</v>
          </cell>
          <cell r="C1434" t="str">
            <v/>
          </cell>
          <cell r="D1434" t="str">
            <v>NP</v>
          </cell>
          <cell r="E1434" t="str">
            <v>MARIA ELENA</v>
          </cell>
          <cell r="F1434" t="str">
            <v>CALDERON DUQUE</v>
          </cell>
          <cell r="G1434" t="str">
            <v xml:space="preserve">CALDERON DUQUE MARIA ELENA                                  </v>
          </cell>
          <cell r="H1434" t="str">
            <v>RESI</v>
          </cell>
          <cell r="I1434" t="str">
            <v>REGIMEN SIMPLIFICADO</v>
          </cell>
          <cell r="J1434" t="str">
            <v xml:space="preserve">CLL 11 N11 43                        </v>
          </cell>
          <cell r="K1434" t="str">
            <v>17001</v>
          </cell>
          <cell r="L1434" t="str">
            <v>MANIZALES</v>
          </cell>
          <cell r="M1434" t="str">
            <v>8801098</v>
          </cell>
        </row>
        <row r="1435">
          <cell r="A1435">
            <v>24310645</v>
          </cell>
          <cell r="B1435" t="str">
            <v>8</v>
          </cell>
          <cell r="C1435" t="str">
            <v/>
          </cell>
          <cell r="D1435" t="str">
            <v>NP</v>
          </cell>
          <cell r="E1435" t="str">
            <v>MARIA VIRGINIA</v>
          </cell>
          <cell r="F1435" t="str">
            <v>SANTANDER MEJIA</v>
          </cell>
          <cell r="G1435" t="str">
            <v>SANTANDER MEJIA MARIA VIRGINIA</v>
          </cell>
          <cell r="H1435" t="str">
            <v>RESI</v>
          </cell>
          <cell r="I1435" t="str">
            <v>REGIMEN SIMPLIFICADO</v>
          </cell>
          <cell r="J1435" t="str">
            <v>CR 19 B 5 46 AP 5 B</v>
          </cell>
          <cell r="K1435" t="str">
            <v>17001</v>
          </cell>
          <cell r="L1435" t="str">
            <v>MANIZALES</v>
          </cell>
          <cell r="M1435" t="str">
            <v>3105043629</v>
          </cell>
        </row>
        <row r="1436">
          <cell r="A1436">
            <v>24312990</v>
          </cell>
          <cell r="B1436" t="str">
            <v>3</v>
          </cell>
          <cell r="C1436" t="str">
            <v/>
          </cell>
          <cell r="D1436" t="str">
            <v>NP</v>
          </cell>
          <cell r="E1436" t="str">
            <v>MARIA IRENE</v>
          </cell>
          <cell r="F1436" t="str">
            <v>JURADO CIRO</v>
          </cell>
          <cell r="G1436" t="str">
            <v>JURADO CIRO MARIA IRENE</v>
          </cell>
          <cell r="H1436" t="str">
            <v>IMVE</v>
          </cell>
          <cell r="I1436" t="str">
            <v>IMPUESTO SOBRE LAS VENTAS</v>
          </cell>
          <cell r="J1436" t="str">
            <v>CL 23 19 48</v>
          </cell>
          <cell r="K1436" t="str">
            <v>17001</v>
          </cell>
          <cell r="L1436" t="str">
            <v>MANIZALES</v>
          </cell>
          <cell r="M1436" t="str">
            <v>8846797</v>
          </cell>
        </row>
        <row r="1437">
          <cell r="A1437">
            <v>24313755</v>
          </cell>
          <cell r="B1437" t="str">
            <v>3</v>
          </cell>
          <cell r="C1437" t="str">
            <v/>
          </cell>
          <cell r="D1437" t="str">
            <v>NP</v>
          </cell>
          <cell r="E1437" t="str">
            <v>MARIA NOHELIA</v>
          </cell>
          <cell r="F1437" t="str">
            <v>GARCIA CRUZ</v>
          </cell>
          <cell r="G1437" t="str">
            <v>GARCIA CRUZ MARIA NOHELIA</v>
          </cell>
          <cell r="H1437" t="str">
            <v>REOR</v>
          </cell>
          <cell r="I1437" t="str">
            <v>RENTA REGIMEN ORDINARIO</v>
          </cell>
          <cell r="J1437" t="str">
            <v>CL 9 A   18   60</v>
          </cell>
          <cell r="K1437" t="str">
            <v>17001</v>
          </cell>
          <cell r="L1437" t="str">
            <v>MANIZALES</v>
          </cell>
          <cell r="M1437" t="str">
            <v>8834208</v>
          </cell>
        </row>
        <row r="1438">
          <cell r="A1438">
            <v>24314479</v>
          </cell>
          <cell r="B1438" t="str">
            <v>1</v>
          </cell>
          <cell r="C1438" t="str">
            <v/>
          </cell>
          <cell r="D1438" t="str">
            <v>NP</v>
          </cell>
          <cell r="E1438" t="str">
            <v>MARIA ELCY</v>
          </cell>
          <cell r="F1438" t="str">
            <v xml:space="preserve">OSORIO </v>
          </cell>
          <cell r="G1438" t="str">
            <v>MARIA ELCY OSORIO</v>
          </cell>
          <cell r="H1438" t="str">
            <v>RECO</v>
          </cell>
          <cell r="I1438" t="str">
            <v>REGIMEN COMUN</v>
          </cell>
          <cell r="J1438" t="str">
            <v xml:space="preserve">CR 23 N 64B 33                     </v>
          </cell>
          <cell r="K1438" t="str">
            <v>17001</v>
          </cell>
          <cell r="L1438" t="str">
            <v>MANIZALES</v>
          </cell>
          <cell r="M1438" t="str">
            <v>8756262</v>
          </cell>
        </row>
        <row r="1439">
          <cell r="A1439">
            <v>24317696</v>
          </cell>
          <cell r="B1439" t="str">
            <v>5</v>
          </cell>
          <cell r="C1439" t="str">
            <v/>
          </cell>
          <cell r="D1439" t="str">
            <v>NP</v>
          </cell>
          <cell r="E1439" t="str">
            <v>BEATRIZ HELENA</v>
          </cell>
          <cell r="F1439" t="str">
            <v>VILLADA GRANADA</v>
          </cell>
          <cell r="G1439" t="str">
            <v>VILLADA GRANADA BEATRIZ HELENA</v>
          </cell>
          <cell r="H1439" t="str">
            <v>RESI</v>
          </cell>
          <cell r="I1439" t="str">
            <v>REGIMEN SIMPLIFICADO</v>
          </cell>
          <cell r="J1439" t="str">
            <v>CR 23   61   26 P 2</v>
          </cell>
          <cell r="K1439" t="str">
            <v>17001</v>
          </cell>
          <cell r="L1439" t="str">
            <v>MANIZALES</v>
          </cell>
          <cell r="M1439" t="str">
            <v>3206679053</v>
          </cell>
        </row>
        <row r="1440">
          <cell r="A1440">
            <v>24318095</v>
          </cell>
          <cell r="B1440" t="str">
            <v>3</v>
          </cell>
          <cell r="C1440" t="str">
            <v/>
          </cell>
          <cell r="D1440" t="str">
            <v>NP</v>
          </cell>
          <cell r="E1440" t="str">
            <v xml:space="preserve">ARACELY </v>
          </cell>
          <cell r="F1440" t="str">
            <v>RINCON LOPEZ</v>
          </cell>
          <cell r="G1440" t="str">
            <v>ARACELY RINCON LOPEZ</v>
          </cell>
          <cell r="H1440" t="str">
            <v>RECO</v>
          </cell>
          <cell r="I1440" t="str">
            <v>REGIMEN COMUN</v>
          </cell>
          <cell r="J1440" t="str">
            <v xml:space="preserve">CR 23 N 64B 33                     </v>
          </cell>
          <cell r="K1440" t="str">
            <v>17001</v>
          </cell>
          <cell r="L1440" t="str">
            <v>MANIZALES</v>
          </cell>
          <cell r="M1440" t="str">
            <v>8756262</v>
          </cell>
        </row>
        <row r="1441">
          <cell r="A1441">
            <v>24320606</v>
          </cell>
          <cell r="B1441" t="str">
            <v>3</v>
          </cell>
          <cell r="C1441" t="str">
            <v/>
          </cell>
          <cell r="D1441" t="str">
            <v>NP</v>
          </cell>
          <cell r="E1441" t="str">
            <v>GLORIA INÉS</v>
          </cell>
          <cell r="F1441" t="str">
            <v>NARANJO DE LOAIZA</v>
          </cell>
          <cell r="G1441" t="str">
            <v>NARANJO DE LOAIZA GLORIA INÉS</v>
          </cell>
          <cell r="H1441" t="str">
            <v>IMVE</v>
          </cell>
          <cell r="I1441" t="str">
            <v>IMPUESTO SOBRE LAS VENTAS</v>
          </cell>
          <cell r="J1441" t="str">
            <v>CR 21 16 47</v>
          </cell>
          <cell r="K1441" t="str">
            <v>17001</v>
          </cell>
          <cell r="L1441" t="str">
            <v>MANIZALES</v>
          </cell>
          <cell r="M1441" t="str">
            <v>8823715</v>
          </cell>
        </row>
        <row r="1442">
          <cell r="A1442">
            <v>24321869</v>
          </cell>
          <cell r="B1442" t="str">
            <v>8</v>
          </cell>
          <cell r="C1442" t="str">
            <v/>
          </cell>
          <cell r="D1442" t="str">
            <v>NP</v>
          </cell>
          <cell r="E1442" t="str">
            <v xml:space="preserve">AMPARO </v>
          </cell>
          <cell r="F1442" t="str">
            <v>RUBIO BELTRAN</v>
          </cell>
          <cell r="G1442" t="str">
            <v>AMPARO RUBIO BELTRAN</v>
          </cell>
          <cell r="H1442" t="str">
            <v>RECO</v>
          </cell>
          <cell r="I1442" t="str">
            <v>REGIMEN COMUN</v>
          </cell>
          <cell r="J1442" t="str">
            <v xml:space="preserve">CR 23 N 64B 33                     </v>
          </cell>
          <cell r="K1442" t="str">
            <v>17001</v>
          </cell>
          <cell r="L1442" t="str">
            <v>MANIZALES</v>
          </cell>
          <cell r="M1442" t="str">
            <v>8756262</v>
          </cell>
        </row>
        <row r="1443">
          <cell r="A1443">
            <v>24324034</v>
          </cell>
          <cell r="B1443" t="str">
            <v>9</v>
          </cell>
          <cell r="C1443" t="str">
            <v/>
          </cell>
          <cell r="D1443" t="str">
            <v>NP</v>
          </cell>
          <cell r="E1443" t="str">
            <v>MARIA ROSALBA</v>
          </cell>
          <cell r="F1443" t="str">
            <v>USMA VALENCIA</v>
          </cell>
          <cell r="G1443" t="str">
            <v>USMA VALENCIA MARIA ROSALBA</v>
          </cell>
          <cell r="H1443" t="str">
            <v>RESI</v>
          </cell>
          <cell r="I1443" t="str">
            <v>REGIMEN SIMPLIFICADO</v>
          </cell>
          <cell r="J1443" t="str">
            <v>CR 26   47 26</v>
          </cell>
          <cell r="K1443" t="str">
            <v>17001</v>
          </cell>
          <cell r="L1443" t="str">
            <v>MANIZALES</v>
          </cell>
          <cell r="M1443" t="str">
            <v>3116271453</v>
          </cell>
        </row>
        <row r="1444">
          <cell r="A1444">
            <v>24324608</v>
          </cell>
          <cell r="B1444" t="str">
            <v>6</v>
          </cell>
          <cell r="C1444" t="str">
            <v/>
          </cell>
          <cell r="D1444" t="str">
            <v>NP</v>
          </cell>
          <cell r="E1444" t="str">
            <v>MARIA DEL PILAR</v>
          </cell>
          <cell r="F1444" t="str">
            <v>JARAMILLO ARANGO</v>
          </cell>
          <cell r="G1444" t="str">
            <v>JARAMILLO ARANGO MARIA PILAR/RESTAURANTE BERENJENA</v>
          </cell>
          <cell r="H1444" t="str">
            <v>RECO</v>
          </cell>
          <cell r="I1444" t="str">
            <v>REGIMEN COMUN</v>
          </cell>
          <cell r="J1444" t="str">
            <v>CR 24 B 58 A 5</v>
          </cell>
          <cell r="K1444" t="str">
            <v>17001</v>
          </cell>
          <cell r="L1444" t="str">
            <v>MANIZALES</v>
          </cell>
          <cell r="M1444" t="str">
            <v>8862483</v>
          </cell>
        </row>
        <row r="1445">
          <cell r="A1445">
            <v>24325290</v>
          </cell>
          <cell r="B1445" t="str">
            <v>2</v>
          </cell>
          <cell r="C1445" t="str">
            <v/>
          </cell>
          <cell r="D1445" t="str">
            <v>NP</v>
          </cell>
          <cell r="E1445" t="str">
            <v>MARIELA</v>
          </cell>
          <cell r="F1445" t="str">
            <v>MARQUEZ QUINTERO</v>
          </cell>
          <cell r="G1445" t="str">
            <v>MARQUEZ QUINTERO MARIELA</v>
          </cell>
          <cell r="H1445" t="str">
            <v>NORE</v>
          </cell>
          <cell r="I1445" t="str">
            <v>NO RESPONSABLE DE IVA</v>
          </cell>
          <cell r="J1445" t="str">
            <v>3105384071</v>
          </cell>
          <cell r="K1445" t="str">
            <v>17001</v>
          </cell>
          <cell r="L1445" t="str">
            <v>MANIZALES</v>
          </cell>
          <cell r="M1445" t="str">
            <v>3105384071</v>
          </cell>
        </row>
        <row r="1446">
          <cell r="A1446">
            <v>24325486</v>
          </cell>
          <cell r="B1446" t="str">
            <v>9</v>
          </cell>
          <cell r="C1446" t="str">
            <v/>
          </cell>
          <cell r="D1446" t="str">
            <v>NP</v>
          </cell>
          <cell r="E1446" t="str">
            <v>MARTHA LUCIA</v>
          </cell>
          <cell r="F1446" t="str">
            <v>OROZCO DE ARIAS</v>
          </cell>
          <cell r="G1446" t="str">
            <v>OROZCO DE ARIAS MARTHA LUCIA</v>
          </cell>
          <cell r="H1446" t="str">
            <v>RCPN</v>
          </cell>
          <cell r="I1446" t="str">
            <v>RESPONSABLE IVA PERSONA NATURAL</v>
          </cell>
          <cell r="J1446" t="str">
            <v>CR 20   22   51</v>
          </cell>
          <cell r="K1446" t="str">
            <v>17001</v>
          </cell>
          <cell r="L1446" t="str">
            <v>MANIZALES</v>
          </cell>
          <cell r="M1446" t="str">
            <v>8821730</v>
          </cell>
        </row>
        <row r="1447">
          <cell r="A1447">
            <v>24325651</v>
          </cell>
          <cell r="B1447" t="str">
            <v>8</v>
          </cell>
          <cell r="C1447" t="str">
            <v/>
          </cell>
          <cell r="D1447" t="str">
            <v>NP</v>
          </cell>
          <cell r="E1447" t="str">
            <v>MARIA DEL PILAR</v>
          </cell>
          <cell r="F1447" t="str">
            <v>OTALVARO TREJOS</v>
          </cell>
          <cell r="G1447" t="str">
            <v>OTALVARO TREJOS MARIA DEL PILAR</v>
          </cell>
          <cell r="H1447" t="str">
            <v>NORE</v>
          </cell>
          <cell r="I1447" t="str">
            <v>NO RESPONSABLE DE IVA</v>
          </cell>
          <cell r="J1447" t="str">
            <v>CALLE 50  27 B-69 APTO 301A</v>
          </cell>
          <cell r="K1447" t="str">
            <v>17001</v>
          </cell>
          <cell r="L1447" t="str">
            <v>MANIZALES</v>
          </cell>
          <cell r="M1447" t="str">
            <v>8823905</v>
          </cell>
        </row>
        <row r="1448">
          <cell r="A1448">
            <v>24326383</v>
          </cell>
          <cell r="B1448" t="str">
            <v/>
          </cell>
          <cell r="C1448" t="str">
            <v/>
          </cell>
          <cell r="D1448" t="str">
            <v>CC</v>
          </cell>
          <cell r="E1448" t="str">
            <v>LUZ MARINA</v>
          </cell>
          <cell r="F1448" t="str">
            <v>RENGIFO</v>
          </cell>
          <cell r="G1448" t="str">
            <v>RENGIFO LUZ MARINA</v>
          </cell>
          <cell r="H1448" t="str">
            <v>RCPN</v>
          </cell>
          <cell r="I1448" t="str">
            <v>RESPONSABLE IVA PERSONA NATURAL</v>
          </cell>
          <cell r="J1448" t="str">
            <v>CALLE 48A No 36B-03</v>
          </cell>
          <cell r="K1448" t="str">
            <v>17001</v>
          </cell>
          <cell r="L1448" t="str">
            <v>MANIZALES</v>
          </cell>
          <cell r="M1448" t="str">
            <v>8788001</v>
          </cell>
        </row>
        <row r="1449">
          <cell r="A1449">
            <v>24326476</v>
          </cell>
          <cell r="B1449" t="str">
            <v>1</v>
          </cell>
          <cell r="C1449" t="str">
            <v/>
          </cell>
          <cell r="D1449" t="str">
            <v>NP</v>
          </cell>
          <cell r="E1449" t="str">
            <v>MARIA CRISTINA</v>
          </cell>
          <cell r="F1449" t="str">
            <v>URIBE ARANGO</v>
          </cell>
          <cell r="G1449" t="str">
            <v>URIBE ARANGO MARIA CRISTINA</v>
          </cell>
          <cell r="H1449" t="str">
            <v>NORE</v>
          </cell>
          <cell r="I1449" t="str">
            <v>NO RESPONSABLE DE IVA</v>
          </cell>
          <cell r="J1449" t="str">
            <v>CR 22 A 75 10 APTO 302 BL 8</v>
          </cell>
          <cell r="K1449" t="str">
            <v>17001</v>
          </cell>
          <cell r="L1449" t="str">
            <v>MANIZALES</v>
          </cell>
          <cell r="M1449" t="str">
            <v>3137841971</v>
          </cell>
        </row>
        <row r="1450">
          <cell r="A1450">
            <v>24326782</v>
          </cell>
          <cell r="B1450" t="str">
            <v>9</v>
          </cell>
          <cell r="C1450" t="str">
            <v/>
          </cell>
          <cell r="D1450" t="str">
            <v>NP</v>
          </cell>
          <cell r="E1450" t="str">
            <v>LUZ STELLA</v>
          </cell>
          <cell r="F1450" t="str">
            <v>LOTERO DE FRANCO</v>
          </cell>
          <cell r="G1450" t="str">
            <v>LOTERO DE FRANCO LUZ STELLA</v>
          </cell>
          <cell r="H1450" t="str">
            <v>RESI</v>
          </cell>
          <cell r="I1450" t="str">
            <v>REGIMEN SIMPLIFICADO</v>
          </cell>
          <cell r="J1450" t="str">
            <v>CL 12 7 A 44 ED NICOSIA AP 102</v>
          </cell>
          <cell r="K1450" t="str">
            <v>17001</v>
          </cell>
          <cell r="L1450" t="str">
            <v>MANIZALES</v>
          </cell>
          <cell r="M1450" t="str">
            <v>8825185</v>
          </cell>
        </row>
        <row r="1451">
          <cell r="A1451">
            <v>24327275</v>
          </cell>
          <cell r="B1451" t="str">
            <v>0</v>
          </cell>
          <cell r="C1451" t="str">
            <v/>
          </cell>
          <cell r="D1451" t="str">
            <v>NP</v>
          </cell>
          <cell r="E1451" t="str">
            <v>ANALIDA</v>
          </cell>
          <cell r="F1451" t="str">
            <v>NAUFFAL CORREA</v>
          </cell>
          <cell r="G1451" t="str">
            <v>NAUFFAL CORREA ANALIDA</v>
          </cell>
          <cell r="H1451" t="str">
            <v>RCPN</v>
          </cell>
          <cell r="I1451" t="str">
            <v>RESPONSABLE IVA PERSONA NATURAL</v>
          </cell>
          <cell r="J1451" t="str">
            <v>CR 23  64 B  33 OF 606</v>
          </cell>
          <cell r="K1451" t="str">
            <v>17001</v>
          </cell>
          <cell r="L1451" t="str">
            <v>MANIZALES</v>
          </cell>
          <cell r="M1451" t="str">
            <v>3104293027</v>
          </cell>
        </row>
        <row r="1452">
          <cell r="A1452">
            <v>24327500</v>
          </cell>
          <cell r="B1452" t="str">
            <v>3</v>
          </cell>
          <cell r="C1452" t="str">
            <v/>
          </cell>
          <cell r="D1452" t="str">
            <v>NP</v>
          </cell>
          <cell r="E1452" t="str">
            <v>LUZ ELENA</v>
          </cell>
          <cell r="F1452" t="str">
            <v>MORALES PEREZ</v>
          </cell>
          <cell r="G1452" t="str">
            <v>MORALES PEREZ LUZ ELENA</v>
          </cell>
          <cell r="H1452" t="str">
            <v>RESI</v>
          </cell>
          <cell r="I1452" t="str">
            <v>REGIMEN SIMPLIFICADO</v>
          </cell>
          <cell r="J1452" t="str">
            <v>CR 23   65   11 LC 106</v>
          </cell>
          <cell r="K1452" t="str">
            <v>17001</v>
          </cell>
          <cell r="L1452" t="str">
            <v>MANIZALES</v>
          </cell>
          <cell r="M1452" t="str">
            <v>8756199</v>
          </cell>
        </row>
        <row r="1453">
          <cell r="A1453">
            <v>24329657</v>
          </cell>
          <cell r="B1453" t="str">
            <v>1</v>
          </cell>
          <cell r="C1453" t="str">
            <v/>
          </cell>
          <cell r="D1453" t="str">
            <v>NP</v>
          </cell>
          <cell r="E1453" t="str">
            <v>ALEJANDRINA</v>
          </cell>
          <cell r="F1453" t="str">
            <v>LOPEZ CIFUENTES</v>
          </cell>
          <cell r="G1453" t="str">
            <v>LOPEZ CIFUENTES ALEJANDRINA</v>
          </cell>
          <cell r="H1453" t="str">
            <v>RESI</v>
          </cell>
          <cell r="I1453" t="str">
            <v>REGIMEN SIMPLIFICADO</v>
          </cell>
          <cell r="J1453" t="str">
            <v>CR 23   49   59</v>
          </cell>
          <cell r="K1453" t="str">
            <v>17001</v>
          </cell>
          <cell r="L1453" t="str">
            <v>MANIZALES</v>
          </cell>
          <cell r="M1453" t="str">
            <v>8850078</v>
          </cell>
        </row>
        <row r="1454">
          <cell r="A1454">
            <v>24330310</v>
          </cell>
          <cell r="B1454" t="str">
            <v>1</v>
          </cell>
          <cell r="C1454" t="str">
            <v/>
          </cell>
          <cell r="D1454" t="str">
            <v>NP</v>
          </cell>
          <cell r="E1454" t="str">
            <v>MARTHA LUCIA</v>
          </cell>
          <cell r="F1454" t="str">
            <v>ACEVEDO GONZALEZ</v>
          </cell>
          <cell r="G1454" t="str">
            <v>MARTHA LUCIA ACEVEDO GONZALEZ</v>
          </cell>
          <cell r="H1454" t="str">
            <v>RECO</v>
          </cell>
          <cell r="I1454" t="str">
            <v>REGIMEN COMUN</v>
          </cell>
          <cell r="J1454" t="str">
            <v xml:space="preserve">CR 23 N 64B 33                     </v>
          </cell>
          <cell r="K1454" t="str">
            <v>17001</v>
          </cell>
          <cell r="L1454" t="str">
            <v>MANIZALES</v>
          </cell>
          <cell r="M1454" t="str">
            <v>8756262</v>
          </cell>
        </row>
        <row r="1455">
          <cell r="A1455">
            <v>24330432</v>
          </cell>
          <cell r="B1455" t="str">
            <v>1</v>
          </cell>
          <cell r="C1455" t="str">
            <v/>
          </cell>
          <cell r="D1455" t="str">
            <v>NP</v>
          </cell>
          <cell r="E1455" t="str">
            <v>CLAUDIA</v>
          </cell>
          <cell r="F1455" t="str">
            <v>LONDOÑO VILLA</v>
          </cell>
          <cell r="G1455" t="str">
            <v>LONDOÑO VILLA CLAUDIA</v>
          </cell>
          <cell r="H1455" t="str">
            <v>RESI</v>
          </cell>
          <cell r="I1455" t="str">
            <v>REGIMEN SIMPLIFICADO</v>
          </cell>
          <cell r="J1455" t="str">
            <v>ED BANCO CENTRAL HIPOTECARIO LC 3 B</v>
          </cell>
          <cell r="K1455" t="str">
            <v>17001</v>
          </cell>
          <cell r="L1455" t="str">
            <v>MANIZALES</v>
          </cell>
          <cell r="M1455" t="str">
            <v>3182063895</v>
          </cell>
        </row>
        <row r="1456">
          <cell r="A1456">
            <v>24331356</v>
          </cell>
          <cell r="B1456" t="str">
            <v/>
          </cell>
          <cell r="C1456" t="str">
            <v/>
          </cell>
          <cell r="D1456" t="str">
            <v>CC</v>
          </cell>
          <cell r="E1456" t="str">
            <v>LUISA FERNANDA</v>
          </cell>
          <cell r="F1456" t="str">
            <v>MEJIA ATALA</v>
          </cell>
          <cell r="G1456" t="str">
            <v>MEJIA ATALA LUISA FERNANDA</v>
          </cell>
          <cell r="H1456" t="str">
            <v>FUNC</v>
          </cell>
          <cell r="I1456" t="str">
            <v>FUNCIONARIO</v>
          </cell>
          <cell r="J1456" t="str">
            <v>CR 25   19   30</v>
          </cell>
          <cell r="K1456" t="str">
            <v>17001</v>
          </cell>
          <cell r="L1456" t="str">
            <v>MANIZALES</v>
          </cell>
          <cell r="M1456" t="str">
            <v>8805287</v>
          </cell>
        </row>
        <row r="1457">
          <cell r="A1457">
            <v>24331409</v>
          </cell>
          <cell r="B1457" t="str">
            <v>6</v>
          </cell>
          <cell r="C1457" t="str">
            <v/>
          </cell>
          <cell r="D1457" t="str">
            <v>NP</v>
          </cell>
          <cell r="E1457" t="str">
            <v>MONICA ANDREA</v>
          </cell>
          <cell r="F1457" t="str">
            <v>ARBOLEDA SANTAMARIA</v>
          </cell>
          <cell r="G1457" t="str">
            <v>ARBOLEDA SANTAMARIA MONICA ANDREA</v>
          </cell>
          <cell r="H1457" t="str">
            <v>RESI</v>
          </cell>
          <cell r="I1457" t="str">
            <v>REGIMEN SIMPLIFICADO</v>
          </cell>
          <cell r="J1457" t="str">
            <v>CR 23 64 B 33 LC 14 BRR LAURELES</v>
          </cell>
          <cell r="K1457" t="str">
            <v>17001</v>
          </cell>
          <cell r="L1457" t="str">
            <v>MANIZALES</v>
          </cell>
          <cell r="M1457" t="str">
            <v>3104475878</v>
          </cell>
        </row>
        <row r="1458">
          <cell r="A1458">
            <v>24331750</v>
          </cell>
          <cell r="B1458" t="str">
            <v/>
          </cell>
          <cell r="C1458" t="str">
            <v/>
          </cell>
          <cell r="D1458" t="str">
            <v>CC</v>
          </cell>
          <cell r="E1458" t="str">
            <v>CLAUDIA YANETH</v>
          </cell>
          <cell r="F1458" t="str">
            <v>PARRA JIMENEZ</v>
          </cell>
          <cell r="G1458" t="str">
            <v>PARRA JIMENEZ CLAUDIA YANETH</v>
          </cell>
          <cell r="H1458" t="str">
            <v>FUNC</v>
          </cell>
          <cell r="I1458" t="str">
            <v>FUNCIONARIO</v>
          </cell>
          <cell r="J1458" t="str">
            <v>CL 32 D M 2 F   48</v>
          </cell>
          <cell r="K1458" t="str">
            <v>17001</v>
          </cell>
          <cell r="L1458" t="str">
            <v>MANIZALES</v>
          </cell>
          <cell r="M1458" t="str">
            <v>8761665</v>
          </cell>
        </row>
        <row r="1459">
          <cell r="A1459">
            <v>24332185</v>
          </cell>
          <cell r="B1459" t="str">
            <v/>
          </cell>
          <cell r="C1459" t="str">
            <v/>
          </cell>
          <cell r="D1459" t="str">
            <v>CC</v>
          </cell>
          <cell r="E1459" t="str">
            <v>LINA MARÍA</v>
          </cell>
          <cell r="F1459" t="str">
            <v>URIBE ACEVEDO</v>
          </cell>
          <cell r="G1459" t="str">
            <v>URIBE ACEVEDO LINA MARÍA</v>
          </cell>
          <cell r="H1459" t="str">
            <v>FUNC</v>
          </cell>
          <cell r="I1459" t="str">
            <v>FUNCIONARIO</v>
          </cell>
          <cell r="J1459" t="str">
            <v>CL 11 41 90</v>
          </cell>
          <cell r="K1459" t="str">
            <v>17001</v>
          </cell>
          <cell r="L1459" t="str">
            <v>MANIZALES</v>
          </cell>
          <cell r="M1459" t="str">
            <v>3116209356</v>
          </cell>
        </row>
        <row r="1460">
          <cell r="A1460">
            <v>24332350</v>
          </cell>
          <cell r="B1460" t="str">
            <v/>
          </cell>
          <cell r="C1460" t="str">
            <v/>
          </cell>
          <cell r="D1460" t="str">
            <v>CC</v>
          </cell>
          <cell r="E1460" t="str">
            <v>ALEXANDRA</v>
          </cell>
          <cell r="F1460" t="str">
            <v>ARANGO MONTES</v>
          </cell>
          <cell r="G1460" t="str">
            <v>ARANGO MONTES ALEXANDRA</v>
          </cell>
          <cell r="H1460" t="str">
            <v>FUNC</v>
          </cell>
          <cell r="I1460" t="str">
            <v>FUNCIONARIO</v>
          </cell>
          <cell r="J1460" t="str">
            <v>CR 23   40   99  AP 273</v>
          </cell>
          <cell r="K1460" t="str">
            <v>17001</v>
          </cell>
          <cell r="L1460" t="str">
            <v>MANIZALES</v>
          </cell>
          <cell r="M1460" t="str">
            <v>8800698</v>
          </cell>
        </row>
        <row r="1461">
          <cell r="A1461">
            <v>24332504</v>
          </cell>
          <cell r="B1461" t="str">
            <v/>
          </cell>
          <cell r="C1461" t="str">
            <v/>
          </cell>
          <cell r="D1461" t="str">
            <v>CC</v>
          </cell>
          <cell r="E1461" t="str">
            <v>JULIANA</v>
          </cell>
          <cell r="F1461" t="str">
            <v>OSORIO TOBON</v>
          </cell>
          <cell r="G1461" t="str">
            <v>OSORIO TOBON JULIANA</v>
          </cell>
          <cell r="H1461" t="str">
            <v>FUNC</v>
          </cell>
          <cell r="I1461" t="str">
            <v>FUNCIONARIO</v>
          </cell>
          <cell r="J1461" t="str">
            <v>CL 72 17 A 18</v>
          </cell>
          <cell r="K1461" t="str">
            <v>17001</v>
          </cell>
          <cell r="L1461" t="str">
            <v>MANIZALES</v>
          </cell>
          <cell r="M1461" t="str">
            <v>8867155</v>
          </cell>
        </row>
        <row r="1462">
          <cell r="A1462">
            <v>24332647</v>
          </cell>
          <cell r="B1462" t="str">
            <v/>
          </cell>
          <cell r="C1462" t="str">
            <v/>
          </cell>
          <cell r="D1462" t="str">
            <v>CC</v>
          </cell>
          <cell r="E1462" t="str">
            <v>CAROLINA</v>
          </cell>
          <cell r="F1462" t="str">
            <v>BLANCO ROA</v>
          </cell>
          <cell r="G1462" t="str">
            <v>BLANCO ROA CAROLINA</v>
          </cell>
          <cell r="H1462" t="str">
            <v>FUNC</v>
          </cell>
          <cell r="I1462" t="str">
            <v>FUNCIONARIO</v>
          </cell>
          <cell r="J1462" t="str">
            <v>CR 17 B   48 D   04</v>
          </cell>
          <cell r="K1462" t="str">
            <v>17001</v>
          </cell>
          <cell r="L1462" t="str">
            <v>MANIZALES</v>
          </cell>
          <cell r="M1462" t="str">
            <v>3147771130</v>
          </cell>
        </row>
        <row r="1463">
          <cell r="A1463">
            <v>24332697</v>
          </cell>
          <cell r="B1463" t="str">
            <v/>
          </cell>
          <cell r="C1463" t="str">
            <v/>
          </cell>
          <cell r="D1463" t="str">
            <v>CC</v>
          </cell>
          <cell r="E1463" t="str">
            <v>NATALIA</v>
          </cell>
          <cell r="F1463" t="str">
            <v>RIVERA GUTIERREZ</v>
          </cell>
          <cell r="G1463" t="str">
            <v>RIVERA GUTIERREZ NATALIA</v>
          </cell>
          <cell r="H1463" t="str">
            <v>RESI</v>
          </cell>
          <cell r="I1463" t="str">
            <v>REGIMEN SIMPLIFICADO</v>
          </cell>
          <cell r="J1463" t="str">
            <v>CL 64 A N 21-10</v>
          </cell>
          <cell r="K1463" t="str">
            <v>17001</v>
          </cell>
          <cell r="L1463" t="str">
            <v>MANIZALES</v>
          </cell>
          <cell r="M1463" t="str">
            <v>3148428525</v>
          </cell>
        </row>
        <row r="1464">
          <cell r="A1464">
            <v>24333087</v>
          </cell>
          <cell r="B1464" t="str">
            <v>7</v>
          </cell>
          <cell r="C1464" t="str">
            <v/>
          </cell>
          <cell r="D1464" t="str">
            <v>NP</v>
          </cell>
          <cell r="E1464" t="str">
            <v>MARGARITA MARIA</v>
          </cell>
          <cell r="F1464" t="str">
            <v>PEÑA CASTRILLON</v>
          </cell>
          <cell r="G1464" t="str">
            <v>PEÑA CASTRILLON MARGARITA MARIA</v>
          </cell>
          <cell r="H1464" t="str">
            <v>RESI</v>
          </cell>
          <cell r="I1464" t="str">
            <v>REGIMEN SIMPLIFICADO</v>
          </cell>
          <cell r="J1464" t="str">
            <v>CL 12  8 28</v>
          </cell>
          <cell r="K1464" t="str">
            <v>17001</v>
          </cell>
          <cell r="L1464" t="str">
            <v>MANIZALES</v>
          </cell>
          <cell r="M1464" t="str">
            <v>8867285</v>
          </cell>
        </row>
        <row r="1465">
          <cell r="A1465">
            <v>24333315</v>
          </cell>
          <cell r="B1465" t="str">
            <v/>
          </cell>
          <cell r="C1465" t="str">
            <v/>
          </cell>
          <cell r="D1465" t="str">
            <v>CC</v>
          </cell>
          <cell r="E1465" t="str">
            <v>CATALINA</v>
          </cell>
          <cell r="F1465" t="str">
            <v>CORREA BUITRAGO</v>
          </cell>
          <cell r="G1465" t="str">
            <v>CORREA BUITRAGO CATALINA</v>
          </cell>
          <cell r="H1465" t="str">
            <v>FUNC</v>
          </cell>
          <cell r="I1465" t="str">
            <v>FUNCIONARIO</v>
          </cell>
          <cell r="J1465" t="str">
            <v>CR 18 E   42 B   200 TO 1 AP 302</v>
          </cell>
          <cell r="K1465" t="str">
            <v>17001</v>
          </cell>
          <cell r="L1465" t="str">
            <v>MANIZALES</v>
          </cell>
          <cell r="M1465" t="str">
            <v>3022929498</v>
          </cell>
        </row>
        <row r="1466">
          <cell r="A1466">
            <v>24333458</v>
          </cell>
          <cell r="B1466" t="str">
            <v/>
          </cell>
          <cell r="C1466" t="str">
            <v/>
          </cell>
          <cell r="D1466" t="str">
            <v>CC</v>
          </cell>
          <cell r="E1466" t="str">
            <v>SANDRA MARCELA</v>
          </cell>
          <cell r="F1466" t="str">
            <v>MORENO LEON</v>
          </cell>
          <cell r="G1466" t="str">
            <v>MORENO LEON SANDRA MARCELA</v>
          </cell>
          <cell r="H1466" t="str">
            <v>FUNC</v>
          </cell>
          <cell r="I1466" t="str">
            <v>FUNCIONARIO</v>
          </cell>
          <cell r="J1466" t="str">
            <v>CR 34 10 D 48 BRR LOS NOGALES</v>
          </cell>
          <cell r="K1466" t="str">
            <v>17001</v>
          </cell>
          <cell r="L1466" t="str">
            <v>MANIZALES</v>
          </cell>
          <cell r="M1466" t="str">
            <v>24333458</v>
          </cell>
        </row>
        <row r="1467">
          <cell r="A1467">
            <v>24333551</v>
          </cell>
          <cell r="B1467" t="str">
            <v/>
          </cell>
          <cell r="C1467" t="str">
            <v/>
          </cell>
          <cell r="D1467" t="str">
            <v>CC</v>
          </cell>
          <cell r="E1467" t="str">
            <v>ANA CRISTINA</v>
          </cell>
          <cell r="F1467" t="str">
            <v>GALLEGO GUTIERREZ</v>
          </cell>
          <cell r="G1467" t="str">
            <v>GALLEGO GUTIERREZ ANA CRISTINA</v>
          </cell>
          <cell r="H1467" t="str">
            <v>FUNC</v>
          </cell>
          <cell r="I1467" t="str">
            <v>FUNCIONARIO</v>
          </cell>
          <cell r="J1467" t="str">
            <v>CL 46 22 47</v>
          </cell>
          <cell r="K1467" t="str">
            <v>17001</v>
          </cell>
          <cell r="L1467" t="str">
            <v>MANIZALES</v>
          </cell>
          <cell r="M1467" t="str">
            <v>3128429189</v>
          </cell>
        </row>
        <row r="1468">
          <cell r="A1468">
            <v>24334485</v>
          </cell>
          <cell r="B1468" t="str">
            <v/>
          </cell>
          <cell r="C1468" t="str">
            <v/>
          </cell>
          <cell r="D1468" t="str">
            <v>CC</v>
          </cell>
          <cell r="E1468" t="str">
            <v>CLAUDIA PATRICIA</v>
          </cell>
          <cell r="F1468" t="str">
            <v>GIRALDO GARCIA</v>
          </cell>
          <cell r="G1468" t="str">
            <v>GIRALDO GARCIA CLAUDIA PATRICIA</v>
          </cell>
          <cell r="H1468" t="str">
            <v>FUNC</v>
          </cell>
          <cell r="I1468" t="str">
            <v>FUNCIONARIO</v>
          </cell>
          <cell r="J1468" t="str">
            <v>CR 50 NO 76 130</v>
          </cell>
          <cell r="K1468" t="str">
            <v>08001</v>
          </cell>
          <cell r="L1468" t="str">
            <v>BARRANQUILLA</v>
          </cell>
          <cell r="M1468" t="str">
            <v>3216439079</v>
          </cell>
        </row>
        <row r="1469">
          <cell r="A1469">
            <v>24335005</v>
          </cell>
          <cell r="B1469" t="str">
            <v/>
          </cell>
          <cell r="C1469" t="str">
            <v/>
          </cell>
          <cell r="D1469" t="str">
            <v>CC</v>
          </cell>
          <cell r="E1469" t="str">
            <v>LEIDY CAROLINA</v>
          </cell>
          <cell r="F1469" t="str">
            <v>GALLEGO BENJUMEA</v>
          </cell>
          <cell r="G1469" t="str">
            <v>GALLEGO BENJUMEA LEIDY CAROLINA</v>
          </cell>
          <cell r="H1469" t="str">
            <v>FUNC</v>
          </cell>
          <cell r="I1469" t="str">
            <v>FUNCIONARIO</v>
          </cell>
          <cell r="J1469" t="str">
            <v>CL 103 B   32 A 37</v>
          </cell>
          <cell r="K1469" t="str">
            <v>17001</v>
          </cell>
          <cell r="L1469" t="str">
            <v>MANIZALES</v>
          </cell>
          <cell r="M1469" t="str">
            <v>8746832</v>
          </cell>
        </row>
        <row r="1470">
          <cell r="A1470">
            <v>24335023</v>
          </cell>
          <cell r="B1470" t="str">
            <v/>
          </cell>
          <cell r="C1470" t="str">
            <v/>
          </cell>
          <cell r="D1470" t="str">
            <v>CC</v>
          </cell>
          <cell r="E1470" t="str">
            <v>ANGELA CONSTANZA</v>
          </cell>
          <cell r="F1470" t="str">
            <v>BEDOYA QUINTERO</v>
          </cell>
          <cell r="G1470" t="str">
            <v>BEDOYA QUINTERO ANGELA CONSTANZA</v>
          </cell>
          <cell r="H1470" t="str">
            <v>FUNC</v>
          </cell>
          <cell r="I1470" t="str">
            <v>FUNCIONARIO</v>
          </cell>
          <cell r="J1470" t="str">
            <v>CRA 11 NRO 9-43</v>
          </cell>
          <cell r="K1470" t="str">
            <v>17001</v>
          </cell>
          <cell r="L1470" t="str">
            <v>MANIZALES</v>
          </cell>
          <cell r="M1470" t="str">
            <v>3104919334</v>
          </cell>
        </row>
        <row r="1471">
          <cell r="A1471">
            <v>24335448</v>
          </cell>
          <cell r="B1471" t="str">
            <v>1</v>
          </cell>
          <cell r="C1471" t="str">
            <v/>
          </cell>
          <cell r="D1471" t="str">
            <v>NP</v>
          </cell>
          <cell r="E1471" t="str">
            <v>JULIANA</v>
          </cell>
          <cell r="F1471" t="str">
            <v>OSPINA DELGADO</v>
          </cell>
          <cell r="G1471" t="str">
            <v>OSPINA DELGADO JULIANA</v>
          </cell>
          <cell r="H1471" t="str">
            <v>RESI</v>
          </cell>
          <cell r="I1471" t="str">
            <v>REGIMEN SIMPLIFICADO</v>
          </cell>
          <cell r="J1471" t="str">
            <v>CL 75 24 A 65 AP C 3</v>
          </cell>
          <cell r="K1471" t="str">
            <v>17001</v>
          </cell>
          <cell r="L1471" t="str">
            <v>MANIZALES</v>
          </cell>
          <cell r="M1471" t="str">
            <v>3004143138</v>
          </cell>
        </row>
        <row r="1472">
          <cell r="A1472">
            <v>24336147</v>
          </cell>
          <cell r="B1472" t="str">
            <v/>
          </cell>
          <cell r="C1472" t="str">
            <v/>
          </cell>
          <cell r="D1472" t="str">
            <v>CC</v>
          </cell>
          <cell r="E1472" t="str">
            <v>DIANA MARIA</v>
          </cell>
          <cell r="F1472" t="str">
            <v>GIRALDO AGUIRRE</v>
          </cell>
          <cell r="G1472" t="str">
            <v>GIRALDO AGUIRRE DIANA MARIA</v>
          </cell>
          <cell r="H1472" t="str">
            <v>FUNC</v>
          </cell>
          <cell r="I1472" t="str">
            <v>FUNCIONARIO</v>
          </cell>
          <cell r="J1472" t="str">
            <v>CL 31 A   4   9 MZ 1</v>
          </cell>
          <cell r="K1472" t="str">
            <v>17001</v>
          </cell>
          <cell r="L1472" t="str">
            <v>MANIZALES</v>
          </cell>
          <cell r="M1472" t="str">
            <v>8735470</v>
          </cell>
        </row>
        <row r="1473">
          <cell r="A1473">
            <v>24336454</v>
          </cell>
          <cell r="B1473" t="str">
            <v/>
          </cell>
          <cell r="C1473" t="str">
            <v/>
          </cell>
          <cell r="D1473" t="str">
            <v>CC</v>
          </cell>
          <cell r="E1473" t="str">
            <v>ANGELA BIBIANA</v>
          </cell>
          <cell r="F1473" t="str">
            <v>GALVIS ARENAS</v>
          </cell>
          <cell r="G1473" t="str">
            <v>GALVIS ARENAS ANGELA BIBIANA</v>
          </cell>
          <cell r="H1473" t="str">
            <v>FUNC</v>
          </cell>
          <cell r="I1473" t="str">
            <v>FUNCIONARIO</v>
          </cell>
          <cell r="J1473" t="str">
            <v>CR 08 57 D 1   48</v>
          </cell>
          <cell r="K1473" t="str">
            <v>17001</v>
          </cell>
          <cell r="L1473" t="str">
            <v>MANIZALES</v>
          </cell>
          <cell r="M1473" t="str">
            <v>8726234</v>
          </cell>
        </row>
        <row r="1474">
          <cell r="A1474">
            <v>24336525</v>
          </cell>
          <cell r="B1474" t="str">
            <v/>
          </cell>
          <cell r="C1474" t="str">
            <v/>
          </cell>
          <cell r="D1474" t="str">
            <v>CC</v>
          </cell>
          <cell r="E1474" t="str">
            <v>NORMA CONSTANZA</v>
          </cell>
          <cell r="F1474" t="str">
            <v>GRAJALES GOMEZ</v>
          </cell>
          <cell r="G1474" t="str">
            <v>GRAJALES GOMEZ NORMA CONSTANZA</v>
          </cell>
          <cell r="H1474" t="str">
            <v>FUNC</v>
          </cell>
          <cell r="I1474" t="str">
            <v>FUNCIONARIO</v>
          </cell>
          <cell r="J1474" t="str">
            <v>CL 46 A   21   69</v>
          </cell>
          <cell r="K1474" t="str">
            <v>17001</v>
          </cell>
          <cell r="L1474" t="str">
            <v>MANIZALES</v>
          </cell>
          <cell r="M1474" t="str">
            <v>8928481</v>
          </cell>
        </row>
        <row r="1475">
          <cell r="A1475">
            <v>24336764</v>
          </cell>
          <cell r="B1475" t="str">
            <v/>
          </cell>
          <cell r="C1475" t="str">
            <v/>
          </cell>
          <cell r="D1475" t="str">
            <v>CC</v>
          </cell>
          <cell r="E1475" t="str">
            <v>MARIA JULIANA</v>
          </cell>
          <cell r="F1475" t="str">
            <v>VELASQUEZ LONDOÑO</v>
          </cell>
          <cell r="G1475" t="str">
            <v>VELASQUEZ LONDOÑO MARIA JULIANA</v>
          </cell>
          <cell r="H1475" t="str">
            <v>FUNC</v>
          </cell>
          <cell r="I1475" t="str">
            <v>FUNCIONARIO</v>
          </cell>
          <cell r="J1475" t="str">
            <v>CR 15 4 B 63 AP 1503 TO 1</v>
          </cell>
          <cell r="K1475" t="str">
            <v>17001</v>
          </cell>
          <cell r="L1475" t="str">
            <v>MANIZALES</v>
          </cell>
          <cell r="M1475" t="str">
            <v>3015525558</v>
          </cell>
        </row>
        <row r="1476">
          <cell r="A1476">
            <v>24336965</v>
          </cell>
          <cell r="B1476" t="str">
            <v/>
          </cell>
          <cell r="C1476" t="str">
            <v/>
          </cell>
          <cell r="D1476" t="str">
            <v>CC</v>
          </cell>
          <cell r="E1476" t="str">
            <v>OLGA LORENA</v>
          </cell>
          <cell r="F1476" t="str">
            <v>GALVIS ARANGO</v>
          </cell>
          <cell r="G1476" t="str">
            <v>GALVIS ARANGO OLGA LORENA</v>
          </cell>
          <cell r="H1476" t="str">
            <v>FUNC</v>
          </cell>
          <cell r="I1476" t="str">
            <v>FUNCIONARIO</v>
          </cell>
          <cell r="J1476" t="str">
            <v>CL 10 A 9 C 47</v>
          </cell>
          <cell r="K1476" t="str">
            <v>17001</v>
          </cell>
          <cell r="L1476" t="str">
            <v>MANIZALES</v>
          </cell>
          <cell r="M1476" t="str">
            <v>3162558818</v>
          </cell>
        </row>
        <row r="1477">
          <cell r="A1477">
            <v>24337449</v>
          </cell>
          <cell r="B1477" t="str">
            <v>8</v>
          </cell>
          <cell r="C1477" t="str">
            <v/>
          </cell>
          <cell r="D1477" t="str">
            <v>NP</v>
          </cell>
          <cell r="E1477" t="str">
            <v>ANA MARIA</v>
          </cell>
          <cell r="F1477" t="str">
            <v>CORREA OCAMPO</v>
          </cell>
          <cell r="G1477" t="str">
            <v>CORREA OCAMPO ANA MARIA</v>
          </cell>
          <cell r="H1477" t="str">
            <v>NORE</v>
          </cell>
          <cell r="I1477" t="str">
            <v>NO RESPONSABLE DE IVA</v>
          </cell>
          <cell r="J1477" t="str">
            <v>CL 10   6   55</v>
          </cell>
          <cell r="K1477" t="str">
            <v>17001</v>
          </cell>
          <cell r="L1477" t="str">
            <v>MANIZALES</v>
          </cell>
          <cell r="M1477" t="str">
            <v>8911609</v>
          </cell>
        </row>
        <row r="1478">
          <cell r="A1478">
            <v>24337847</v>
          </cell>
          <cell r="B1478" t="str">
            <v/>
          </cell>
          <cell r="C1478" t="str">
            <v/>
          </cell>
          <cell r="D1478" t="str">
            <v>CC</v>
          </cell>
          <cell r="E1478" t="str">
            <v>LUZ ASTRID</v>
          </cell>
          <cell r="F1478" t="str">
            <v>GARCIA OSORIO</v>
          </cell>
          <cell r="G1478" t="str">
            <v>GARCIA OSORIO LUZ ASTRID</v>
          </cell>
          <cell r="H1478" t="str">
            <v>FUNC</v>
          </cell>
          <cell r="I1478" t="str">
            <v>FUNCIONARIO</v>
          </cell>
          <cell r="J1478" t="str">
            <v>CL 12 A   28   32 BRR EL BOSQUE</v>
          </cell>
          <cell r="K1478" t="str">
            <v>17001</v>
          </cell>
          <cell r="L1478" t="str">
            <v>MANIZALES</v>
          </cell>
          <cell r="M1478" t="str">
            <v>8840392</v>
          </cell>
        </row>
        <row r="1479">
          <cell r="A1479">
            <v>24338063</v>
          </cell>
          <cell r="B1479" t="str">
            <v>3</v>
          </cell>
          <cell r="C1479" t="str">
            <v/>
          </cell>
          <cell r="D1479" t="str">
            <v>NP</v>
          </cell>
          <cell r="E1479" t="str">
            <v>YULIED PAOLA</v>
          </cell>
          <cell r="F1479" t="str">
            <v>GARCIA IDARRAGA</v>
          </cell>
          <cell r="G1479" t="str">
            <v>GARCIA IDARRAGA YULIED PAOLA</v>
          </cell>
          <cell r="H1479" t="str">
            <v>NORE</v>
          </cell>
          <cell r="I1479" t="str">
            <v>NO RESPONSABLE DE IVA</v>
          </cell>
          <cell r="J1479" t="str">
            <v>CL 64 A 21 10 LC 10 ED PORTAL DEL CABLE</v>
          </cell>
          <cell r="K1479" t="str">
            <v>17001</v>
          </cell>
          <cell r="L1479" t="str">
            <v>MANIZALES</v>
          </cell>
          <cell r="M1479" t="str">
            <v>3113677427</v>
          </cell>
        </row>
        <row r="1480">
          <cell r="A1480">
            <v>24338874</v>
          </cell>
          <cell r="B1480" t="str">
            <v>1</v>
          </cell>
          <cell r="C1480" t="str">
            <v/>
          </cell>
          <cell r="D1480" t="str">
            <v>NP</v>
          </cell>
          <cell r="E1480" t="str">
            <v>NATALIA EUGENIA</v>
          </cell>
          <cell r="F1480" t="str">
            <v>VARGAS GARCIA</v>
          </cell>
          <cell r="G1480" t="str">
            <v>VARGAS GARCIA NATALIA EUGENIA</v>
          </cell>
          <cell r="H1480" t="str">
            <v>RESI</v>
          </cell>
          <cell r="I1480" t="str">
            <v>REGIMEN SIMPLIFICADO</v>
          </cell>
          <cell r="J1480" t="str">
            <v>CR 20C # 58B 02</v>
          </cell>
          <cell r="K1480" t="str">
            <v>17001</v>
          </cell>
          <cell r="L1480" t="str">
            <v>MANIZALES</v>
          </cell>
          <cell r="M1480" t="str">
            <v>3224105697</v>
          </cell>
        </row>
        <row r="1481">
          <cell r="A1481">
            <v>24339244</v>
          </cell>
          <cell r="B1481" t="str">
            <v>4</v>
          </cell>
          <cell r="C1481" t="str">
            <v/>
          </cell>
          <cell r="D1481" t="str">
            <v>NP</v>
          </cell>
          <cell r="E1481" t="str">
            <v>CATALINA</v>
          </cell>
          <cell r="F1481" t="str">
            <v>CASTAÑEDA LOPEZ</v>
          </cell>
          <cell r="G1481" t="str">
            <v>CASTAÑEDA LOPEZ CATALINA</v>
          </cell>
          <cell r="H1481" t="str">
            <v>RESI</v>
          </cell>
          <cell r="I1481" t="str">
            <v>REGIMEN SIMPLIFICADO</v>
          </cell>
          <cell r="J1481" t="str">
            <v>CR 13 A 12  99</v>
          </cell>
          <cell r="K1481" t="str">
            <v>17001</v>
          </cell>
          <cell r="L1481" t="str">
            <v>MANIZALES</v>
          </cell>
          <cell r="M1481" t="str">
            <v>3128688946</v>
          </cell>
        </row>
        <row r="1482">
          <cell r="A1482">
            <v>24339412</v>
          </cell>
          <cell r="B1482" t="str">
            <v>5</v>
          </cell>
          <cell r="C1482" t="str">
            <v/>
          </cell>
          <cell r="D1482" t="str">
            <v>NP</v>
          </cell>
          <cell r="E1482" t="str">
            <v>BEATRIZ EUGENIA</v>
          </cell>
          <cell r="F1482" t="str">
            <v>GONZALEZ ESTRADA</v>
          </cell>
          <cell r="G1482" t="str">
            <v>GONZALEZ ESTRADA BEATRIZ EUGENIA</v>
          </cell>
          <cell r="H1482" t="str">
            <v>RESI</v>
          </cell>
          <cell r="I1482" t="str">
            <v>REGIMEN SIMPLIFICADO</v>
          </cell>
          <cell r="J1482" t="str">
            <v>CL 54  23 03</v>
          </cell>
          <cell r="K1482" t="str">
            <v>17001</v>
          </cell>
          <cell r="L1482" t="str">
            <v>MANIZALES</v>
          </cell>
          <cell r="M1482" t="str">
            <v>8851177</v>
          </cell>
        </row>
        <row r="1483">
          <cell r="A1483">
            <v>24339462</v>
          </cell>
          <cell r="B1483" t="str">
            <v/>
          </cell>
          <cell r="C1483" t="str">
            <v/>
          </cell>
          <cell r="D1483" t="str">
            <v>CC</v>
          </cell>
          <cell r="E1483" t="str">
            <v xml:space="preserve">JOHANNA ANDREA </v>
          </cell>
          <cell r="F1483" t="str">
            <v>DUQUE LOPEZ</v>
          </cell>
          <cell r="G1483" t="str">
            <v>DUQUE LOPEZ JOHANNA ANDREA</v>
          </cell>
          <cell r="H1483" t="str">
            <v>FUNC</v>
          </cell>
          <cell r="I1483" t="str">
            <v>FUNCIONARIO</v>
          </cell>
          <cell r="J1483" t="str">
            <v>CL 70   27   60 AP 202  BRR PALERMO</v>
          </cell>
          <cell r="K1483" t="str">
            <v>17001</v>
          </cell>
          <cell r="L1483" t="str">
            <v>MANIZALES</v>
          </cell>
          <cell r="M1483" t="str">
            <v>7702922</v>
          </cell>
        </row>
        <row r="1484">
          <cell r="A1484">
            <v>24339688</v>
          </cell>
          <cell r="B1484" t="str">
            <v/>
          </cell>
          <cell r="C1484" t="str">
            <v/>
          </cell>
          <cell r="D1484" t="str">
            <v>CC</v>
          </cell>
          <cell r="E1484" t="str">
            <v>MANUELA CATALINA</v>
          </cell>
          <cell r="F1484" t="str">
            <v>PELAEZ OSORIO</v>
          </cell>
          <cell r="G1484" t="str">
            <v>PELAEZ OSORIO MANUELA CATALINA</v>
          </cell>
          <cell r="H1484" t="str">
            <v>FUNC</v>
          </cell>
          <cell r="I1484" t="str">
            <v>FUNCIONARIO</v>
          </cell>
          <cell r="J1484" t="str">
            <v>CR 23 57 86 A 701</v>
          </cell>
          <cell r="K1484" t="str">
            <v>17001</v>
          </cell>
          <cell r="L1484" t="str">
            <v>MANIZALES</v>
          </cell>
          <cell r="M1484" t="str">
            <v>3234602965</v>
          </cell>
        </row>
        <row r="1485">
          <cell r="A1485">
            <v>24340681</v>
          </cell>
          <cell r="B1485" t="str">
            <v>1</v>
          </cell>
          <cell r="C1485" t="str">
            <v/>
          </cell>
          <cell r="D1485" t="str">
            <v>NP</v>
          </cell>
          <cell r="E1485" t="str">
            <v>ANDREA</v>
          </cell>
          <cell r="F1485" t="str">
            <v>RESTREPO SALAZAR</v>
          </cell>
          <cell r="G1485" t="str">
            <v>RESTREPO SALAZAR ANDREA</v>
          </cell>
          <cell r="H1485" t="str">
            <v>RECO</v>
          </cell>
          <cell r="I1485" t="str">
            <v>REGIMEN COMUN</v>
          </cell>
          <cell r="J1485" t="str">
            <v>cl 67 28 b 36 lc 2 y 3 bosques de cantabria</v>
          </cell>
          <cell r="K1485" t="str">
            <v>17001</v>
          </cell>
          <cell r="L1485" t="str">
            <v>MANIZALES</v>
          </cell>
          <cell r="M1485" t="str">
            <v>8901083</v>
          </cell>
        </row>
        <row r="1486">
          <cell r="A1486">
            <v>24341027</v>
          </cell>
          <cell r="B1486" t="str">
            <v>9</v>
          </cell>
          <cell r="C1486" t="str">
            <v/>
          </cell>
          <cell r="D1486" t="str">
            <v>NP</v>
          </cell>
          <cell r="E1486" t="str">
            <v>MARIA MERCEDES</v>
          </cell>
          <cell r="F1486" t="str">
            <v>RESTREPO JARAMILLO</v>
          </cell>
          <cell r="G1486" t="str">
            <v>RESTREPO JARAMILLO MARIA MERCEDES</v>
          </cell>
          <cell r="H1486" t="str">
            <v>RESI</v>
          </cell>
          <cell r="I1486" t="str">
            <v>REGIMEN SIMPLIFICADO</v>
          </cell>
          <cell r="J1486" t="str">
            <v>CL 71 27 42 AP 2 B</v>
          </cell>
          <cell r="K1486" t="str">
            <v>17001</v>
          </cell>
          <cell r="L1486" t="str">
            <v>MANIZALES</v>
          </cell>
          <cell r="M1486" t="str">
            <v>8870987</v>
          </cell>
        </row>
        <row r="1487">
          <cell r="A1487">
            <v>24341320</v>
          </cell>
          <cell r="B1487" t="str">
            <v/>
          </cell>
          <cell r="C1487" t="str">
            <v/>
          </cell>
          <cell r="D1487" t="str">
            <v>CC</v>
          </cell>
          <cell r="E1487" t="str">
            <v>PAULA ANDREA</v>
          </cell>
          <cell r="F1487" t="str">
            <v>RIOS ROMAN</v>
          </cell>
          <cell r="G1487" t="str">
            <v>RIOS ROMAN PAULA ANDREA</v>
          </cell>
          <cell r="H1487" t="str">
            <v>FUNC</v>
          </cell>
          <cell r="I1487" t="str">
            <v>FUNCIONARIO</v>
          </cell>
          <cell r="J1487" t="str">
            <v>CR 21 57 40</v>
          </cell>
          <cell r="K1487" t="str">
            <v>17001</v>
          </cell>
          <cell r="L1487" t="str">
            <v>MANIZALES</v>
          </cell>
          <cell r="M1487" t="str">
            <v>3104754320</v>
          </cell>
        </row>
        <row r="1488">
          <cell r="A1488">
            <v>24343706</v>
          </cell>
          <cell r="B1488" t="str">
            <v>0</v>
          </cell>
          <cell r="C1488" t="str">
            <v/>
          </cell>
          <cell r="D1488" t="str">
            <v>NP</v>
          </cell>
          <cell r="E1488" t="str">
            <v>ELIANA LLINETH</v>
          </cell>
          <cell r="F1488" t="str">
            <v>PALACIO LONDOÑO</v>
          </cell>
          <cell r="G1488" t="str">
            <v>PALACIO LONDOÑO ELIANA LLINETH</v>
          </cell>
          <cell r="H1488" t="str">
            <v>RESI</v>
          </cell>
          <cell r="I1488" t="str">
            <v>REGIMEN SIMPLIFICADO</v>
          </cell>
          <cell r="J1488" t="str">
            <v>CR 19 72 40</v>
          </cell>
          <cell r="K1488" t="str">
            <v>17001</v>
          </cell>
          <cell r="L1488" t="str">
            <v>MANIZALES</v>
          </cell>
          <cell r="M1488" t="str">
            <v>8914340</v>
          </cell>
        </row>
        <row r="1489">
          <cell r="A1489">
            <v>24343938</v>
          </cell>
          <cell r="B1489" t="str">
            <v/>
          </cell>
          <cell r="C1489" t="str">
            <v/>
          </cell>
          <cell r="D1489" t="str">
            <v>CC</v>
          </cell>
          <cell r="E1489" t="str">
            <v>MARIA JIMENA</v>
          </cell>
          <cell r="F1489" t="str">
            <v>HENAO SALGADO</v>
          </cell>
          <cell r="G1489" t="str">
            <v>HENAO SALGADO MARIA JIMENA</v>
          </cell>
          <cell r="H1489" t="str">
            <v>FUNC</v>
          </cell>
          <cell r="I1489" t="str">
            <v>FUNCIONARIO</v>
          </cell>
          <cell r="J1489" t="str">
            <v>CR 9   8   17 BRR CHIPRE</v>
          </cell>
          <cell r="K1489" t="str">
            <v>17001</v>
          </cell>
          <cell r="L1489" t="str">
            <v>MANIZALES</v>
          </cell>
          <cell r="M1489" t="str">
            <v>8826563</v>
          </cell>
        </row>
        <row r="1490">
          <cell r="A1490">
            <v>24344388</v>
          </cell>
          <cell r="B1490" t="str">
            <v>6</v>
          </cell>
          <cell r="C1490" t="str">
            <v/>
          </cell>
          <cell r="D1490" t="str">
            <v>NP</v>
          </cell>
          <cell r="E1490" t="str">
            <v>NATHALY JOHANA</v>
          </cell>
          <cell r="F1490" t="str">
            <v>TORRES GUERRERO</v>
          </cell>
          <cell r="G1490" t="str">
            <v>TORRES GUERRERO NATHALY JOHANA</v>
          </cell>
          <cell r="H1490" t="str">
            <v>RESI</v>
          </cell>
          <cell r="I1490" t="str">
            <v>REGIMEN SIMPLIFICADO</v>
          </cell>
          <cell r="J1490" t="str">
            <v>Cl 48 16 22201 brr quesada</v>
          </cell>
          <cell r="K1490" t="str">
            <v>17001</v>
          </cell>
          <cell r="L1490" t="str">
            <v>MANIZALES</v>
          </cell>
          <cell r="M1490" t="str">
            <v>4852996</v>
          </cell>
        </row>
        <row r="1491">
          <cell r="A1491">
            <v>24344689</v>
          </cell>
          <cell r="B1491" t="str">
            <v/>
          </cell>
          <cell r="C1491" t="str">
            <v/>
          </cell>
          <cell r="D1491" t="str">
            <v>CC</v>
          </cell>
          <cell r="E1491" t="str">
            <v>ANGELICA MARIA</v>
          </cell>
          <cell r="F1491" t="str">
            <v>GALLEGO VALDES</v>
          </cell>
          <cell r="G1491" t="str">
            <v>GALLEGO VALDES ANGELICA MARIA</v>
          </cell>
          <cell r="H1491" t="str">
            <v>FUNC</v>
          </cell>
          <cell r="I1491" t="str">
            <v>FUNCIONARIO</v>
          </cell>
          <cell r="J1491" t="str">
            <v>CR 4 B 15 08</v>
          </cell>
          <cell r="K1491" t="str">
            <v>17174</v>
          </cell>
          <cell r="L1491" t="str">
            <v>CHINCHINÁ</v>
          </cell>
          <cell r="M1491" t="str">
            <v>3006532180</v>
          </cell>
        </row>
        <row r="1492">
          <cell r="A1492">
            <v>24344786</v>
          </cell>
          <cell r="B1492" t="str">
            <v>4</v>
          </cell>
          <cell r="C1492" t="str">
            <v/>
          </cell>
          <cell r="D1492" t="str">
            <v>NP</v>
          </cell>
          <cell r="E1492" t="str">
            <v>MARIANA</v>
          </cell>
          <cell r="F1492" t="str">
            <v>VILLEGAS GOMEZ</v>
          </cell>
          <cell r="G1492" t="str">
            <v>VILLEGAS GOMEZ MARIANA</v>
          </cell>
          <cell r="H1492" t="str">
            <v>RCPN</v>
          </cell>
          <cell r="I1492" t="str">
            <v>RESPONSABLE IVA PERSONA NATURAL</v>
          </cell>
          <cell r="J1492" t="str">
            <v>CL 66  22 50</v>
          </cell>
          <cell r="K1492" t="str">
            <v>17001</v>
          </cell>
          <cell r="L1492" t="str">
            <v>MANIZALES</v>
          </cell>
          <cell r="M1492" t="str">
            <v>8816057</v>
          </cell>
        </row>
        <row r="1493">
          <cell r="A1493">
            <v>24346401</v>
          </cell>
          <cell r="B1493" t="str">
            <v>3</v>
          </cell>
          <cell r="C1493" t="str">
            <v/>
          </cell>
          <cell r="D1493" t="str">
            <v>NP</v>
          </cell>
          <cell r="E1493" t="str">
            <v>ANA MARIA</v>
          </cell>
          <cell r="F1493" t="str">
            <v>SALAZAR ZULUAGA</v>
          </cell>
          <cell r="G1493" t="str">
            <v>SALAZAR ZULUAGA ANA MARIA</v>
          </cell>
          <cell r="H1493" t="str">
            <v>RESI</v>
          </cell>
          <cell r="I1493" t="str">
            <v>REGIMEN SIMPLIFICADO</v>
          </cell>
          <cell r="J1493" t="str">
            <v>VIA AL MAGDALENA  103 03 CA 42  CON VALLES DE LA ALHAMBRA</v>
          </cell>
          <cell r="K1493" t="str">
            <v>17001</v>
          </cell>
          <cell r="L1493" t="str">
            <v>MANIZALES</v>
          </cell>
          <cell r="M1493" t="str">
            <v>3127849707</v>
          </cell>
        </row>
        <row r="1494">
          <cell r="A1494">
            <v>24346897</v>
          </cell>
          <cell r="B1494" t="str">
            <v/>
          </cell>
          <cell r="C1494" t="str">
            <v/>
          </cell>
          <cell r="D1494" t="str">
            <v>CC</v>
          </cell>
          <cell r="E1494" t="str">
            <v xml:space="preserve">LUZ ADRIANA </v>
          </cell>
          <cell r="F1494" t="str">
            <v>ARANGO OROZCO</v>
          </cell>
          <cell r="G1494" t="str">
            <v xml:space="preserve">ARANGO OROZCO LUZ ADRIANA </v>
          </cell>
          <cell r="H1494" t="str">
            <v>FUNC</v>
          </cell>
          <cell r="I1494" t="str">
            <v>FUNCIONARIO</v>
          </cell>
          <cell r="J1494" t="str">
            <v>CR 23  51 129 AP 202</v>
          </cell>
          <cell r="K1494" t="str">
            <v>17001</v>
          </cell>
          <cell r="L1494" t="str">
            <v>MANIZALES</v>
          </cell>
          <cell r="M1494" t="str">
            <v>8859987</v>
          </cell>
        </row>
        <row r="1495">
          <cell r="A1495">
            <v>24347071</v>
          </cell>
          <cell r="B1495" t="str">
            <v/>
          </cell>
          <cell r="C1495" t="str">
            <v/>
          </cell>
          <cell r="D1495" t="str">
            <v>CC</v>
          </cell>
          <cell r="E1495" t="str">
            <v>DIANA CRISTINA</v>
          </cell>
          <cell r="F1495" t="str">
            <v>MONTOYA HOYOS</v>
          </cell>
          <cell r="G1495" t="str">
            <v>MONTOYA HOYOS DIANA CRISTINA</v>
          </cell>
          <cell r="H1495" t="str">
            <v>FUNC</v>
          </cell>
          <cell r="I1495" t="str">
            <v>FUNCIONARIO</v>
          </cell>
          <cell r="J1495" t="str">
            <v>CL 50 B 39 27</v>
          </cell>
          <cell r="K1495" t="str">
            <v>17541</v>
          </cell>
          <cell r="L1495" t="str">
            <v>PENSILVANIA</v>
          </cell>
          <cell r="M1495" t="str">
            <v>3113756986</v>
          </cell>
        </row>
        <row r="1496">
          <cell r="A1496">
            <v>24347239</v>
          </cell>
          <cell r="B1496" t="str">
            <v/>
          </cell>
          <cell r="C1496" t="str">
            <v/>
          </cell>
          <cell r="D1496" t="str">
            <v>CC</v>
          </cell>
          <cell r="E1496" t="str">
            <v>PAULA ANDREA</v>
          </cell>
          <cell r="F1496" t="str">
            <v>ARISTIZABAL ALZATE</v>
          </cell>
          <cell r="G1496" t="str">
            <v>ARISTIZABAL ALZATE PAULA ANDREA</v>
          </cell>
          <cell r="H1496" t="str">
            <v>FUNC</v>
          </cell>
          <cell r="I1496" t="str">
            <v>FUNCIONARIO</v>
          </cell>
          <cell r="J1496" t="str">
            <v>CL 43 3 48 CA 25 CONJ TERRANOVA</v>
          </cell>
          <cell r="K1496" t="str">
            <v>17873</v>
          </cell>
          <cell r="L1496" t="str">
            <v>VILLAMARÍA</v>
          </cell>
          <cell r="M1496" t="str">
            <v>8859653</v>
          </cell>
        </row>
        <row r="1497">
          <cell r="A1497">
            <v>24347586</v>
          </cell>
          <cell r="B1497" t="str">
            <v/>
          </cell>
          <cell r="C1497" t="str">
            <v/>
          </cell>
          <cell r="D1497" t="str">
            <v>CC</v>
          </cell>
          <cell r="E1497" t="str">
            <v>DIANA MERCEDES</v>
          </cell>
          <cell r="F1497" t="str">
            <v>CASTAÑO MARTINEZ</v>
          </cell>
          <cell r="G1497" t="str">
            <v xml:space="preserve">CASTAÑO MARTINEZ DIANA MERCEDES                             </v>
          </cell>
          <cell r="H1497" t="str">
            <v>FUNC</v>
          </cell>
          <cell r="I1497" t="str">
            <v>FUNCIONARIO</v>
          </cell>
          <cell r="J1497" t="str">
            <v xml:space="preserve">CLL 58 A 21 27                        </v>
          </cell>
          <cell r="K1497" t="str">
            <v>17001</v>
          </cell>
          <cell r="L1497" t="str">
            <v>MANIZALES</v>
          </cell>
          <cell r="M1497" t="str">
            <v>8810209</v>
          </cell>
        </row>
        <row r="1498">
          <cell r="A1498">
            <v>24347629</v>
          </cell>
          <cell r="B1498" t="str">
            <v>1</v>
          </cell>
          <cell r="C1498" t="str">
            <v/>
          </cell>
          <cell r="D1498" t="str">
            <v>NP</v>
          </cell>
          <cell r="E1498" t="str">
            <v>MARLENY</v>
          </cell>
          <cell r="F1498" t="str">
            <v>PARRA</v>
          </cell>
          <cell r="G1498" t="str">
            <v>PARRA MARLENY</v>
          </cell>
          <cell r="H1498" t="str">
            <v>RESI</v>
          </cell>
          <cell r="I1498" t="str">
            <v>REGIMEN SIMPLIFICADO</v>
          </cell>
          <cell r="J1498" t="str">
            <v>CL 38 A  34 10</v>
          </cell>
          <cell r="K1498" t="str">
            <v>17001</v>
          </cell>
          <cell r="L1498" t="str">
            <v>MANIZALES</v>
          </cell>
          <cell r="M1498" t="str">
            <v>8882097</v>
          </cell>
        </row>
        <row r="1499">
          <cell r="A1499">
            <v>24348262</v>
          </cell>
          <cell r="B1499" t="str">
            <v>5</v>
          </cell>
          <cell r="C1499" t="str">
            <v/>
          </cell>
          <cell r="D1499" t="str">
            <v>NP</v>
          </cell>
          <cell r="E1499" t="str">
            <v>ADRIANA CECILIA</v>
          </cell>
          <cell r="F1499" t="str">
            <v>SANCHEZ MARTINEZ</v>
          </cell>
          <cell r="G1499" t="str">
            <v>SANCHEZ MARTINEZ ADRIANA CECILIA</v>
          </cell>
          <cell r="H1499" t="str">
            <v>RESI</v>
          </cell>
          <cell r="I1499" t="str">
            <v>REGIMEN SIMPLIFICADO</v>
          </cell>
          <cell r="J1499" t="str">
            <v>CR 11  9  05</v>
          </cell>
          <cell r="K1499" t="str">
            <v>17873</v>
          </cell>
          <cell r="L1499" t="str">
            <v>VILLAMARÍA</v>
          </cell>
          <cell r="M1499" t="str">
            <v>3214181418</v>
          </cell>
        </row>
        <row r="1500">
          <cell r="A1500">
            <v>24348737</v>
          </cell>
          <cell r="B1500" t="str">
            <v>1</v>
          </cell>
          <cell r="C1500" t="str">
            <v/>
          </cell>
          <cell r="D1500" t="str">
            <v>NP</v>
          </cell>
          <cell r="E1500" t="str">
            <v>PAULA ANDREA</v>
          </cell>
          <cell r="F1500" t="str">
            <v>BURITICA FLOREZ</v>
          </cell>
          <cell r="G1500" t="str">
            <v>BURITICA FLOREZ PAULA ANDREA</v>
          </cell>
          <cell r="H1500" t="str">
            <v>RESI</v>
          </cell>
          <cell r="I1500" t="str">
            <v>REGIMEN SIMPLIFICADO</v>
          </cell>
          <cell r="J1500" t="str">
            <v>AV SANTANDER CR 23 40 56</v>
          </cell>
          <cell r="K1500" t="str">
            <v>17001</v>
          </cell>
          <cell r="L1500" t="str">
            <v>MANIZALES</v>
          </cell>
          <cell r="M1500" t="str">
            <v>8845241</v>
          </cell>
        </row>
        <row r="1501">
          <cell r="A1501">
            <v>24383604</v>
          </cell>
          <cell r="B1501" t="str">
            <v>9</v>
          </cell>
          <cell r="C1501" t="str">
            <v/>
          </cell>
          <cell r="D1501" t="str">
            <v>NP</v>
          </cell>
          <cell r="E1501" t="str">
            <v xml:space="preserve">LYDA </v>
          </cell>
          <cell r="F1501" t="str">
            <v>FLOREZ VILLEGAS</v>
          </cell>
          <cell r="G1501" t="str">
            <v>LYDA FLOREZ VILLEGAS</v>
          </cell>
          <cell r="H1501" t="str">
            <v>RECO</v>
          </cell>
          <cell r="I1501" t="str">
            <v>REGIMEN COMUN</v>
          </cell>
          <cell r="J1501" t="str">
            <v xml:space="preserve">CR 23 N 64 B 33                         </v>
          </cell>
          <cell r="K1501" t="str">
            <v>17001</v>
          </cell>
          <cell r="L1501" t="str">
            <v>MANIZALES</v>
          </cell>
          <cell r="M1501" t="str">
            <v>8756262</v>
          </cell>
        </row>
        <row r="1502">
          <cell r="A1502">
            <v>24386298</v>
          </cell>
          <cell r="B1502" t="str">
            <v>1</v>
          </cell>
          <cell r="C1502" t="str">
            <v/>
          </cell>
          <cell r="D1502" t="str">
            <v>NP</v>
          </cell>
          <cell r="E1502" t="str">
            <v>MARY RUTH</v>
          </cell>
          <cell r="F1502" t="str">
            <v>RAMOS MELCHOR</v>
          </cell>
          <cell r="G1502" t="str">
            <v>RAMOS MELCHOR MARY RUTH</v>
          </cell>
          <cell r="H1502" t="str">
            <v>GRCO</v>
          </cell>
          <cell r="I1502" t="str">
            <v>GRAN CONTRIBUYENTE</v>
          </cell>
          <cell r="J1502" t="str">
            <v>CR 38 B 71 01 URB</v>
          </cell>
          <cell r="K1502" t="str">
            <v>66001</v>
          </cell>
          <cell r="L1502" t="str">
            <v>PEREIRA</v>
          </cell>
          <cell r="M1502" t="str">
            <v>3464002</v>
          </cell>
        </row>
        <row r="1503">
          <cell r="A1503">
            <v>24396761</v>
          </cell>
          <cell r="B1503" t="str">
            <v>3</v>
          </cell>
          <cell r="C1503" t="str">
            <v/>
          </cell>
          <cell r="D1503" t="str">
            <v>NP</v>
          </cell>
          <cell r="E1503" t="str">
            <v>ELIZABETH</v>
          </cell>
          <cell r="F1503" t="str">
            <v>CALLE LOPEZ</v>
          </cell>
          <cell r="G1503" t="str">
            <v>CALLE LOPEZ ELIZABETH</v>
          </cell>
          <cell r="H1503" t="str">
            <v>RESI</v>
          </cell>
          <cell r="I1503" t="str">
            <v>REGIMEN SIMPLIFICADO</v>
          </cell>
          <cell r="J1503" t="str">
            <v>CENTRO CIAL CABLE PLAZA</v>
          </cell>
          <cell r="K1503" t="str">
            <v>17001</v>
          </cell>
          <cell r="L1503" t="str">
            <v>MANIZALES</v>
          </cell>
          <cell r="M1503" t="str">
            <v>8756497</v>
          </cell>
        </row>
        <row r="1504">
          <cell r="A1504">
            <v>24434427</v>
          </cell>
          <cell r="B1504" t="str">
            <v>1</v>
          </cell>
          <cell r="C1504" t="str">
            <v/>
          </cell>
          <cell r="D1504" t="str">
            <v>NP</v>
          </cell>
          <cell r="E1504" t="str">
            <v>GLORIA I</v>
          </cell>
          <cell r="F1504" t="str">
            <v>ZULUAGA LOPEZ</v>
          </cell>
          <cell r="G1504" t="str">
            <v>ZULUAGA LOPEZ GLORIA I</v>
          </cell>
          <cell r="H1504" t="str">
            <v>RECO</v>
          </cell>
          <cell r="I1504" t="str">
            <v>REGIMEN COMUN</v>
          </cell>
          <cell r="J1504" t="str">
            <v>CR 23 29 58</v>
          </cell>
          <cell r="K1504" t="str">
            <v>17001</v>
          </cell>
          <cell r="L1504" t="str">
            <v>MANIZALES</v>
          </cell>
          <cell r="M1504" t="str">
            <v>8831291</v>
          </cell>
        </row>
        <row r="1505">
          <cell r="A1505">
            <v>24579634</v>
          </cell>
          <cell r="B1505" t="str">
            <v/>
          </cell>
          <cell r="C1505" t="str">
            <v/>
          </cell>
          <cell r="D1505" t="str">
            <v>CC</v>
          </cell>
          <cell r="E1505" t="str">
            <v>GLORIA AMPARO</v>
          </cell>
          <cell r="F1505" t="str">
            <v>LONDOÑO AMEZQUITA</v>
          </cell>
          <cell r="G1505" t="str">
            <v>LONDOÑO AMEZQUITA GLORIA AMPARO</v>
          </cell>
          <cell r="H1505" t="str">
            <v>RESI</v>
          </cell>
          <cell r="I1505" t="str">
            <v>REGIMEN SIMPLIFICADO</v>
          </cell>
          <cell r="J1505" t="str">
            <v>CALLE 9 No 9-08</v>
          </cell>
          <cell r="K1505" t="str">
            <v>17001</v>
          </cell>
          <cell r="L1505" t="str">
            <v>MANIZALES</v>
          </cell>
          <cell r="M1505" t="str">
            <v>8847519</v>
          </cell>
        </row>
        <row r="1506">
          <cell r="A1506">
            <v>24620043</v>
          </cell>
          <cell r="B1506" t="str">
            <v>4</v>
          </cell>
          <cell r="C1506" t="str">
            <v/>
          </cell>
          <cell r="D1506" t="str">
            <v>NP</v>
          </cell>
          <cell r="E1506" t="str">
            <v>DORA</v>
          </cell>
          <cell r="F1506" t="str">
            <v>ZAPATA ACOSTA</v>
          </cell>
          <cell r="G1506" t="str">
            <v>ZAPATA ACOSTA DORA</v>
          </cell>
          <cell r="H1506" t="str">
            <v>RESI</v>
          </cell>
          <cell r="I1506" t="str">
            <v>REGIMEN SIMPLIFICADO</v>
          </cell>
          <cell r="J1506" t="str">
            <v>CR 7   10   28</v>
          </cell>
          <cell r="K1506" t="str">
            <v>17873</v>
          </cell>
          <cell r="L1506" t="str">
            <v>VILLAMARÍA</v>
          </cell>
          <cell r="M1506" t="str">
            <v>8771653</v>
          </cell>
        </row>
        <row r="1507">
          <cell r="A1507">
            <v>24622311</v>
          </cell>
          <cell r="B1507" t="str">
            <v>2</v>
          </cell>
          <cell r="C1507" t="str">
            <v/>
          </cell>
          <cell r="D1507" t="str">
            <v>NP</v>
          </cell>
          <cell r="E1507" t="str">
            <v>JUDITH ANGELICA</v>
          </cell>
          <cell r="F1507" t="str">
            <v>HENAO CAÑAS</v>
          </cell>
          <cell r="G1507" t="str">
            <v>JUDITH ANGELICA HENAO CAÑAS</v>
          </cell>
          <cell r="H1507" t="str">
            <v>RECO</v>
          </cell>
          <cell r="I1507" t="str">
            <v>REGIMEN COMUN</v>
          </cell>
          <cell r="J1507" t="str">
            <v xml:space="preserve">CR 23 N 64 B 33 TO GENSA        </v>
          </cell>
          <cell r="K1507" t="str">
            <v>17001</v>
          </cell>
          <cell r="L1507" t="str">
            <v>MANIZALES</v>
          </cell>
          <cell r="M1507" t="str">
            <v>8756262</v>
          </cell>
        </row>
        <row r="1508">
          <cell r="A1508">
            <v>24627745</v>
          </cell>
          <cell r="B1508" t="str">
            <v/>
          </cell>
          <cell r="C1508" t="str">
            <v/>
          </cell>
          <cell r="D1508" t="str">
            <v>CC</v>
          </cell>
          <cell r="E1508" t="str">
            <v>CLAUDIA PATRICIA</v>
          </cell>
          <cell r="F1508" t="str">
            <v>JARAMILLO HENAO</v>
          </cell>
          <cell r="G1508" t="str">
            <v>JARAMILLO HENAO CLAUDIA PATRICIA</v>
          </cell>
          <cell r="H1508" t="str">
            <v>FUNC</v>
          </cell>
          <cell r="I1508" t="str">
            <v>FUNCIONARIO</v>
          </cell>
          <cell r="J1508" t="str">
            <v>CR 8 BIS   18   22</v>
          </cell>
          <cell r="K1508" t="str">
            <v>17001</v>
          </cell>
          <cell r="L1508" t="str">
            <v>MANIZALES</v>
          </cell>
          <cell r="M1508" t="str">
            <v>3205263937</v>
          </cell>
        </row>
        <row r="1509">
          <cell r="A1509">
            <v>24643640</v>
          </cell>
          <cell r="B1509" t="str">
            <v>0</v>
          </cell>
          <cell r="C1509" t="str">
            <v/>
          </cell>
          <cell r="D1509" t="str">
            <v>NP</v>
          </cell>
          <cell r="E1509" t="str">
            <v>ARNOBIA</v>
          </cell>
          <cell r="F1509" t="str">
            <v>CORREA CADAVID</v>
          </cell>
          <cell r="G1509" t="str">
            <v>CORREA CADAVID ARNOBIA</v>
          </cell>
          <cell r="H1509" t="str">
            <v>RECO</v>
          </cell>
          <cell r="I1509" t="str">
            <v>REGIMEN COMUN</v>
          </cell>
          <cell r="J1509" t="str">
            <v>CR 25   45   45</v>
          </cell>
          <cell r="K1509" t="str">
            <v>17001</v>
          </cell>
          <cell r="L1509" t="str">
            <v>MANIZALES</v>
          </cell>
          <cell r="M1509" t="str">
            <v>8862980</v>
          </cell>
        </row>
        <row r="1510">
          <cell r="A1510">
            <v>24643677</v>
          </cell>
          <cell r="B1510" t="str">
            <v>2</v>
          </cell>
          <cell r="C1510" t="str">
            <v/>
          </cell>
          <cell r="D1510" t="str">
            <v>NP</v>
          </cell>
          <cell r="E1510" t="str">
            <v>TERESA</v>
          </cell>
          <cell r="F1510" t="str">
            <v>MONTES ZULUAGA</v>
          </cell>
          <cell r="G1510" t="str">
            <v>MONTES ZULUAGA TERESA</v>
          </cell>
          <cell r="H1510" t="str">
            <v>RECO</v>
          </cell>
          <cell r="I1510" t="str">
            <v>REGIMEN COMUN</v>
          </cell>
          <cell r="J1510" t="str">
            <v>KM 3 VIA PANAMERICANA</v>
          </cell>
          <cell r="K1510" t="str">
            <v>17873</v>
          </cell>
          <cell r="L1510" t="str">
            <v>VILLAMARÍA</v>
          </cell>
          <cell r="M1510" t="str">
            <v>8787992</v>
          </cell>
        </row>
        <row r="1511">
          <cell r="A1511">
            <v>24645158</v>
          </cell>
          <cell r="B1511" t="str">
            <v/>
          </cell>
          <cell r="C1511" t="str">
            <v/>
          </cell>
          <cell r="D1511" t="str">
            <v>CC</v>
          </cell>
          <cell r="E1511" t="str">
            <v>ADRIANA MARÍA</v>
          </cell>
          <cell r="F1511" t="str">
            <v>VELASQUEZ OSORIO</v>
          </cell>
          <cell r="G1511" t="str">
            <v>VELASQUEZ OSORIO ADRIANA MARÍA</v>
          </cell>
          <cell r="H1511" t="str">
            <v>FUNC</v>
          </cell>
          <cell r="I1511" t="str">
            <v>FUNCIONARIO</v>
          </cell>
          <cell r="J1511" t="str">
            <v>CR 8 A 2 57 C 1 16</v>
          </cell>
          <cell r="K1511" t="str">
            <v>17001</v>
          </cell>
          <cell r="L1511" t="str">
            <v>MANIZALES</v>
          </cell>
          <cell r="M1511" t="str">
            <v>3117760580</v>
          </cell>
        </row>
        <row r="1512">
          <cell r="A1512">
            <v>24645724</v>
          </cell>
          <cell r="B1512" t="str">
            <v/>
          </cell>
          <cell r="C1512" t="str">
            <v/>
          </cell>
          <cell r="D1512" t="str">
            <v>CC</v>
          </cell>
          <cell r="E1512" t="str">
            <v>LUZ MARINA</v>
          </cell>
          <cell r="F1512" t="str">
            <v>GIRALDO CRISTANCHO</v>
          </cell>
          <cell r="G1512" t="str">
            <v>GIRALDO CRISTANCHO LUZ MARINA</v>
          </cell>
          <cell r="H1512" t="str">
            <v>FUNC</v>
          </cell>
          <cell r="I1512" t="str">
            <v>FUNCIONARIO</v>
          </cell>
          <cell r="J1512" t="str">
            <v>CLLE 68 A#9 65</v>
          </cell>
          <cell r="K1512" t="str">
            <v>17001</v>
          </cell>
          <cell r="L1512" t="str">
            <v>MANIZALES</v>
          </cell>
          <cell r="M1512" t="str">
            <v>3117337178</v>
          </cell>
        </row>
        <row r="1513">
          <cell r="A1513">
            <v>24646277</v>
          </cell>
          <cell r="B1513" t="str">
            <v/>
          </cell>
          <cell r="C1513" t="str">
            <v/>
          </cell>
          <cell r="D1513" t="str">
            <v>CC</v>
          </cell>
          <cell r="E1513" t="str">
            <v>NIDY ANDREA</v>
          </cell>
          <cell r="F1513" t="str">
            <v>GOMEZ MONTOYA</v>
          </cell>
          <cell r="G1513" t="str">
            <v>GOMEZ MONTOYA NIDY ANDREA</v>
          </cell>
          <cell r="H1513" t="str">
            <v>FUNC</v>
          </cell>
          <cell r="I1513" t="str">
            <v>FUNCIONARIO</v>
          </cell>
          <cell r="J1513" t="str">
            <v>CR 7 B N 12 86</v>
          </cell>
          <cell r="K1513" t="str">
            <v>17001</v>
          </cell>
          <cell r="L1513" t="str">
            <v>MANIZALES</v>
          </cell>
          <cell r="M1513" t="str">
            <v>3008002187</v>
          </cell>
        </row>
        <row r="1514">
          <cell r="A1514">
            <v>24712553</v>
          </cell>
          <cell r="B1514" t="str">
            <v>4</v>
          </cell>
          <cell r="C1514" t="str">
            <v/>
          </cell>
          <cell r="D1514" t="str">
            <v>NP</v>
          </cell>
          <cell r="E1514" t="str">
            <v>YUDI</v>
          </cell>
          <cell r="F1514" t="str">
            <v>CARDONA ALARCON</v>
          </cell>
          <cell r="G1514" t="str">
            <v>CARDONA ALARCON YUDI</v>
          </cell>
          <cell r="H1514" t="str">
            <v>RESI</v>
          </cell>
          <cell r="I1514" t="str">
            <v>REGIMEN SIMPLIFICADO</v>
          </cell>
          <cell r="J1514" t="str">
            <v>CR 7 7 09 CORR SAN DIEGO</v>
          </cell>
          <cell r="K1514" t="str">
            <v>17662</v>
          </cell>
          <cell r="L1514" t="str">
            <v>SAMANÁ</v>
          </cell>
          <cell r="M1514" t="str">
            <v>3113923377</v>
          </cell>
        </row>
        <row r="1515">
          <cell r="A1515">
            <v>24719383</v>
          </cell>
          <cell r="B1515" t="str">
            <v/>
          </cell>
          <cell r="C1515" t="str">
            <v/>
          </cell>
          <cell r="D1515" t="str">
            <v>CC</v>
          </cell>
          <cell r="E1515" t="str">
            <v>GLADYS ELENA</v>
          </cell>
          <cell r="F1515" t="str">
            <v>ESTRADA RUIZ</v>
          </cell>
          <cell r="G1515" t="str">
            <v>ESTRADA RUIZ GLADYS ELENA</v>
          </cell>
          <cell r="H1515" t="str">
            <v>FUNC</v>
          </cell>
          <cell r="I1515" t="str">
            <v>FUNCIONARIO</v>
          </cell>
          <cell r="J1515" t="str">
            <v>CALLE 9 B # 1 B 19</v>
          </cell>
          <cell r="K1515" t="str">
            <v>17662</v>
          </cell>
          <cell r="L1515" t="str">
            <v>SAMANÁ</v>
          </cell>
          <cell r="M1515" t="str">
            <v>3046719091</v>
          </cell>
        </row>
        <row r="1516">
          <cell r="A1516">
            <v>24720893</v>
          </cell>
          <cell r="B1516" t="str">
            <v>7</v>
          </cell>
          <cell r="C1516" t="str">
            <v/>
          </cell>
          <cell r="D1516" t="str">
            <v>NP</v>
          </cell>
          <cell r="E1516" t="str">
            <v>CLAUDIA LORENA</v>
          </cell>
          <cell r="F1516" t="str">
            <v>OSPINA QUINTERO</v>
          </cell>
          <cell r="G1516" t="str">
            <v>OSPINA QUINTERO CLAUDIA LORENA</v>
          </cell>
          <cell r="H1516" t="str">
            <v>RESI</v>
          </cell>
          <cell r="I1516" t="str">
            <v>REGIMEN SIMPLIFICADO</v>
          </cell>
          <cell r="J1516" t="str">
            <v>CL 69B 27A-25</v>
          </cell>
          <cell r="K1516" t="str">
            <v>17001</v>
          </cell>
          <cell r="L1516" t="str">
            <v>MANIZALES</v>
          </cell>
          <cell r="M1516" t="str">
            <v>3206487204</v>
          </cell>
        </row>
        <row r="1517">
          <cell r="A1517">
            <v>24720911</v>
          </cell>
          <cell r="B1517" t="str">
            <v>1</v>
          </cell>
          <cell r="C1517" t="str">
            <v/>
          </cell>
          <cell r="D1517" t="str">
            <v>NP</v>
          </cell>
          <cell r="E1517" t="str">
            <v>AIDA CONSUELO</v>
          </cell>
          <cell r="F1517" t="str">
            <v>MUÑOZ RODRIGUEZ</v>
          </cell>
          <cell r="G1517" t="str">
            <v>MUÑOZ RODRIGUEZ AIDA CONSUELO</v>
          </cell>
          <cell r="H1517" t="str">
            <v>RESI</v>
          </cell>
          <cell r="I1517" t="str">
            <v>REGIMEN SIMPLIFICADO</v>
          </cell>
          <cell r="J1517" t="str">
            <v>CL 7 3 76</v>
          </cell>
          <cell r="K1517" t="str">
            <v>17662</v>
          </cell>
          <cell r="L1517" t="str">
            <v>SAMANÁ</v>
          </cell>
          <cell r="M1517" t="str">
            <v>3225199926</v>
          </cell>
        </row>
        <row r="1518">
          <cell r="A1518">
            <v>24725652</v>
          </cell>
          <cell r="B1518" t="str">
            <v/>
          </cell>
          <cell r="C1518" t="str">
            <v/>
          </cell>
          <cell r="D1518" t="str">
            <v>CC</v>
          </cell>
          <cell r="E1518" t="str">
            <v>MARTHA LUCIA</v>
          </cell>
          <cell r="F1518" t="str">
            <v>MURILLO OSORIO</v>
          </cell>
          <cell r="G1518" t="str">
            <v>MURILLO OSORIO MARTHA LUCIA</v>
          </cell>
          <cell r="H1518" t="str">
            <v>RCPN</v>
          </cell>
          <cell r="I1518" t="str">
            <v>RESPONSABLE IVA PERSONA NATURAL</v>
          </cell>
          <cell r="J1518" t="str">
            <v>CRA 23 NO 56-25 AP 301</v>
          </cell>
          <cell r="K1518" t="str">
            <v>17001</v>
          </cell>
          <cell r="L1518" t="str">
            <v>MANIZALES</v>
          </cell>
          <cell r="M1518" t="str">
            <v>8811154</v>
          </cell>
        </row>
        <row r="1519">
          <cell r="A1519">
            <v>24727766</v>
          </cell>
          <cell r="B1519" t="str">
            <v>1</v>
          </cell>
          <cell r="C1519" t="str">
            <v/>
          </cell>
          <cell r="D1519" t="str">
            <v>NP</v>
          </cell>
          <cell r="E1519" t="str">
            <v>SANDRA EUGENIA</v>
          </cell>
          <cell r="F1519" t="str">
            <v>GIRALDO GUTIERREZ</v>
          </cell>
          <cell r="G1519" t="str">
            <v>GIRALDO GUTIERREZ SANDRA EUGENIA</v>
          </cell>
          <cell r="H1519" t="str">
            <v>RECO</v>
          </cell>
          <cell r="I1519" t="str">
            <v>REGIMEN COMUN</v>
          </cell>
          <cell r="J1519" t="str">
            <v xml:space="preserve">CR 23 N 64 B 33 TO GENSA        </v>
          </cell>
          <cell r="K1519" t="str">
            <v>17001</v>
          </cell>
          <cell r="L1519" t="str">
            <v>MANIZALES</v>
          </cell>
          <cell r="M1519" t="str">
            <v>8756262</v>
          </cell>
        </row>
        <row r="1520">
          <cell r="A1520">
            <v>24727981</v>
          </cell>
          <cell r="B1520" t="str">
            <v>9</v>
          </cell>
          <cell r="C1520" t="str">
            <v/>
          </cell>
          <cell r="D1520" t="str">
            <v>NP</v>
          </cell>
          <cell r="E1520" t="str">
            <v>VICTORIA EUGENIA</v>
          </cell>
          <cell r="F1520" t="str">
            <v>CASTAÑO HENAO</v>
          </cell>
          <cell r="G1520" t="str">
            <v>CASTAÑO HENAO VICTORIA EUGENIA</v>
          </cell>
          <cell r="H1520" t="str">
            <v>RESI</v>
          </cell>
          <cell r="I1520" t="str">
            <v>REGIMEN SIMPLIFICADO</v>
          </cell>
          <cell r="J1520" t="str">
            <v>CL 6   4   48</v>
          </cell>
          <cell r="K1520" t="str">
            <v>17433</v>
          </cell>
          <cell r="L1520" t="str">
            <v>MANZANARES</v>
          </cell>
          <cell r="M1520" t="str">
            <v>8548146</v>
          </cell>
        </row>
        <row r="1521">
          <cell r="A1521">
            <v>24728224</v>
          </cell>
          <cell r="B1521" t="str">
            <v>6</v>
          </cell>
          <cell r="C1521" t="str">
            <v/>
          </cell>
          <cell r="D1521" t="str">
            <v>NP</v>
          </cell>
          <cell r="E1521" t="str">
            <v>ANA RUBY</v>
          </cell>
          <cell r="F1521" t="str">
            <v>DUQUE FLOREZ</v>
          </cell>
          <cell r="G1521" t="str">
            <v>DUQUE FLOREZ ANA RUBY</v>
          </cell>
          <cell r="H1521" t="str">
            <v>RESI</v>
          </cell>
          <cell r="I1521" t="str">
            <v>REGIMEN SIMPLIFICADO</v>
          </cell>
          <cell r="J1521" t="str">
            <v>CR 23 58 40</v>
          </cell>
          <cell r="K1521" t="str">
            <v>17001</v>
          </cell>
          <cell r="L1521" t="str">
            <v>MANIZALES</v>
          </cell>
          <cell r="M1521" t="str">
            <v>8852952</v>
          </cell>
        </row>
        <row r="1522">
          <cell r="A1522">
            <v>24729920</v>
          </cell>
          <cell r="B1522" t="str">
            <v>9</v>
          </cell>
          <cell r="C1522" t="str">
            <v/>
          </cell>
          <cell r="D1522" t="str">
            <v>NP</v>
          </cell>
          <cell r="E1522" t="str">
            <v>MARIA ELIZABETH</v>
          </cell>
          <cell r="F1522" t="str">
            <v>RAMIREZ BEDOYA</v>
          </cell>
          <cell r="G1522" t="str">
            <v>RAMIREZ BEDOYA MARIA ELIZABETH</v>
          </cell>
          <cell r="H1522" t="str">
            <v>RESI</v>
          </cell>
          <cell r="I1522" t="str">
            <v>REGIMEN SIMPLIFICADO</v>
          </cell>
          <cell r="J1522" t="str">
            <v>CL 69 A 27 89 AP 301</v>
          </cell>
          <cell r="K1522" t="str">
            <v>17001</v>
          </cell>
          <cell r="L1522" t="str">
            <v>MANIZALES</v>
          </cell>
          <cell r="M1522" t="str">
            <v>3168775232</v>
          </cell>
        </row>
        <row r="1523">
          <cell r="A1523">
            <v>24730905</v>
          </cell>
          <cell r="B1523" t="str">
            <v/>
          </cell>
          <cell r="C1523" t="str">
            <v/>
          </cell>
          <cell r="D1523" t="str">
            <v>CC</v>
          </cell>
          <cell r="E1523" t="str">
            <v>MARTHA LUCIA</v>
          </cell>
          <cell r="F1523" t="str">
            <v>MARÍN</v>
          </cell>
          <cell r="G1523" t="str">
            <v>MARÍN MARTHA LUCIA</v>
          </cell>
          <cell r="H1523" t="str">
            <v>FUNC</v>
          </cell>
          <cell r="I1523" t="str">
            <v>FUNCIONARIO</v>
          </cell>
          <cell r="J1523" t="str">
            <v>CR 21 N 14 37</v>
          </cell>
          <cell r="K1523" t="str">
            <v>17001</v>
          </cell>
          <cell r="L1523" t="str">
            <v>MANIZALES</v>
          </cell>
          <cell r="M1523" t="str">
            <v>3217331677</v>
          </cell>
        </row>
        <row r="1524">
          <cell r="A1524">
            <v>24758073</v>
          </cell>
          <cell r="B1524" t="str">
            <v/>
          </cell>
          <cell r="C1524" t="str">
            <v/>
          </cell>
          <cell r="D1524" t="str">
            <v>CC</v>
          </cell>
          <cell r="E1524" t="str">
            <v>MARIA TRIGINIA</v>
          </cell>
          <cell r="F1524" t="str">
            <v>PAVA CARDOSO</v>
          </cell>
          <cell r="G1524" t="str">
            <v>PAVA CARDOSO MARIA TRIGINIA</v>
          </cell>
          <cell r="H1524" t="str">
            <v>FUNC</v>
          </cell>
          <cell r="I1524" t="str">
            <v>FUNCIONARIO</v>
          </cell>
          <cell r="J1524" t="str">
            <v>CR 20   15   03 BRR LOS AGUSTINOS</v>
          </cell>
          <cell r="K1524" t="str">
            <v>17001</v>
          </cell>
          <cell r="L1524" t="str">
            <v>MANIZALES</v>
          </cell>
          <cell r="M1524" t="str">
            <v>3118750685</v>
          </cell>
        </row>
        <row r="1525">
          <cell r="A1525">
            <v>24825613</v>
          </cell>
          <cell r="B1525" t="str">
            <v/>
          </cell>
          <cell r="C1525" t="str">
            <v/>
          </cell>
          <cell r="D1525" t="str">
            <v>CC</v>
          </cell>
          <cell r="E1525" t="str">
            <v>BEATRIZ EUGENIA</v>
          </cell>
          <cell r="F1525" t="str">
            <v>GONZALEZ GALVEZ</v>
          </cell>
          <cell r="G1525" t="str">
            <v>GONZALEZ GALVEZ BEATRIZ EUGENIA</v>
          </cell>
          <cell r="H1525" t="str">
            <v>FUNC</v>
          </cell>
          <cell r="I1525" t="str">
            <v>FUNCIONARIO</v>
          </cell>
          <cell r="J1525" t="str">
            <v>CL 5 8 35</v>
          </cell>
          <cell r="K1525" t="str">
            <v>17486</v>
          </cell>
          <cell r="L1525" t="str">
            <v>NEIRA</v>
          </cell>
          <cell r="M1525" t="str">
            <v>3117925361</v>
          </cell>
        </row>
        <row r="1526">
          <cell r="A1526">
            <v>24826057</v>
          </cell>
          <cell r="B1526" t="str">
            <v/>
          </cell>
          <cell r="C1526" t="str">
            <v/>
          </cell>
          <cell r="D1526" t="str">
            <v>CC</v>
          </cell>
          <cell r="E1526" t="str">
            <v>LIDA NANCY</v>
          </cell>
          <cell r="F1526" t="str">
            <v>FLOREZ RINCON</v>
          </cell>
          <cell r="G1526" t="str">
            <v>FLOREZ RINCON LIDA NANCY</v>
          </cell>
          <cell r="H1526" t="str">
            <v>RESI</v>
          </cell>
          <cell r="I1526" t="str">
            <v>REGIMEN SIMPLIFICADO</v>
          </cell>
          <cell r="J1526" t="str">
            <v>CL 65 N 23 A 37</v>
          </cell>
          <cell r="K1526" t="str">
            <v>17001</v>
          </cell>
          <cell r="L1526" t="str">
            <v>MANIZALES</v>
          </cell>
          <cell r="M1526" t="str">
            <v>8870657</v>
          </cell>
        </row>
        <row r="1527">
          <cell r="A1527">
            <v>24828134</v>
          </cell>
          <cell r="B1527" t="str">
            <v/>
          </cell>
          <cell r="C1527" t="str">
            <v/>
          </cell>
          <cell r="D1527" t="str">
            <v>CC</v>
          </cell>
          <cell r="E1527" t="str">
            <v>TANIA MARADONA</v>
          </cell>
          <cell r="F1527" t="str">
            <v>OROZCO</v>
          </cell>
          <cell r="G1527" t="str">
            <v>OROZCO TANIA MARADONA</v>
          </cell>
          <cell r="H1527" t="str">
            <v>FUNC</v>
          </cell>
          <cell r="I1527" t="str">
            <v>FUNCIONARIO</v>
          </cell>
          <cell r="J1527" t="str">
            <v>CR 17 62 35 CONJ LA TOSCANA</v>
          </cell>
          <cell r="K1527" t="str">
            <v>17001</v>
          </cell>
          <cell r="L1527" t="str">
            <v>MANIZALES</v>
          </cell>
          <cell r="M1527" t="str">
            <v>3128366235</v>
          </cell>
        </row>
        <row r="1528">
          <cell r="A1528">
            <v>24835672</v>
          </cell>
          <cell r="B1528" t="str">
            <v>0</v>
          </cell>
          <cell r="C1528" t="str">
            <v/>
          </cell>
          <cell r="D1528" t="str">
            <v>NP</v>
          </cell>
          <cell r="E1528" t="str">
            <v>ALBA LUCÍA</v>
          </cell>
          <cell r="F1528" t="str">
            <v>RAMOS LÓPEZ</v>
          </cell>
          <cell r="G1528" t="str">
            <v>RAMOS LÓPEZ ALBA LUCÍA</v>
          </cell>
          <cell r="H1528" t="str">
            <v>IMVE</v>
          </cell>
          <cell r="I1528" t="str">
            <v>IMPUESTO SOBRE LAS VENTAS</v>
          </cell>
          <cell r="J1528" t="str">
            <v>CR 11 11 13</v>
          </cell>
          <cell r="K1528" t="str">
            <v>25572</v>
          </cell>
          <cell r="L1528" t="str">
            <v>PUERTO SALGAR</v>
          </cell>
          <cell r="M1528" t="str">
            <v>3206059954</v>
          </cell>
        </row>
        <row r="1529">
          <cell r="A1529">
            <v>24836707</v>
          </cell>
          <cell r="B1529" t="str">
            <v>4</v>
          </cell>
          <cell r="C1529" t="str">
            <v/>
          </cell>
          <cell r="D1529" t="str">
            <v>NP</v>
          </cell>
          <cell r="E1529" t="str">
            <v xml:space="preserve">ORFILIA </v>
          </cell>
          <cell r="F1529" t="str">
            <v>CARDENAS GIRALDO</v>
          </cell>
          <cell r="G1529" t="str">
            <v>ORFILIA CARDENAS GIRALDO</v>
          </cell>
          <cell r="H1529" t="str">
            <v>RECO</v>
          </cell>
          <cell r="I1529" t="str">
            <v>REGIMEN COMUN</v>
          </cell>
          <cell r="J1529" t="str">
            <v xml:space="preserve">CR 23 N 64 B 33 TO GENSA        </v>
          </cell>
          <cell r="K1529" t="str">
            <v>17001</v>
          </cell>
          <cell r="L1529" t="str">
            <v>MANIZALES</v>
          </cell>
          <cell r="M1529" t="str">
            <v>8756262</v>
          </cell>
        </row>
        <row r="1530">
          <cell r="A1530">
            <v>24851453</v>
          </cell>
          <cell r="B1530" t="str">
            <v/>
          </cell>
          <cell r="C1530" t="str">
            <v/>
          </cell>
          <cell r="D1530" t="str">
            <v>CC</v>
          </cell>
          <cell r="E1530" t="str">
            <v>CLAUDIA PATRICIA</v>
          </cell>
          <cell r="F1530" t="str">
            <v>GIL GARAVITO</v>
          </cell>
          <cell r="G1530" t="str">
            <v>GIL GARAVITO CLAUDIA PATRICIA</v>
          </cell>
          <cell r="H1530" t="str">
            <v>FUNC</v>
          </cell>
          <cell r="I1530" t="str">
            <v>FUNCIONARIO</v>
          </cell>
          <cell r="J1530" t="str">
            <v>ACUARELA CAMPO HERMOSO CA 6A</v>
          </cell>
          <cell r="K1530" t="str">
            <v>17001</v>
          </cell>
          <cell r="L1530" t="str">
            <v>MANIZALES</v>
          </cell>
          <cell r="M1530" t="str">
            <v>3127555064</v>
          </cell>
        </row>
        <row r="1531">
          <cell r="A1531">
            <v>24853609</v>
          </cell>
          <cell r="B1531" t="str">
            <v>2</v>
          </cell>
          <cell r="C1531" t="str">
            <v/>
          </cell>
          <cell r="D1531" t="str">
            <v>NP</v>
          </cell>
          <cell r="E1531" t="str">
            <v>JULIA ANDREA</v>
          </cell>
          <cell r="F1531" t="str">
            <v>CARDONA GIRALDO</v>
          </cell>
          <cell r="G1531" t="str">
            <v>CARDONA GIRALDO JULIA ANDREA</v>
          </cell>
          <cell r="H1531" t="str">
            <v>RESI</v>
          </cell>
          <cell r="I1531" t="str">
            <v>REGIMEN SIMPLIFICADO</v>
          </cell>
          <cell r="J1531" t="str">
            <v>KM 30 VIA MANIZALES ARAUCA</v>
          </cell>
          <cell r="K1531" t="str">
            <v>41530</v>
          </cell>
          <cell r="L1531" t="str">
            <v>PALESTINA</v>
          </cell>
          <cell r="M1531" t="str">
            <v>3113588461</v>
          </cell>
        </row>
        <row r="1532">
          <cell r="A1532">
            <v>24856438</v>
          </cell>
          <cell r="B1532" t="str">
            <v>3</v>
          </cell>
          <cell r="C1532" t="str">
            <v/>
          </cell>
          <cell r="D1532" t="str">
            <v>NP</v>
          </cell>
          <cell r="E1532" t="str">
            <v>ROSA JULIA</v>
          </cell>
          <cell r="F1532" t="str">
            <v>GIRALDO DE CARDONA</v>
          </cell>
          <cell r="G1532" t="str">
            <v>GIRALDO DE CARDONA ROSA JULIA</v>
          </cell>
          <cell r="H1532" t="str">
            <v>RESI</v>
          </cell>
          <cell r="I1532" t="str">
            <v>REGIMEN SIMPLIFICADO</v>
          </cell>
          <cell r="J1532" t="str">
            <v>KM 30 VTE MANIZALEZ ARAUCA SANTAGUEDA</v>
          </cell>
          <cell r="K1532" t="str">
            <v>17001</v>
          </cell>
          <cell r="L1532" t="str">
            <v>MANIZALES</v>
          </cell>
          <cell r="M1532" t="str">
            <v>3113588461</v>
          </cell>
        </row>
        <row r="1533">
          <cell r="A1533">
            <v>24865354</v>
          </cell>
          <cell r="B1533" t="str">
            <v>1</v>
          </cell>
          <cell r="C1533" t="str">
            <v/>
          </cell>
          <cell r="D1533" t="str">
            <v>NP</v>
          </cell>
          <cell r="E1533" t="str">
            <v xml:space="preserve">LIGIA </v>
          </cell>
          <cell r="F1533" t="str">
            <v>GONZALEZ HOYOS</v>
          </cell>
          <cell r="G1533" t="str">
            <v>LIGIA GONZALEZ HOYOS</v>
          </cell>
          <cell r="H1533" t="str">
            <v>RECO</v>
          </cell>
          <cell r="I1533" t="str">
            <v>REGIMEN COMUN</v>
          </cell>
          <cell r="J1533" t="str">
            <v xml:space="preserve">CR 23 N 64 B 33 TO GENSA        </v>
          </cell>
          <cell r="K1533" t="str">
            <v>17001</v>
          </cell>
          <cell r="L1533" t="str">
            <v>MANIZALES</v>
          </cell>
          <cell r="M1533" t="str">
            <v>8756262</v>
          </cell>
        </row>
        <row r="1534">
          <cell r="A1534">
            <v>24868603</v>
          </cell>
          <cell r="B1534" t="str">
            <v>4</v>
          </cell>
          <cell r="C1534" t="str">
            <v/>
          </cell>
          <cell r="D1534" t="str">
            <v>NP</v>
          </cell>
          <cell r="E1534" t="str">
            <v>SANDRA PATRICIA</v>
          </cell>
          <cell r="F1534" t="str">
            <v>RESTREPO TORO</v>
          </cell>
          <cell r="G1534" t="str">
            <v>RESTREPO TORO SANDRA PATRICIA</v>
          </cell>
          <cell r="H1534" t="str">
            <v>NORE</v>
          </cell>
          <cell r="I1534" t="str">
            <v>NO RESPONSABLE DE IVA</v>
          </cell>
          <cell r="J1534" t="str">
            <v xml:space="preserve"> CR 13 16 47 BRR CAMPO HERMOSO A  P 301</v>
          </cell>
          <cell r="K1534" t="str">
            <v>17001</v>
          </cell>
          <cell r="L1534" t="str">
            <v>MANIZALES</v>
          </cell>
          <cell r="M1534" t="str">
            <v>3183799175</v>
          </cell>
        </row>
        <row r="1535">
          <cell r="A1535">
            <v>24869297</v>
          </cell>
          <cell r="B1535" t="str">
            <v>8</v>
          </cell>
          <cell r="C1535" t="str">
            <v/>
          </cell>
          <cell r="D1535" t="str">
            <v>NP</v>
          </cell>
          <cell r="E1535" t="str">
            <v>GLORIA ESTELLA</v>
          </cell>
          <cell r="F1535" t="str">
            <v>ZULUAGA RAMIREZ</v>
          </cell>
          <cell r="G1535" t="str">
            <v>ZULUAGA RAMIREZ GLORIA ESTELLA</v>
          </cell>
          <cell r="H1535" t="str">
            <v>RCPN</v>
          </cell>
          <cell r="I1535" t="str">
            <v>RESPONSABLE IVA PERSONA NATURAL</v>
          </cell>
          <cell r="J1535" t="str">
            <v>CL 22  20 32</v>
          </cell>
          <cell r="K1535" t="str">
            <v>17001</v>
          </cell>
          <cell r="L1535" t="str">
            <v>MANIZALES</v>
          </cell>
          <cell r="M1535" t="str">
            <v>8824001</v>
          </cell>
        </row>
        <row r="1536">
          <cell r="A1536">
            <v>24870112</v>
          </cell>
          <cell r="B1536" t="str">
            <v/>
          </cell>
          <cell r="C1536" t="str">
            <v/>
          </cell>
          <cell r="D1536" t="str">
            <v>CC</v>
          </cell>
          <cell r="E1536" t="str">
            <v>DIANA LORENA</v>
          </cell>
          <cell r="F1536" t="str">
            <v>GOMEZ  ZULUAGA</v>
          </cell>
          <cell r="G1536" t="str">
            <v>GOMEZ  ZULUAGA DIANA LORENA</v>
          </cell>
          <cell r="H1536" t="str">
            <v>FUNC</v>
          </cell>
          <cell r="I1536" t="str">
            <v>FUNCIONARIO</v>
          </cell>
          <cell r="J1536" t="str">
            <v>CALLE 11 No 2B-13</v>
          </cell>
          <cell r="K1536" t="str">
            <v>17001</v>
          </cell>
          <cell r="L1536" t="str">
            <v>MANIZALES</v>
          </cell>
          <cell r="M1536" t="str">
            <v>3117700559</v>
          </cell>
        </row>
        <row r="1537">
          <cell r="A1537">
            <v>24875512</v>
          </cell>
          <cell r="B1537" t="str">
            <v>1</v>
          </cell>
          <cell r="C1537" t="str">
            <v/>
          </cell>
          <cell r="D1537" t="str">
            <v>NP</v>
          </cell>
          <cell r="E1537" t="str">
            <v>MARIA DISEIRA</v>
          </cell>
          <cell r="F1537" t="str">
            <v>SALAZAR ZULUAGA</v>
          </cell>
          <cell r="G1537" t="str">
            <v>SALAZAR ZULUAGA MARIA DISEIRA</v>
          </cell>
          <cell r="H1537" t="str">
            <v>RESI</v>
          </cell>
          <cell r="I1537" t="str">
            <v>REGIMEN SIMPLIFICADO</v>
          </cell>
          <cell r="J1537" t="str">
            <v>VDA LA SOLEDAD ALTA</v>
          </cell>
          <cell r="K1537" t="str">
            <v>17541</v>
          </cell>
          <cell r="L1537" t="str">
            <v>PENSILVANIA</v>
          </cell>
          <cell r="M1537" t="str">
            <v>3122885602</v>
          </cell>
        </row>
        <row r="1538">
          <cell r="A1538">
            <v>24941829</v>
          </cell>
          <cell r="B1538" t="str">
            <v>3</v>
          </cell>
          <cell r="C1538" t="str">
            <v/>
          </cell>
          <cell r="D1538" t="str">
            <v>NP</v>
          </cell>
          <cell r="E1538" t="str">
            <v>LAURA VICTORIA</v>
          </cell>
          <cell r="F1538" t="str">
            <v>MEJIA SERNA</v>
          </cell>
          <cell r="G1538" t="str">
            <v>LAURA VICTORIA MEJIA SERNA</v>
          </cell>
          <cell r="H1538" t="str">
            <v>RECO</v>
          </cell>
          <cell r="I1538" t="str">
            <v>REGIMEN COMUN</v>
          </cell>
          <cell r="J1538" t="str">
            <v xml:space="preserve">CR 23 N 64B 33                     </v>
          </cell>
          <cell r="K1538" t="str">
            <v>17001</v>
          </cell>
          <cell r="L1538" t="str">
            <v>MANIZALES</v>
          </cell>
          <cell r="M1538" t="str">
            <v>8756262</v>
          </cell>
        </row>
        <row r="1539">
          <cell r="A1539">
            <v>24952973</v>
          </cell>
          <cell r="B1539" t="str">
            <v>3</v>
          </cell>
          <cell r="C1539" t="str">
            <v/>
          </cell>
          <cell r="D1539" t="str">
            <v>NP</v>
          </cell>
          <cell r="E1539" t="str">
            <v>HILDA MARÍA</v>
          </cell>
          <cell r="F1539" t="str">
            <v>RESTREPO LICASALE</v>
          </cell>
          <cell r="G1539" t="str">
            <v>RESTREPO LICASALE HILDA MARÍA</v>
          </cell>
          <cell r="H1539" t="str">
            <v>NORE</v>
          </cell>
          <cell r="I1539" t="str">
            <v>NO RESPONSABLE DE IVA</v>
          </cell>
          <cell r="J1539" t="str">
            <v xml:space="preserve"> CR 6 17 21 AP 301 ED OBELISCO CENTRO</v>
          </cell>
          <cell r="K1539" t="str">
            <v>66001</v>
          </cell>
          <cell r="L1539" t="str">
            <v>PEREIRA</v>
          </cell>
          <cell r="M1539" t="str">
            <v>3154033804</v>
          </cell>
        </row>
        <row r="1540">
          <cell r="A1540">
            <v>25085791</v>
          </cell>
          <cell r="B1540" t="str">
            <v>3</v>
          </cell>
          <cell r="C1540" t="str">
            <v/>
          </cell>
          <cell r="D1540" t="str">
            <v>NP</v>
          </cell>
          <cell r="E1540" t="str">
            <v>MARIA ISABEL</v>
          </cell>
          <cell r="F1540" t="str">
            <v>CLAVIJO CLAVIJO</v>
          </cell>
          <cell r="G1540" t="str">
            <v>CLAVIJO CLAVIJO MARIA ISABEL</v>
          </cell>
          <cell r="H1540" t="str">
            <v>REOR</v>
          </cell>
          <cell r="I1540" t="str">
            <v>RENTA REGIMEN ORDINARIO</v>
          </cell>
          <cell r="J1540" t="str">
            <v>CL 7   9   09</v>
          </cell>
          <cell r="K1540" t="str">
            <v>17001</v>
          </cell>
          <cell r="L1540" t="str">
            <v>MANIZALES</v>
          </cell>
          <cell r="M1540" t="str">
            <v>8832733</v>
          </cell>
        </row>
        <row r="1541">
          <cell r="A1541">
            <v>25092425</v>
          </cell>
          <cell r="B1541" t="str">
            <v>1</v>
          </cell>
          <cell r="C1541" t="str">
            <v/>
          </cell>
          <cell r="D1541" t="str">
            <v>NP</v>
          </cell>
          <cell r="E1541" t="str">
            <v>HELENA DE LOS DOLORES</v>
          </cell>
          <cell r="F1541" t="str">
            <v>VELEZ DE DAVILA</v>
          </cell>
          <cell r="G1541" t="str">
            <v>VELEZ DE DAVILA HELENA DE LOS DOLORES</v>
          </cell>
          <cell r="H1541" t="str">
            <v>RESI</v>
          </cell>
          <cell r="I1541" t="str">
            <v>REGIMEN SIMPLIFICADO</v>
          </cell>
          <cell r="J1541" t="str">
            <v>CL 74 19 06</v>
          </cell>
          <cell r="K1541" t="str">
            <v>17001</v>
          </cell>
          <cell r="L1541" t="str">
            <v>MANIZALES</v>
          </cell>
          <cell r="M1541" t="str">
            <v>8864028</v>
          </cell>
        </row>
        <row r="1542">
          <cell r="A1542">
            <v>25093127</v>
          </cell>
          <cell r="B1542" t="str">
            <v>6</v>
          </cell>
          <cell r="C1542" t="str">
            <v/>
          </cell>
          <cell r="D1542" t="str">
            <v>NP</v>
          </cell>
          <cell r="E1542" t="str">
            <v xml:space="preserve">OMAIRA </v>
          </cell>
          <cell r="F1542" t="str">
            <v>CARDENAS SERNA</v>
          </cell>
          <cell r="G1542" t="str">
            <v>OMAIRA CARDENAS SERNA</v>
          </cell>
          <cell r="H1542" t="str">
            <v>RECO</v>
          </cell>
          <cell r="I1542" t="str">
            <v>REGIMEN COMUN</v>
          </cell>
          <cell r="J1542" t="str">
            <v xml:space="preserve">CR 23 N 64B 33                     </v>
          </cell>
          <cell r="K1542" t="str">
            <v>17001</v>
          </cell>
          <cell r="L1542" t="str">
            <v>MANIZALES</v>
          </cell>
          <cell r="M1542" t="str">
            <v>8756262</v>
          </cell>
        </row>
        <row r="1543">
          <cell r="A1543">
            <v>25098351</v>
          </cell>
          <cell r="B1543" t="str">
            <v/>
          </cell>
          <cell r="C1543" t="str">
            <v/>
          </cell>
          <cell r="D1543" t="str">
            <v>CC</v>
          </cell>
          <cell r="E1543" t="str">
            <v>FRANCIA ELENA</v>
          </cell>
          <cell r="F1543" t="str">
            <v>LOPEZ GALLEGO</v>
          </cell>
          <cell r="G1543" t="str">
            <v>LOPEZ GALLEGO FRANCIA ELENA</v>
          </cell>
          <cell r="H1543" t="str">
            <v>RECO</v>
          </cell>
          <cell r="I1543" t="str">
            <v>REGIMEN COMUN</v>
          </cell>
          <cell r="J1543" t="str">
            <v>CR 23 49 77 LC 13</v>
          </cell>
          <cell r="K1543" t="str">
            <v>17001</v>
          </cell>
          <cell r="L1543" t="str">
            <v>MANIZALES</v>
          </cell>
          <cell r="M1543" t="str">
            <v>8810125</v>
          </cell>
        </row>
        <row r="1544">
          <cell r="A1544">
            <v>25101005</v>
          </cell>
          <cell r="B1544" t="str">
            <v>1</v>
          </cell>
          <cell r="C1544" t="str">
            <v/>
          </cell>
          <cell r="D1544" t="str">
            <v>NP</v>
          </cell>
          <cell r="E1544" t="str">
            <v>YORLADY</v>
          </cell>
          <cell r="F1544" t="str">
            <v>OSPINA VALENCIA</v>
          </cell>
          <cell r="G1544" t="str">
            <v>OSPINA VALENCIA YORLADY</v>
          </cell>
          <cell r="H1544" t="str">
            <v>RESI</v>
          </cell>
          <cell r="I1544" t="str">
            <v>REGIMEN SIMPLIFICADO</v>
          </cell>
          <cell r="J1544" t="str">
            <v>CR 37 101 B 93</v>
          </cell>
          <cell r="K1544" t="str">
            <v>17001</v>
          </cell>
          <cell r="L1544" t="str">
            <v>MANIZALES</v>
          </cell>
          <cell r="M1544" t="str">
            <v>8741946</v>
          </cell>
        </row>
        <row r="1545">
          <cell r="A1545">
            <v>25108374</v>
          </cell>
          <cell r="B1545" t="str">
            <v/>
          </cell>
          <cell r="C1545" t="str">
            <v/>
          </cell>
          <cell r="D1545" t="str">
            <v>CC</v>
          </cell>
          <cell r="E1545" t="str">
            <v>GLORIA ELIZABEL</v>
          </cell>
          <cell r="F1545" t="str">
            <v>CUARTAS MARIN</v>
          </cell>
          <cell r="G1545" t="str">
            <v>CUARTAS MARIN GLORIA ELIZABEL</v>
          </cell>
          <cell r="H1545" t="str">
            <v>FUNC</v>
          </cell>
          <cell r="I1545" t="str">
            <v>FUNCIONARIO</v>
          </cell>
          <cell r="J1545" t="str">
            <v xml:space="preserve"> CL 43 N 1 348 CONJ TERRANOVA CA 127</v>
          </cell>
          <cell r="K1545" t="str">
            <v>17873</v>
          </cell>
          <cell r="L1545" t="str">
            <v>VILLAMARÍA</v>
          </cell>
          <cell r="M1545" t="str">
            <v>3127743606</v>
          </cell>
        </row>
        <row r="1546">
          <cell r="A1546">
            <v>25126589</v>
          </cell>
          <cell r="B1546" t="str">
            <v>9</v>
          </cell>
          <cell r="C1546" t="str">
            <v/>
          </cell>
          <cell r="D1546" t="str">
            <v>NP</v>
          </cell>
          <cell r="E1546" t="str">
            <v>SORANNY</v>
          </cell>
          <cell r="F1546" t="str">
            <v>GOMEZ VALENCIA</v>
          </cell>
          <cell r="G1546" t="str">
            <v>GOMEZ VALENCIA SORANNY</v>
          </cell>
          <cell r="H1546" t="str">
            <v>RESI</v>
          </cell>
          <cell r="I1546" t="str">
            <v>REGIMEN SIMPLIFICADO</v>
          </cell>
          <cell r="J1546" t="str">
            <v>VRD PLANES MIRADOR  3</v>
          </cell>
          <cell r="K1546" t="str">
            <v>17495</v>
          </cell>
          <cell r="L1546" t="str">
            <v>NORCASIA</v>
          </cell>
          <cell r="M1546" t="str">
            <v>3113217540</v>
          </cell>
        </row>
        <row r="1547">
          <cell r="A1547">
            <v>25136002</v>
          </cell>
          <cell r="B1547" t="str">
            <v/>
          </cell>
          <cell r="C1547" t="str">
            <v/>
          </cell>
          <cell r="D1547" t="str">
            <v>CC</v>
          </cell>
          <cell r="E1547" t="str">
            <v>LIGIA</v>
          </cell>
          <cell r="F1547" t="str">
            <v>HERRERA MARIN</v>
          </cell>
          <cell r="G1547" t="str">
            <v>HERRERA MARIN LIGIA</v>
          </cell>
          <cell r="H1547" t="str">
            <v>RESI</v>
          </cell>
          <cell r="I1547" t="str">
            <v>REGIMEN SIMPLIFICADO</v>
          </cell>
          <cell r="J1547" t="str">
            <v>VRD</v>
          </cell>
          <cell r="K1547" t="str">
            <v>17001</v>
          </cell>
          <cell r="L1547" t="str">
            <v>MANIZALES</v>
          </cell>
          <cell r="M1547" t="str">
            <v>3235289874</v>
          </cell>
        </row>
        <row r="1548">
          <cell r="A1548">
            <v>25137710</v>
          </cell>
          <cell r="B1548" t="str">
            <v>1</v>
          </cell>
          <cell r="C1548" t="str">
            <v/>
          </cell>
          <cell r="D1548" t="str">
            <v>NP</v>
          </cell>
          <cell r="E1548" t="str">
            <v>MARIA GRACIELA</v>
          </cell>
          <cell r="F1548" t="str">
            <v>RUIS DE RUIZ</v>
          </cell>
          <cell r="G1548" t="str">
            <v>RUIZ DE RUIZ MARIA GRACIELA</v>
          </cell>
          <cell r="H1548" t="str">
            <v>RESI</v>
          </cell>
          <cell r="I1548" t="str">
            <v>REGIMEN SIMPLIFICADO</v>
          </cell>
          <cell r="J1548" t="str">
            <v>FLORENCIA SAMANA</v>
          </cell>
          <cell r="K1548" t="str">
            <v>17662</v>
          </cell>
          <cell r="L1548" t="str">
            <v>SAMANÁ</v>
          </cell>
          <cell r="M1548" t="str">
            <v>3105202009</v>
          </cell>
        </row>
        <row r="1549">
          <cell r="A1549">
            <v>25140757</v>
          </cell>
          <cell r="B1549" t="str">
            <v>8</v>
          </cell>
          <cell r="C1549" t="str">
            <v/>
          </cell>
          <cell r="D1549" t="str">
            <v>NP</v>
          </cell>
          <cell r="E1549" t="str">
            <v>MARIA ESMERY</v>
          </cell>
          <cell r="F1549" t="str">
            <v>ARCILA DE HENAO</v>
          </cell>
          <cell r="G1549" t="str">
            <v>ARCILA DE HENAO MARIA ESMERY</v>
          </cell>
          <cell r="H1549" t="str">
            <v>RESI</v>
          </cell>
          <cell r="I1549" t="str">
            <v>REGIMEN SIMPLIFICADO</v>
          </cell>
          <cell r="J1549" t="str">
            <v>CORR SAN DIEGO BRR VENECIA</v>
          </cell>
          <cell r="K1549" t="str">
            <v>17662</v>
          </cell>
          <cell r="L1549" t="str">
            <v>SAMANÁ</v>
          </cell>
          <cell r="M1549" t="str">
            <v>3204205956</v>
          </cell>
        </row>
        <row r="1550">
          <cell r="A1550">
            <v>25159335</v>
          </cell>
          <cell r="B1550" t="str">
            <v>7</v>
          </cell>
          <cell r="C1550" t="str">
            <v/>
          </cell>
          <cell r="D1550" t="str">
            <v>NP</v>
          </cell>
          <cell r="E1550" t="str">
            <v>ADRIANA DEL PILAR</v>
          </cell>
          <cell r="F1550" t="str">
            <v>OSPINA MAYA</v>
          </cell>
          <cell r="G1550" t="str">
            <v>OSPINA MAYA ADRIANA DEL PILAR</v>
          </cell>
          <cell r="H1550" t="str">
            <v>RESI</v>
          </cell>
          <cell r="I1550" t="str">
            <v>REGIMEN SIMPLIFICADO</v>
          </cell>
          <cell r="J1550" t="str">
            <v>CR 16 A 71 14 BRR COLSEGUROS</v>
          </cell>
          <cell r="K1550" t="str">
            <v>17001</v>
          </cell>
          <cell r="L1550" t="str">
            <v>MANIZALES</v>
          </cell>
          <cell r="M1550" t="str">
            <v>3128063613</v>
          </cell>
        </row>
        <row r="1551">
          <cell r="A1551">
            <v>25221321</v>
          </cell>
          <cell r="B1551" t="str">
            <v/>
          </cell>
          <cell r="C1551" t="str">
            <v/>
          </cell>
          <cell r="D1551" t="str">
            <v>CC</v>
          </cell>
          <cell r="E1551" t="str">
            <v>ANA DORIS</v>
          </cell>
          <cell r="F1551" t="str">
            <v>HENAO RAMIREZ</v>
          </cell>
          <cell r="G1551" t="str">
            <v>HENAO RAMIREZ ANA DORIS</v>
          </cell>
          <cell r="H1551" t="str">
            <v>FUNC</v>
          </cell>
          <cell r="I1551" t="str">
            <v>FUNCIONARIO</v>
          </cell>
          <cell r="J1551" t="str">
            <v>CALLE 53 SUR 79C 06 INT 1 APTO 302</v>
          </cell>
          <cell r="K1551" t="str">
            <v>11001</v>
          </cell>
          <cell r="L1551" t="str">
            <v>BOGOTA DC</v>
          </cell>
          <cell r="M1551" t="str">
            <v>3114422092</v>
          </cell>
        </row>
        <row r="1552">
          <cell r="A1552">
            <v>25221357</v>
          </cell>
          <cell r="B1552" t="str">
            <v>3</v>
          </cell>
          <cell r="C1552" t="str">
            <v/>
          </cell>
          <cell r="D1552" t="str">
            <v>NP</v>
          </cell>
          <cell r="E1552" t="str">
            <v>CLAUDIA LILIANA</v>
          </cell>
          <cell r="F1552" t="str">
            <v>MEDINA MORENO</v>
          </cell>
          <cell r="G1552" t="str">
            <v>MEDINA MORENO CLAUDIA LILIANA</v>
          </cell>
          <cell r="H1552" t="str">
            <v>RESI</v>
          </cell>
          <cell r="I1552" t="str">
            <v>REGIMEN SIMPLIFICADO</v>
          </cell>
          <cell r="J1552" t="str">
            <v>CR 6  8  22</v>
          </cell>
          <cell r="K1552" t="str">
            <v>17867</v>
          </cell>
          <cell r="L1552" t="str">
            <v>VICTORIA</v>
          </cell>
          <cell r="M1552" t="str">
            <v>3148879885</v>
          </cell>
        </row>
        <row r="1553">
          <cell r="A1553">
            <v>25233181</v>
          </cell>
          <cell r="B1553" t="str">
            <v>6</v>
          </cell>
          <cell r="C1553" t="str">
            <v/>
          </cell>
          <cell r="D1553" t="str">
            <v>NP</v>
          </cell>
          <cell r="E1553" t="str">
            <v>INDIRA ELEONORA</v>
          </cell>
          <cell r="F1553" t="str">
            <v>MAHE FRANCO</v>
          </cell>
          <cell r="G1553" t="str">
            <v>MAHE FRANCO INDIRA ELEONORA</v>
          </cell>
          <cell r="H1553" t="str">
            <v>RESI</v>
          </cell>
          <cell r="I1553" t="str">
            <v>REGIMEN SIMPLIFICADO</v>
          </cell>
          <cell r="J1553" t="str">
            <v>CR 23 51  79 LC 3</v>
          </cell>
          <cell r="K1553" t="str">
            <v>17001</v>
          </cell>
          <cell r="L1553" t="str">
            <v>MANIZALES</v>
          </cell>
          <cell r="M1553" t="str">
            <v>8853545</v>
          </cell>
        </row>
        <row r="1554">
          <cell r="A1554">
            <v>25233443</v>
          </cell>
          <cell r="B1554" t="str">
            <v>0</v>
          </cell>
          <cell r="C1554" t="str">
            <v/>
          </cell>
          <cell r="D1554" t="str">
            <v>NP</v>
          </cell>
          <cell r="E1554" t="str">
            <v>SANDRA LILIANA</v>
          </cell>
          <cell r="F1554" t="str">
            <v>ROSERO GIRALDO</v>
          </cell>
          <cell r="G1554" t="str">
            <v>ROSERO GIRALDO SANDRA LILIANA</v>
          </cell>
          <cell r="H1554" t="str">
            <v>RECO</v>
          </cell>
          <cell r="I1554" t="str">
            <v>REGIMEN COMUN</v>
          </cell>
          <cell r="J1554" t="str">
            <v>CL 62 23 61 OF 305</v>
          </cell>
          <cell r="K1554" t="str">
            <v>17001</v>
          </cell>
          <cell r="L1554" t="str">
            <v>MANIZALES</v>
          </cell>
          <cell r="M1554" t="str">
            <v>8862161</v>
          </cell>
        </row>
        <row r="1555">
          <cell r="A1555">
            <v>25244221</v>
          </cell>
          <cell r="B1555" t="str">
            <v>1</v>
          </cell>
          <cell r="C1555" t="str">
            <v/>
          </cell>
          <cell r="D1555" t="str">
            <v>NP</v>
          </cell>
          <cell r="E1555" t="str">
            <v>MARIA RUBIELA</v>
          </cell>
          <cell r="F1555" t="str">
            <v>GARCIA PRECIADO</v>
          </cell>
          <cell r="G1555" t="str">
            <v>GARCIA PRECIADO MARIA RUBIELA</v>
          </cell>
          <cell r="H1555" t="str">
            <v>REOR</v>
          </cell>
          <cell r="I1555" t="str">
            <v>RENTA REGIMEN ORDINARIO</v>
          </cell>
          <cell r="J1555" t="str">
            <v>CR 13 A   16   21 AP 504</v>
          </cell>
          <cell r="K1555" t="str">
            <v>17001</v>
          </cell>
          <cell r="L1555" t="str">
            <v>MANIZALES</v>
          </cell>
          <cell r="M1555" t="str">
            <v>8909664</v>
          </cell>
        </row>
        <row r="1556">
          <cell r="A1556">
            <v>25248426</v>
          </cell>
          <cell r="B1556" t="str">
            <v>0</v>
          </cell>
          <cell r="C1556" t="str">
            <v/>
          </cell>
          <cell r="D1556" t="str">
            <v>NP</v>
          </cell>
          <cell r="E1556" t="str">
            <v>MARTHA LUCIA</v>
          </cell>
          <cell r="F1556" t="str">
            <v>GARCIA HINCAPIE</v>
          </cell>
          <cell r="G1556" t="str">
            <v>GARCIA HINCAPIE MARTHA LUCIA</v>
          </cell>
          <cell r="H1556" t="str">
            <v>RESI</v>
          </cell>
          <cell r="I1556" t="str">
            <v>REGIMEN SIMPLIFICADO</v>
          </cell>
          <cell r="J1556" t="str">
            <v>MZ 37 CA 33 BRR POBLADO II</v>
          </cell>
          <cell r="K1556" t="str">
            <v>66001</v>
          </cell>
          <cell r="L1556" t="str">
            <v>PEREIRA</v>
          </cell>
          <cell r="M1556" t="str">
            <v>3454260</v>
          </cell>
        </row>
        <row r="1557">
          <cell r="A1557">
            <v>25248432</v>
          </cell>
          <cell r="B1557" t="str">
            <v/>
          </cell>
          <cell r="C1557" t="str">
            <v/>
          </cell>
          <cell r="D1557" t="str">
            <v>CC</v>
          </cell>
          <cell r="E1557" t="str">
            <v>LINA MARIA</v>
          </cell>
          <cell r="F1557" t="str">
            <v>MONTOYA RAMIREZ</v>
          </cell>
          <cell r="G1557" t="str">
            <v>MONTOYA RAMIREZ LINA MARIA</v>
          </cell>
          <cell r="H1557" t="str">
            <v>RECO</v>
          </cell>
          <cell r="I1557" t="str">
            <v>REGIMEN COMUN</v>
          </cell>
          <cell r="J1557" t="str">
            <v>CR 13 N 342 B G BRR BELMONTE</v>
          </cell>
          <cell r="K1557" t="str">
            <v>17001</v>
          </cell>
          <cell r="L1557" t="str">
            <v>MANIZALES</v>
          </cell>
          <cell r="M1557" t="str">
            <v>3347549</v>
          </cell>
        </row>
        <row r="1558">
          <cell r="A1558">
            <v>25248688</v>
          </cell>
          <cell r="B1558" t="str">
            <v>3</v>
          </cell>
          <cell r="C1558" t="str">
            <v/>
          </cell>
          <cell r="D1558" t="str">
            <v>NP</v>
          </cell>
          <cell r="E1558" t="str">
            <v>GLORIA ANDREA</v>
          </cell>
          <cell r="F1558" t="str">
            <v>LOPEZ ESCOBAR</v>
          </cell>
          <cell r="G1558" t="str">
            <v>LOPEZ ESCOBAR GLORIA ANDREA</v>
          </cell>
          <cell r="H1558" t="str">
            <v>RESI</v>
          </cell>
          <cell r="I1558" t="str">
            <v>REGIMEN SIMPLIFICADO</v>
          </cell>
          <cell r="J1558" t="str">
            <v>CL 8 A   12   14</v>
          </cell>
          <cell r="K1558" t="str">
            <v>17877</v>
          </cell>
          <cell r="L1558" t="str">
            <v>VITERBO</v>
          </cell>
          <cell r="M1558" t="str">
            <v>8690921</v>
          </cell>
        </row>
        <row r="1559">
          <cell r="A1559">
            <v>25312924</v>
          </cell>
          <cell r="B1559" t="str">
            <v>0</v>
          </cell>
          <cell r="C1559" t="str">
            <v/>
          </cell>
          <cell r="D1559" t="str">
            <v>NP</v>
          </cell>
          <cell r="E1559" t="str">
            <v xml:space="preserve">EVITA </v>
          </cell>
          <cell r="F1559" t="str">
            <v>ARANGO DE PAREJA</v>
          </cell>
          <cell r="G1559" t="str">
            <v>EVITA ARANGO DE PAREJA</v>
          </cell>
          <cell r="H1559" t="str">
            <v>RECO</v>
          </cell>
          <cell r="I1559" t="str">
            <v>REGIMEN COMUN</v>
          </cell>
          <cell r="J1559" t="str">
            <v xml:space="preserve">CR 23N 64 B33                           </v>
          </cell>
          <cell r="K1559" t="str">
            <v>17001</v>
          </cell>
          <cell r="L1559" t="str">
            <v>MANIZALES</v>
          </cell>
          <cell r="M1559" t="str">
            <v>8756262</v>
          </cell>
        </row>
        <row r="1560">
          <cell r="A1560">
            <v>25434831</v>
          </cell>
          <cell r="B1560" t="str">
            <v/>
          </cell>
          <cell r="C1560" t="str">
            <v/>
          </cell>
          <cell r="D1560" t="str">
            <v>CC</v>
          </cell>
          <cell r="E1560" t="str">
            <v>NIMIA MARIA</v>
          </cell>
          <cell r="F1560" t="str">
            <v>TORRES GUERRERO</v>
          </cell>
          <cell r="G1560" t="str">
            <v>TORRES GUERRERO NIMIA MARIA</v>
          </cell>
          <cell r="H1560" t="str">
            <v>RESI</v>
          </cell>
          <cell r="I1560" t="str">
            <v>REGIMEN SIMPLIFICADO</v>
          </cell>
          <cell r="J1560" t="str">
            <v>CR 2 N 7-42</v>
          </cell>
          <cell r="K1560" t="str">
            <v>17001</v>
          </cell>
          <cell r="L1560" t="str">
            <v>MANIZALES</v>
          </cell>
          <cell r="M1560" t="str">
            <v>3146611827</v>
          </cell>
        </row>
        <row r="1561">
          <cell r="A1561">
            <v>25592914</v>
          </cell>
          <cell r="B1561" t="str">
            <v>7</v>
          </cell>
          <cell r="C1561" t="str">
            <v/>
          </cell>
          <cell r="D1561" t="str">
            <v>NP</v>
          </cell>
          <cell r="E1561" t="str">
            <v>LUZ AIDA</v>
          </cell>
          <cell r="F1561" t="str">
            <v>BOTINA</v>
          </cell>
          <cell r="G1561" t="str">
            <v>BOTINA LUZ AIDA</v>
          </cell>
          <cell r="H1561" t="str">
            <v>RECO</v>
          </cell>
          <cell r="I1561" t="str">
            <v>REGIMEN COMUN</v>
          </cell>
          <cell r="J1561" t="str">
            <v>KM 6 NOMBRE VIA VTE CERRITOS</v>
          </cell>
          <cell r="K1561" t="str">
            <v>17001</v>
          </cell>
          <cell r="L1561" t="str">
            <v>MANIZALES</v>
          </cell>
          <cell r="M1561" t="str">
            <v>3279051</v>
          </cell>
        </row>
        <row r="1562">
          <cell r="A1562">
            <v>25718265</v>
          </cell>
          <cell r="B1562" t="str">
            <v>9</v>
          </cell>
          <cell r="C1562" t="str">
            <v/>
          </cell>
          <cell r="D1562" t="str">
            <v>NP</v>
          </cell>
          <cell r="E1562" t="str">
            <v>LUZ BEATRIZ</v>
          </cell>
          <cell r="F1562" t="str">
            <v>BONILLA RUIZ</v>
          </cell>
          <cell r="G1562" t="str">
            <v>BONILLA RUIZ LUZ BEATRIZ</v>
          </cell>
          <cell r="H1562" t="str">
            <v>NORE</v>
          </cell>
          <cell r="I1562" t="str">
            <v>NO RESPONSABLE DE IVA</v>
          </cell>
          <cell r="J1562" t="str">
            <v>CR 3 CL 2 BRR EL PUEBLITO</v>
          </cell>
          <cell r="K1562" t="str">
            <v>19318</v>
          </cell>
          <cell r="L1562" t="str">
            <v>GUAPI</v>
          </cell>
          <cell r="M1562" t="str">
            <v>3108450355</v>
          </cell>
        </row>
        <row r="1563">
          <cell r="A1563">
            <v>26259488</v>
          </cell>
          <cell r="B1563" t="str">
            <v>8</v>
          </cell>
          <cell r="C1563" t="str">
            <v/>
          </cell>
          <cell r="D1563" t="str">
            <v>NP</v>
          </cell>
          <cell r="E1563" t="str">
            <v>PETRONA</v>
          </cell>
          <cell r="F1563" t="str">
            <v>CORDOBA M</v>
          </cell>
          <cell r="G1563" t="str">
            <v>CORDOBA M PETRONA</v>
          </cell>
          <cell r="H1563" t="str">
            <v>RECO</v>
          </cell>
          <cell r="I1563" t="str">
            <v>REGIMEN COMUN</v>
          </cell>
          <cell r="J1563" t="str">
            <v>AEROPUERTO OLAYA HERRERA</v>
          </cell>
          <cell r="K1563" t="str">
            <v>05001</v>
          </cell>
          <cell r="L1563" t="str">
            <v>MEDELLÍN</v>
          </cell>
          <cell r="M1563" t="str">
            <v>3122238459</v>
          </cell>
        </row>
        <row r="1564">
          <cell r="A1564">
            <v>26366455</v>
          </cell>
          <cell r="B1564" t="str">
            <v>3</v>
          </cell>
          <cell r="C1564" t="str">
            <v/>
          </cell>
          <cell r="D1564" t="str">
            <v>NP</v>
          </cell>
          <cell r="E1564" t="str">
            <v>OLGA DE JESUS</v>
          </cell>
          <cell r="F1564" t="str">
            <v>SANCHEZ GUZMAN</v>
          </cell>
          <cell r="G1564" t="str">
            <v>SANCHEZ GUZMAN OLGA DE JESUS</v>
          </cell>
          <cell r="H1564" t="str">
            <v>RESI</v>
          </cell>
          <cell r="I1564" t="str">
            <v>REGIMEN SIMPLIFICADO</v>
          </cell>
          <cell r="J1564" t="str">
            <v>BRR PANQUIACO</v>
          </cell>
          <cell r="K1564" t="str">
            <v>27075</v>
          </cell>
          <cell r="L1564" t="str">
            <v>BAHÍA SOLANO</v>
          </cell>
          <cell r="M1564" t="str">
            <v>946827432</v>
          </cell>
        </row>
        <row r="1565">
          <cell r="A1565">
            <v>26366494</v>
          </cell>
          <cell r="B1565" t="str">
            <v>0</v>
          </cell>
          <cell r="C1565" t="str">
            <v/>
          </cell>
          <cell r="D1565" t="str">
            <v>NP</v>
          </cell>
          <cell r="E1565" t="str">
            <v>MARY</v>
          </cell>
          <cell r="F1565" t="str">
            <v>VIDAL ROJAS</v>
          </cell>
          <cell r="G1565" t="str">
            <v>VIDAL ROJAS MARY</v>
          </cell>
          <cell r="H1565" t="str">
            <v>NORE</v>
          </cell>
          <cell r="I1565" t="str">
            <v>NO RESPONSABLE DE IVA</v>
          </cell>
          <cell r="J1565" t="str">
            <v>BRR PANQUIACO FERRETERIA CUATRO ESQUINA</v>
          </cell>
          <cell r="K1565" t="str">
            <v>27075</v>
          </cell>
          <cell r="L1565" t="str">
            <v>BAHÍA SOLANO</v>
          </cell>
          <cell r="M1565" t="str">
            <v>946827229</v>
          </cell>
        </row>
        <row r="1566">
          <cell r="A1566">
            <v>26366705</v>
          </cell>
          <cell r="B1566" t="str">
            <v>1</v>
          </cell>
          <cell r="C1566" t="str">
            <v/>
          </cell>
          <cell r="D1566" t="str">
            <v>NP</v>
          </cell>
          <cell r="E1566" t="str">
            <v>BETSY</v>
          </cell>
          <cell r="F1566" t="str">
            <v>GONZALEZ GUTIERREZ</v>
          </cell>
          <cell r="G1566" t="str">
            <v>GONZALEZ GUTIERREZ BETSY</v>
          </cell>
          <cell r="H1566" t="str">
            <v>RESI</v>
          </cell>
          <cell r="I1566" t="str">
            <v>REGIMEN SIMPLIFICADO</v>
          </cell>
          <cell r="J1566" t="str">
            <v>BRR EL CARMEN</v>
          </cell>
          <cell r="K1566" t="str">
            <v>27075</v>
          </cell>
          <cell r="L1566" t="str">
            <v>BAHÍA SOLANO</v>
          </cell>
          <cell r="M1566" t="str">
            <v>3105377816</v>
          </cell>
        </row>
        <row r="1567">
          <cell r="A1567">
            <v>26366902</v>
          </cell>
          <cell r="B1567" t="str">
            <v/>
          </cell>
          <cell r="C1567" t="str">
            <v/>
          </cell>
          <cell r="D1567" t="str">
            <v>CC</v>
          </cell>
          <cell r="E1567" t="str">
            <v>SABINA</v>
          </cell>
          <cell r="F1567" t="str">
            <v>GIRON RUIZ</v>
          </cell>
          <cell r="G1567" t="str">
            <v>GIRON RUIZ SABINA</v>
          </cell>
          <cell r="H1567" t="str">
            <v>FUNC</v>
          </cell>
          <cell r="I1567" t="str">
            <v>FUNCIONARIO</v>
          </cell>
          <cell r="J1567" t="str">
            <v>NUEVO CUPICA</v>
          </cell>
          <cell r="K1567" t="str">
            <v>17001</v>
          </cell>
          <cell r="L1567" t="str">
            <v>MANIZALES</v>
          </cell>
          <cell r="M1567" t="str">
            <v>0</v>
          </cell>
        </row>
        <row r="1568">
          <cell r="A1568">
            <v>26366926</v>
          </cell>
          <cell r="B1568" t="str">
            <v/>
          </cell>
          <cell r="C1568" t="str">
            <v/>
          </cell>
          <cell r="D1568" t="str">
            <v>CC</v>
          </cell>
          <cell r="E1568" t="str">
            <v>LAURA ENITH</v>
          </cell>
          <cell r="F1568" t="str">
            <v>FLOREZ BERMUDEZ</v>
          </cell>
          <cell r="G1568" t="str">
            <v>FLOREZ BERMUDEZ LAURA ENITH</v>
          </cell>
          <cell r="H1568" t="str">
            <v>FUNC</v>
          </cell>
          <cell r="I1568" t="str">
            <v>FUNCIONARIO</v>
          </cell>
          <cell r="J1568" t="str">
            <v>MCP BAHIA SOLANO</v>
          </cell>
          <cell r="K1568" t="str">
            <v>27075</v>
          </cell>
          <cell r="L1568" t="str">
            <v>BAHÍA SOLANO</v>
          </cell>
          <cell r="M1568" t="str">
            <v>0</v>
          </cell>
        </row>
        <row r="1569">
          <cell r="A1569">
            <v>26367118</v>
          </cell>
          <cell r="B1569" t="str">
            <v/>
          </cell>
          <cell r="C1569" t="str">
            <v/>
          </cell>
          <cell r="D1569" t="str">
            <v>CC</v>
          </cell>
          <cell r="E1569" t="str">
            <v>LEIDER EDILSAN</v>
          </cell>
          <cell r="F1569" t="str">
            <v>ESCUDERO SALGADO</v>
          </cell>
          <cell r="G1569" t="str">
            <v>ESCUDERO SALGADO LEIDER EDILSAN</v>
          </cell>
          <cell r="H1569" t="str">
            <v>FUNC</v>
          </cell>
          <cell r="I1569" t="str">
            <v>FUNCIONARIO</v>
          </cell>
          <cell r="J1569" t="str">
            <v>BRR LA FLORESTA</v>
          </cell>
          <cell r="K1569" t="str">
            <v>17001</v>
          </cell>
          <cell r="L1569" t="str">
            <v>MANIZALES</v>
          </cell>
          <cell r="M1569" t="str">
            <v>3218452749</v>
          </cell>
        </row>
        <row r="1570">
          <cell r="A1570">
            <v>26367230</v>
          </cell>
          <cell r="B1570" t="str">
            <v/>
          </cell>
          <cell r="C1570" t="str">
            <v/>
          </cell>
          <cell r="D1570" t="str">
            <v>CC</v>
          </cell>
          <cell r="E1570" t="str">
            <v>DIANA LEIDIS</v>
          </cell>
          <cell r="F1570" t="str">
            <v>CAMPIÑO VALOIS</v>
          </cell>
          <cell r="G1570" t="str">
            <v>CAMPIÑO VALOIS DIANA LEIDIS</v>
          </cell>
          <cell r="H1570" t="str">
            <v>FUNC</v>
          </cell>
          <cell r="I1570" t="str">
            <v>FUNCIONARIO</v>
          </cell>
          <cell r="J1570" t="str">
            <v>BRR BRISAS</v>
          </cell>
          <cell r="K1570" t="str">
            <v>27075</v>
          </cell>
          <cell r="L1570" t="str">
            <v>BAHÍA SOLANO</v>
          </cell>
          <cell r="M1570" t="str">
            <v>3113084312</v>
          </cell>
        </row>
        <row r="1571">
          <cell r="A1571">
            <v>26367241</v>
          </cell>
          <cell r="B1571" t="str">
            <v>9</v>
          </cell>
          <cell r="C1571" t="str">
            <v/>
          </cell>
          <cell r="D1571" t="str">
            <v>NP</v>
          </cell>
          <cell r="E1571" t="str">
            <v>KAREN IRINA</v>
          </cell>
          <cell r="F1571" t="str">
            <v>VALOYES CORDOBA</v>
          </cell>
          <cell r="G1571" t="str">
            <v>VALOYES CORDOBA KAREN IRINA</v>
          </cell>
          <cell r="H1571" t="str">
            <v>REOR</v>
          </cell>
          <cell r="I1571" t="str">
            <v>RENTA REGIMEN ORDINARIO</v>
          </cell>
          <cell r="J1571" t="str">
            <v>BRR FILLO CASTRO</v>
          </cell>
          <cell r="K1571" t="str">
            <v>27075</v>
          </cell>
          <cell r="L1571" t="str">
            <v>BAHÍA SOLANO</v>
          </cell>
          <cell r="M1571" t="str">
            <v>3104279269</v>
          </cell>
        </row>
        <row r="1572">
          <cell r="A1572">
            <v>26371496</v>
          </cell>
          <cell r="B1572" t="str">
            <v/>
          </cell>
          <cell r="C1572" t="str">
            <v/>
          </cell>
          <cell r="D1572" t="str">
            <v>CC</v>
          </cell>
          <cell r="E1572" t="str">
            <v>BEATRIZ HELENA</v>
          </cell>
          <cell r="F1572" t="str">
            <v>PINILLA CHAVERRA</v>
          </cell>
          <cell r="G1572" t="str">
            <v>PINILLA CHAVERRA BEATRIZ HELENA</v>
          </cell>
          <cell r="H1572" t="str">
            <v>FUNC</v>
          </cell>
          <cell r="I1572" t="str">
            <v>FUNCIONARIO</v>
          </cell>
          <cell r="J1572" t="str">
            <v>BRR BUENOS AIRES</v>
          </cell>
          <cell r="K1572" t="str">
            <v>27075</v>
          </cell>
          <cell r="L1572" t="str">
            <v>BAHÍA SOLANO</v>
          </cell>
          <cell r="M1572" t="str">
            <v>3207468298</v>
          </cell>
        </row>
        <row r="1573">
          <cell r="A1573">
            <v>26372892</v>
          </cell>
          <cell r="B1573" t="str">
            <v/>
          </cell>
          <cell r="C1573" t="str">
            <v/>
          </cell>
          <cell r="D1573" t="str">
            <v>CC</v>
          </cell>
          <cell r="E1573" t="str">
            <v>MARIA DEL CARMEN</v>
          </cell>
          <cell r="F1573" t="str">
            <v>PALACIO JAVE</v>
          </cell>
          <cell r="G1573" t="str">
            <v>PALACIO JAVE MARIA DEL CARMEN</v>
          </cell>
          <cell r="H1573" t="str">
            <v>FUNC</v>
          </cell>
          <cell r="I1573" t="str">
            <v>FUNCIONARIO</v>
          </cell>
          <cell r="J1573" t="str">
            <v xml:space="preserve">  BRR BUENOS AIRES (CORREGIMIENTO EL VALLE)</v>
          </cell>
          <cell r="K1573" t="str">
            <v>27075</v>
          </cell>
          <cell r="L1573" t="str">
            <v>BAHÍA SOLANO</v>
          </cell>
          <cell r="M1573" t="str">
            <v>3146644826</v>
          </cell>
        </row>
        <row r="1574">
          <cell r="A1574">
            <v>26372911</v>
          </cell>
          <cell r="B1574" t="str">
            <v>5</v>
          </cell>
          <cell r="C1574" t="str">
            <v/>
          </cell>
          <cell r="D1574" t="str">
            <v>NP</v>
          </cell>
          <cell r="E1574" t="str">
            <v>JANETH OLIVIA</v>
          </cell>
          <cell r="F1574" t="str">
            <v>MOSQUERA MORENO</v>
          </cell>
          <cell r="G1574" t="str">
            <v>MOSQUERA MORENO JANETH OLIVIA</v>
          </cell>
          <cell r="H1574" t="str">
            <v>IMVE</v>
          </cell>
          <cell r="I1574" t="str">
            <v>IMPUESTO SOBRE LAS VENTAS</v>
          </cell>
          <cell r="J1574" t="str">
            <v>BRR SAN RAFAEL C EL VALLE</v>
          </cell>
          <cell r="K1574" t="str">
            <v>27075</v>
          </cell>
          <cell r="L1574" t="str">
            <v>BAHÍA SOLANO</v>
          </cell>
          <cell r="M1574" t="str">
            <v>3104720114</v>
          </cell>
        </row>
        <row r="1575">
          <cell r="A1575">
            <v>26373005</v>
          </cell>
          <cell r="B1575" t="str">
            <v/>
          </cell>
          <cell r="C1575" t="str">
            <v/>
          </cell>
          <cell r="D1575" t="str">
            <v>CC</v>
          </cell>
          <cell r="E1575" t="str">
            <v>LUZ DARI</v>
          </cell>
          <cell r="F1575" t="str">
            <v>BERMUDEZ ANDRADE</v>
          </cell>
          <cell r="G1575" t="str">
            <v>BERMUDEZ ANDRADE LUZ DARI</v>
          </cell>
          <cell r="H1575" t="str">
            <v>FUNC</v>
          </cell>
          <cell r="I1575" t="str">
            <v>FUNCIONARIO</v>
          </cell>
          <cell r="J1575" t="str">
            <v>BRR EL VALLE MARIA AUXILIADORA</v>
          </cell>
          <cell r="K1575" t="str">
            <v>27075</v>
          </cell>
          <cell r="L1575" t="str">
            <v>BAHÍA SOLANO</v>
          </cell>
          <cell r="M1575" t="str">
            <v>3105775037</v>
          </cell>
        </row>
        <row r="1576">
          <cell r="A1576">
            <v>26378936</v>
          </cell>
          <cell r="B1576" t="str">
            <v/>
          </cell>
          <cell r="C1576" t="str">
            <v/>
          </cell>
          <cell r="D1576" t="str">
            <v>CC</v>
          </cell>
          <cell r="E1576" t="str">
            <v>SIDENIA DEL CARMEN</v>
          </cell>
          <cell r="F1576" t="str">
            <v>MENA</v>
          </cell>
          <cell r="G1576" t="str">
            <v>MENA SIDENIA DEL CARMEN</v>
          </cell>
          <cell r="H1576" t="str">
            <v>RESI</v>
          </cell>
          <cell r="I1576" t="str">
            <v>REGIMEN SIMPLIFICADO</v>
          </cell>
          <cell r="J1576" t="str">
            <v>XXX</v>
          </cell>
          <cell r="K1576" t="str">
            <v>17001</v>
          </cell>
          <cell r="L1576" t="str">
            <v>MANIZALES</v>
          </cell>
          <cell r="M1576" t="str">
            <v>XXX</v>
          </cell>
        </row>
        <row r="1577">
          <cell r="A1577">
            <v>26582854</v>
          </cell>
          <cell r="B1577" t="str">
            <v>4</v>
          </cell>
          <cell r="C1577" t="str">
            <v/>
          </cell>
          <cell r="D1577" t="str">
            <v>NP</v>
          </cell>
          <cell r="E1577" t="str">
            <v>MARIA RUTH</v>
          </cell>
          <cell r="F1577" t="str">
            <v>PAJOY VALENCIANO</v>
          </cell>
          <cell r="G1577" t="str">
            <v>PAJOY VALENCIANO MARIA RUTH</v>
          </cell>
          <cell r="H1577" t="str">
            <v>NORE</v>
          </cell>
          <cell r="I1577" t="str">
            <v>NO RESPONSABLE DE IVA</v>
          </cell>
          <cell r="J1577" t="str">
            <v>CN 69 25 31 LC 5</v>
          </cell>
          <cell r="K1577" t="str">
            <v>03</v>
          </cell>
          <cell r="L1577" t="str">
            <v>BOGOTA</v>
          </cell>
          <cell r="M1577" t="str">
            <v>4100034</v>
          </cell>
        </row>
        <row r="1578">
          <cell r="A1578">
            <v>26629321</v>
          </cell>
          <cell r="B1578" t="str">
            <v/>
          </cell>
          <cell r="C1578" t="str">
            <v/>
          </cell>
          <cell r="D1578" t="str">
            <v>CC</v>
          </cell>
          <cell r="E1578" t="str">
            <v>MARIA EVA</v>
          </cell>
          <cell r="F1578" t="str">
            <v>JULA LEON</v>
          </cell>
          <cell r="G1578" t="str">
            <v>JULA LEON MARIA EVA</v>
          </cell>
          <cell r="H1578" t="str">
            <v>RESI</v>
          </cell>
          <cell r="I1578" t="str">
            <v>REGIMEN SIMPLIFICADO</v>
          </cell>
          <cell r="J1578" t="str">
            <v>TERCERO CREADO SIN RUT</v>
          </cell>
          <cell r="K1578" t="str">
            <v>17001</v>
          </cell>
          <cell r="L1578" t="str">
            <v>MANIZALES</v>
          </cell>
          <cell r="M1578" t="str">
            <v>99999999</v>
          </cell>
        </row>
        <row r="1579">
          <cell r="A1579">
            <v>26884760</v>
          </cell>
          <cell r="B1579" t="str">
            <v/>
          </cell>
          <cell r="C1579" t="str">
            <v/>
          </cell>
          <cell r="D1579" t="str">
            <v>CC</v>
          </cell>
          <cell r="E1579" t="str">
            <v>OVELYS</v>
          </cell>
          <cell r="F1579" t="str">
            <v>ORTIZ PEREZ</v>
          </cell>
          <cell r="G1579" t="str">
            <v>ORTIZ PEREZ OVELYS</v>
          </cell>
          <cell r="H1579" t="str">
            <v>FUNC</v>
          </cell>
          <cell r="I1579" t="str">
            <v>FUNCIONARIO</v>
          </cell>
          <cell r="J1579" t="str">
            <v>BRR LAS MERCEDES BAHIA CUPICA</v>
          </cell>
          <cell r="K1579" t="str">
            <v>27075</v>
          </cell>
          <cell r="L1579" t="str">
            <v>BAHÍA SOLANO</v>
          </cell>
          <cell r="M1579" t="str">
            <v>3122383939</v>
          </cell>
        </row>
        <row r="1580">
          <cell r="A1580">
            <v>27110290</v>
          </cell>
          <cell r="B1580" t="str">
            <v/>
          </cell>
          <cell r="C1580" t="str">
            <v/>
          </cell>
          <cell r="D1580" t="str">
            <v>CC</v>
          </cell>
          <cell r="E1580" t="str">
            <v>NILSA DELFILIA</v>
          </cell>
          <cell r="F1580" t="str">
            <v>LAGOS BASANTE</v>
          </cell>
          <cell r="G1580" t="str">
            <v>LAGOS BASANTE NILSA DELFILIA</v>
          </cell>
          <cell r="H1580" t="str">
            <v>COIM</v>
          </cell>
          <cell r="I1580" t="str">
            <v>CONTROL DE IMPUESTOS</v>
          </cell>
          <cell r="J1580" t="str">
            <v>CR 23   64 B 33</v>
          </cell>
          <cell r="K1580" t="str">
            <v>17001</v>
          </cell>
          <cell r="L1580" t="str">
            <v>MANIZALES</v>
          </cell>
          <cell r="M1580" t="str">
            <v>8756262</v>
          </cell>
        </row>
        <row r="1581">
          <cell r="A1581">
            <v>27264364</v>
          </cell>
          <cell r="B1581" t="str">
            <v/>
          </cell>
          <cell r="C1581" t="str">
            <v/>
          </cell>
          <cell r="D1581" t="str">
            <v>CC</v>
          </cell>
          <cell r="E1581" t="str">
            <v>SARA</v>
          </cell>
          <cell r="F1581" t="str">
            <v>HURTADO DE GONGORA</v>
          </cell>
          <cell r="G1581" t="str">
            <v>HURTADO DE GONGORA SARA</v>
          </cell>
          <cell r="H1581" t="str">
            <v>RESI</v>
          </cell>
          <cell r="I1581" t="str">
            <v>REGIMEN SIMPLIFICADO</v>
          </cell>
          <cell r="J1581" t="str">
            <v>MLL MCP EL CHARCO</v>
          </cell>
          <cell r="K1581" t="str">
            <v>19318</v>
          </cell>
          <cell r="L1581" t="str">
            <v>GUAPI</v>
          </cell>
          <cell r="M1581" t="str">
            <v>3136130488</v>
          </cell>
        </row>
        <row r="1582">
          <cell r="A1582">
            <v>28097749</v>
          </cell>
          <cell r="B1582" t="str">
            <v/>
          </cell>
          <cell r="C1582" t="str">
            <v/>
          </cell>
          <cell r="D1582" t="str">
            <v>CC</v>
          </cell>
          <cell r="E1582" t="str">
            <v>MARY TULIA</v>
          </cell>
          <cell r="F1582" t="str">
            <v>ALFONSO DIAZ</v>
          </cell>
          <cell r="G1582" t="str">
            <v>ALFONSO DIAZ MARY TULIA</v>
          </cell>
          <cell r="H1582" t="str">
            <v>RESI</v>
          </cell>
          <cell r="I1582" t="str">
            <v>REGIMEN SIMPLIFICADO</v>
          </cell>
          <cell r="J1582" t="str">
            <v>CL 20   20   70</v>
          </cell>
          <cell r="K1582" t="str">
            <v>85001</v>
          </cell>
          <cell r="L1582" t="str">
            <v>YOPAL</v>
          </cell>
          <cell r="M1582" t="str">
            <v>3144624439</v>
          </cell>
        </row>
        <row r="1583">
          <cell r="A1583">
            <v>28538108</v>
          </cell>
          <cell r="B1583" t="str">
            <v/>
          </cell>
          <cell r="C1583" t="str">
            <v/>
          </cell>
          <cell r="D1583" t="str">
            <v>CC</v>
          </cell>
          <cell r="E1583" t="str">
            <v>LEIDY JOHANNA</v>
          </cell>
          <cell r="F1583" t="str">
            <v>CALDERON VALBUENA</v>
          </cell>
          <cell r="G1583" t="str">
            <v>CALDERON VALBUENA LEIDY JOHANNA</v>
          </cell>
          <cell r="H1583" t="str">
            <v>FUNC</v>
          </cell>
          <cell r="I1583" t="str">
            <v>FUNCIONARIO</v>
          </cell>
          <cell r="J1583" t="str">
            <v>CR 8   62   50 TO 6 AP 501</v>
          </cell>
          <cell r="K1583" t="str">
            <v>17001</v>
          </cell>
          <cell r="L1583" t="str">
            <v>MANIZALES</v>
          </cell>
          <cell r="M1583" t="str">
            <v>3204538324</v>
          </cell>
        </row>
        <row r="1584">
          <cell r="A1584">
            <v>28545334</v>
          </cell>
          <cell r="B1584" t="str">
            <v>6</v>
          </cell>
          <cell r="C1584" t="str">
            <v/>
          </cell>
          <cell r="D1584" t="str">
            <v>NP</v>
          </cell>
          <cell r="E1584" t="str">
            <v>PATRICIA</v>
          </cell>
          <cell r="F1584" t="str">
            <v>MALDONADO DE MERINO</v>
          </cell>
          <cell r="G1584" t="str">
            <v>MALDONADO DE MERINO PATRICIA</v>
          </cell>
          <cell r="H1584" t="str">
            <v>RESI</v>
          </cell>
          <cell r="I1584" t="str">
            <v>REGIMEN SIMPLIFICADO</v>
          </cell>
          <cell r="J1584" t="str">
            <v>CR 11 A 107 A 80</v>
          </cell>
          <cell r="K1584" t="str">
            <v>11001</v>
          </cell>
          <cell r="L1584" t="str">
            <v>BOGOTA DC</v>
          </cell>
          <cell r="M1584" t="str">
            <v>4815412</v>
          </cell>
        </row>
        <row r="1585">
          <cell r="A1585">
            <v>28713544</v>
          </cell>
          <cell r="B1585" t="str">
            <v>7</v>
          </cell>
          <cell r="C1585" t="str">
            <v/>
          </cell>
          <cell r="D1585" t="str">
            <v>NP</v>
          </cell>
          <cell r="E1585" t="str">
            <v>MARIA DAMARIS</v>
          </cell>
          <cell r="F1585" t="str">
            <v>OLAYA HERNANDEZ</v>
          </cell>
          <cell r="G1585" t="str">
            <v>OLAYA HERNANDEZ MARIA DAMARIS</v>
          </cell>
          <cell r="H1585" t="str">
            <v>IMVE</v>
          </cell>
          <cell r="I1585" t="str">
            <v>IMPUESTO SOBRE LAS VENTAS</v>
          </cell>
          <cell r="J1585" t="str">
            <v>CR 2 13 69 OF 202</v>
          </cell>
          <cell r="K1585" t="str">
            <v>17380</v>
          </cell>
          <cell r="L1585" t="str">
            <v>LA DORADA</v>
          </cell>
          <cell r="M1585" t="str">
            <v>8390495</v>
          </cell>
        </row>
        <row r="1586">
          <cell r="A1586">
            <v>28764925</v>
          </cell>
          <cell r="B1586" t="str">
            <v>8</v>
          </cell>
          <cell r="C1586" t="str">
            <v/>
          </cell>
          <cell r="D1586" t="str">
            <v>NP</v>
          </cell>
          <cell r="E1586" t="str">
            <v>ANA DELIA</v>
          </cell>
          <cell r="F1586" t="str">
            <v>GONZALEZ PARRA</v>
          </cell>
          <cell r="G1586" t="str">
            <v>GONZALEZ PARRA ANA DELIA</v>
          </cell>
          <cell r="H1586" t="str">
            <v>RESI</v>
          </cell>
          <cell r="I1586" t="str">
            <v>REGIMEN SIMPLIFICADO</v>
          </cell>
          <cell r="J1586" t="str">
            <v xml:space="preserve"> C L 47 A 21 30</v>
          </cell>
          <cell r="K1586" t="str">
            <v>17001</v>
          </cell>
          <cell r="L1586" t="str">
            <v>MANIZALES</v>
          </cell>
          <cell r="M1586" t="str">
            <v>8855467</v>
          </cell>
        </row>
        <row r="1587">
          <cell r="A1587">
            <v>28797549</v>
          </cell>
          <cell r="B1587" t="str">
            <v/>
          </cell>
          <cell r="C1587" t="str">
            <v/>
          </cell>
          <cell r="D1587" t="str">
            <v>CC</v>
          </cell>
          <cell r="E1587" t="str">
            <v>MARTHA INES</v>
          </cell>
          <cell r="F1587" t="str">
            <v>ALCAZAR ESPITIA</v>
          </cell>
          <cell r="G1587" t="str">
            <v>ALCAZAR ESPITIA MARTHA INES</v>
          </cell>
          <cell r="H1587" t="str">
            <v>FUNC</v>
          </cell>
          <cell r="I1587" t="str">
            <v>FUNCIONARIO</v>
          </cell>
          <cell r="J1587" t="str">
            <v>calle 45 a-79 T 7 APTO 425 CONJUNTO MARIA FERNANDA</v>
          </cell>
          <cell r="K1587" t="str">
            <v>15001</v>
          </cell>
          <cell r="L1587" t="str">
            <v>TUNJA</v>
          </cell>
          <cell r="M1587" t="str">
            <v>3102962792</v>
          </cell>
        </row>
        <row r="1588">
          <cell r="A1588">
            <v>28813469</v>
          </cell>
          <cell r="B1588" t="str">
            <v>1</v>
          </cell>
          <cell r="C1588" t="str">
            <v/>
          </cell>
          <cell r="D1588" t="str">
            <v>NP</v>
          </cell>
          <cell r="E1588" t="str">
            <v>MARIA CRISTINA</v>
          </cell>
          <cell r="F1588" t="str">
            <v>AVILA GIL</v>
          </cell>
          <cell r="G1588" t="str">
            <v>AVILA GIL MARIA CRISTINA</v>
          </cell>
          <cell r="H1588" t="str">
            <v>RESI</v>
          </cell>
          <cell r="I1588" t="str">
            <v>REGIMEN SIMPLIFICADO</v>
          </cell>
          <cell r="J1588" t="str">
            <v>CL 20   10   31 BRR LOS COMUNEROS</v>
          </cell>
          <cell r="K1588" t="str">
            <v>94001</v>
          </cell>
          <cell r="L1588" t="str">
            <v>INÍRIDA</v>
          </cell>
          <cell r="M1588" t="str">
            <v>3102590686</v>
          </cell>
        </row>
        <row r="1589">
          <cell r="A1589">
            <v>28866512</v>
          </cell>
          <cell r="B1589" t="str">
            <v>8</v>
          </cell>
          <cell r="C1589" t="str">
            <v/>
          </cell>
          <cell r="D1589" t="str">
            <v>NP</v>
          </cell>
          <cell r="E1589" t="str">
            <v>MARIA ALEIDA</v>
          </cell>
          <cell r="F1589" t="str">
            <v>GUTIERREZ ROJAS</v>
          </cell>
          <cell r="G1589" t="str">
            <v>GUTIERREZ ROJAS MARIA ALEIDA</v>
          </cell>
          <cell r="H1589" t="str">
            <v>NORE</v>
          </cell>
          <cell r="I1589" t="str">
            <v>NO RESPONSABLE DE IVA</v>
          </cell>
          <cell r="J1589" t="str">
            <v>CL 58 G SUR 47 69</v>
          </cell>
          <cell r="K1589" t="str">
            <v>03</v>
          </cell>
          <cell r="L1589" t="str">
            <v>BOGOTA</v>
          </cell>
          <cell r="M1589" t="str">
            <v>3134586797</v>
          </cell>
        </row>
        <row r="1590">
          <cell r="A1590">
            <v>30046078</v>
          </cell>
          <cell r="B1590" t="str">
            <v>1</v>
          </cell>
          <cell r="C1590" t="str">
            <v/>
          </cell>
          <cell r="D1590" t="str">
            <v>NP</v>
          </cell>
          <cell r="E1590" t="str">
            <v>CRISALBA</v>
          </cell>
          <cell r="F1590" t="str">
            <v>RODRIGUEZ DE ACEVEDO</v>
          </cell>
          <cell r="G1590" t="str">
            <v>RODRIGUEZ DE ACEVEDO CRISALBA</v>
          </cell>
          <cell r="H1590" t="str">
            <v>RECO</v>
          </cell>
          <cell r="I1590" t="str">
            <v>REGIMEN COMUN</v>
          </cell>
          <cell r="J1590" t="str">
            <v>CL 1 MZ 28</v>
          </cell>
          <cell r="K1590" t="str">
            <v>94001</v>
          </cell>
          <cell r="L1590" t="str">
            <v>INÍRIDA</v>
          </cell>
          <cell r="M1590" t="str">
            <v>85656045</v>
          </cell>
        </row>
        <row r="1591">
          <cell r="A1591">
            <v>30056589</v>
          </cell>
          <cell r="B1591" t="str">
            <v>6</v>
          </cell>
          <cell r="C1591" t="str">
            <v/>
          </cell>
          <cell r="D1591" t="str">
            <v>NP</v>
          </cell>
          <cell r="E1591" t="str">
            <v>MARIA DOLORES</v>
          </cell>
          <cell r="F1591" t="str">
            <v>MORENO</v>
          </cell>
          <cell r="G1591" t="str">
            <v>MORENO MARIA DOLORES</v>
          </cell>
          <cell r="H1591" t="str">
            <v>REOR</v>
          </cell>
          <cell r="I1591" t="str">
            <v>RENTA REGIMEN ORDINARIO</v>
          </cell>
          <cell r="J1591" t="str">
            <v>CR 2   7   03</v>
          </cell>
          <cell r="K1591" t="str">
            <v>85430</v>
          </cell>
          <cell r="L1591" t="str">
            <v>TRINIDAD</v>
          </cell>
          <cell r="M1591" t="str">
            <v>3105748064</v>
          </cell>
        </row>
        <row r="1592">
          <cell r="A1592">
            <v>30056638</v>
          </cell>
          <cell r="B1592" t="str">
            <v>9</v>
          </cell>
          <cell r="C1592" t="str">
            <v/>
          </cell>
          <cell r="D1592" t="str">
            <v>NP</v>
          </cell>
          <cell r="E1592" t="str">
            <v>VILMA</v>
          </cell>
          <cell r="F1592" t="str">
            <v>BONILLA DE VELASQUEZ</v>
          </cell>
          <cell r="G1592" t="str">
            <v>BONILLA DE VELASQUEZ VILMA</v>
          </cell>
          <cell r="H1592" t="str">
            <v>RESI</v>
          </cell>
          <cell r="I1592" t="str">
            <v>REGIMEN SIMPLIFICADO</v>
          </cell>
          <cell r="J1592" t="str">
            <v>CR 3   5   65</v>
          </cell>
          <cell r="K1592" t="str">
            <v>85430</v>
          </cell>
          <cell r="L1592" t="str">
            <v>TRINIDAD</v>
          </cell>
          <cell r="M1592" t="str">
            <v>8756262</v>
          </cell>
        </row>
        <row r="1593">
          <cell r="A1593">
            <v>30056747</v>
          </cell>
          <cell r="B1593" t="str">
            <v/>
          </cell>
          <cell r="C1593" t="str">
            <v/>
          </cell>
          <cell r="D1593" t="str">
            <v>CC</v>
          </cell>
          <cell r="E1593" t="str">
            <v>BLANCA ELVIRA</v>
          </cell>
          <cell r="F1593" t="str">
            <v>ROMERO ROMERO</v>
          </cell>
          <cell r="G1593" t="str">
            <v>ROMERO ROMERO BLANCA ELVIRA</v>
          </cell>
          <cell r="H1593" t="str">
            <v>RESI</v>
          </cell>
          <cell r="I1593" t="str">
            <v>REGIMEN SIMPLIFICADO</v>
          </cell>
          <cell r="J1593" t="str">
            <v>VRD EL TIGRE FCA MARACAIBO</v>
          </cell>
          <cell r="K1593" t="str">
            <v>85325</v>
          </cell>
          <cell r="L1593" t="str">
            <v>SAN LUIS DE PALENQUE</v>
          </cell>
          <cell r="M1593" t="str">
            <v>3144758101</v>
          </cell>
        </row>
        <row r="1594">
          <cell r="A1594">
            <v>30056890</v>
          </cell>
          <cell r="B1594" t="str">
            <v>9</v>
          </cell>
          <cell r="C1594" t="str">
            <v/>
          </cell>
          <cell r="D1594" t="str">
            <v>NP</v>
          </cell>
          <cell r="E1594" t="str">
            <v>ODILA</v>
          </cell>
          <cell r="F1594" t="str">
            <v>TAQUIBA DE CALDERON</v>
          </cell>
          <cell r="G1594" t="str">
            <v>TAQUIBA DE CALDERON ODILA</v>
          </cell>
          <cell r="H1594" t="str">
            <v>REOR</v>
          </cell>
          <cell r="I1594" t="str">
            <v>RENTA REGIMEN ORDINARIO</v>
          </cell>
          <cell r="J1594" t="str">
            <v>VDA MATE SANTO FCA EL ESPACIO</v>
          </cell>
          <cell r="K1594" t="str">
            <v>85325</v>
          </cell>
          <cell r="L1594" t="str">
            <v>SAN LUIS DE PALENQUE</v>
          </cell>
          <cell r="M1594" t="str">
            <v>3212588335</v>
          </cell>
        </row>
        <row r="1595">
          <cell r="A1595">
            <v>30056944</v>
          </cell>
          <cell r="B1595" t="str">
            <v>8</v>
          </cell>
          <cell r="C1595" t="str">
            <v/>
          </cell>
          <cell r="D1595" t="str">
            <v>NP</v>
          </cell>
          <cell r="E1595" t="str">
            <v>SUSMIRA</v>
          </cell>
          <cell r="F1595" t="str">
            <v>BURGOS</v>
          </cell>
          <cell r="G1595" t="str">
            <v>BURGOS SUSMIRA</v>
          </cell>
          <cell r="H1595" t="str">
            <v>RESI</v>
          </cell>
          <cell r="I1595" t="str">
            <v>REGIMEN SIMPLIFICADO</v>
          </cell>
          <cell r="J1595" t="str">
            <v>CL 25   26   74</v>
          </cell>
          <cell r="K1595" t="str">
            <v>85001</v>
          </cell>
          <cell r="L1595" t="str">
            <v>YOPAL</v>
          </cell>
          <cell r="M1595" t="str">
            <v>3115432981</v>
          </cell>
        </row>
        <row r="1596">
          <cell r="A1596">
            <v>30066524</v>
          </cell>
          <cell r="B1596" t="str">
            <v/>
          </cell>
          <cell r="C1596" t="str">
            <v/>
          </cell>
          <cell r="D1596" t="str">
            <v>CC</v>
          </cell>
          <cell r="E1596" t="str">
            <v>MARIA MIRIAM</v>
          </cell>
          <cell r="F1596" t="str">
            <v>GAITAN SANTOFIMIO</v>
          </cell>
          <cell r="G1596" t="str">
            <v>GAITAN SANTOFIMIO MARIA MIRIAM</v>
          </cell>
          <cell r="H1596" t="str">
            <v>RESI</v>
          </cell>
          <cell r="I1596" t="str">
            <v>REGIMEN SIMPLIFICADO</v>
          </cell>
          <cell r="J1596" t="str">
            <v>CR 11 N 15-39 PISO 2-19</v>
          </cell>
          <cell r="K1596" t="str">
            <v>19290</v>
          </cell>
          <cell r="L1596" t="str">
            <v>FLORENCIA</v>
          </cell>
          <cell r="M1596" t="str">
            <v>0000000</v>
          </cell>
        </row>
        <row r="1597">
          <cell r="A1597">
            <v>30230404</v>
          </cell>
          <cell r="B1597" t="str">
            <v>8</v>
          </cell>
          <cell r="C1597" t="str">
            <v/>
          </cell>
          <cell r="D1597" t="str">
            <v>NP</v>
          </cell>
          <cell r="E1597" t="str">
            <v>SANDRA MARCELA</v>
          </cell>
          <cell r="F1597" t="str">
            <v>VELÁSQUEZ ALVAREZ</v>
          </cell>
          <cell r="G1597" t="str">
            <v>VELÁSQUEZ ALVAREZ SANDRA MARCELA</v>
          </cell>
          <cell r="H1597" t="str">
            <v>NORE</v>
          </cell>
          <cell r="I1597" t="str">
            <v>NO RESPONSABLE DE IVA</v>
          </cell>
          <cell r="J1597" t="str">
            <v xml:space="preserve"> CR 19 48 D 06</v>
          </cell>
          <cell r="K1597" t="str">
            <v>17001</v>
          </cell>
          <cell r="L1597" t="str">
            <v>MANIZALES</v>
          </cell>
          <cell r="M1597" t="str">
            <v>3017761868</v>
          </cell>
        </row>
        <row r="1598">
          <cell r="A1598">
            <v>30231294</v>
          </cell>
          <cell r="B1598" t="str">
            <v>9</v>
          </cell>
          <cell r="C1598" t="str">
            <v/>
          </cell>
          <cell r="D1598" t="str">
            <v>NP</v>
          </cell>
          <cell r="E1598" t="str">
            <v>LUISA FERNANDA</v>
          </cell>
          <cell r="F1598" t="str">
            <v>REINOSA GIRALDO</v>
          </cell>
          <cell r="G1598" t="str">
            <v>REINOSA GIRALDO LUISA FERNANDA</v>
          </cell>
          <cell r="H1598" t="str">
            <v>RESI</v>
          </cell>
          <cell r="I1598" t="str">
            <v>REGIMEN SIMPLIFICADO</v>
          </cell>
          <cell r="J1598" t="str">
            <v>CR 23   64 B 33 LC 11</v>
          </cell>
          <cell r="K1598" t="str">
            <v>17001</v>
          </cell>
          <cell r="L1598" t="str">
            <v>MANIZALES</v>
          </cell>
          <cell r="M1598" t="str">
            <v>8862732</v>
          </cell>
        </row>
        <row r="1599">
          <cell r="A1599">
            <v>30231340</v>
          </cell>
          <cell r="B1599" t="str">
            <v/>
          </cell>
          <cell r="C1599" t="str">
            <v/>
          </cell>
          <cell r="D1599" t="str">
            <v>CC</v>
          </cell>
          <cell r="E1599" t="str">
            <v>SANDRA MILENA</v>
          </cell>
          <cell r="F1599" t="str">
            <v>MONROY RAMIREZ</v>
          </cell>
          <cell r="G1599" t="str">
            <v>MONROY RAMIREZ SANDRA MILENA</v>
          </cell>
          <cell r="H1599" t="str">
            <v>FUNC</v>
          </cell>
          <cell r="I1599" t="str">
            <v>FUNCIONARIO</v>
          </cell>
          <cell r="J1599" t="str">
            <v>CARRERA 20 NUMERO 47 A 69</v>
          </cell>
          <cell r="K1599" t="str">
            <v>17001</v>
          </cell>
          <cell r="L1599" t="str">
            <v>MANIZALES</v>
          </cell>
          <cell r="M1599" t="str">
            <v>8810617</v>
          </cell>
        </row>
        <row r="1600">
          <cell r="A1600">
            <v>30231351</v>
          </cell>
          <cell r="B1600" t="str">
            <v/>
          </cell>
          <cell r="C1600" t="str">
            <v/>
          </cell>
          <cell r="D1600" t="str">
            <v>CC</v>
          </cell>
          <cell r="E1600" t="str">
            <v>MARGARITA MARIA</v>
          </cell>
          <cell r="F1600" t="str">
            <v>PRIETO PIEDRAHITA</v>
          </cell>
          <cell r="G1600" t="str">
            <v>PRIETO PIEDRAHITA MARGARITA MARIA</v>
          </cell>
          <cell r="H1600" t="str">
            <v>FUNC</v>
          </cell>
          <cell r="I1600" t="str">
            <v>FUNCIONARIO</v>
          </cell>
          <cell r="J1600" t="str">
            <v>AV ALBERTO MENDOZA 77 40</v>
          </cell>
          <cell r="K1600" t="str">
            <v>17001</v>
          </cell>
          <cell r="L1600" t="str">
            <v>MANIZALES</v>
          </cell>
          <cell r="M1600" t="str">
            <v>8867845</v>
          </cell>
        </row>
        <row r="1601">
          <cell r="A1601">
            <v>30231773</v>
          </cell>
          <cell r="B1601" t="str">
            <v/>
          </cell>
          <cell r="C1601" t="str">
            <v/>
          </cell>
          <cell r="D1601" t="str">
            <v>CC</v>
          </cell>
          <cell r="E1601" t="str">
            <v>SANDRA</v>
          </cell>
          <cell r="F1601" t="str">
            <v>MOGOLLÓN RODRIGUEZ</v>
          </cell>
          <cell r="G1601" t="str">
            <v>MOGOLLÓN RODRIGUEZ SANDRA</v>
          </cell>
          <cell r="H1601" t="str">
            <v>RESI</v>
          </cell>
          <cell r="I1601" t="str">
            <v>REGIMEN SIMPLIFICADO</v>
          </cell>
          <cell r="J1601" t="str">
            <v>CR 24 N 64 A 05</v>
          </cell>
          <cell r="K1601" t="str">
            <v>17001</v>
          </cell>
          <cell r="L1601" t="str">
            <v>MANIZALES</v>
          </cell>
          <cell r="M1601" t="str">
            <v>3105194463</v>
          </cell>
        </row>
        <row r="1602">
          <cell r="A1602">
            <v>30231843</v>
          </cell>
          <cell r="B1602" t="str">
            <v>2</v>
          </cell>
          <cell r="C1602" t="str">
            <v/>
          </cell>
          <cell r="D1602" t="str">
            <v>NP</v>
          </cell>
          <cell r="E1602" t="str">
            <v>SUSANA</v>
          </cell>
          <cell r="F1602" t="str">
            <v>BLANCO ROA</v>
          </cell>
          <cell r="G1602" t="str">
            <v>BLANCO ROA SUSANA</v>
          </cell>
          <cell r="H1602" t="str">
            <v>NORE</v>
          </cell>
          <cell r="I1602" t="str">
            <v>NO RESPONSABLE DE IVA</v>
          </cell>
          <cell r="J1602" t="str">
            <v>CR 17 B 48 D 04 BRR LA PRIMAVERA</v>
          </cell>
          <cell r="K1602" t="str">
            <v>17001</v>
          </cell>
          <cell r="L1602" t="str">
            <v>MANIZALES</v>
          </cell>
          <cell r="M1602" t="str">
            <v>3117706448</v>
          </cell>
        </row>
        <row r="1603">
          <cell r="A1603">
            <v>30232170</v>
          </cell>
          <cell r="B1603" t="str">
            <v/>
          </cell>
          <cell r="C1603" t="str">
            <v/>
          </cell>
          <cell r="D1603" t="str">
            <v>CC</v>
          </cell>
          <cell r="E1603" t="str">
            <v>LUZ ANGÉLICA</v>
          </cell>
          <cell r="F1603" t="str">
            <v>LÓPEZ CASTAÑO</v>
          </cell>
          <cell r="G1603" t="str">
            <v>LÓPEZ CASTAÑO LUZ ANGÉLICA</v>
          </cell>
          <cell r="H1603" t="str">
            <v>FUNC</v>
          </cell>
          <cell r="I1603" t="str">
            <v>FUNCIONARIO</v>
          </cell>
          <cell r="J1603" t="str">
            <v>CL 51 26 11 AP ED ACROPOLIS</v>
          </cell>
          <cell r="K1603" t="str">
            <v>17001</v>
          </cell>
          <cell r="L1603" t="str">
            <v>MANIZALES</v>
          </cell>
          <cell r="M1603" t="str">
            <v>3148144220</v>
          </cell>
        </row>
        <row r="1604">
          <cell r="A1604">
            <v>30232739</v>
          </cell>
          <cell r="B1604" t="str">
            <v/>
          </cell>
          <cell r="C1604" t="str">
            <v/>
          </cell>
          <cell r="D1604" t="str">
            <v>CC</v>
          </cell>
          <cell r="E1604" t="str">
            <v>CAROLINA</v>
          </cell>
          <cell r="F1604" t="str">
            <v>HERRERA HOYOS</v>
          </cell>
          <cell r="G1604" t="str">
            <v>HERRERA HOYOS CAROLINA</v>
          </cell>
          <cell r="H1604" t="str">
            <v>FUNC</v>
          </cell>
          <cell r="I1604" t="str">
            <v>FUNCIONARIO</v>
          </cell>
          <cell r="J1604" t="str">
            <v>CL 66   27 A 08 BRR SANCANCIO</v>
          </cell>
          <cell r="K1604" t="str">
            <v>17001</v>
          </cell>
          <cell r="L1604" t="str">
            <v>MANIZALES</v>
          </cell>
          <cell r="M1604" t="str">
            <v>3112871846</v>
          </cell>
        </row>
        <row r="1605">
          <cell r="A1605">
            <v>30233482</v>
          </cell>
          <cell r="B1605" t="str">
            <v/>
          </cell>
          <cell r="C1605" t="str">
            <v/>
          </cell>
          <cell r="D1605" t="str">
            <v>CC</v>
          </cell>
          <cell r="E1605" t="str">
            <v>PAOLA ANDREA</v>
          </cell>
          <cell r="F1605" t="str">
            <v>VALLEJO ARISTIZABAL</v>
          </cell>
          <cell r="G1605" t="str">
            <v>VALLEJO ARISTIZABAL PAOLA ANDREA</v>
          </cell>
          <cell r="H1605" t="str">
            <v>FUNC</v>
          </cell>
          <cell r="I1605" t="str">
            <v>FUNCIONARIO</v>
          </cell>
          <cell r="J1605" t="str">
            <v>CL 4 B CR 17 A 72 AP 302</v>
          </cell>
          <cell r="K1605" t="str">
            <v>17001</v>
          </cell>
          <cell r="L1605" t="str">
            <v>MANIZALES</v>
          </cell>
          <cell r="M1605" t="str">
            <v>8890518</v>
          </cell>
        </row>
        <row r="1606">
          <cell r="A1606">
            <v>30233566</v>
          </cell>
          <cell r="B1606" t="str">
            <v/>
          </cell>
          <cell r="C1606" t="str">
            <v/>
          </cell>
          <cell r="D1606" t="str">
            <v>CC</v>
          </cell>
          <cell r="E1606" t="str">
            <v>LUISA FERNANDA</v>
          </cell>
          <cell r="F1606" t="str">
            <v>ESCOBAR GARCIA</v>
          </cell>
          <cell r="G1606" t="str">
            <v>ESCOBAR GARCIA LUISA FERNANDA</v>
          </cell>
          <cell r="H1606" t="str">
            <v>FUNC</v>
          </cell>
          <cell r="I1606" t="str">
            <v>FUNCIONARIO</v>
          </cell>
          <cell r="J1606" t="str">
            <v>CR 25 NO  65 A 65 MANIZALES</v>
          </cell>
          <cell r="K1606" t="str">
            <v>17001</v>
          </cell>
          <cell r="L1606" t="str">
            <v>MANIZALES</v>
          </cell>
          <cell r="M1606" t="str">
            <v>8872951</v>
          </cell>
        </row>
        <row r="1607">
          <cell r="A1607">
            <v>30233878</v>
          </cell>
          <cell r="B1607" t="str">
            <v/>
          </cell>
          <cell r="C1607" t="str">
            <v/>
          </cell>
          <cell r="D1607" t="str">
            <v>CC</v>
          </cell>
          <cell r="E1607" t="str">
            <v>SANDRA MILENA</v>
          </cell>
          <cell r="F1607" t="str">
            <v>ARIAS LOPEZ</v>
          </cell>
          <cell r="G1607" t="str">
            <v>ARIAS LOPEZ SANDRA MILENA</v>
          </cell>
          <cell r="H1607" t="str">
            <v>FUNC</v>
          </cell>
          <cell r="I1607" t="str">
            <v>FUNCIONARIO</v>
          </cell>
          <cell r="J1607" t="str">
            <v>CR 21 N 14 37 AP 503</v>
          </cell>
          <cell r="K1607" t="str">
            <v>17001</v>
          </cell>
          <cell r="L1607" t="str">
            <v>MANIZALES</v>
          </cell>
          <cell r="M1607" t="str">
            <v>3105141692</v>
          </cell>
        </row>
        <row r="1608">
          <cell r="A1608">
            <v>30234017</v>
          </cell>
          <cell r="B1608" t="str">
            <v/>
          </cell>
          <cell r="C1608" t="str">
            <v/>
          </cell>
          <cell r="D1608" t="str">
            <v>CC</v>
          </cell>
          <cell r="E1608" t="str">
            <v>JENNY</v>
          </cell>
          <cell r="F1608" t="str">
            <v>DIAZ GOMEZ</v>
          </cell>
          <cell r="G1608" t="str">
            <v>DIAZ GOMEZ JENNY</v>
          </cell>
          <cell r="H1608" t="str">
            <v>FUNC</v>
          </cell>
          <cell r="I1608" t="str">
            <v>FUNCIONARIO</v>
          </cell>
          <cell r="J1608" t="str">
            <v>CL 10 6 15 ED OLIVARES AP 102</v>
          </cell>
          <cell r="K1608" t="str">
            <v>17001</v>
          </cell>
          <cell r="L1608" t="str">
            <v>MANIZALES</v>
          </cell>
          <cell r="M1608" t="str">
            <v>3108976824</v>
          </cell>
        </row>
        <row r="1609">
          <cell r="A1609">
            <v>30234646</v>
          </cell>
          <cell r="B1609" t="str">
            <v/>
          </cell>
          <cell r="C1609" t="str">
            <v/>
          </cell>
          <cell r="D1609" t="str">
            <v>CC</v>
          </cell>
          <cell r="E1609" t="str">
            <v xml:space="preserve"> XIMENA</v>
          </cell>
          <cell r="F1609" t="str">
            <v>NARANJO RODRIGUEZ</v>
          </cell>
          <cell r="G1609" t="str">
            <v>NARANJO RODRIGUEZ  XIMENA</v>
          </cell>
          <cell r="H1609" t="str">
            <v>FUNC</v>
          </cell>
          <cell r="I1609" t="str">
            <v>FUNCIONARIO</v>
          </cell>
          <cell r="J1609" t="str">
            <v>BRR VILLA MERCEDES BL D AP 402</v>
          </cell>
          <cell r="K1609" t="str">
            <v>17001</v>
          </cell>
          <cell r="L1609" t="str">
            <v>MANIZALES</v>
          </cell>
          <cell r="M1609" t="str">
            <v>8913039</v>
          </cell>
        </row>
        <row r="1610">
          <cell r="A1610">
            <v>30234752</v>
          </cell>
          <cell r="B1610" t="str">
            <v/>
          </cell>
          <cell r="C1610" t="str">
            <v/>
          </cell>
          <cell r="D1610" t="str">
            <v>CC</v>
          </cell>
          <cell r="E1610" t="str">
            <v>SANDRA MILENA</v>
          </cell>
          <cell r="F1610" t="str">
            <v>LOPEZ BERNAL</v>
          </cell>
          <cell r="G1610" t="str">
            <v>LOPEZ BERNAL SANDRA MILENA</v>
          </cell>
          <cell r="H1610" t="str">
            <v>FUNC</v>
          </cell>
          <cell r="I1610" t="str">
            <v>FUNCIONARIO</v>
          </cell>
          <cell r="J1610" t="str">
            <v>CR 1 11 41</v>
          </cell>
          <cell r="K1610" t="str">
            <v>17001</v>
          </cell>
          <cell r="L1610" t="str">
            <v>MANIZALES</v>
          </cell>
          <cell r="M1610" t="str">
            <v>3146398872</v>
          </cell>
        </row>
        <row r="1611">
          <cell r="A1611">
            <v>30235308</v>
          </cell>
          <cell r="B1611" t="str">
            <v/>
          </cell>
          <cell r="C1611" t="str">
            <v/>
          </cell>
          <cell r="D1611" t="str">
            <v>CC</v>
          </cell>
          <cell r="E1611" t="str">
            <v>PAULA BBIANA</v>
          </cell>
          <cell r="F1611" t="str">
            <v>MEJÍA PINZÓN</v>
          </cell>
          <cell r="G1611" t="str">
            <v>MEJÍA PINZÓN PAULA BBIANA</v>
          </cell>
          <cell r="H1611" t="str">
            <v>FUNC</v>
          </cell>
          <cell r="I1611" t="str">
            <v>FUNCIONARIO</v>
          </cell>
          <cell r="J1611" t="str">
            <v>CL 68 A 11 A 70</v>
          </cell>
          <cell r="K1611" t="str">
            <v>17001</v>
          </cell>
          <cell r="L1611" t="str">
            <v>MANIZALES</v>
          </cell>
          <cell r="M1611" t="str">
            <v>3137807884</v>
          </cell>
        </row>
        <row r="1612">
          <cell r="A1612">
            <v>30235432</v>
          </cell>
          <cell r="B1612" t="str">
            <v/>
          </cell>
          <cell r="C1612" t="str">
            <v/>
          </cell>
          <cell r="D1612" t="str">
            <v>CC</v>
          </cell>
          <cell r="E1612" t="str">
            <v>MARIA BIBIANA</v>
          </cell>
          <cell r="F1612" t="str">
            <v>MONTES GUTIERREZ</v>
          </cell>
          <cell r="G1612" t="str">
            <v>MONTES GUTIERREZ MARIA BIBIANA</v>
          </cell>
          <cell r="H1612" t="str">
            <v>FUNC</v>
          </cell>
          <cell r="I1612" t="str">
            <v>FUNCIONARIO</v>
          </cell>
          <cell r="J1612" t="str">
            <v>CL 68 A   12 B 04</v>
          </cell>
          <cell r="K1612" t="str">
            <v>17001</v>
          </cell>
          <cell r="L1612" t="str">
            <v>MANIZALES</v>
          </cell>
          <cell r="M1612" t="str">
            <v>8751610</v>
          </cell>
        </row>
        <row r="1613">
          <cell r="A1613">
            <v>30235533</v>
          </cell>
          <cell r="B1613" t="str">
            <v/>
          </cell>
          <cell r="C1613" t="str">
            <v/>
          </cell>
          <cell r="D1613" t="str">
            <v>CC</v>
          </cell>
          <cell r="E1613" t="str">
            <v>LAURA VIVIANA</v>
          </cell>
          <cell r="F1613" t="str">
            <v>TABARES TABARES</v>
          </cell>
          <cell r="G1613" t="str">
            <v>TABARES TABARES LAURA VIVIANA</v>
          </cell>
          <cell r="H1613" t="str">
            <v>FUNC</v>
          </cell>
          <cell r="I1613" t="str">
            <v>FUNCIONARIO</v>
          </cell>
          <cell r="J1613" t="str">
            <v>CARRERA 61A #31C-59 BL G APTO 302</v>
          </cell>
          <cell r="K1613" t="str">
            <v>17001</v>
          </cell>
          <cell r="L1613" t="str">
            <v>MANIZALES</v>
          </cell>
          <cell r="M1613" t="str">
            <v>8821732</v>
          </cell>
        </row>
        <row r="1614">
          <cell r="A1614">
            <v>30236889</v>
          </cell>
          <cell r="B1614" t="str">
            <v/>
          </cell>
          <cell r="C1614" t="str">
            <v/>
          </cell>
          <cell r="D1614" t="str">
            <v>CC</v>
          </cell>
          <cell r="E1614" t="str">
            <v>ERIKA JULIETH</v>
          </cell>
          <cell r="F1614" t="str">
            <v>RAMIREZ GRAJALES</v>
          </cell>
          <cell r="G1614" t="str">
            <v>RAMIREZ GRAJALES ERIKA JULIETH</v>
          </cell>
          <cell r="H1614" t="str">
            <v>FUNC</v>
          </cell>
          <cell r="I1614" t="str">
            <v>FUNCIONARIO</v>
          </cell>
          <cell r="J1614" t="str">
            <v>CL 72   19   59 AP 501</v>
          </cell>
          <cell r="K1614" t="str">
            <v>17001</v>
          </cell>
          <cell r="L1614" t="str">
            <v>MANIZALES</v>
          </cell>
          <cell r="M1614" t="str">
            <v>8867287</v>
          </cell>
        </row>
        <row r="1615">
          <cell r="A1615">
            <v>30237051</v>
          </cell>
          <cell r="B1615" t="str">
            <v/>
          </cell>
          <cell r="C1615" t="str">
            <v/>
          </cell>
          <cell r="D1615" t="str">
            <v>CC</v>
          </cell>
          <cell r="E1615" t="str">
            <v>Viviana Andrea</v>
          </cell>
          <cell r="F1615" t="str">
            <v>Zuluaga Salazar</v>
          </cell>
          <cell r="G1615" t="str">
            <v>Zuluaga Salazar Viviana Andrea</v>
          </cell>
          <cell r="H1615" t="str">
            <v>FUNC</v>
          </cell>
          <cell r="I1615" t="str">
            <v>FUNCIONARIO</v>
          </cell>
          <cell r="J1615" t="str">
            <v>Cll 59A N° 10A-56</v>
          </cell>
          <cell r="K1615" t="str">
            <v>17001</v>
          </cell>
          <cell r="L1615" t="str">
            <v>MANIZALES</v>
          </cell>
          <cell r="M1615" t="str">
            <v>3136228636</v>
          </cell>
        </row>
        <row r="1616">
          <cell r="A1616">
            <v>30237093</v>
          </cell>
          <cell r="B1616" t="str">
            <v>2</v>
          </cell>
          <cell r="C1616" t="str">
            <v/>
          </cell>
          <cell r="D1616" t="str">
            <v>NP</v>
          </cell>
          <cell r="E1616" t="str">
            <v>JUANITA</v>
          </cell>
          <cell r="F1616" t="str">
            <v>VILLEGAS CARDONA</v>
          </cell>
          <cell r="G1616" t="str">
            <v>VILLEGAS CARDONA JUANITA</v>
          </cell>
          <cell r="H1616" t="str">
            <v>IMVE</v>
          </cell>
          <cell r="I1616" t="str">
            <v>IMPUESTO SOBRE LAS VENTAS</v>
          </cell>
          <cell r="J1616" t="str">
            <v>CL 21 23 48</v>
          </cell>
          <cell r="K1616" t="str">
            <v>17001</v>
          </cell>
          <cell r="L1616" t="str">
            <v>MANIZALES</v>
          </cell>
          <cell r="M1616" t="str">
            <v>8872589</v>
          </cell>
        </row>
        <row r="1617">
          <cell r="A1617">
            <v>30237649</v>
          </cell>
          <cell r="B1617" t="str">
            <v/>
          </cell>
          <cell r="C1617" t="str">
            <v/>
          </cell>
          <cell r="D1617" t="str">
            <v>CC</v>
          </cell>
          <cell r="E1617" t="str">
            <v>JHULY ENHIT</v>
          </cell>
          <cell r="F1617" t="str">
            <v>MARIN ROMAN</v>
          </cell>
          <cell r="G1617" t="str">
            <v>MARIN ROMAN JHULY ENHIT</v>
          </cell>
          <cell r="H1617" t="str">
            <v>FUNC</v>
          </cell>
          <cell r="I1617" t="str">
            <v>FUNCIONARIO</v>
          </cell>
          <cell r="J1617" t="str">
            <v>CL 62 A   10   20</v>
          </cell>
          <cell r="K1617" t="str">
            <v>17001</v>
          </cell>
          <cell r="L1617" t="str">
            <v>MANIZALES</v>
          </cell>
          <cell r="M1617" t="str">
            <v>8751046</v>
          </cell>
        </row>
        <row r="1618">
          <cell r="A1618">
            <v>30237741</v>
          </cell>
          <cell r="B1618" t="str">
            <v/>
          </cell>
          <cell r="C1618" t="str">
            <v/>
          </cell>
          <cell r="D1618" t="str">
            <v>CC</v>
          </cell>
          <cell r="E1618" t="str">
            <v>CATALINA</v>
          </cell>
          <cell r="F1618" t="str">
            <v>LONDOÑO GIRALDO</v>
          </cell>
          <cell r="G1618" t="str">
            <v>LONDOÑO GIRALDO CATALINA</v>
          </cell>
          <cell r="H1618" t="str">
            <v>FUNC</v>
          </cell>
          <cell r="I1618" t="str">
            <v>FUNCIONARIO</v>
          </cell>
          <cell r="J1618" t="str">
            <v>CL 27   26   43</v>
          </cell>
          <cell r="K1618" t="str">
            <v>17001</v>
          </cell>
          <cell r="L1618" t="str">
            <v>MANIZALES</v>
          </cell>
          <cell r="M1618" t="str">
            <v>8840680</v>
          </cell>
        </row>
        <row r="1619">
          <cell r="A1619">
            <v>30237928</v>
          </cell>
          <cell r="B1619" t="str">
            <v>0</v>
          </cell>
          <cell r="C1619" t="str">
            <v/>
          </cell>
          <cell r="D1619" t="str">
            <v>CC</v>
          </cell>
          <cell r="E1619" t="str">
            <v>ANGELA MILENA</v>
          </cell>
          <cell r="F1619" t="str">
            <v>LONDOÑO MEJIA</v>
          </cell>
          <cell r="G1619" t="str">
            <v>LONDOÑO MEJIA ANGELA MILENA</v>
          </cell>
          <cell r="H1619" t="str">
            <v>FUNC</v>
          </cell>
          <cell r="I1619" t="str">
            <v>FUNCIONARIO</v>
          </cell>
          <cell r="J1619" t="str">
            <v>CR 13 9 57</v>
          </cell>
          <cell r="K1619" t="str">
            <v>17001</v>
          </cell>
          <cell r="L1619" t="str">
            <v>MANIZALES</v>
          </cell>
          <cell r="M1619" t="str">
            <v>3218031579</v>
          </cell>
        </row>
        <row r="1620">
          <cell r="A1620">
            <v>30238033</v>
          </cell>
          <cell r="B1620" t="str">
            <v>5</v>
          </cell>
          <cell r="C1620" t="str">
            <v/>
          </cell>
          <cell r="D1620" t="str">
            <v>NP</v>
          </cell>
          <cell r="E1620" t="str">
            <v>NATALIA</v>
          </cell>
          <cell r="F1620" t="str">
            <v>JARAMILLO GARCIA</v>
          </cell>
          <cell r="G1620" t="str">
            <v>JARAMILLO GARCIA NATALIA</v>
          </cell>
          <cell r="H1620" t="str">
            <v>RESI</v>
          </cell>
          <cell r="I1620" t="str">
            <v>REGIMEN SIMPLIFICADO</v>
          </cell>
          <cell r="J1620" t="str">
            <v>CR 28 C 69  23 ED MARRUECOS AP 301</v>
          </cell>
          <cell r="K1620" t="str">
            <v>17001</v>
          </cell>
          <cell r="L1620" t="str">
            <v>MANIZALES</v>
          </cell>
          <cell r="M1620" t="str">
            <v>3137371411</v>
          </cell>
        </row>
        <row r="1621">
          <cell r="A1621">
            <v>30238587</v>
          </cell>
          <cell r="B1621" t="str">
            <v/>
          </cell>
          <cell r="C1621" t="str">
            <v/>
          </cell>
          <cell r="D1621" t="str">
            <v>CC</v>
          </cell>
          <cell r="E1621" t="str">
            <v>NATALIA</v>
          </cell>
          <cell r="F1621" t="str">
            <v>BUITRAGO CEBALLOS</v>
          </cell>
          <cell r="G1621" t="str">
            <v>BUITRAGO CEBALLOS NATALIA</v>
          </cell>
          <cell r="H1621" t="str">
            <v>FUNC</v>
          </cell>
          <cell r="I1621" t="str">
            <v>FUNCIONARIO</v>
          </cell>
          <cell r="J1621" t="str">
            <v>CL 12   13 A 87</v>
          </cell>
          <cell r="K1621" t="str">
            <v>17001</v>
          </cell>
          <cell r="L1621" t="str">
            <v>MANIZALES</v>
          </cell>
          <cell r="M1621" t="str">
            <v>8833927</v>
          </cell>
        </row>
        <row r="1622">
          <cell r="A1622">
            <v>30238730</v>
          </cell>
          <cell r="B1622" t="str">
            <v>0</v>
          </cell>
          <cell r="C1622" t="str">
            <v/>
          </cell>
          <cell r="D1622" t="str">
            <v>NP</v>
          </cell>
          <cell r="E1622" t="str">
            <v>MARCHURY</v>
          </cell>
          <cell r="F1622" t="str">
            <v>OSORIO ARISTIZABAL</v>
          </cell>
          <cell r="G1622" t="str">
            <v>OSORIO ARISTIZABAL MARCHURY</v>
          </cell>
          <cell r="H1622" t="str">
            <v>NORE</v>
          </cell>
          <cell r="I1622" t="str">
            <v>NO RESPONSABLE DE IVA</v>
          </cell>
          <cell r="J1622" t="str">
            <v xml:space="preserve"> CR 24  26  18 BRR SAN JOAQUIN</v>
          </cell>
          <cell r="K1622" t="str">
            <v>17001</v>
          </cell>
          <cell r="L1622" t="str">
            <v>MANIZALES</v>
          </cell>
          <cell r="M1622" t="str">
            <v>3117382137</v>
          </cell>
        </row>
        <row r="1623">
          <cell r="A1623">
            <v>30238958</v>
          </cell>
          <cell r="B1623" t="str">
            <v>2</v>
          </cell>
          <cell r="C1623" t="str">
            <v/>
          </cell>
          <cell r="D1623" t="str">
            <v>NP</v>
          </cell>
          <cell r="E1623" t="str">
            <v>NATALIA GOMEZ URREA</v>
          </cell>
          <cell r="F1623" t="str">
            <v>GOMEZ URREA</v>
          </cell>
          <cell r="G1623" t="str">
            <v>GOMEZ URREA NATALIA GOMEZ URREA</v>
          </cell>
          <cell r="H1623" t="str">
            <v>NORE</v>
          </cell>
          <cell r="I1623" t="str">
            <v>NO RESPONSABLE DE IVA</v>
          </cell>
          <cell r="J1623" t="str">
            <v>CL 91 13 12 AP 201</v>
          </cell>
          <cell r="K1623" t="str">
            <v>03</v>
          </cell>
          <cell r="L1623" t="str">
            <v>BOGOTA</v>
          </cell>
          <cell r="M1623" t="str">
            <v>3174288092</v>
          </cell>
        </row>
        <row r="1624">
          <cell r="A1624">
            <v>30239063</v>
          </cell>
          <cell r="B1624" t="str">
            <v/>
          </cell>
          <cell r="C1624" t="str">
            <v/>
          </cell>
          <cell r="D1624" t="str">
            <v>CC</v>
          </cell>
          <cell r="E1624" t="str">
            <v>CLAUDIA ALEJANDRA</v>
          </cell>
          <cell r="F1624" t="str">
            <v>CARMONA LOAIZA</v>
          </cell>
          <cell r="G1624" t="str">
            <v>CARMONA LOAIZA CLAUDIA ALEJANDRA</v>
          </cell>
          <cell r="H1624" t="str">
            <v>FUNC</v>
          </cell>
          <cell r="I1624" t="str">
            <v>FUNCIONARIO</v>
          </cell>
          <cell r="J1624" t="str">
            <v>CL 23 68 40 AP 101</v>
          </cell>
          <cell r="K1624" t="str">
            <v>17001</v>
          </cell>
          <cell r="L1624" t="str">
            <v>MANIZALES</v>
          </cell>
          <cell r="M1624" t="str">
            <v>8841461</v>
          </cell>
        </row>
        <row r="1625">
          <cell r="A1625">
            <v>30239419</v>
          </cell>
          <cell r="B1625" t="str">
            <v/>
          </cell>
          <cell r="C1625" t="str">
            <v/>
          </cell>
          <cell r="D1625" t="str">
            <v>CC</v>
          </cell>
          <cell r="E1625" t="str">
            <v>DORA LUZ</v>
          </cell>
          <cell r="F1625" t="str">
            <v>ZULUAGA CORTES</v>
          </cell>
          <cell r="G1625" t="str">
            <v>ZULUAGA CORTES DORA LUZ</v>
          </cell>
          <cell r="H1625" t="str">
            <v>FUNC</v>
          </cell>
          <cell r="I1625" t="str">
            <v>FUNCIONARIO</v>
          </cell>
          <cell r="J1625" t="str">
            <v>CL 61 A   21 B   61</v>
          </cell>
          <cell r="K1625" t="str">
            <v>17001</v>
          </cell>
          <cell r="L1625" t="str">
            <v>MANIZALES</v>
          </cell>
          <cell r="M1625" t="str">
            <v>8904651</v>
          </cell>
        </row>
        <row r="1626">
          <cell r="A1626">
            <v>30239792</v>
          </cell>
          <cell r="B1626" t="str">
            <v/>
          </cell>
          <cell r="C1626" t="str">
            <v/>
          </cell>
          <cell r="D1626" t="str">
            <v>CC</v>
          </cell>
          <cell r="E1626" t="str">
            <v>ANDREA</v>
          </cell>
          <cell r="F1626" t="str">
            <v>OSORIO ESCOBAR</v>
          </cell>
          <cell r="G1626" t="str">
            <v>OSORIO ESCOBAR ANDREA</v>
          </cell>
          <cell r="H1626" t="str">
            <v>FUNC</v>
          </cell>
          <cell r="I1626" t="str">
            <v>FUNCIONARIO</v>
          </cell>
          <cell r="J1626" t="str">
            <v>CR 20 64 A 47</v>
          </cell>
          <cell r="K1626" t="str">
            <v>17001</v>
          </cell>
          <cell r="L1626" t="str">
            <v>MANIZALES</v>
          </cell>
          <cell r="M1626" t="str">
            <v>3206910196</v>
          </cell>
        </row>
        <row r="1627">
          <cell r="A1627">
            <v>30239932</v>
          </cell>
          <cell r="B1627" t="str">
            <v/>
          </cell>
          <cell r="C1627" t="str">
            <v/>
          </cell>
          <cell r="D1627" t="str">
            <v>CC</v>
          </cell>
          <cell r="E1627" t="str">
            <v>YULIANA</v>
          </cell>
          <cell r="F1627" t="str">
            <v>SALAZAR NOREÑA</v>
          </cell>
          <cell r="G1627" t="str">
            <v>SALAZAR NOREÑA YULIANA</v>
          </cell>
          <cell r="H1627" t="str">
            <v>FUNC</v>
          </cell>
          <cell r="I1627" t="str">
            <v>FUNCIONARIO</v>
          </cell>
          <cell r="J1627" t="str">
            <v>CL 30 31 B 13 BRR CERVANTES</v>
          </cell>
          <cell r="K1627" t="str">
            <v>17001</v>
          </cell>
          <cell r="L1627" t="str">
            <v>MANIZALES</v>
          </cell>
          <cell r="M1627" t="str">
            <v>8806573</v>
          </cell>
        </row>
        <row r="1628">
          <cell r="A1628">
            <v>30270605</v>
          </cell>
          <cell r="B1628" t="str">
            <v/>
          </cell>
          <cell r="C1628" t="str">
            <v/>
          </cell>
          <cell r="D1628" t="str">
            <v>CC</v>
          </cell>
          <cell r="E1628" t="str">
            <v>LUZ MARIA</v>
          </cell>
          <cell r="F1628" t="str">
            <v>PELAEZ VILLEGAS</v>
          </cell>
          <cell r="G1628" t="str">
            <v>PELAEZ VILLEGAS LUZ MARIA</v>
          </cell>
          <cell r="H1628" t="str">
            <v>FUNC</v>
          </cell>
          <cell r="I1628" t="str">
            <v>FUNCIONARIO</v>
          </cell>
          <cell r="J1628" t="str">
            <v>CALLE 65B NO. 28B-25 APTO 201</v>
          </cell>
          <cell r="K1628" t="str">
            <v>17001</v>
          </cell>
          <cell r="L1628" t="str">
            <v>MANIZALES</v>
          </cell>
          <cell r="M1628" t="str">
            <v>3122597935</v>
          </cell>
        </row>
        <row r="1629">
          <cell r="A1629">
            <v>30272076</v>
          </cell>
          <cell r="B1629" t="str">
            <v>5</v>
          </cell>
          <cell r="C1629" t="str">
            <v/>
          </cell>
          <cell r="D1629" t="str">
            <v>NP</v>
          </cell>
          <cell r="E1629" t="str">
            <v>LILIANA PATRICIA</v>
          </cell>
          <cell r="F1629" t="str">
            <v xml:space="preserve">VARGAS </v>
          </cell>
          <cell r="G1629" t="str">
            <v>LILIANA PATRICIA VARGAS</v>
          </cell>
          <cell r="H1629" t="str">
            <v>RECO</v>
          </cell>
          <cell r="I1629" t="str">
            <v>REGIMEN COMUN</v>
          </cell>
          <cell r="J1629" t="str">
            <v xml:space="preserve">CR 23N 64 B 33                          </v>
          </cell>
          <cell r="K1629" t="str">
            <v>17001</v>
          </cell>
          <cell r="L1629" t="str">
            <v>MANIZALES</v>
          </cell>
          <cell r="M1629" t="str">
            <v>8756262</v>
          </cell>
        </row>
        <row r="1630">
          <cell r="A1630">
            <v>30272404</v>
          </cell>
          <cell r="B1630" t="str">
            <v>8</v>
          </cell>
          <cell r="C1630" t="str">
            <v/>
          </cell>
          <cell r="D1630" t="str">
            <v>NP</v>
          </cell>
          <cell r="E1630" t="str">
            <v>GILMA</v>
          </cell>
          <cell r="F1630" t="str">
            <v>OROZCO CASTAÑO</v>
          </cell>
          <cell r="G1630" t="str">
            <v>OROZCO CASTAÑO GILMA</v>
          </cell>
          <cell r="H1630" t="str">
            <v>RECO</v>
          </cell>
          <cell r="I1630" t="str">
            <v>REGIMEN COMUN</v>
          </cell>
          <cell r="J1630" t="str">
            <v>CR 23  70 A  65</v>
          </cell>
          <cell r="K1630" t="str">
            <v>17001</v>
          </cell>
          <cell r="L1630" t="str">
            <v>MANIZALES</v>
          </cell>
          <cell r="M1630" t="str">
            <v>8867015</v>
          </cell>
        </row>
        <row r="1631">
          <cell r="A1631">
            <v>30273669</v>
          </cell>
          <cell r="B1631" t="str">
            <v/>
          </cell>
          <cell r="C1631" t="str">
            <v/>
          </cell>
          <cell r="D1631" t="str">
            <v>CC</v>
          </cell>
          <cell r="E1631" t="str">
            <v>MIRIAM CRISTINA</v>
          </cell>
          <cell r="F1631" t="str">
            <v xml:space="preserve"> MORALES RAMOS</v>
          </cell>
          <cell r="G1631" t="str">
            <v xml:space="preserve"> MORALES RAMOS MIRIAM CRISTINA</v>
          </cell>
          <cell r="H1631" t="str">
            <v>FUNC</v>
          </cell>
          <cell r="I1631" t="str">
            <v>FUNCIONARIO</v>
          </cell>
          <cell r="J1631" t="str">
            <v>CR 28 B 48 A 79</v>
          </cell>
          <cell r="K1631" t="str">
            <v>17001</v>
          </cell>
          <cell r="L1631" t="str">
            <v>MANIZALES</v>
          </cell>
          <cell r="M1631" t="str">
            <v>3005535029</v>
          </cell>
        </row>
        <row r="1632">
          <cell r="A1632">
            <v>30274188</v>
          </cell>
          <cell r="B1632" t="str">
            <v>0</v>
          </cell>
          <cell r="C1632" t="str">
            <v/>
          </cell>
          <cell r="D1632" t="str">
            <v>NP</v>
          </cell>
          <cell r="E1632" t="str">
            <v>LUZ MARY</v>
          </cell>
          <cell r="F1632" t="str">
            <v xml:space="preserve">GUTIERREZ </v>
          </cell>
          <cell r="G1632" t="str">
            <v>LUZ MARY GUTIERREZ</v>
          </cell>
          <cell r="H1632" t="str">
            <v>RECO</v>
          </cell>
          <cell r="I1632" t="str">
            <v>REGIMEN COMUN</v>
          </cell>
          <cell r="J1632" t="str">
            <v>PUERTO CARREÑO</v>
          </cell>
          <cell r="K1632" t="str">
            <v>99001</v>
          </cell>
          <cell r="L1632" t="str">
            <v>PUERTO CARREÑO</v>
          </cell>
          <cell r="M1632" t="str">
            <v>8756262</v>
          </cell>
        </row>
        <row r="1633">
          <cell r="A1633">
            <v>30274810</v>
          </cell>
          <cell r="B1633" t="str">
            <v/>
          </cell>
          <cell r="C1633" t="str">
            <v/>
          </cell>
          <cell r="D1633" t="str">
            <v>CC</v>
          </cell>
          <cell r="E1633" t="str">
            <v>PATRICIA</v>
          </cell>
          <cell r="F1633" t="str">
            <v>GOMEZ VILLEGAS</v>
          </cell>
          <cell r="G1633" t="str">
            <v>GOMEZ VILLEGAS PATRICIA</v>
          </cell>
          <cell r="H1633" t="str">
            <v>FUNC</v>
          </cell>
          <cell r="I1633" t="str">
            <v>FUNCIONARIO</v>
          </cell>
          <cell r="J1633" t="str">
            <v>CR 28 D   65   15</v>
          </cell>
          <cell r="K1633" t="str">
            <v>17001</v>
          </cell>
          <cell r="L1633" t="str">
            <v>MANIZALES</v>
          </cell>
          <cell r="M1633" t="str">
            <v>8874534</v>
          </cell>
        </row>
        <row r="1634">
          <cell r="A1634">
            <v>30276474</v>
          </cell>
          <cell r="B1634" t="str">
            <v>1</v>
          </cell>
          <cell r="C1634" t="str">
            <v/>
          </cell>
          <cell r="D1634" t="str">
            <v>NP</v>
          </cell>
          <cell r="E1634" t="str">
            <v>DORA NANCY</v>
          </cell>
          <cell r="F1634" t="str">
            <v>VARGAS CARDONA</v>
          </cell>
          <cell r="G1634" t="str">
            <v>VARGAS CARDONA DORA NANCY</v>
          </cell>
          <cell r="H1634" t="str">
            <v>RESI</v>
          </cell>
          <cell r="I1634" t="str">
            <v>REGIMEN SIMPLIFICADO</v>
          </cell>
          <cell r="J1634" t="str">
            <v>CL 25 20 23 CENTRO</v>
          </cell>
          <cell r="K1634" t="str">
            <v>17001</v>
          </cell>
          <cell r="L1634" t="str">
            <v>MANIZALES</v>
          </cell>
          <cell r="M1634" t="str">
            <v>8828695</v>
          </cell>
        </row>
        <row r="1635">
          <cell r="A1635">
            <v>30276606</v>
          </cell>
          <cell r="B1635" t="str">
            <v>7</v>
          </cell>
          <cell r="C1635" t="str">
            <v/>
          </cell>
          <cell r="D1635" t="str">
            <v>NP</v>
          </cell>
          <cell r="E1635" t="str">
            <v>LUZ MARIA</v>
          </cell>
          <cell r="F1635" t="str">
            <v>SOTO RIVERA</v>
          </cell>
          <cell r="G1635" t="str">
            <v xml:space="preserve">SOTO RIVERA LUZ MARIA                                       </v>
          </cell>
          <cell r="H1635" t="str">
            <v>RESI</v>
          </cell>
          <cell r="I1635" t="str">
            <v>REGIMEN SIMPLIFICADO</v>
          </cell>
          <cell r="J1635" t="str">
            <v xml:space="preserve">AVENIDA KEVIN ANGEL 64A 230             </v>
          </cell>
          <cell r="K1635" t="str">
            <v>17001</v>
          </cell>
          <cell r="L1635" t="str">
            <v>MANIZALES</v>
          </cell>
          <cell r="M1635" t="str">
            <v>8816300</v>
          </cell>
        </row>
        <row r="1636">
          <cell r="A1636">
            <v>30278243</v>
          </cell>
          <cell r="B1636" t="str">
            <v>6</v>
          </cell>
          <cell r="C1636" t="str">
            <v/>
          </cell>
          <cell r="D1636" t="str">
            <v>NP</v>
          </cell>
          <cell r="E1636" t="str">
            <v>ANA YOLIMA</v>
          </cell>
          <cell r="F1636" t="str">
            <v>GALINDO DUQUE</v>
          </cell>
          <cell r="G1636" t="str">
            <v>GALINDO DUQUE ANA YOLIMA</v>
          </cell>
          <cell r="H1636" t="str">
            <v>NORE</v>
          </cell>
          <cell r="I1636" t="str">
            <v>NO RESPONSABLE DE IVA</v>
          </cell>
          <cell r="J1636" t="str">
            <v xml:space="preserve"> CL 45 D 9 B 35</v>
          </cell>
          <cell r="K1636" t="str">
            <v>17001</v>
          </cell>
          <cell r="L1636" t="str">
            <v>MANIZALES</v>
          </cell>
          <cell r="M1636" t="str">
            <v>3122111902</v>
          </cell>
        </row>
        <row r="1637">
          <cell r="A1637">
            <v>30278820</v>
          </cell>
          <cell r="B1637" t="str">
            <v>6</v>
          </cell>
          <cell r="C1637" t="str">
            <v/>
          </cell>
          <cell r="D1637" t="str">
            <v>NP</v>
          </cell>
          <cell r="E1637" t="str">
            <v>NORMA LUCIA</v>
          </cell>
          <cell r="F1637" t="str">
            <v>ARIAS S</v>
          </cell>
          <cell r="G1637" t="str">
            <v>NORMA LUCIA ARIAS S</v>
          </cell>
          <cell r="H1637" t="str">
            <v>RECO</v>
          </cell>
          <cell r="I1637" t="str">
            <v>REGIMEN COMUN</v>
          </cell>
          <cell r="J1637" t="str">
            <v xml:space="preserve">CR 23 N 64 B 33                         </v>
          </cell>
          <cell r="K1637" t="str">
            <v>17001</v>
          </cell>
          <cell r="L1637" t="str">
            <v>MANIZALES</v>
          </cell>
          <cell r="M1637" t="str">
            <v>8756262</v>
          </cell>
        </row>
        <row r="1638">
          <cell r="A1638">
            <v>30279555</v>
          </cell>
          <cell r="B1638" t="str">
            <v>3</v>
          </cell>
          <cell r="C1638" t="str">
            <v/>
          </cell>
          <cell r="D1638" t="str">
            <v>NP</v>
          </cell>
          <cell r="E1638" t="str">
            <v>LILIANA</v>
          </cell>
          <cell r="F1638" t="str">
            <v>VALENCIA SOLORZA</v>
          </cell>
          <cell r="G1638" t="str">
            <v>VALENCIA SOLORZA LILIANA</v>
          </cell>
          <cell r="H1638" t="str">
            <v>NORE</v>
          </cell>
          <cell r="I1638" t="str">
            <v>NO RESPONSABLE DE IVA</v>
          </cell>
          <cell r="J1638" t="str">
            <v>CL 53 B 26 32 ED RINCON DE LA CALLEJA AP 201</v>
          </cell>
          <cell r="K1638" t="str">
            <v>17001</v>
          </cell>
          <cell r="L1638" t="str">
            <v>MANIZALES</v>
          </cell>
          <cell r="M1638" t="str">
            <v>3136512654</v>
          </cell>
        </row>
        <row r="1639">
          <cell r="A1639">
            <v>30280262</v>
          </cell>
          <cell r="B1639" t="str">
            <v/>
          </cell>
          <cell r="C1639" t="str">
            <v/>
          </cell>
          <cell r="D1639" t="str">
            <v>CC</v>
          </cell>
          <cell r="E1639" t="str">
            <v>NATALIA</v>
          </cell>
          <cell r="F1639" t="str">
            <v>MARULANDA MEJIA</v>
          </cell>
          <cell r="G1639" t="str">
            <v>MARULANDA MEJIA NATALIA</v>
          </cell>
          <cell r="H1639" t="str">
            <v>FUNC</v>
          </cell>
          <cell r="I1639" t="str">
            <v>FUNCIONARIO</v>
          </cell>
          <cell r="J1639" t="str">
            <v>CONDOMINIO RINCON DEL TREBOL CA 42</v>
          </cell>
          <cell r="K1639" t="str">
            <v>17001</v>
          </cell>
          <cell r="L1639" t="str">
            <v>MANIZALES</v>
          </cell>
          <cell r="M1639" t="str">
            <v>PND.</v>
          </cell>
        </row>
        <row r="1640">
          <cell r="A1640">
            <v>30281458</v>
          </cell>
          <cell r="B1640" t="str">
            <v>3</v>
          </cell>
          <cell r="C1640" t="str">
            <v/>
          </cell>
          <cell r="D1640" t="str">
            <v>NP</v>
          </cell>
          <cell r="E1640" t="str">
            <v>LUZ ELENA</v>
          </cell>
          <cell r="F1640" t="str">
            <v>BALLESTEROS PALACIOS</v>
          </cell>
          <cell r="G1640" t="str">
            <v>LUZ ELENA BALLESTEROS PALACIOS</v>
          </cell>
          <cell r="H1640" t="str">
            <v>RECO</v>
          </cell>
          <cell r="I1640" t="str">
            <v>REGIMEN COMUN</v>
          </cell>
          <cell r="J1640" t="str">
            <v xml:space="preserve">CR 23 N 64 B 33                         </v>
          </cell>
          <cell r="K1640" t="str">
            <v>17001</v>
          </cell>
          <cell r="L1640" t="str">
            <v>MANIZALES</v>
          </cell>
          <cell r="M1640" t="str">
            <v>8756262</v>
          </cell>
        </row>
        <row r="1641">
          <cell r="A1641">
            <v>30281782</v>
          </cell>
          <cell r="B1641" t="str">
            <v/>
          </cell>
          <cell r="C1641" t="str">
            <v/>
          </cell>
          <cell r="D1641" t="str">
            <v>CC</v>
          </cell>
          <cell r="E1641" t="str">
            <v>AMPARO</v>
          </cell>
          <cell r="F1641" t="str">
            <v>GIRALDO GIRALDO</v>
          </cell>
          <cell r="G1641" t="str">
            <v>GIRALDO GIRALDO AMPARO</v>
          </cell>
          <cell r="H1641" t="str">
            <v>RECO</v>
          </cell>
          <cell r="I1641" t="str">
            <v>REGIMEN COMUN</v>
          </cell>
          <cell r="J1641" t="str">
            <v>CR 20 N 17-28</v>
          </cell>
          <cell r="K1641" t="str">
            <v>17001</v>
          </cell>
          <cell r="L1641" t="str">
            <v>MANIZALES</v>
          </cell>
          <cell r="M1641" t="str">
            <v>8808070</v>
          </cell>
        </row>
        <row r="1642">
          <cell r="A1642">
            <v>30281965</v>
          </cell>
          <cell r="B1642" t="str">
            <v>6</v>
          </cell>
          <cell r="C1642" t="str">
            <v/>
          </cell>
          <cell r="D1642" t="str">
            <v>NP</v>
          </cell>
          <cell r="E1642" t="str">
            <v>LUZ MARINA</v>
          </cell>
          <cell r="F1642" t="str">
            <v>OROZCO ARANZAZU</v>
          </cell>
          <cell r="G1642" t="str">
            <v>OROZCO ARANZAZU LUZ MARINA</v>
          </cell>
          <cell r="H1642" t="str">
            <v>NORE</v>
          </cell>
          <cell r="I1642" t="str">
            <v>NO RESPONSABLE DE IVA</v>
          </cell>
          <cell r="J1642" t="str">
            <v>CL 53 B  26 52</v>
          </cell>
          <cell r="K1642" t="str">
            <v>17001</v>
          </cell>
          <cell r="L1642" t="str">
            <v>MANIZALES</v>
          </cell>
          <cell r="M1642" t="str">
            <v>3128837701</v>
          </cell>
        </row>
        <row r="1643">
          <cell r="A1643">
            <v>30282052</v>
          </cell>
          <cell r="B1643" t="str">
            <v/>
          </cell>
          <cell r="C1643" t="str">
            <v/>
          </cell>
          <cell r="D1643" t="str">
            <v>CC</v>
          </cell>
          <cell r="E1643" t="str">
            <v>PATRICIA ESTRADA</v>
          </cell>
          <cell r="F1643" t="str">
            <v>ESTRADA</v>
          </cell>
          <cell r="G1643" t="str">
            <v>ESTRADA PATRICIA ESTRADA</v>
          </cell>
          <cell r="H1643" t="str">
            <v>RESI</v>
          </cell>
          <cell r="I1643" t="str">
            <v>REGIMEN SIMPLIFICADO</v>
          </cell>
          <cell r="J1643" t="str">
            <v>CENTRO COMERCIAL PARQUE CALDAS</v>
          </cell>
          <cell r="K1643" t="str">
            <v>17001</v>
          </cell>
          <cell r="L1643" t="str">
            <v>MANIZALES</v>
          </cell>
          <cell r="M1643" t="str">
            <v>30282052</v>
          </cell>
        </row>
        <row r="1644">
          <cell r="A1644">
            <v>30282761</v>
          </cell>
          <cell r="B1644" t="str">
            <v>5</v>
          </cell>
          <cell r="C1644" t="str">
            <v/>
          </cell>
          <cell r="D1644" t="str">
            <v>NP</v>
          </cell>
          <cell r="E1644" t="str">
            <v>MARIA ELENA</v>
          </cell>
          <cell r="F1644" t="str">
            <v>PATIÑO URREGO</v>
          </cell>
          <cell r="G1644" t="str">
            <v>PATIÑO URREGO MARIA ELENA</v>
          </cell>
          <cell r="H1644" t="str">
            <v>REOR</v>
          </cell>
          <cell r="I1644" t="str">
            <v>RENTA REGIMEN ORDINARIO</v>
          </cell>
          <cell r="J1644" t="str">
            <v>CR 23 N 64-36</v>
          </cell>
          <cell r="K1644" t="str">
            <v>17001</v>
          </cell>
          <cell r="L1644" t="str">
            <v>MANIZALES</v>
          </cell>
          <cell r="M1644" t="str">
            <v>8859651</v>
          </cell>
        </row>
        <row r="1645">
          <cell r="A1645">
            <v>30285124</v>
          </cell>
          <cell r="B1645" t="str">
            <v/>
          </cell>
          <cell r="C1645" t="str">
            <v/>
          </cell>
          <cell r="D1645" t="str">
            <v>CC</v>
          </cell>
          <cell r="E1645" t="str">
            <v>LUZ ESTELLA SERNA VALENCIA</v>
          </cell>
          <cell r="F1645" t="str">
            <v>LUZ ESTELLA SERNA VALENCIA</v>
          </cell>
          <cell r="G1645" t="str">
            <v>LUZ ESTELLA SERNA VALENCIA LUZ ESTELLA SERNA VALENCIA</v>
          </cell>
          <cell r="H1645" t="str">
            <v>FUNC</v>
          </cell>
          <cell r="I1645" t="str">
            <v>FUNCIONARIO</v>
          </cell>
          <cell r="J1645" t="str">
            <v>CR 23 47 65 P 2 AV SANTANDER</v>
          </cell>
          <cell r="K1645" t="str">
            <v>17001</v>
          </cell>
          <cell r="L1645" t="str">
            <v>MANIZALES</v>
          </cell>
          <cell r="M1645" t="str">
            <v>8859078</v>
          </cell>
        </row>
        <row r="1646">
          <cell r="A1646">
            <v>30285267</v>
          </cell>
          <cell r="B1646" t="str">
            <v>1</v>
          </cell>
          <cell r="C1646" t="str">
            <v/>
          </cell>
          <cell r="D1646" t="str">
            <v>NP</v>
          </cell>
          <cell r="E1646" t="str">
            <v>OLGA LUCIA</v>
          </cell>
          <cell r="F1646" t="str">
            <v>GONZALEZ V</v>
          </cell>
          <cell r="G1646" t="str">
            <v>GONZALEZ V OLGA LUCIA</v>
          </cell>
          <cell r="H1646" t="str">
            <v>RESI</v>
          </cell>
          <cell r="I1646" t="str">
            <v>REGIMEN SIMPLIFICADO</v>
          </cell>
          <cell r="J1646" t="str">
            <v>CR 23 C   62   46</v>
          </cell>
          <cell r="K1646" t="str">
            <v>17001</v>
          </cell>
          <cell r="L1646" t="str">
            <v>MANIZALES</v>
          </cell>
          <cell r="M1646" t="str">
            <v>8850865</v>
          </cell>
        </row>
        <row r="1647">
          <cell r="A1647">
            <v>30285798</v>
          </cell>
          <cell r="B1647" t="str">
            <v>0</v>
          </cell>
          <cell r="C1647" t="str">
            <v/>
          </cell>
          <cell r="D1647" t="str">
            <v>NP</v>
          </cell>
          <cell r="E1647" t="str">
            <v xml:space="preserve">EUGENIO </v>
          </cell>
          <cell r="F1647" t="str">
            <v>DIAZ ALVARADO</v>
          </cell>
          <cell r="G1647" t="str">
            <v>EUGENIO DIAZ ALVARADO</v>
          </cell>
          <cell r="H1647" t="str">
            <v>RECO</v>
          </cell>
          <cell r="I1647" t="str">
            <v>REGIMEN COMUN</v>
          </cell>
          <cell r="J1647" t="str">
            <v xml:space="preserve">CR 23 N 64 B 33                         </v>
          </cell>
          <cell r="K1647" t="str">
            <v>17001</v>
          </cell>
          <cell r="L1647" t="str">
            <v>MANIZALES</v>
          </cell>
          <cell r="M1647" t="str">
            <v>8756262</v>
          </cell>
        </row>
        <row r="1648">
          <cell r="A1648">
            <v>30287879</v>
          </cell>
          <cell r="B1648" t="str">
            <v>8</v>
          </cell>
          <cell r="C1648" t="str">
            <v/>
          </cell>
          <cell r="D1648" t="str">
            <v>NP</v>
          </cell>
          <cell r="E1648" t="str">
            <v>LUZ AMPARO</v>
          </cell>
          <cell r="F1648" t="str">
            <v>NAVARRETE</v>
          </cell>
          <cell r="G1648" t="str">
            <v>NAVARRETE LUZ AMPARO</v>
          </cell>
          <cell r="H1648" t="str">
            <v>RECO</v>
          </cell>
          <cell r="I1648" t="str">
            <v>REGIMEN COMUN</v>
          </cell>
          <cell r="J1648" t="str">
            <v>CR 22   24   24</v>
          </cell>
          <cell r="K1648" t="str">
            <v>17001</v>
          </cell>
          <cell r="L1648" t="str">
            <v>MANIZALES</v>
          </cell>
          <cell r="M1648" t="str">
            <v>8830299</v>
          </cell>
        </row>
        <row r="1649">
          <cell r="A1649">
            <v>30288439</v>
          </cell>
          <cell r="B1649" t="str">
            <v>5</v>
          </cell>
          <cell r="C1649" t="str">
            <v/>
          </cell>
          <cell r="D1649" t="str">
            <v>NP</v>
          </cell>
          <cell r="E1649" t="str">
            <v>BLANCA LADY</v>
          </cell>
          <cell r="F1649" t="str">
            <v>PIÑEROS CASTAÑO</v>
          </cell>
          <cell r="G1649" t="str">
            <v>BLANCA LADY PIÑEROS CASTAÑO</v>
          </cell>
          <cell r="H1649" t="str">
            <v>RECO</v>
          </cell>
          <cell r="I1649" t="str">
            <v>REGIMEN COMUN</v>
          </cell>
          <cell r="J1649" t="str">
            <v xml:space="preserve">CR 23 N 64B 33 TO GENSA         </v>
          </cell>
          <cell r="K1649" t="str">
            <v>17001</v>
          </cell>
          <cell r="L1649" t="str">
            <v>MANIZALES</v>
          </cell>
          <cell r="M1649" t="str">
            <v>8756262</v>
          </cell>
        </row>
        <row r="1650">
          <cell r="A1650">
            <v>30288864</v>
          </cell>
          <cell r="B1650" t="str">
            <v>2</v>
          </cell>
          <cell r="C1650" t="str">
            <v/>
          </cell>
          <cell r="D1650" t="str">
            <v>NP</v>
          </cell>
          <cell r="E1650" t="str">
            <v>DORIS EUGENIA</v>
          </cell>
          <cell r="F1650" t="str">
            <v>GOMEZ GAVIRIA</v>
          </cell>
          <cell r="G1650" t="str">
            <v>GOMEZ GAVIRIA DORIS EUGENIA</v>
          </cell>
          <cell r="H1650" t="str">
            <v>RESI</v>
          </cell>
          <cell r="I1650" t="str">
            <v>REGIMEN SIMPLIFICADO</v>
          </cell>
          <cell r="J1650" t="str">
            <v>CR 23 C 62 73 BRR PALOGRANDE</v>
          </cell>
          <cell r="K1650" t="str">
            <v>17001</v>
          </cell>
          <cell r="L1650" t="str">
            <v>MANIZALES</v>
          </cell>
          <cell r="M1650" t="str">
            <v>3185873725</v>
          </cell>
        </row>
        <row r="1651">
          <cell r="A1651">
            <v>30289518</v>
          </cell>
          <cell r="B1651" t="str">
            <v>3</v>
          </cell>
          <cell r="C1651" t="str">
            <v/>
          </cell>
          <cell r="D1651" t="str">
            <v>NP</v>
          </cell>
          <cell r="E1651" t="str">
            <v>CARMEN YANETH</v>
          </cell>
          <cell r="F1651" t="str">
            <v>GIL RIOS</v>
          </cell>
          <cell r="G1651" t="str">
            <v>GIL RIOS CARMEN YANETH</v>
          </cell>
          <cell r="H1651" t="str">
            <v>NORE</v>
          </cell>
          <cell r="I1651" t="str">
            <v>NO RESPONSABLE DE IVA</v>
          </cell>
          <cell r="J1651" t="str">
            <v>CL 45 30 12 BRR ALAMOS</v>
          </cell>
          <cell r="K1651" t="str">
            <v>17001</v>
          </cell>
          <cell r="L1651" t="str">
            <v>MANIZALES</v>
          </cell>
          <cell r="M1651" t="str">
            <v>8884532</v>
          </cell>
        </row>
        <row r="1652">
          <cell r="A1652">
            <v>30289719</v>
          </cell>
          <cell r="B1652" t="str">
            <v/>
          </cell>
          <cell r="C1652" t="str">
            <v/>
          </cell>
          <cell r="D1652" t="str">
            <v>CC</v>
          </cell>
          <cell r="E1652" t="str">
            <v>ANA LIGIA</v>
          </cell>
          <cell r="F1652" t="str">
            <v>LOPEZ ORTIZ</v>
          </cell>
          <cell r="G1652" t="str">
            <v>LOPEZ ORTIZ ANA LIGIA</v>
          </cell>
          <cell r="H1652" t="str">
            <v>FUNC</v>
          </cell>
          <cell r="I1652" t="str">
            <v>FUNCIONARIO</v>
          </cell>
          <cell r="J1652" t="str">
            <v>CL 105 29 44 AP</v>
          </cell>
          <cell r="K1652" t="str">
            <v>17001</v>
          </cell>
          <cell r="L1652" t="str">
            <v>MANIZALES</v>
          </cell>
          <cell r="M1652" t="str">
            <v>8744216</v>
          </cell>
        </row>
        <row r="1653">
          <cell r="A1653">
            <v>30290154</v>
          </cell>
          <cell r="B1653" t="str">
            <v>8</v>
          </cell>
          <cell r="C1653" t="str">
            <v/>
          </cell>
          <cell r="D1653" t="str">
            <v>NP</v>
          </cell>
          <cell r="E1653" t="str">
            <v>PATRICIA LILIANA</v>
          </cell>
          <cell r="F1653" t="str">
            <v>OBANDO JIMENEZ</v>
          </cell>
          <cell r="G1653" t="str">
            <v>PATRICIA LILIANA OBANDO JIMENEZ</v>
          </cell>
          <cell r="H1653" t="str">
            <v>RECO</v>
          </cell>
          <cell r="I1653" t="str">
            <v>REGIMEN COMUN</v>
          </cell>
          <cell r="J1653" t="str">
            <v xml:space="preserve">CR 23 N 64 B 33 TO GENSA        </v>
          </cell>
          <cell r="K1653" t="str">
            <v>17001</v>
          </cell>
          <cell r="L1653" t="str">
            <v>MANIZALES</v>
          </cell>
          <cell r="M1653" t="str">
            <v>8756262</v>
          </cell>
        </row>
        <row r="1654">
          <cell r="A1654">
            <v>30290426</v>
          </cell>
          <cell r="B1654" t="str">
            <v>6</v>
          </cell>
          <cell r="C1654" t="str">
            <v/>
          </cell>
          <cell r="D1654" t="str">
            <v>NP</v>
          </cell>
          <cell r="E1654" t="str">
            <v>MARINA</v>
          </cell>
          <cell r="F1654" t="str">
            <v>GONZALEZ MURCIA</v>
          </cell>
          <cell r="G1654" t="str">
            <v>GONZALEZ MURCIA MARINA</v>
          </cell>
          <cell r="H1654" t="str">
            <v>RESI</v>
          </cell>
          <cell r="I1654" t="str">
            <v>REGIMEN SIMPLIFICADO</v>
          </cell>
          <cell r="J1654" t="str">
            <v>CL 12  7 C  34 AP 401</v>
          </cell>
          <cell r="K1654" t="str">
            <v>17001</v>
          </cell>
          <cell r="L1654" t="str">
            <v>MANIZALES</v>
          </cell>
          <cell r="M1654" t="str">
            <v>8886346</v>
          </cell>
        </row>
        <row r="1655">
          <cell r="A1655">
            <v>30290901</v>
          </cell>
          <cell r="B1655" t="str">
            <v>3</v>
          </cell>
          <cell r="C1655" t="str">
            <v/>
          </cell>
          <cell r="D1655" t="str">
            <v>NP</v>
          </cell>
          <cell r="E1655" t="str">
            <v>GLORIA INES</v>
          </cell>
          <cell r="F1655" t="str">
            <v>VILLA SANCHEZ</v>
          </cell>
          <cell r="G1655" t="str">
            <v>GLORIA INES VILLA SANCHEZ</v>
          </cell>
          <cell r="H1655" t="str">
            <v>RECO</v>
          </cell>
          <cell r="I1655" t="str">
            <v>REGIMEN COMUN</v>
          </cell>
          <cell r="J1655" t="str">
            <v xml:space="preserve">CR 23 N 64 B 33 TO GENSA        </v>
          </cell>
          <cell r="K1655" t="str">
            <v>17001</v>
          </cell>
          <cell r="L1655" t="str">
            <v>MANIZALES</v>
          </cell>
          <cell r="M1655" t="str">
            <v>8756262</v>
          </cell>
        </row>
        <row r="1656">
          <cell r="A1656">
            <v>30290984</v>
          </cell>
          <cell r="B1656" t="str">
            <v>4</v>
          </cell>
          <cell r="C1656" t="str">
            <v/>
          </cell>
          <cell r="D1656" t="str">
            <v>NP</v>
          </cell>
          <cell r="E1656" t="str">
            <v xml:space="preserve">WILLIAM </v>
          </cell>
          <cell r="F1656" t="str">
            <v xml:space="preserve">SANCHEZ </v>
          </cell>
          <cell r="G1656" t="str">
            <v>WILLIAM SANCHEZ</v>
          </cell>
          <cell r="H1656" t="str">
            <v>RECO</v>
          </cell>
          <cell r="I1656" t="str">
            <v>REGIMEN COMUN</v>
          </cell>
          <cell r="J1656" t="str">
            <v xml:space="preserve">CR 23 N 64 B 33 TO GENSA        </v>
          </cell>
          <cell r="K1656" t="str">
            <v>17001</v>
          </cell>
          <cell r="L1656" t="str">
            <v>MANIZALES</v>
          </cell>
          <cell r="M1656" t="str">
            <v>8756262</v>
          </cell>
        </row>
        <row r="1657">
          <cell r="A1657">
            <v>30291360</v>
          </cell>
          <cell r="B1657" t="str">
            <v>3</v>
          </cell>
          <cell r="C1657" t="str">
            <v/>
          </cell>
          <cell r="D1657" t="str">
            <v>NP</v>
          </cell>
          <cell r="E1657" t="str">
            <v>FRANCIA ELENA</v>
          </cell>
          <cell r="F1657" t="str">
            <v>QUINTERO ARIAS</v>
          </cell>
          <cell r="G1657" t="str">
            <v>QUINTERO ARIAS FRANCIA ELENA</v>
          </cell>
          <cell r="H1657" t="str">
            <v>RESI</v>
          </cell>
          <cell r="I1657" t="str">
            <v>REGIMEN SIMPLIFICADO</v>
          </cell>
          <cell r="J1657" t="str">
            <v>VDA EL ARROYO CHALET</v>
          </cell>
          <cell r="K1657" t="str">
            <v>17873</v>
          </cell>
          <cell r="L1657" t="str">
            <v>VILLAMARÍA</v>
          </cell>
          <cell r="M1657" t="str">
            <v>8801180</v>
          </cell>
        </row>
        <row r="1658">
          <cell r="A1658">
            <v>30291366</v>
          </cell>
          <cell r="B1658" t="str">
            <v>7</v>
          </cell>
          <cell r="C1658" t="str">
            <v/>
          </cell>
          <cell r="D1658" t="str">
            <v>NP</v>
          </cell>
          <cell r="E1658" t="str">
            <v>BEATRIZ ELENA</v>
          </cell>
          <cell r="F1658" t="str">
            <v>BUITRAGO CASTAÑO</v>
          </cell>
          <cell r="G1658" t="str">
            <v>BUITRAGO CASTAÑO BEATRIZ ELENA</v>
          </cell>
          <cell r="H1658" t="str">
            <v>RESI</v>
          </cell>
          <cell r="I1658" t="str">
            <v>REGIMEN SIMPLIFICADO</v>
          </cell>
          <cell r="J1658" t="str">
            <v>CL 69   27   113</v>
          </cell>
          <cell r="K1658" t="str">
            <v>17001</v>
          </cell>
          <cell r="L1658" t="str">
            <v>MANIZALES</v>
          </cell>
          <cell r="M1658" t="str">
            <v>8874201</v>
          </cell>
        </row>
        <row r="1659">
          <cell r="A1659">
            <v>30293471</v>
          </cell>
          <cell r="B1659" t="str">
            <v/>
          </cell>
          <cell r="C1659" t="str">
            <v/>
          </cell>
          <cell r="D1659" t="str">
            <v>CC</v>
          </cell>
          <cell r="E1659" t="str">
            <v>LUZ MARY</v>
          </cell>
          <cell r="F1659" t="str">
            <v>JARAMILLO VALENCIA</v>
          </cell>
          <cell r="G1659" t="str">
            <v>JARAMILLO VALENCIA LUZ MARY</v>
          </cell>
          <cell r="H1659" t="str">
            <v>RESI</v>
          </cell>
          <cell r="I1659" t="str">
            <v>REGIMEN SIMPLIFICADO</v>
          </cell>
          <cell r="J1659" t="str">
            <v>CL 51 N 21-51</v>
          </cell>
          <cell r="K1659" t="str">
            <v>17001</v>
          </cell>
          <cell r="L1659" t="str">
            <v>MANIZALES</v>
          </cell>
          <cell r="M1659" t="str">
            <v>8904399</v>
          </cell>
        </row>
        <row r="1660">
          <cell r="A1660">
            <v>30294813</v>
          </cell>
          <cell r="B1660" t="str">
            <v/>
          </cell>
          <cell r="C1660" t="str">
            <v/>
          </cell>
          <cell r="D1660" t="str">
            <v>CC</v>
          </cell>
          <cell r="E1660" t="str">
            <v>OLGA LUCIA</v>
          </cell>
          <cell r="F1660" t="str">
            <v>SALAZAR JIMENEZ</v>
          </cell>
          <cell r="G1660" t="str">
            <v>OLGA LUCIA SALAZAR JIMENEZ ALMACEN RTCSALAZAR JIMENEZ OLGA LUCIA</v>
          </cell>
          <cell r="H1660" t="str">
            <v>RESI</v>
          </cell>
          <cell r="I1660" t="str">
            <v>REGIMEN SIMPLIFICADO</v>
          </cell>
          <cell r="J1660" t="str">
            <v>CR 24 N 55-91</v>
          </cell>
          <cell r="K1660" t="str">
            <v>17001</v>
          </cell>
          <cell r="L1660" t="str">
            <v>MANIZALES</v>
          </cell>
          <cell r="M1660" t="str">
            <v>8853143</v>
          </cell>
        </row>
        <row r="1661">
          <cell r="A1661">
            <v>30298089</v>
          </cell>
          <cell r="B1661" t="str">
            <v>3</v>
          </cell>
          <cell r="C1661" t="str">
            <v/>
          </cell>
          <cell r="D1661" t="str">
            <v>NP</v>
          </cell>
          <cell r="E1661" t="str">
            <v>JAQUELINE</v>
          </cell>
          <cell r="F1661" t="str">
            <v>GONZALEZ CASTELLANOS</v>
          </cell>
          <cell r="G1661" t="str">
            <v>GONZALEZ CASTELLANOS JAQUELINE</v>
          </cell>
          <cell r="H1661" t="str">
            <v>RESI</v>
          </cell>
          <cell r="I1661" t="str">
            <v>REGIMEN SIMPLIFICADO</v>
          </cell>
          <cell r="J1661" t="str">
            <v>CR 23   64 B   33 LC 4</v>
          </cell>
          <cell r="K1661" t="str">
            <v>17001</v>
          </cell>
          <cell r="L1661" t="str">
            <v>MANIZALES</v>
          </cell>
          <cell r="M1661" t="str">
            <v>8756305</v>
          </cell>
        </row>
        <row r="1662">
          <cell r="A1662">
            <v>30298182</v>
          </cell>
          <cell r="B1662" t="str">
            <v/>
          </cell>
          <cell r="C1662" t="str">
            <v/>
          </cell>
          <cell r="D1662" t="str">
            <v>CC</v>
          </cell>
          <cell r="E1662" t="str">
            <v>CLAUDIA CRISTINA</v>
          </cell>
          <cell r="F1662" t="str">
            <v>HERNANDEZ GIRALDO</v>
          </cell>
          <cell r="G1662" t="str">
            <v>HERNANDEZ GIRALDO CLAUDIA CRISTINA</v>
          </cell>
          <cell r="H1662" t="str">
            <v>FUNC</v>
          </cell>
          <cell r="I1662" t="str">
            <v>FUNCIONARIO</v>
          </cell>
          <cell r="J1662" t="str">
            <v>CL 15 N 9 26</v>
          </cell>
          <cell r="K1662" t="str">
            <v>17001</v>
          </cell>
          <cell r="L1662" t="str">
            <v>MANIZALES</v>
          </cell>
          <cell r="M1662" t="str">
            <v>7407641</v>
          </cell>
        </row>
        <row r="1663">
          <cell r="A1663">
            <v>30298189</v>
          </cell>
          <cell r="B1663" t="str">
            <v>1</v>
          </cell>
          <cell r="C1663" t="str">
            <v/>
          </cell>
          <cell r="D1663" t="str">
            <v>NP</v>
          </cell>
          <cell r="E1663" t="str">
            <v>LINA MARIA</v>
          </cell>
          <cell r="F1663" t="str">
            <v>SALAZAR MEJIA</v>
          </cell>
          <cell r="G1663" t="str">
            <v>SALAZAR MEJIA LINA MARIA</v>
          </cell>
          <cell r="H1663" t="str">
            <v>RCPN</v>
          </cell>
          <cell r="I1663" t="str">
            <v>RESPONSABLE IVA PERSONA NATURAL</v>
          </cell>
          <cell r="J1663" t="str">
            <v>CR 23 25 24 AP 10 B</v>
          </cell>
          <cell r="K1663" t="str">
            <v>17001</v>
          </cell>
          <cell r="L1663" t="str">
            <v>MANIZALES</v>
          </cell>
          <cell r="M1663" t="str">
            <v>8831067</v>
          </cell>
        </row>
        <row r="1664">
          <cell r="A1664">
            <v>30298384</v>
          </cell>
          <cell r="B1664" t="str">
            <v/>
          </cell>
          <cell r="C1664" t="str">
            <v/>
          </cell>
          <cell r="D1664" t="str">
            <v>CC</v>
          </cell>
          <cell r="E1664" t="str">
            <v>OLGA LUCIA</v>
          </cell>
          <cell r="F1664" t="str">
            <v>VELEZ ARIAS</v>
          </cell>
          <cell r="G1664" t="str">
            <v>VELEZ ARIAS OLGA LUCIA</v>
          </cell>
          <cell r="H1664" t="str">
            <v>FUNC</v>
          </cell>
          <cell r="I1664" t="str">
            <v>FUNCIONARIO</v>
          </cell>
          <cell r="J1664" t="str">
            <v>CL 50   27 B 69 AP 501 A</v>
          </cell>
          <cell r="K1664" t="str">
            <v>17001</v>
          </cell>
          <cell r="L1664" t="str">
            <v>MANIZALES</v>
          </cell>
          <cell r="M1664" t="str">
            <v>8857206</v>
          </cell>
        </row>
        <row r="1665">
          <cell r="A1665">
            <v>30298926</v>
          </cell>
          <cell r="B1665" t="str">
            <v/>
          </cell>
          <cell r="C1665" t="str">
            <v/>
          </cell>
          <cell r="D1665" t="str">
            <v>CC</v>
          </cell>
          <cell r="E1665" t="str">
            <v>CLAUDIA LILIANA</v>
          </cell>
          <cell r="F1665" t="str">
            <v>VASCO RIVERA</v>
          </cell>
          <cell r="G1665" t="str">
            <v>VASCO RIVERA CLAUDIA LILIANA</v>
          </cell>
          <cell r="H1665" t="str">
            <v>RESI</v>
          </cell>
          <cell r="I1665" t="str">
            <v>REGIMEN SIMPLIFICADO</v>
          </cell>
          <cell r="J1665" t="str">
            <v>BRR BOSQUES DE LA SIERRA  CA 14</v>
          </cell>
          <cell r="K1665" t="str">
            <v>17001</v>
          </cell>
          <cell r="L1665" t="str">
            <v>MANIZALES</v>
          </cell>
          <cell r="M1665" t="str">
            <v>8816794</v>
          </cell>
        </row>
        <row r="1666">
          <cell r="A1666">
            <v>30299177</v>
          </cell>
          <cell r="B1666" t="str">
            <v>8</v>
          </cell>
          <cell r="C1666" t="str">
            <v/>
          </cell>
          <cell r="D1666" t="str">
            <v>NP</v>
          </cell>
          <cell r="E1666" t="str">
            <v>CLAUDIA PATRICIA</v>
          </cell>
          <cell r="F1666" t="str">
            <v>FLOREZ OSORIO</v>
          </cell>
          <cell r="G1666" t="str">
            <v>FLOREZ OSORIO CLAUDIA PATRICIA</v>
          </cell>
          <cell r="H1666" t="str">
            <v>RESI</v>
          </cell>
          <cell r="I1666" t="str">
            <v>REGIMEN SIMPLIFICADO</v>
          </cell>
          <cell r="J1666" t="str">
            <v>CL 65 B 28 05 AP 201 ED CORALES</v>
          </cell>
          <cell r="K1666" t="str">
            <v>17001</v>
          </cell>
          <cell r="L1666" t="str">
            <v>MANIZALES</v>
          </cell>
          <cell r="M1666" t="str">
            <v>8874325</v>
          </cell>
        </row>
        <row r="1667">
          <cell r="A1667">
            <v>30299779</v>
          </cell>
          <cell r="B1667" t="str">
            <v>1</v>
          </cell>
          <cell r="C1667" t="str">
            <v/>
          </cell>
          <cell r="D1667" t="str">
            <v>NP</v>
          </cell>
          <cell r="E1667" t="str">
            <v>MONICA</v>
          </cell>
          <cell r="F1667" t="str">
            <v>ARISTIZABAL BOTERO</v>
          </cell>
          <cell r="G1667" t="str">
            <v>ARISTIZABAL BOTERO  MONICA</v>
          </cell>
          <cell r="H1667" t="str">
            <v>RECO</v>
          </cell>
          <cell r="I1667" t="str">
            <v>REGIMEN COMUN</v>
          </cell>
          <cell r="J1667" t="str">
            <v xml:space="preserve">CR 23 N 64 B 33 TO GENSA        </v>
          </cell>
          <cell r="K1667" t="str">
            <v>17001</v>
          </cell>
          <cell r="L1667" t="str">
            <v>MANIZALES</v>
          </cell>
          <cell r="M1667" t="str">
            <v>8756262</v>
          </cell>
        </row>
        <row r="1668">
          <cell r="A1668">
            <v>30299879</v>
          </cell>
          <cell r="B1668" t="str">
            <v>1</v>
          </cell>
          <cell r="C1668" t="str">
            <v/>
          </cell>
          <cell r="D1668" t="str">
            <v>NP</v>
          </cell>
          <cell r="E1668" t="str">
            <v>MARIA ISABEL</v>
          </cell>
          <cell r="F1668" t="str">
            <v>RESTREPO HURTADO</v>
          </cell>
          <cell r="G1668" t="str">
            <v>MARIA ISABEL RESTREPO HURTADO</v>
          </cell>
          <cell r="H1668" t="str">
            <v>RECO</v>
          </cell>
          <cell r="I1668" t="str">
            <v>REGIMEN COMUN</v>
          </cell>
          <cell r="J1668" t="str">
            <v xml:space="preserve">CR 23 N 64 B 33 TO GENSA        </v>
          </cell>
          <cell r="K1668" t="str">
            <v>17001</v>
          </cell>
          <cell r="L1668" t="str">
            <v>MANIZALES</v>
          </cell>
          <cell r="M1668" t="str">
            <v>8756262</v>
          </cell>
        </row>
        <row r="1669">
          <cell r="A1669">
            <v>30300075</v>
          </cell>
          <cell r="B1669" t="str">
            <v>9</v>
          </cell>
          <cell r="C1669" t="str">
            <v/>
          </cell>
          <cell r="D1669" t="str">
            <v>NP</v>
          </cell>
          <cell r="E1669" t="str">
            <v>CARMEN UGED</v>
          </cell>
          <cell r="F1669" t="str">
            <v>BUITRAGO TORRES</v>
          </cell>
          <cell r="G1669" t="str">
            <v>BUITRAGO TORRES CARMEN UGED</v>
          </cell>
          <cell r="H1669" t="str">
            <v>REOR</v>
          </cell>
          <cell r="I1669" t="str">
            <v>RENTA REGIMEN ORDINARIO</v>
          </cell>
          <cell r="J1669" t="str">
            <v>CR 5 6 47</v>
          </cell>
          <cell r="K1669" t="str">
            <v>17873</v>
          </cell>
          <cell r="L1669" t="str">
            <v>VILLAMARÍA</v>
          </cell>
          <cell r="M1669" t="str">
            <v>8776379</v>
          </cell>
        </row>
        <row r="1670">
          <cell r="A1670">
            <v>30300148</v>
          </cell>
          <cell r="B1670" t="str">
            <v>8</v>
          </cell>
          <cell r="C1670" t="str">
            <v/>
          </cell>
          <cell r="D1670" t="str">
            <v>NP</v>
          </cell>
          <cell r="E1670" t="str">
            <v>GLORIA ESPERANZA</v>
          </cell>
          <cell r="F1670" t="str">
            <v>LOPEZ ROMAN</v>
          </cell>
          <cell r="G1670" t="str">
            <v>LOPEZ ROMAN GLORIA ESPERANZA</v>
          </cell>
          <cell r="H1670" t="str">
            <v>RESI</v>
          </cell>
          <cell r="I1670" t="str">
            <v>REGIMEN SIMPLIFICADO</v>
          </cell>
          <cell r="J1670" t="str">
            <v>CONTIGUO A LA UNIVERSIDAD ANTONIO NARIÑO ALTO TABLAZO</v>
          </cell>
          <cell r="K1670" t="str">
            <v>17001</v>
          </cell>
          <cell r="L1670" t="str">
            <v>MANIZALES</v>
          </cell>
          <cell r="M1670" t="str">
            <v>8899330</v>
          </cell>
        </row>
        <row r="1671">
          <cell r="A1671">
            <v>30300909</v>
          </cell>
          <cell r="B1671" t="str">
            <v/>
          </cell>
          <cell r="C1671" t="str">
            <v/>
          </cell>
          <cell r="D1671" t="str">
            <v>CC</v>
          </cell>
          <cell r="E1671" t="str">
            <v>MARIA ELENA</v>
          </cell>
          <cell r="F1671" t="str">
            <v>GOMEZ BETANCURT</v>
          </cell>
          <cell r="G1671" t="str">
            <v>GOMEZ BETANCURT MARIA ELENA</v>
          </cell>
          <cell r="H1671" t="str">
            <v>FUNC</v>
          </cell>
          <cell r="I1671" t="str">
            <v>FUNCIONARIO</v>
          </cell>
          <cell r="J1671" t="str">
            <v>CR 22 46 09</v>
          </cell>
          <cell r="K1671" t="str">
            <v>17001</v>
          </cell>
          <cell r="L1671" t="str">
            <v>MANIZALES</v>
          </cell>
          <cell r="M1671" t="str">
            <v>3002352074</v>
          </cell>
        </row>
        <row r="1672">
          <cell r="A1672">
            <v>30302564</v>
          </cell>
          <cell r="B1672" t="str">
            <v/>
          </cell>
          <cell r="C1672" t="str">
            <v/>
          </cell>
          <cell r="D1672" t="str">
            <v>CC</v>
          </cell>
          <cell r="E1672" t="str">
            <v>DIANA</v>
          </cell>
          <cell r="F1672" t="str">
            <v>TABARES FLOREZ</v>
          </cell>
          <cell r="G1672" t="str">
            <v>TABARES FLOREZ DIANA</v>
          </cell>
          <cell r="H1672" t="str">
            <v>FUNC</v>
          </cell>
          <cell r="I1672" t="str">
            <v>FUNCIONARIO</v>
          </cell>
          <cell r="J1672" t="str">
            <v>CARRERA 21 NO. 65A-48</v>
          </cell>
          <cell r="K1672" t="str">
            <v>17001</v>
          </cell>
          <cell r="L1672" t="str">
            <v>MANIZALES</v>
          </cell>
          <cell r="M1672" t="str">
            <v>8890913</v>
          </cell>
        </row>
        <row r="1673">
          <cell r="A1673">
            <v>30302645</v>
          </cell>
          <cell r="B1673" t="str">
            <v>6</v>
          </cell>
          <cell r="C1673" t="str">
            <v/>
          </cell>
          <cell r="D1673" t="str">
            <v>NP</v>
          </cell>
          <cell r="E1673" t="str">
            <v>MARTHA LILIAN</v>
          </cell>
          <cell r="F1673" t="str">
            <v>ARANGO MENDOZA</v>
          </cell>
          <cell r="G1673" t="str">
            <v>ARANGO MENDOZA MARTHA LILIAN</v>
          </cell>
          <cell r="H1673" t="str">
            <v>RESI</v>
          </cell>
          <cell r="I1673" t="str">
            <v>REGIMEN SIMPLIFICADO</v>
          </cell>
          <cell r="J1673" t="str">
            <v>CL 53 A 11 48 BRR VILLA HERMOSA</v>
          </cell>
          <cell r="K1673" t="str">
            <v>17001</v>
          </cell>
          <cell r="L1673" t="str">
            <v>MANIZALES</v>
          </cell>
          <cell r="M1673" t="str">
            <v>8860447</v>
          </cell>
        </row>
        <row r="1674">
          <cell r="A1674">
            <v>30303564</v>
          </cell>
          <cell r="B1674" t="str">
            <v>2</v>
          </cell>
          <cell r="C1674" t="str">
            <v/>
          </cell>
          <cell r="D1674" t="str">
            <v>NP</v>
          </cell>
          <cell r="E1674" t="str">
            <v>HILDA MARIA</v>
          </cell>
          <cell r="F1674" t="str">
            <v>ECHEVERRY J</v>
          </cell>
          <cell r="G1674" t="str">
            <v>ECHEVERRY J HILDA MARIA</v>
          </cell>
          <cell r="H1674" t="str">
            <v>RESI</v>
          </cell>
          <cell r="I1674" t="str">
            <v>REGIMEN SIMPLIFICADO</v>
          </cell>
          <cell r="J1674" t="str">
            <v>CL 64 24 61</v>
          </cell>
          <cell r="K1674" t="str">
            <v>17001</v>
          </cell>
          <cell r="L1674" t="str">
            <v>MANIZALES</v>
          </cell>
          <cell r="M1674" t="str">
            <v>8855598</v>
          </cell>
        </row>
        <row r="1675">
          <cell r="A1675">
            <v>30303936</v>
          </cell>
          <cell r="B1675" t="str">
            <v>9</v>
          </cell>
          <cell r="C1675" t="str">
            <v/>
          </cell>
          <cell r="D1675" t="str">
            <v>NP</v>
          </cell>
          <cell r="E1675" t="str">
            <v>MARIA LETICIA</v>
          </cell>
          <cell r="F1675" t="str">
            <v>ARCILA PULGARIN</v>
          </cell>
          <cell r="G1675" t="str">
            <v>ARCILA PULGARIN MARIA LETICIA</v>
          </cell>
          <cell r="H1675" t="str">
            <v>RESI</v>
          </cell>
          <cell r="I1675" t="str">
            <v>REGIMEN SIMPLIFICADO</v>
          </cell>
          <cell r="J1675" t="str">
            <v>CR 7 66 45</v>
          </cell>
          <cell r="K1675" t="str">
            <v>17001</v>
          </cell>
          <cell r="L1675" t="str">
            <v>MANIZALES</v>
          </cell>
          <cell r="M1675" t="str">
            <v>8915923</v>
          </cell>
        </row>
        <row r="1676">
          <cell r="A1676">
            <v>30304062</v>
          </cell>
          <cell r="B1676" t="str">
            <v/>
          </cell>
          <cell r="C1676" t="str">
            <v/>
          </cell>
          <cell r="D1676" t="str">
            <v>CC</v>
          </cell>
          <cell r="E1676" t="str">
            <v>LILIANA PATRICIA</v>
          </cell>
          <cell r="F1676" t="str">
            <v>MUÑOZ ZULUAGA</v>
          </cell>
          <cell r="G1676" t="str">
            <v>MUÑOZ ZULUAGA LILIANA PATRICIA</v>
          </cell>
          <cell r="H1676" t="str">
            <v>FUNC</v>
          </cell>
          <cell r="I1676" t="str">
            <v>FUNCIONARIO</v>
          </cell>
          <cell r="J1676" t="str">
            <v>CR 27   65 B   19</v>
          </cell>
          <cell r="K1676" t="str">
            <v>17001</v>
          </cell>
          <cell r="L1676" t="str">
            <v>MANIZALES</v>
          </cell>
          <cell r="M1676" t="str">
            <v>8716139</v>
          </cell>
        </row>
        <row r="1677">
          <cell r="A1677">
            <v>30304214</v>
          </cell>
          <cell r="B1677" t="str">
            <v>4</v>
          </cell>
          <cell r="C1677" t="str">
            <v/>
          </cell>
          <cell r="D1677" t="str">
            <v>NP</v>
          </cell>
          <cell r="E1677" t="str">
            <v>MARCELA</v>
          </cell>
          <cell r="F1677" t="str">
            <v>BUITRAGO GONZALEZ</v>
          </cell>
          <cell r="G1677" t="str">
            <v>BUITRAGO GONZALEZ MARCELA</v>
          </cell>
          <cell r="H1677" t="str">
            <v>RESI</v>
          </cell>
          <cell r="I1677" t="str">
            <v>REGIMEN SIMPLIFICADO</v>
          </cell>
          <cell r="J1677" t="str">
            <v>BRR SAN MARCEL CALLE 93 A 30  54 AP 8</v>
          </cell>
          <cell r="K1677" t="str">
            <v>17001</v>
          </cell>
          <cell r="L1677" t="str">
            <v>MANIZALES</v>
          </cell>
          <cell r="M1677" t="str">
            <v>8848682</v>
          </cell>
        </row>
        <row r="1678">
          <cell r="A1678">
            <v>30305003</v>
          </cell>
          <cell r="B1678" t="str">
            <v>1</v>
          </cell>
          <cell r="C1678" t="str">
            <v/>
          </cell>
          <cell r="D1678" t="str">
            <v>NP</v>
          </cell>
          <cell r="E1678" t="str">
            <v>ISABEL CRISTINA</v>
          </cell>
          <cell r="F1678" t="str">
            <v>CUERVO ALZATE</v>
          </cell>
          <cell r="G1678" t="str">
            <v>ISABEL CRISTINA CUERVO ALZATE</v>
          </cell>
          <cell r="H1678" t="str">
            <v>RECO</v>
          </cell>
          <cell r="I1678" t="str">
            <v>REGIMEN COMUN</v>
          </cell>
          <cell r="J1678" t="str">
            <v xml:space="preserve">CR 23 N 64 B 33 TO GENSA        </v>
          </cell>
          <cell r="K1678" t="str">
            <v>17001</v>
          </cell>
          <cell r="L1678" t="str">
            <v>MANIZALES</v>
          </cell>
          <cell r="M1678" t="str">
            <v>8756262</v>
          </cell>
        </row>
        <row r="1679">
          <cell r="A1679">
            <v>30306668</v>
          </cell>
          <cell r="B1679" t="str">
            <v>3</v>
          </cell>
          <cell r="C1679" t="str">
            <v/>
          </cell>
          <cell r="D1679" t="str">
            <v>NP</v>
          </cell>
          <cell r="E1679" t="str">
            <v>ADRIANA</v>
          </cell>
          <cell r="F1679" t="str">
            <v>VELEZ OCAMPO</v>
          </cell>
          <cell r="G1679" t="str">
            <v>VELEZ OCAMPO ADRIANA</v>
          </cell>
          <cell r="H1679" t="str">
            <v>NORE</v>
          </cell>
          <cell r="I1679" t="str">
            <v>NO RESPONSABLE DE IVA</v>
          </cell>
          <cell r="J1679" t="str">
            <v>CR 27 A 66 30 CS 304 BRR SANCANCIO</v>
          </cell>
          <cell r="K1679" t="str">
            <v>17001</v>
          </cell>
          <cell r="L1679" t="str">
            <v>MANIZALES</v>
          </cell>
          <cell r="M1679" t="str">
            <v>3104322029</v>
          </cell>
        </row>
        <row r="1680">
          <cell r="A1680">
            <v>30306770</v>
          </cell>
          <cell r="B1680" t="str">
            <v>7</v>
          </cell>
          <cell r="C1680" t="str">
            <v/>
          </cell>
          <cell r="D1680" t="str">
            <v>NP</v>
          </cell>
          <cell r="E1680" t="str">
            <v>LUZ AMPARO</v>
          </cell>
          <cell r="F1680" t="str">
            <v>FRANCO CARDENAS</v>
          </cell>
          <cell r="G1680" t="str">
            <v>FRANCO CARDENAS LUZ AMPARO</v>
          </cell>
          <cell r="H1680" t="str">
            <v>NORE</v>
          </cell>
          <cell r="I1680" t="str">
            <v>NO RESPONSABLE DE IVA</v>
          </cell>
          <cell r="J1680" t="str">
            <v>CR 7 A 8 126</v>
          </cell>
          <cell r="K1680" t="str">
            <v>17001</v>
          </cell>
          <cell r="L1680" t="str">
            <v>MANIZALES</v>
          </cell>
          <cell r="M1680" t="str">
            <v>8830466</v>
          </cell>
        </row>
        <row r="1681">
          <cell r="A1681">
            <v>30307488</v>
          </cell>
          <cell r="B1681" t="str">
            <v>9</v>
          </cell>
          <cell r="C1681" t="str">
            <v/>
          </cell>
          <cell r="D1681" t="str">
            <v>NP</v>
          </cell>
          <cell r="E1681" t="str">
            <v>LUZ AIDEE</v>
          </cell>
          <cell r="F1681" t="str">
            <v>LOPEZ OSORIO</v>
          </cell>
          <cell r="G1681" t="str">
            <v>LOPEZ OSORIO LUZ AIDEE</v>
          </cell>
          <cell r="H1681" t="str">
            <v>RESI</v>
          </cell>
          <cell r="I1681" t="str">
            <v>REGIMEN SIMPLIFICADO</v>
          </cell>
          <cell r="J1681" t="str">
            <v>CARRERA 41 # 47  - 71</v>
          </cell>
          <cell r="K1681" t="str">
            <v>17001</v>
          </cell>
          <cell r="L1681" t="str">
            <v>MANIZALES</v>
          </cell>
          <cell r="M1681" t="str">
            <v>3168782680</v>
          </cell>
        </row>
        <row r="1682">
          <cell r="A1682">
            <v>30307590</v>
          </cell>
          <cell r="B1682" t="str">
            <v>2</v>
          </cell>
          <cell r="C1682" t="str">
            <v/>
          </cell>
          <cell r="D1682" t="str">
            <v>NP</v>
          </cell>
          <cell r="E1682" t="str">
            <v>LINA MARIA</v>
          </cell>
          <cell r="F1682" t="str">
            <v>ARANGO RUIZ</v>
          </cell>
          <cell r="G1682" t="str">
            <v>LINA MARIA ARANGO RUIZ</v>
          </cell>
          <cell r="H1682" t="str">
            <v>RESI</v>
          </cell>
          <cell r="I1682" t="str">
            <v>REGIMEN SIMPLIFICADO</v>
          </cell>
          <cell r="J1682" t="str">
            <v>CR 23 40 99 AP 416 B</v>
          </cell>
          <cell r="K1682" t="str">
            <v>17001</v>
          </cell>
          <cell r="L1682" t="str">
            <v>MANIZALES</v>
          </cell>
          <cell r="M1682" t="str">
            <v>8882343</v>
          </cell>
        </row>
        <row r="1683">
          <cell r="A1683">
            <v>30307806</v>
          </cell>
          <cell r="B1683" t="str">
            <v/>
          </cell>
          <cell r="C1683" t="str">
            <v/>
          </cell>
          <cell r="D1683" t="str">
            <v>CC</v>
          </cell>
          <cell r="E1683" t="str">
            <v>ZORAIDA</v>
          </cell>
          <cell r="F1683" t="str">
            <v>CARDENAS RAMOS</v>
          </cell>
          <cell r="G1683" t="str">
            <v>CARDENAS RAMOS ZORAIDA</v>
          </cell>
          <cell r="H1683" t="str">
            <v>FUNC</v>
          </cell>
          <cell r="I1683" t="str">
            <v>FUNCIONARIO</v>
          </cell>
          <cell r="J1683" t="str">
            <v>CR 10 CL 6 NORTE FCA LA GLORIA</v>
          </cell>
          <cell r="K1683" t="str">
            <v>17001</v>
          </cell>
          <cell r="L1683" t="str">
            <v>MANIZALES</v>
          </cell>
          <cell r="M1683" t="str">
            <v>3015401389</v>
          </cell>
        </row>
        <row r="1684">
          <cell r="A1684">
            <v>30307939</v>
          </cell>
          <cell r="B1684" t="str">
            <v>9</v>
          </cell>
          <cell r="C1684" t="str">
            <v/>
          </cell>
          <cell r="D1684" t="str">
            <v>NP</v>
          </cell>
          <cell r="E1684" t="str">
            <v>CONSTANZA</v>
          </cell>
          <cell r="F1684" t="str">
            <v>FRAUME RESTREPO</v>
          </cell>
          <cell r="G1684" t="str">
            <v>FRAUME RESTREPO CONSTANZA</v>
          </cell>
          <cell r="H1684" t="str">
            <v>RESI</v>
          </cell>
          <cell r="I1684" t="str">
            <v>REGIMEN SIMPLIFICADO</v>
          </cell>
          <cell r="J1684" t="str">
            <v>EDIFICIO BALCONES DE MILAN CR 23 71 117 AP 4 C</v>
          </cell>
          <cell r="K1684" t="str">
            <v>17001</v>
          </cell>
          <cell r="L1684" t="str">
            <v>MANIZALES</v>
          </cell>
          <cell r="M1684" t="str">
            <v>3105158380</v>
          </cell>
        </row>
        <row r="1685">
          <cell r="A1685">
            <v>30309431</v>
          </cell>
          <cell r="B1685" t="str">
            <v/>
          </cell>
          <cell r="C1685" t="str">
            <v/>
          </cell>
          <cell r="D1685" t="str">
            <v>CC</v>
          </cell>
          <cell r="E1685" t="str">
            <v>CLAUDIA MARCELA</v>
          </cell>
          <cell r="F1685" t="str">
            <v>GIRALDO MONTES</v>
          </cell>
          <cell r="G1685" t="str">
            <v>GIRALDO MONTES CLAUDIA MARCELA</v>
          </cell>
          <cell r="H1685" t="str">
            <v>FUNC</v>
          </cell>
          <cell r="I1685" t="str">
            <v>FUNCIONARIO</v>
          </cell>
          <cell r="J1685" t="str">
            <v>CL 50 N 26 97</v>
          </cell>
          <cell r="K1685" t="str">
            <v>17001</v>
          </cell>
          <cell r="L1685" t="str">
            <v>MANIZALES</v>
          </cell>
          <cell r="M1685" t="str">
            <v>3104161919</v>
          </cell>
        </row>
        <row r="1686">
          <cell r="A1686">
            <v>30311145</v>
          </cell>
          <cell r="B1686" t="str">
            <v/>
          </cell>
          <cell r="C1686" t="str">
            <v/>
          </cell>
          <cell r="D1686" t="str">
            <v>CC</v>
          </cell>
          <cell r="E1686" t="str">
            <v>MARIA DEL PILAR</v>
          </cell>
          <cell r="F1686" t="str">
            <v>RUEDA CARMONA</v>
          </cell>
          <cell r="G1686" t="str">
            <v>RUEDA CARMONA MARIA DEL PILAR</v>
          </cell>
          <cell r="H1686" t="str">
            <v>FUNC</v>
          </cell>
          <cell r="I1686" t="str">
            <v>FUNCIONARIO</v>
          </cell>
          <cell r="J1686" t="str">
            <v>CL 41 26 A 22</v>
          </cell>
          <cell r="K1686" t="str">
            <v>17001</v>
          </cell>
          <cell r="L1686" t="str">
            <v>MANIZALES</v>
          </cell>
          <cell r="M1686" t="str">
            <v>3128698004</v>
          </cell>
        </row>
        <row r="1687">
          <cell r="A1687">
            <v>30311504</v>
          </cell>
          <cell r="B1687" t="str">
            <v>4</v>
          </cell>
          <cell r="C1687" t="str">
            <v/>
          </cell>
          <cell r="D1687" t="str">
            <v>NP</v>
          </cell>
          <cell r="E1687" t="str">
            <v>MARTHA CECILIA</v>
          </cell>
          <cell r="F1687" t="str">
            <v>GIRALDO ZULUAGA</v>
          </cell>
          <cell r="G1687" t="str">
            <v>GIRALDO ZULUAGA MARTHA CECILIA</v>
          </cell>
          <cell r="H1687" t="str">
            <v>RESI</v>
          </cell>
          <cell r="I1687" t="str">
            <v>REGIMEN SIMPLIFICADO</v>
          </cell>
          <cell r="J1687" t="str">
            <v>CR 23 65 77 LC 3</v>
          </cell>
          <cell r="K1687" t="str">
            <v>17001</v>
          </cell>
          <cell r="L1687" t="str">
            <v>MANIZALES</v>
          </cell>
          <cell r="M1687" t="str">
            <v>8816169</v>
          </cell>
        </row>
        <row r="1688">
          <cell r="A1688">
            <v>30311525</v>
          </cell>
          <cell r="B1688" t="str">
            <v>9</v>
          </cell>
          <cell r="C1688" t="str">
            <v/>
          </cell>
          <cell r="D1688" t="str">
            <v>NP</v>
          </cell>
          <cell r="E1688" t="str">
            <v>BEATRIZ ELENA</v>
          </cell>
          <cell r="F1688" t="str">
            <v>SANCHEZ POSADA</v>
          </cell>
          <cell r="G1688" t="str">
            <v>SANCHEZ POSADA BEATRIZ ELENA</v>
          </cell>
          <cell r="H1688" t="str">
            <v>RESI</v>
          </cell>
          <cell r="I1688" t="str">
            <v>REGIMEN SIMPLIFICADO</v>
          </cell>
          <cell r="J1688" t="str">
            <v>CR 20 B 58 A 01</v>
          </cell>
          <cell r="K1688" t="str">
            <v>17001</v>
          </cell>
          <cell r="L1688" t="str">
            <v>MANIZALES</v>
          </cell>
          <cell r="M1688" t="str">
            <v>3147997693</v>
          </cell>
        </row>
        <row r="1689">
          <cell r="A1689">
            <v>30311532</v>
          </cell>
          <cell r="B1689" t="str">
            <v/>
          </cell>
          <cell r="C1689" t="str">
            <v/>
          </cell>
          <cell r="D1689" t="str">
            <v>CC</v>
          </cell>
          <cell r="E1689" t="str">
            <v>MARTHA ELENA</v>
          </cell>
          <cell r="F1689" t="str">
            <v>ARISTIZABAL GARCIA</v>
          </cell>
          <cell r="G1689" t="str">
            <v>ARISTIZABAL GARCIA MARTHA ELENA</v>
          </cell>
          <cell r="H1689" t="str">
            <v>FUNC</v>
          </cell>
          <cell r="I1689" t="str">
            <v>FUNCIONARIO</v>
          </cell>
          <cell r="J1689" t="str">
            <v>CL 9 B   11   80</v>
          </cell>
          <cell r="K1689" t="str">
            <v>17001</v>
          </cell>
          <cell r="L1689" t="str">
            <v>MANIZALES</v>
          </cell>
          <cell r="M1689" t="str">
            <v>8823785</v>
          </cell>
        </row>
        <row r="1690">
          <cell r="A1690">
            <v>30311904</v>
          </cell>
          <cell r="B1690" t="str">
            <v>7</v>
          </cell>
          <cell r="C1690" t="str">
            <v/>
          </cell>
          <cell r="D1690" t="str">
            <v>NP</v>
          </cell>
          <cell r="E1690" t="str">
            <v>MARIA TERESA</v>
          </cell>
          <cell r="F1690" t="str">
            <v>RESTREPO ZULUAGA</v>
          </cell>
          <cell r="G1690" t="str">
            <v>RESTREPO ZULUAGA MARIA TERESA</v>
          </cell>
          <cell r="H1690" t="str">
            <v>RESI</v>
          </cell>
          <cell r="I1690" t="str">
            <v>REGIMEN SIMPLIFICADO</v>
          </cell>
          <cell r="J1690" t="str">
            <v>CR 22 67A 164 BRR LAURELES</v>
          </cell>
          <cell r="K1690" t="str">
            <v>17001</v>
          </cell>
          <cell r="L1690" t="str">
            <v>MANIZALES</v>
          </cell>
          <cell r="M1690" t="str">
            <v>8868984</v>
          </cell>
        </row>
        <row r="1691">
          <cell r="A1691">
            <v>30312387</v>
          </cell>
          <cell r="B1691" t="str">
            <v>3</v>
          </cell>
          <cell r="C1691" t="str">
            <v/>
          </cell>
          <cell r="D1691" t="str">
            <v>NP</v>
          </cell>
          <cell r="E1691" t="str">
            <v>DIANA ZOHE</v>
          </cell>
          <cell r="F1691" t="str">
            <v>OCHOA ALZATE</v>
          </cell>
          <cell r="G1691" t="str">
            <v>OCHOA ALZATE DIANA ZOHE</v>
          </cell>
          <cell r="H1691" t="str">
            <v>NORE</v>
          </cell>
          <cell r="I1691" t="str">
            <v>NO RESPONSABLE DE IVA</v>
          </cell>
          <cell r="J1691" t="str">
            <v>CL 62 22 28 AP 403 ED TORRE DE LA RAMBLA</v>
          </cell>
          <cell r="K1691" t="str">
            <v>17001</v>
          </cell>
          <cell r="L1691" t="str">
            <v>MANIZALES</v>
          </cell>
          <cell r="M1691" t="str">
            <v>3113659078</v>
          </cell>
        </row>
        <row r="1692">
          <cell r="A1692">
            <v>30312690</v>
          </cell>
          <cell r="B1692" t="str">
            <v/>
          </cell>
          <cell r="C1692" t="str">
            <v/>
          </cell>
          <cell r="D1692" t="str">
            <v>CC</v>
          </cell>
          <cell r="E1692" t="str">
            <v>MONICA</v>
          </cell>
          <cell r="F1692" t="str">
            <v>ARIAS GOMEZ</v>
          </cell>
          <cell r="G1692" t="str">
            <v>ARIAS GOMEZ MONICA</v>
          </cell>
          <cell r="H1692" t="str">
            <v>FUNC</v>
          </cell>
          <cell r="I1692" t="str">
            <v>FUNCIONARIO</v>
          </cell>
          <cell r="J1692" t="str">
            <v>CL 66 A   9 A 95 BRR LA SULTANA</v>
          </cell>
          <cell r="K1692" t="str">
            <v>17001</v>
          </cell>
          <cell r="L1692" t="str">
            <v>MANIZALES</v>
          </cell>
          <cell r="M1692" t="str">
            <v>8751939</v>
          </cell>
        </row>
        <row r="1693">
          <cell r="A1693">
            <v>30312988</v>
          </cell>
          <cell r="B1693" t="str">
            <v/>
          </cell>
          <cell r="C1693" t="str">
            <v/>
          </cell>
          <cell r="D1693" t="str">
            <v>CC</v>
          </cell>
          <cell r="E1693" t="str">
            <v>MARTHA SOLEDAD</v>
          </cell>
          <cell r="F1693" t="str">
            <v>MEDINA DIAZ</v>
          </cell>
          <cell r="G1693" t="str">
            <v>MEDINA DIAZ MARTHA SOLEDAD</v>
          </cell>
          <cell r="H1693" t="str">
            <v>FUNC</v>
          </cell>
          <cell r="I1693" t="str">
            <v>FUNCIONARIO</v>
          </cell>
          <cell r="J1693" t="str">
            <v>CRA 19 No48B-69</v>
          </cell>
          <cell r="K1693" t="str">
            <v>17001</v>
          </cell>
          <cell r="L1693" t="str">
            <v>MANIZALES</v>
          </cell>
          <cell r="M1693" t="str">
            <v>3175765609</v>
          </cell>
        </row>
        <row r="1694">
          <cell r="A1694">
            <v>30313330</v>
          </cell>
          <cell r="B1694" t="str">
            <v/>
          </cell>
          <cell r="C1694" t="str">
            <v/>
          </cell>
          <cell r="D1694" t="str">
            <v>CC</v>
          </cell>
          <cell r="E1694" t="str">
            <v>ISABEL CRISTINA</v>
          </cell>
          <cell r="F1694" t="str">
            <v>VILLA ARIAS</v>
          </cell>
          <cell r="G1694" t="str">
            <v>VILLA ARIAS ISABEL CRISTINA</v>
          </cell>
          <cell r="H1694" t="str">
            <v>FUNC</v>
          </cell>
          <cell r="I1694" t="str">
            <v>FUNCIONARIO</v>
          </cell>
          <cell r="J1694" t="str">
            <v>CLLE 38 NO 35-69 BARRIO ARRAYANES</v>
          </cell>
          <cell r="K1694" t="str">
            <v>17001</v>
          </cell>
          <cell r="L1694" t="str">
            <v>MANIZALES</v>
          </cell>
          <cell r="M1694" t="str">
            <v>8880564</v>
          </cell>
        </row>
        <row r="1695">
          <cell r="A1695">
            <v>30314263</v>
          </cell>
          <cell r="B1695" t="str">
            <v/>
          </cell>
          <cell r="C1695" t="str">
            <v/>
          </cell>
          <cell r="D1695" t="str">
            <v>CC</v>
          </cell>
          <cell r="E1695" t="str">
            <v>MARIA ESTELA</v>
          </cell>
          <cell r="F1695" t="str">
            <v>MORALES MARIN</v>
          </cell>
          <cell r="G1695" t="str">
            <v>MORALES MARIN MARIA ESTELA</v>
          </cell>
          <cell r="H1695" t="str">
            <v>RESI</v>
          </cell>
          <cell r="I1695" t="str">
            <v>REGIMEN SIMPLIFICADO</v>
          </cell>
          <cell r="J1695" t="str">
            <v>CR 23 51 36</v>
          </cell>
          <cell r="K1695" t="str">
            <v>17001</v>
          </cell>
          <cell r="L1695" t="str">
            <v>MANIZALES</v>
          </cell>
          <cell r="M1695" t="str">
            <v>8851442</v>
          </cell>
        </row>
        <row r="1696">
          <cell r="A1696">
            <v>30315982</v>
          </cell>
          <cell r="B1696" t="str">
            <v>1</v>
          </cell>
          <cell r="C1696" t="str">
            <v/>
          </cell>
          <cell r="D1696" t="str">
            <v>NP</v>
          </cell>
          <cell r="E1696" t="str">
            <v>BERTA INES</v>
          </cell>
          <cell r="F1696" t="str">
            <v>FRANCO BEDOYA</v>
          </cell>
          <cell r="G1696" t="str">
            <v>FRANCO BEDOYA BERTA INES</v>
          </cell>
          <cell r="H1696" t="str">
            <v>REOR</v>
          </cell>
          <cell r="I1696" t="str">
            <v>RENTA REGIMEN ORDINARIO</v>
          </cell>
          <cell r="J1696" t="str">
            <v>CR 23 CL 51 ED PLAZA 51 LC 13</v>
          </cell>
          <cell r="K1696" t="str">
            <v>17001</v>
          </cell>
          <cell r="L1696" t="str">
            <v>MANIZALES</v>
          </cell>
          <cell r="M1696" t="str">
            <v>3128322520</v>
          </cell>
        </row>
        <row r="1697">
          <cell r="A1697">
            <v>30316658</v>
          </cell>
          <cell r="B1697" t="str">
            <v>2</v>
          </cell>
          <cell r="C1697" t="str">
            <v/>
          </cell>
          <cell r="D1697" t="str">
            <v>NP</v>
          </cell>
          <cell r="E1697" t="str">
            <v>ELIZABETH</v>
          </cell>
          <cell r="F1697" t="str">
            <v>RODRIGUEZ GIRALDO</v>
          </cell>
          <cell r="G1697" t="str">
            <v>RODRIGUEZ GIRALDO ELIZABETH/PAPELERIA UNIVERSITARIA</v>
          </cell>
          <cell r="H1697" t="str">
            <v>RESI</v>
          </cell>
          <cell r="I1697" t="str">
            <v>REGIMEN SIMPLIFICADO</v>
          </cell>
          <cell r="J1697" t="str">
            <v xml:space="preserve">CR 23 N 63 70                           </v>
          </cell>
          <cell r="K1697" t="str">
            <v>17001</v>
          </cell>
          <cell r="L1697" t="str">
            <v>MANIZALES</v>
          </cell>
          <cell r="M1697" t="str">
            <v>8861336</v>
          </cell>
        </row>
        <row r="1698">
          <cell r="A1698">
            <v>30316710</v>
          </cell>
          <cell r="B1698" t="str">
            <v/>
          </cell>
          <cell r="C1698" t="str">
            <v/>
          </cell>
          <cell r="D1698" t="str">
            <v>CC</v>
          </cell>
          <cell r="E1698" t="str">
            <v>YUDY ALEJANDRA</v>
          </cell>
          <cell r="F1698" t="str">
            <v>RAMOS ARENAS</v>
          </cell>
          <cell r="G1698" t="str">
            <v>RAMOS ARENAS YUDY ALEJANDRA</v>
          </cell>
          <cell r="H1698" t="str">
            <v>FUNC</v>
          </cell>
          <cell r="I1698" t="str">
            <v>FUNCIONARIO</v>
          </cell>
          <cell r="J1698" t="str">
            <v>CALLE 43 1-348</v>
          </cell>
          <cell r="K1698" t="str">
            <v>17001</v>
          </cell>
          <cell r="L1698" t="str">
            <v>MANIZALES</v>
          </cell>
          <cell r="M1698" t="str">
            <v>3113857686</v>
          </cell>
        </row>
        <row r="1699">
          <cell r="A1699">
            <v>30318346</v>
          </cell>
          <cell r="B1699" t="str">
            <v/>
          </cell>
          <cell r="C1699" t="str">
            <v/>
          </cell>
          <cell r="D1699" t="str">
            <v>CC</v>
          </cell>
          <cell r="E1699" t="str">
            <v>CLAUDIA MARCELA</v>
          </cell>
          <cell r="F1699" t="str">
            <v>CARMONA MARIN</v>
          </cell>
          <cell r="G1699" t="str">
            <v>CARMONA MARIN CLAUDIA MARCELA</v>
          </cell>
          <cell r="H1699" t="str">
            <v>FUNC</v>
          </cell>
          <cell r="I1699" t="str">
            <v>FUNCIONARIO</v>
          </cell>
          <cell r="J1699" t="str">
            <v>CR 22   65 C 15 AP 403 ED MACANA</v>
          </cell>
          <cell r="K1699" t="str">
            <v>17001</v>
          </cell>
          <cell r="L1699" t="str">
            <v>MANIZALES</v>
          </cell>
          <cell r="M1699" t="str">
            <v>8816155</v>
          </cell>
        </row>
        <row r="1700">
          <cell r="A1700">
            <v>30318349</v>
          </cell>
          <cell r="B1700" t="str">
            <v>0</v>
          </cell>
          <cell r="C1700" t="str">
            <v/>
          </cell>
          <cell r="D1700" t="str">
            <v>NP</v>
          </cell>
          <cell r="E1700" t="str">
            <v>MARIA MERCEDES</v>
          </cell>
          <cell r="F1700" t="str">
            <v>HERNANDEZ CARDENAS</v>
          </cell>
          <cell r="G1700" t="str">
            <v>HERNANDEZ CARDENAS MARIA MERCEDES</v>
          </cell>
          <cell r="H1700" t="str">
            <v>RESI</v>
          </cell>
          <cell r="I1700" t="str">
            <v>REGIMEN SIMPLIFICADO</v>
          </cell>
          <cell r="J1700" t="str">
            <v>CR 23 46 40</v>
          </cell>
          <cell r="K1700" t="str">
            <v>17001</v>
          </cell>
          <cell r="L1700" t="str">
            <v>MANIZALES</v>
          </cell>
          <cell r="M1700" t="str">
            <v>8812254</v>
          </cell>
        </row>
        <row r="1701">
          <cell r="A1701">
            <v>30318740</v>
          </cell>
          <cell r="B1701" t="str">
            <v/>
          </cell>
          <cell r="C1701" t="str">
            <v/>
          </cell>
          <cell r="D1701" t="str">
            <v>CC</v>
          </cell>
          <cell r="E1701" t="str">
            <v>MARIA LILIANA</v>
          </cell>
          <cell r="F1701" t="str">
            <v>LOPEZ PALACIO</v>
          </cell>
          <cell r="G1701" t="str">
            <v>LOPEZ PALACIO MARIA LILIANA</v>
          </cell>
          <cell r="H1701" t="str">
            <v>FUNC</v>
          </cell>
          <cell r="I1701" t="str">
            <v>FUNCIONARIO</v>
          </cell>
          <cell r="J1701" t="str">
            <v>URB CA 25 BRR BOSQUES SANTA MARIA</v>
          </cell>
          <cell r="K1701" t="str">
            <v>17001</v>
          </cell>
          <cell r="L1701" t="str">
            <v>MANIZALES</v>
          </cell>
          <cell r="M1701" t="str">
            <v>8744498</v>
          </cell>
        </row>
        <row r="1702">
          <cell r="A1702">
            <v>30319407</v>
          </cell>
          <cell r="B1702" t="str">
            <v>4</v>
          </cell>
          <cell r="C1702" t="str">
            <v/>
          </cell>
          <cell r="D1702" t="str">
            <v>NP</v>
          </cell>
          <cell r="E1702" t="str">
            <v>GLORIA PATRICIA</v>
          </cell>
          <cell r="F1702" t="str">
            <v>ARROYAVE</v>
          </cell>
          <cell r="G1702" t="str">
            <v>ARROYAVE GLORIA PATRICIA</v>
          </cell>
          <cell r="H1702" t="str">
            <v>RECO</v>
          </cell>
          <cell r="I1702" t="str">
            <v>REGIMEN COMUN</v>
          </cell>
          <cell r="J1702" t="str">
            <v>CR 23   63 122</v>
          </cell>
          <cell r="K1702" t="str">
            <v>17001</v>
          </cell>
          <cell r="L1702" t="str">
            <v>MANIZALES</v>
          </cell>
          <cell r="M1702" t="str">
            <v>8856503</v>
          </cell>
        </row>
        <row r="1703">
          <cell r="A1703">
            <v>30319928</v>
          </cell>
          <cell r="B1703" t="str">
            <v/>
          </cell>
          <cell r="C1703" t="str">
            <v/>
          </cell>
          <cell r="D1703" t="str">
            <v>CC</v>
          </cell>
          <cell r="E1703" t="str">
            <v>LINA PATRICIA</v>
          </cell>
          <cell r="F1703" t="str">
            <v>CALVO OROZCO</v>
          </cell>
          <cell r="G1703" t="str">
            <v>CALVO OROZCO LINA PATRICIA</v>
          </cell>
          <cell r="H1703" t="str">
            <v>FUNC</v>
          </cell>
          <cell r="I1703" t="str">
            <v>FUNCIONARIO</v>
          </cell>
          <cell r="J1703" t="str">
            <v>TV 72   20   34 BRR ALTA SUIZA</v>
          </cell>
          <cell r="K1703" t="str">
            <v>17001</v>
          </cell>
          <cell r="L1703" t="str">
            <v>MANIZALES</v>
          </cell>
          <cell r="M1703" t="str">
            <v>8864064</v>
          </cell>
        </row>
        <row r="1704">
          <cell r="A1704">
            <v>30319979</v>
          </cell>
          <cell r="B1704" t="str">
            <v>5</v>
          </cell>
          <cell r="C1704" t="str">
            <v/>
          </cell>
          <cell r="D1704" t="str">
            <v>NP</v>
          </cell>
          <cell r="E1704" t="str">
            <v>MARTHA PATRICIA</v>
          </cell>
          <cell r="F1704" t="str">
            <v>CARDENAS GIRALDO</v>
          </cell>
          <cell r="G1704" t="str">
            <v>CARDENAS GIRALDO MARTHA PATRICIA</v>
          </cell>
          <cell r="H1704" t="str">
            <v>RECO</v>
          </cell>
          <cell r="I1704" t="str">
            <v>REGIMEN COMUN</v>
          </cell>
          <cell r="J1704" t="str">
            <v>CLL 71 27 118 AP 501</v>
          </cell>
          <cell r="K1704" t="str">
            <v>17001</v>
          </cell>
          <cell r="L1704" t="str">
            <v>MANIZALES</v>
          </cell>
          <cell r="M1704" t="str">
            <v>8871227</v>
          </cell>
        </row>
        <row r="1705">
          <cell r="A1705">
            <v>30320495</v>
          </cell>
          <cell r="B1705" t="str">
            <v/>
          </cell>
          <cell r="C1705" t="str">
            <v/>
          </cell>
          <cell r="D1705" t="str">
            <v>CC</v>
          </cell>
          <cell r="E1705" t="str">
            <v>MARIA VICTORIA</v>
          </cell>
          <cell r="F1705" t="str">
            <v>REINOSA GALLEGO</v>
          </cell>
          <cell r="G1705" t="str">
            <v>REINOSA GALLEGO MARIA VICTORIA</v>
          </cell>
          <cell r="H1705" t="str">
            <v>FUNC</v>
          </cell>
          <cell r="I1705" t="str">
            <v>FUNCIONARIO</v>
          </cell>
          <cell r="J1705" t="str">
            <v>CR 07   67   25</v>
          </cell>
          <cell r="K1705" t="str">
            <v>17001</v>
          </cell>
          <cell r="L1705" t="str">
            <v>MANIZALES</v>
          </cell>
          <cell r="M1705" t="str">
            <v>8752230</v>
          </cell>
        </row>
        <row r="1706">
          <cell r="A1706">
            <v>30320496</v>
          </cell>
          <cell r="B1706" t="str">
            <v>1</v>
          </cell>
          <cell r="C1706" t="str">
            <v/>
          </cell>
          <cell r="D1706" t="str">
            <v>NP</v>
          </cell>
          <cell r="E1706" t="str">
            <v>GLORIA YISELY</v>
          </cell>
          <cell r="F1706" t="str">
            <v>ALZATE ECHEVERRY</v>
          </cell>
          <cell r="G1706" t="str">
            <v>ALZATE ECHEVERRY GLORIA YISELY</v>
          </cell>
          <cell r="H1706" t="str">
            <v>RESI</v>
          </cell>
          <cell r="I1706" t="str">
            <v>REGIMEN SIMPLIFICADO</v>
          </cell>
          <cell r="J1706" t="str">
            <v>CL 46 21-67</v>
          </cell>
          <cell r="K1706" t="str">
            <v>17001</v>
          </cell>
          <cell r="L1706" t="str">
            <v>MANIZALES</v>
          </cell>
          <cell r="M1706" t="str">
            <v>3117644800</v>
          </cell>
        </row>
        <row r="1707">
          <cell r="A1707">
            <v>30320893</v>
          </cell>
          <cell r="B1707" t="str">
            <v/>
          </cell>
          <cell r="C1707" t="str">
            <v/>
          </cell>
          <cell r="D1707" t="str">
            <v>CC</v>
          </cell>
          <cell r="E1707" t="str">
            <v>SANDRA PATRICIA</v>
          </cell>
          <cell r="F1707" t="str">
            <v>ALDANA MARTINEZ</v>
          </cell>
          <cell r="G1707" t="str">
            <v>SANDRA PATRICIA ALDANA MARTINEZ</v>
          </cell>
          <cell r="H1707" t="str">
            <v>FUNC</v>
          </cell>
          <cell r="I1707" t="str">
            <v>FUNCIONARIO</v>
          </cell>
          <cell r="J1707" t="str">
            <v>CL 18 A 7 C 16 CONJ TERRAZAS DE CAMPO HERMOSO</v>
          </cell>
          <cell r="K1707" t="str">
            <v>17001</v>
          </cell>
          <cell r="L1707" t="str">
            <v>MANIZALES</v>
          </cell>
          <cell r="M1707" t="str">
            <v>8843302</v>
          </cell>
        </row>
        <row r="1708">
          <cell r="A1708">
            <v>30322783</v>
          </cell>
          <cell r="B1708" t="str">
            <v/>
          </cell>
          <cell r="C1708" t="str">
            <v/>
          </cell>
          <cell r="D1708" t="str">
            <v>CC</v>
          </cell>
          <cell r="E1708" t="str">
            <v>TAMARA</v>
          </cell>
          <cell r="F1708" t="str">
            <v>SANKOVICH RAMIREZ</v>
          </cell>
          <cell r="G1708" t="str">
            <v>SANKOVICH RAMIREZ TAMARA</v>
          </cell>
          <cell r="H1708" t="str">
            <v>FUNC</v>
          </cell>
          <cell r="I1708" t="str">
            <v>FUNCIONARIO</v>
          </cell>
          <cell r="J1708" t="str">
            <v>CL 77   20  23 AP 201 C</v>
          </cell>
          <cell r="K1708" t="str">
            <v>17001</v>
          </cell>
          <cell r="L1708" t="str">
            <v>MANIZALES</v>
          </cell>
          <cell r="M1708" t="str">
            <v>PND.</v>
          </cell>
        </row>
        <row r="1709">
          <cell r="A1709">
            <v>30322882</v>
          </cell>
          <cell r="B1709" t="str">
            <v>0</v>
          </cell>
          <cell r="C1709" t="str">
            <v/>
          </cell>
          <cell r="D1709" t="str">
            <v>NP</v>
          </cell>
          <cell r="E1709" t="str">
            <v>CLAUDIA CONSTANZA</v>
          </cell>
          <cell r="F1709" t="str">
            <v>CARDONA GUTIERREZ</v>
          </cell>
          <cell r="G1709" t="str">
            <v>CARDONA GUTIERREZ CLAUDIA CONSTANZA</v>
          </cell>
          <cell r="H1709" t="str">
            <v>NORE</v>
          </cell>
          <cell r="I1709" t="str">
            <v>NO RESPONSABLE DE IVA</v>
          </cell>
          <cell r="J1709" t="str">
            <v>CR 25 A 81 B 30</v>
          </cell>
          <cell r="K1709" t="str">
            <v>17001</v>
          </cell>
          <cell r="L1709" t="str">
            <v>MANIZALES</v>
          </cell>
          <cell r="M1709" t="str">
            <v>3006522236</v>
          </cell>
        </row>
        <row r="1710">
          <cell r="A1710">
            <v>30323700</v>
          </cell>
          <cell r="B1710" t="str">
            <v>3</v>
          </cell>
          <cell r="C1710" t="str">
            <v/>
          </cell>
          <cell r="D1710" t="str">
            <v>NP</v>
          </cell>
          <cell r="E1710" t="str">
            <v>MARISOL</v>
          </cell>
          <cell r="F1710" t="str">
            <v>VALENCIA CARDONA</v>
          </cell>
          <cell r="G1710" t="str">
            <v>VALENCIA CARDONA MARISOL</v>
          </cell>
          <cell r="H1710" t="str">
            <v>RESI</v>
          </cell>
          <cell r="I1710" t="str">
            <v>REGIMEN SIMPLIFICADO</v>
          </cell>
          <cell r="J1710" t="str">
            <v>CR 19 73 51</v>
          </cell>
          <cell r="K1710" t="str">
            <v>17001</v>
          </cell>
          <cell r="L1710" t="str">
            <v>MANIZALES</v>
          </cell>
          <cell r="M1710" t="str">
            <v>3005171856</v>
          </cell>
        </row>
        <row r="1711">
          <cell r="A1711">
            <v>30324043</v>
          </cell>
          <cell r="B1711" t="str">
            <v>7</v>
          </cell>
          <cell r="C1711" t="str">
            <v/>
          </cell>
          <cell r="D1711" t="str">
            <v>NP</v>
          </cell>
          <cell r="E1711" t="str">
            <v>CARMENZA</v>
          </cell>
          <cell r="F1711" t="str">
            <v>VILLEGAS PEREZ</v>
          </cell>
          <cell r="G1711" t="str">
            <v>VILLEGAS PEREZ CARMENZA</v>
          </cell>
          <cell r="H1711" t="str">
            <v>RECO</v>
          </cell>
          <cell r="I1711" t="str">
            <v>REGIMEN COMUN</v>
          </cell>
          <cell r="J1711" t="str">
            <v xml:space="preserve"> CL 9 A  18 41</v>
          </cell>
          <cell r="K1711" t="str">
            <v>17001</v>
          </cell>
          <cell r="L1711" t="str">
            <v>MANIZALES</v>
          </cell>
          <cell r="M1711" t="str">
            <v>8830342</v>
          </cell>
        </row>
        <row r="1712">
          <cell r="A1712">
            <v>30325570</v>
          </cell>
          <cell r="B1712" t="str">
            <v/>
          </cell>
          <cell r="C1712" t="str">
            <v/>
          </cell>
          <cell r="D1712" t="str">
            <v>CC</v>
          </cell>
          <cell r="E1712" t="str">
            <v>SANDRA VICTORIA</v>
          </cell>
          <cell r="F1712" t="str">
            <v>OSORIO GARCIA</v>
          </cell>
          <cell r="G1712" t="str">
            <v>OSORIO GARCIA SANDRA VICTORIA</v>
          </cell>
          <cell r="H1712" t="str">
            <v>FUNC</v>
          </cell>
          <cell r="I1712" t="str">
            <v>FUNCIONARIO</v>
          </cell>
          <cell r="J1712" t="str">
            <v>CRA 34 99 A 20 LA ENEA</v>
          </cell>
          <cell r="K1712" t="str">
            <v>17001</v>
          </cell>
          <cell r="L1712" t="str">
            <v>MANIZALES</v>
          </cell>
          <cell r="M1712" t="str">
            <v>3117610446</v>
          </cell>
        </row>
        <row r="1713">
          <cell r="A1713">
            <v>30327203</v>
          </cell>
          <cell r="B1713" t="str">
            <v/>
          </cell>
          <cell r="C1713" t="str">
            <v/>
          </cell>
          <cell r="D1713" t="str">
            <v>CC</v>
          </cell>
          <cell r="E1713" t="str">
            <v>GLORIA PATRICIA</v>
          </cell>
          <cell r="F1713" t="str">
            <v>GAVIRIA OSPINA</v>
          </cell>
          <cell r="G1713" t="str">
            <v>GAVIRIA OSPINA GLORIA PATRICIA</v>
          </cell>
          <cell r="H1713" t="str">
            <v>FUNC</v>
          </cell>
          <cell r="I1713" t="str">
            <v>FUNCIONARIO</v>
          </cell>
          <cell r="J1713" t="str">
            <v>CL 57#1-12</v>
          </cell>
          <cell r="K1713" t="str">
            <v>17873</v>
          </cell>
          <cell r="L1713" t="str">
            <v>VILLAMARÍA</v>
          </cell>
          <cell r="M1713" t="str">
            <v>8742932</v>
          </cell>
        </row>
        <row r="1714">
          <cell r="A1714">
            <v>30327655</v>
          </cell>
          <cell r="B1714" t="str">
            <v>8</v>
          </cell>
          <cell r="C1714" t="str">
            <v/>
          </cell>
          <cell r="D1714" t="str">
            <v>NP</v>
          </cell>
          <cell r="E1714" t="str">
            <v>LILIANA</v>
          </cell>
          <cell r="F1714" t="str">
            <v>PEREZ ANGEL</v>
          </cell>
          <cell r="G1714" t="str">
            <v>PEREZ ANGEL LILIANA/GRECAFE</v>
          </cell>
          <cell r="H1714" t="str">
            <v>RECO</v>
          </cell>
          <cell r="I1714" t="str">
            <v>REGIMEN COMUN</v>
          </cell>
          <cell r="J1714" t="str">
            <v>CL 25 N 20 19</v>
          </cell>
          <cell r="K1714" t="str">
            <v>17001</v>
          </cell>
          <cell r="L1714" t="str">
            <v>MANIZALES</v>
          </cell>
          <cell r="M1714" t="str">
            <v>8833005</v>
          </cell>
        </row>
        <row r="1715">
          <cell r="A1715">
            <v>30329028</v>
          </cell>
          <cell r="B1715" t="str">
            <v>9</v>
          </cell>
          <cell r="C1715" t="str">
            <v/>
          </cell>
          <cell r="D1715" t="str">
            <v>NP</v>
          </cell>
          <cell r="E1715" t="str">
            <v>LUISA FERNANDA</v>
          </cell>
          <cell r="F1715" t="str">
            <v>SERNA AGUDELO</v>
          </cell>
          <cell r="G1715" t="str">
            <v>SERNA AGUDELO LUISA FERNANDA</v>
          </cell>
          <cell r="H1715" t="str">
            <v>RESI</v>
          </cell>
          <cell r="I1715" t="str">
            <v>REGIMEN SIMPLIFICADO</v>
          </cell>
          <cell r="J1715" t="str">
            <v>CL 70 20 71 AP 705 BRR SAN RAFAEL</v>
          </cell>
          <cell r="K1715" t="str">
            <v>17001</v>
          </cell>
          <cell r="L1715" t="str">
            <v>MANIZALES</v>
          </cell>
          <cell r="M1715" t="str">
            <v>3137199217</v>
          </cell>
        </row>
        <row r="1716">
          <cell r="A1716">
            <v>30329185</v>
          </cell>
          <cell r="B1716" t="str">
            <v/>
          </cell>
          <cell r="C1716" t="str">
            <v/>
          </cell>
          <cell r="D1716" t="str">
            <v>CC</v>
          </cell>
          <cell r="E1716" t="str">
            <v>LORENA CONSTANZA</v>
          </cell>
          <cell r="F1716" t="str">
            <v>MEJIA BECERRA</v>
          </cell>
          <cell r="G1716" t="str">
            <v>MEJIA BECERRA LORENA CONSTANZA</v>
          </cell>
          <cell r="H1716" t="str">
            <v>FUNC</v>
          </cell>
          <cell r="I1716" t="str">
            <v>FUNCIONARIO</v>
          </cell>
          <cell r="J1716" t="str">
            <v>CL 6   1   21 APTDO 303 TO 1</v>
          </cell>
          <cell r="K1716" t="str">
            <v>17873</v>
          </cell>
          <cell r="L1716" t="str">
            <v>VILLAMARÍA</v>
          </cell>
          <cell r="M1716" t="str">
            <v>3128921119</v>
          </cell>
        </row>
        <row r="1717">
          <cell r="A1717">
            <v>30329777</v>
          </cell>
          <cell r="B1717" t="str">
            <v>7</v>
          </cell>
          <cell r="C1717" t="str">
            <v/>
          </cell>
          <cell r="D1717" t="str">
            <v>NP</v>
          </cell>
          <cell r="E1717" t="str">
            <v>LUZ ADRIANA</v>
          </cell>
          <cell r="F1717" t="str">
            <v>HURTADO RAMIREZ</v>
          </cell>
          <cell r="G1717" t="str">
            <v>HURTADO RAMIREZ LUZ ADRIANA</v>
          </cell>
          <cell r="H1717" t="str">
            <v>RESI</v>
          </cell>
          <cell r="I1717" t="str">
            <v>REGIMEN SIMPLIFICADO</v>
          </cell>
          <cell r="J1717" t="str">
            <v>CL 51  B  17  30</v>
          </cell>
          <cell r="K1717" t="str">
            <v>17001</v>
          </cell>
          <cell r="L1717" t="str">
            <v>MANIZALES</v>
          </cell>
          <cell r="M1717" t="str">
            <v>3147819439</v>
          </cell>
        </row>
        <row r="1718">
          <cell r="A1718">
            <v>30330564</v>
          </cell>
          <cell r="B1718" t="str">
            <v>7</v>
          </cell>
          <cell r="C1718" t="str">
            <v/>
          </cell>
          <cell r="D1718" t="str">
            <v>NP</v>
          </cell>
          <cell r="E1718" t="str">
            <v>LAURA MARIA</v>
          </cell>
          <cell r="F1718" t="str">
            <v>RAMIREZ GIRALDO</v>
          </cell>
          <cell r="G1718" t="str">
            <v>RAMIREZ GIRALDO LAURA MARIA</v>
          </cell>
          <cell r="H1718" t="str">
            <v>RESI</v>
          </cell>
          <cell r="I1718" t="str">
            <v>REGIMEN SIMPLIFICADO</v>
          </cell>
          <cell r="J1718" t="str">
            <v>CL 8  9 20</v>
          </cell>
          <cell r="K1718" t="str">
            <v>17001</v>
          </cell>
          <cell r="L1718" t="str">
            <v>MANIZALES</v>
          </cell>
          <cell r="M1718" t="str">
            <v>8832492</v>
          </cell>
        </row>
        <row r="1719">
          <cell r="A1719">
            <v>30331275</v>
          </cell>
          <cell r="B1719" t="str">
            <v/>
          </cell>
          <cell r="C1719" t="str">
            <v/>
          </cell>
          <cell r="D1719" t="str">
            <v>CC</v>
          </cell>
          <cell r="E1719" t="str">
            <v>SANDRA ROCIO</v>
          </cell>
          <cell r="F1719" t="str">
            <v>RUANO RESTREPO</v>
          </cell>
          <cell r="G1719" t="str">
            <v>RUANO RESTREPO SANDRA ROCIO</v>
          </cell>
          <cell r="H1719" t="str">
            <v>FUNC</v>
          </cell>
          <cell r="I1719" t="str">
            <v>FUNCIONARIO</v>
          </cell>
          <cell r="J1719" t="str">
            <v>CRA 81 B No 25 A 07 EDIFICIO ALTA VISTA APTO 903</v>
          </cell>
          <cell r="K1719" t="str">
            <v>17001</v>
          </cell>
          <cell r="L1719" t="str">
            <v>MANIZALES</v>
          </cell>
          <cell r="M1719" t="str">
            <v>8854090</v>
          </cell>
        </row>
        <row r="1720">
          <cell r="A1720">
            <v>30332472</v>
          </cell>
          <cell r="B1720" t="str">
            <v/>
          </cell>
          <cell r="C1720" t="str">
            <v/>
          </cell>
          <cell r="D1720" t="str">
            <v>CC</v>
          </cell>
          <cell r="E1720" t="str">
            <v>CLAUDIA CECILIA</v>
          </cell>
          <cell r="F1720" t="str">
            <v>GOMEZ ARIAS</v>
          </cell>
          <cell r="G1720" t="str">
            <v>GOMEZ ARIAS CLAUDIA CECILIA</v>
          </cell>
          <cell r="H1720" t="str">
            <v>FUNC</v>
          </cell>
          <cell r="I1720" t="str">
            <v>FUNCIONARIO</v>
          </cell>
          <cell r="J1720" t="str">
            <v>CR 24 A 46 10</v>
          </cell>
          <cell r="K1720" t="str">
            <v>17001</v>
          </cell>
          <cell r="L1720" t="str">
            <v>MANIZALES</v>
          </cell>
          <cell r="M1720" t="str">
            <v>3117167988</v>
          </cell>
        </row>
        <row r="1721">
          <cell r="A1721">
            <v>30332777</v>
          </cell>
          <cell r="B1721" t="str">
            <v/>
          </cell>
          <cell r="C1721" t="str">
            <v/>
          </cell>
          <cell r="D1721" t="str">
            <v>CC</v>
          </cell>
          <cell r="E1721" t="str">
            <v>INGRID MAYERLI</v>
          </cell>
          <cell r="F1721" t="str">
            <v>LOPEZ ARANGO</v>
          </cell>
          <cell r="G1721" t="str">
            <v>LOPEZ ARANGO INGRID MAYERLI</v>
          </cell>
          <cell r="H1721" t="str">
            <v>FUNC</v>
          </cell>
          <cell r="I1721" t="str">
            <v>FUNCIONARIO</v>
          </cell>
          <cell r="J1721" t="str">
            <v>CL 66   33   53</v>
          </cell>
          <cell r="K1721" t="str">
            <v>17001</v>
          </cell>
          <cell r="L1721" t="str">
            <v>MANIZALES</v>
          </cell>
          <cell r="M1721" t="str">
            <v>8873886</v>
          </cell>
        </row>
        <row r="1722">
          <cell r="A1722">
            <v>30334790</v>
          </cell>
          <cell r="B1722" t="str">
            <v>3</v>
          </cell>
          <cell r="C1722" t="str">
            <v/>
          </cell>
          <cell r="D1722" t="str">
            <v>NP</v>
          </cell>
          <cell r="E1722" t="str">
            <v>DIANA PATRICIA</v>
          </cell>
          <cell r="F1722" t="str">
            <v>GUZMAN CASTRO</v>
          </cell>
          <cell r="G1722" t="str">
            <v>GUZMAN CASTRO DIANA PATRICIA</v>
          </cell>
          <cell r="H1722" t="str">
            <v>RESI</v>
          </cell>
          <cell r="I1722" t="str">
            <v>REGIMEN SIMPLIFICADO</v>
          </cell>
          <cell r="J1722" t="str">
            <v>CR 31  20 B 12</v>
          </cell>
          <cell r="K1722" t="str">
            <v>17001</v>
          </cell>
          <cell r="L1722" t="str">
            <v>MANIZALES</v>
          </cell>
          <cell r="M1722" t="str">
            <v>8731163</v>
          </cell>
        </row>
        <row r="1723">
          <cell r="A1723">
            <v>30334944</v>
          </cell>
          <cell r="B1723" t="str">
            <v>0</v>
          </cell>
          <cell r="C1723" t="str">
            <v/>
          </cell>
          <cell r="D1723" t="str">
            <v>NP</v>
          </cell>
          <cell r="E1723" t="str">
            <v>MARIA CECILIA</v>
          </cell>
          <cell r="F1723" t="str">
            <v>CASTAÑO MONTES</v>
          </cell>
          <cell r="G1723" t="str">
            <v>CASTAÑO MONTES MARIA CECILIA</v>
          </cell>
          <cell r="H1723" t="str">
            <v>RESI</v>
          </cell>
          <cell r="I1723" t="str">
            <v>REGIMEN SIMPLIFICADO</v>
          </cell>
          <cell r="J1723" t="str">
            <v>CL 70 23 C 34</v>
          </cell>
          <cell r="K1723" t="str">
            <v>17001</v>
          </cell>
          <cell r="L1723" t="str">
            <v>MANIZALES</v>
          </cell>
          <cell r="M1723" t="str">
            <v>8872358</v>
          </cell>
        </row>
        <row r="1724">
          <cell r="A1724">
            <v>30335083</v>
          </cell>
          <cell r="B1724" t="str">
            <v/>
          </cell>
          <cell r="C1724" t="str">
            <v/>
          </cell>
          <cell r="D1724" t="str">
            <v>CC</v>
          </cell>
          <cell r="E1724" t="str">
            <v>GLEYDIS CLEMENCIA</v>
          </cell>
          <cell r="F1724" t="str">
            <v>HURTADO GRISALES</v>
          </cell>
          <cell r="G1724" t="str">
            <v>HURTADO GRISALES GLEYDIS CLEMENCIA</v>
          </cell>
          <cell r="H1724" t="str">
            <v>FUNC</v>
          </cell>
          <cell r="I1724" t="str">
            <v>FUNCIONARIO</v>
          </cell>
          <cell r="J1724" t="str">
            <v>CLL 39 A 18 A 61</v>
          </cell>
          <cell r="K1724" t="str">
            <v>17001</v>
          </cell>
          <cell r="L1724" t="str">
            <v>MANIZALES</v>
          </cell>
          <cell r="M1724" t="str">
            <v>8862187</v>
          </cell>
        </row>
        <row r="1725">
          <cell r="A1725">
            <v>30335198</v>
          </cell>
          <cell r="B1725" t="str">
            <v/>
          </cell>
          <cell r="C1725" t="str">
            <v/>
          </cell>
          <cell r="D1725" t="str">
            <v>CC</v>
          </cell>
          <cell r="E1725" t="str">
            <v xml:space="preserve">LUZ ADRIANA </v>
          </cell>
          <cell r="F1725" t="str">
            <v>BOTERO OROZCO</v>
          </cell>
          <cell r="G1725" t="str">
            <v xml:space="preserve">BOTERO OROZCO LUZ ADRIANA </v>
          </cell>
          <cell r="H1725" t="str">
            <v>FUNC</v>
          </cell>
          <cell r="I1725" t="str">
            <v>FUNCIONARIO</v>
          </cell>
          <cell r="J1725" t="str">
            <v>CR 19 A   39   08</v>
          </cell>
          <cell r="K1725" t="str">
            <v>17001</v>
          </cell>
          <cell r="L1725" t="str">
            <v>MANIZALES</v>
          </cell>
          <cell r="M1725" t="str">
            <v>0</v>
          </cell>
        </row>
        <row r="1726">
          <cell r="A1726">
            <v>30335748</v>
          </cell>
          <cell r="B1726" t="str">
            <v/>
          </cell>
          <cell r="C1726" t="str">
            <v/>
          </cell>
          <cell r="D1726" t="str">
            <v>CC</v>
          </cell>
          <cell r="E1726" t="str">
            <v>GLORIA MERCEDES</v>
          </cell>
          <cell r="F1726" t="str">
            <v>GIL BADILLO</v>
          </cell>
          <cell r="G1726" t="str">
            <v>GIL BADILLO GLORIA MERCEDES</v>
          </cell>
          <cell r="H1726" t="str">
            <v>FUNC</v>
          </cell>
          <cell r="I1726" t="str">
            <v>FUNCIONARIO</v>
          </cell>
          <cell r="J1726" t="str">
            <v>CR 21   57   28 AP 403 ED CASTILLO</v>
          </cell>
          <cell r="K1726" t="str">
            <v>17001</v>
          </cell>
          <cell r="L1726" t="str">
            <v>MANIZALES</v>
          </cell>
          <cell r="M1726" t="str">
            <v>8865611</v>
          </cell>
        </row>
        <row r="1727">
          <cell r="A1727">
            <v>30335787</v>
          </cell>
          <cell r="B1727" t="str">
            <v>5</v>
          </cell>
          <cell r="C1727" t="str">
            <v/>
          </cell>
          <cell r="D1727" t="str">
            <v>NP</v>
          </cell>
          <cell r="E1727" t="str">
            <v>BEATRIZ EUGENIA</v>
          </cell>
          <cell r="F1727" t="str">
            <v>ORREGO GOMEZ</v>
          </cell>
          <cell r="G1727" t="str">
            <v>ORREGO GOMEZ BEATRIZ EUGENIA</v>
          </cell>
          <cell r="H1727" t="str">
            <v>RESI</v>
          </cell>
          <cell r="I1727" t="str">
            <v>REGIMEN SIMPLIFICADO</v>
          </cell>
          <cell r="J1727" t="str">
            <v>CR 23 63 15</v>
          </cell>
          <cell r="K1727" t="str">
            <v>17001</v>
          </cell>
          <cell r="L1727" t="str">
            <v>MANIZALES</v>
          </cell>
          <cell r="M1727" t="str">
            <v>8858706</v>
          </cell>
        </row>
        <row r="1728">
          <cell r="A1728">
            <v>30337184</v>
          </cell>
          <cell r="B1728" t="str">
            <v/>
          </cell>
          <cell r="C1728" t="str">
            <v/>
          </cell>
          <cell r="D1728" t="str">
            <v>CC</v>
          </cell>
          <cell r="E1728" t="str">
            <v>LUZ MERY</v>
          </cell>
          <cell r="F1728" t="str">
            <v>RAMOS RAMOS</v>
          </cell>
          <cell r="G1728" t="str">
            <v>RAMOS RAMOS LUZ MERY</v>
          </cell>
          <cell r="H1728" t="str">
            <v>RESI</v>
          </cell>
          <cell r="I1728" t="str">
            <v>REGIMEN SIMPLIFICADO</v>
          </cell>
          <cell r="J1728" t="str">
            <v>CL 11 B 1 B</v>
          </cell>
          <cell r="K1728" t="str">
            <v>17001</v>
          </cell>
          <cell r="L1728" t="str">
            <v>MANIZALES</v>
          </cell>
          <cell r="M1728" t="str">
            <v>8907940</v>
          </cell>
        </row>
        <row r="1729">
          <cell r="A1729">
            <v>30337538</v>
          </cell>
          <cell r="B1729" t="str">
            <v>7</v>
          </cell>
          <cell r="C1729" t="str">
            <v/>
          </cell>
          <cell r="D1729" t="str">
            <v>NP</v>
          </cell>
          <cell r="E1729" t="str">
            <v>PAULA</v>
          </cell>
          <cell r="F1729" t="str">
            <v>FRANCO CORREA</v>
          </cell>
          <cell r="G1729" t="str">
            <v>FRANCO CORREA PAULA</v>
          </cell>
          <cell r="H1729" t="str">
            <v>FUNC</v>
          </cell>
          <cell r="I1729" t="str">
            <v>FUNCIONARIO</v>
          </cell>
          <cell r="J1729" t="str">
            <v>CL 28  27 23 BRR SAN JOAQUIN</v>
          </cell>
          <cell r="K1729" t="str">
            <v>17873</v>
          </cell>
          <cell r="L1729" t="str">
            <v>VILLAMARÍA</v>
          </cell>
          <cell r="M1729" t="str">
            <v>3206763655</v>
          </cell>
        </row>
        <row r="1730">
          <cell r="A1730">
            <v>30338151</v>
          </cell>
          <cell r="B1730" t="str">
            <v/>
          </cell>
          <cell r="C1730" t="str">
            <v/>
          </cell>
          <cell r="D1730" t="str">
            <v>CC</v>
          </cell>
          <cell r="E1730" t="str">
            <v>DIANA YANETH</v>
          </cell>
          <cell r="F1730" t="str">
            <v>BETANCUR RAIGOZA</v>
          </cell>
          <cell r="G1730" t="str">
            <v>BETANCUR RAIGOZA DIANA YANETH</v>
          </cell>
          <cell r="H1730" t="str">
            <v>FUNC</v>
          </cell>
          <cell r="I1730" t="str">
            <v>FUNCIONARIO</v>
          </cell>
          <cell r="J1730" t="str">
            <v>CLL 104 A # 34-42</v>
          </cell>
          <cell r="K1730" t="str">
            <v>17001</v>
          </cell>
          <cell r="L1730" t="str">
            <v>MANIZALES</v>
          </cell>
          <cell r="M1730" t="str">
            <v>3128156220</v>
          </cell>
        </row>
        <row r="1731">
          <cell r="A1731">
            <v>30338508</v>
          </cell>
          <cell r="B1731" t="str">
            <v/>
          </cell>
          <cell r="C1731" t="str">
            <v/>
          </cell>
          <cell r="D1731" t="str">
            <v>CC</v>
          </cell>
          <cell r="E1731" t="str">
            <v>LUZ AMPARO</v>
          </cell>
          <cell r="F1731" t="str">
            <v>MARTINEZ CASTAÑO</v>
          </cell>
          <cell r="G1731" t="str">
            <v>MARTINEZ CASTAÑO LUZ AMPARO</v>
          </cell>
          <cell r="H1731" t="str">
            <v>FUNC</v>
          </cell>
          <cell r="I1731" t="str">
            <v>FUNCIONARIO</v>
          </cell>
          <cell r="J1731" t="str">
            <v>CR 20 B 58 A 01 CA 11 CONJ PRADOS DE LAS  COLINAA</v>
          </cell>
          <cell r="K1731" t="str">
            <v>17001</v>
          </cell>
          <cell r="L1731" t="str">
            <v>MANIZALES</v>
          </cell>
          <cell r="M1731" t="str">
            <v>8742506</v>
          </cell>
        </row>
        <row r="1732">
          <cell r="A1732">
            <v>30338745</v>
          </cell>
          <cell r="B1732" t="str">
            <v/>
          </cell>
          <cell r="C1732" t="str">
            <v/>
          </cell>
          <cell r="D1732" t="str">
            <v>CC</v>
          </cell>
          <cell r="E1732" t="str">
            <v>CLAUDIA MARCELA</v>
          </cell>
          <cell r="F1732" t="str">
            <v>GALLO ARISTIZABAL</v>
          </cell>
          <cell r="G1732" t="str">
            <v>GALLO ARISTIZABAL CLAUDIA MARCELA</v>
          </cell>
          <cell r="H1732" t="str">
            <v>FUNC</v>
          </cell>
          <cell r="I1732" t="str">
            <v>FUNCIONARIO</v>
          </cell>
          <cell r="J1732" t="str">
            <v>CR 22 A   73   120 ED SALAMANCA AP 401</v>
          </cell>
          <cell r="K1732" t="str">
            <v>17001</v>
          </cell>
          <cell r="L1732" t="str">
            <v>MANIZALES</v>
          </cell>
          <cell r="M1732" t="str">
            <v>3206338620</v>
          </cell>
        </row>
        <row r="1733">
          <cell r="A1733">
            <v>30339235</v>
          </cell>
          <cell r="B1733" t="str">
            <v>1</v>
          </cell>
          <cell r="C1733" t="str">
            <v/>
          </cell>
          <cell r="D1733" t="str">
            <v>NP</v>
          </cell>
          <cell r="E1733" t="str">
            <v>CAROLINA</v>
          </cell>
          <cell r="F1733" t="str">
            <v>GIRALDO CAICEDO</v>
          </cell>
          <cell r="G1733" t="str">
            <v>GIRALDO CAICEDO CAROLINA</v>
          </cell>
          <cell r="H1733" t="str">
            <v>RESI</v>
          </cell>
          <cell r="I1733" t="str">
            <v>REGIMEN SIMPLIFICADO</v>
          </cell>
          <cell r="J1733" t="str">
            <v>CL 72 A 19 A 14 BRR ALTA SUIZA</v>
          </cell>
          <cell r="K1733" t="str">
            <v>17001</v>
          </cell>
          <cell r="L1733" t="str">
            <v>MANIZALES</v>
          </cell>
          <cell r="M1733" t="str">
            <v>3137320521</v>
          </cell>
        </row>
        <row r="1734">
          <cell r="A1734">
            <v>30339561</v>
          </cell>
          <cell r="B1734" t="str">
            <v/>
          </cell>
          <cell r="C1734" t="str">
            <v/>
          </cell>
          <cell r="D1734" t="str">
            <v>CC</v>
          </cell>
          <cell r="E1734" t="str">
            <v>LUZ YANET</v>
          </cell>
          <cell r="F1734" t="str">
            <v>SERNA DUQUE</v>
          </cell>
          <cell r="G1734" t="str">
            <v>SERNA DUQUE LUZ YANET</v>
          </cell>
          <cell r="H1734" t="str">
            <v>FUNC</v>
          </cell>
          <cell r="I1734" t="str">
            <v>FUNCIONARIO</v>
          </cell>
          <cell r="J1734" t="str">
            <v>CR 24    28  56</v>
          </cell>
          <cell r="K1734" t="str">
            <v>17001</v>
          </cell>
          <cell r="L1734" t="str">
            <v>MANIZALES</v>
          </cell>
          <cell r="M1734" t="str">
            <v>3104222647</v>
          </cell>
        </row>
        <row r="1735">
          <cell r="A1735">
            <v>30344825</v>
          </cell>
          <cell r="B1735" t="str">
            <v>5</v>
          </cell>
          <cell r="C1735" t="str">
            <v/>
          </cell>
          <cell r="D1735" t="str">
            <v>NP</v>
          </cell>
          <cell r="E1735" t="str">
            <v>MARIA SOLEY</v>
          </cell>
          <cell r="F1735" t="str">
            <v>MARTINEZ FIGUEROA</v>
          </cell>
          <cell r="G1735" t="str">
            <v>MARTINEZ FIGUEROA MARIA SOLEY</v>
          </cell>
          <cell r="H1735" t="str">
            <v>RESI</v>
          </cell>
          <cell r="I1735" t="str">
            <v>REGIMEN SIMPLIFICADO</v>
          </cell>
          <cell r="J1735" t="str">
            <v>CORR SAN MIGUEL CL 31 1 24</v>
          </cell>
          <cell r="K1735" t="str">
            <v>05756</v>
          </cell>
          <cell r="L1735" t="str">
            <v>SONSON</v>
          </cell>
          <cell r="M1735" t="str">
            <v>3202215565</v>
          </cell>
        </row>
        <row r="1736">
          <cell r="A1736">
            <v>30346600</v>
          </cell>
          <cell r="B1736" t="str">
            <v/>
          </cell>
          <cell r="C1736" t="str">
            <v/>
          </cell>
          <cell r="D1736" t="str">
            <v>CC</v>
          </cell>
          <cell r="E1736" t="str">
            <v>NOHORA</v>
          </cell>
          <cell r="F1736" t="str">
            <v>CORTES ALGECIRAS</v>
          </cell>
          <cell r="G1736" t="str">
            <v>CORTES ALGECIRAS  NOHORA</v>
          </cell>
          <cell r="H1736" t="str">
            <v>FUNC</v>
          </cell>
          <cell r="I1736" t="str">
            <v>FUNCIONARIO</v>
          </cell>
          <cell r="J1736" t="str">
            <v>CL 49 C NO  11   23</v>
          </cell>
          <cell r="K1736" t="str">
            <v>17001</v>
          </cell>
          <cell r="L1736" t="str">
            <v>MANIZALES</v>
          </cell>
          <cell r="M1736" t="str">
            <v>8864109</v>
          </cell>
        </row>
        <row r="1737">
          <cell r="A1737">
            <v>30348357</v>
          </cell>
          <cell r="B1737" t="str">
            <v>8</v>
          </cell>
          <cell r="C1737" t="str">
            <v/>
          </cell>
          <cell r="D1737" t="str">
            <v>NP</v>
          </cell>
          <cell r="E1737" t="str">
            <v>MARTA PATRICIA</v>
          </cell>
          <cell r="F1737" t="str">
            <v>BERNAL SUAREZ</v>
          </cell>
          <cell r="G1737" t="str">
            <v>BERNAL SUAREZ MARTA PATRICIA</v>
          </cell>
          <cell r="H1737" t="str">
            <v>RECO</v>
          </cell>
          <cell r="I1737" t="str">
            <v>REGIMEN COMUN</v>
          </cell>
          <cell r="J1737" t="str">
            <v xml:space="preserve">CR 23 N 64B 33                     </v>
          </cell>
          <cell r="K1737" t="str">
            <v>17001</v>
          </cell>
          <cell r="L1737" t="str">
            <v>MANIZALES</v>
          </cell>
          <cell r="M1737" t="str">
            <v>8861311</v>
          </cell>
        </row>
        <row r="1738">
          <cell r="A1738">
            <v>30358492</v>
          </cell>
          <cell r="B1738" t="str">
            <v/>
          </cell>
          <cell r="C1738" t="str">
            <v/>
          </cell>
          <cell r="D1738" t="str">
            <v>CC</v>
          </cell>
          <cell r="E1738" t="str">
            <v>NATALIA MARCELA</v>
          </cell>
          <cell r="F1738" t="str">
            <v>HINCAPIE GARCIA</v>
          </cell>
          <cell r="G1738" t="str">
            <v>HINCAPIE GARCIA NATALIA MARCELA</v>
          </cell>
          <cell r="H1738" t="str">
            <v>FUNC</v>
          </cell>
          <cell r="I1738" t="str">
            <v>FUNCIONARIO</v>
          </cell>
          <cell r="J1738" t="str">
            <v>Cra 4 #16-140C31</v>
          </cell>
          <cell r="K1738" t="str">
            <v>17174</v>
          </cell>
          <cell r="L1738" t="str">
            <v>CHINCHINÁ</v>
          </cell>
          <cell r="M1738" t="str">
            <v>8400389</v>
          </cell>
        </row>
        <row r="1739">
          <cell r="A1739">
            <v>30361494</v>
          </cell>
          <cell r="B1739" t="str">
            <v/>
          </cell>
          <cell r="C1739" t="str">
            <v/>
          </cell>
          <cell r="D1739" t="str">
            <v>CC</v>
          </cell>
          <cell r="E1739" t="str">
            <v>YULI CAROLINA</v>
          </cell>
          <cell r="F1739" t="str">
            <v>ARROYAVE VALENCIA</v>
          </cell>
          <cell r="G1739" t="str">
            <v>ARROYAVE VALENCIA YULI CAROLINA</v>
          </cell>
          <cell r="H1739" t="str">
            <v>FUNC</v>
          </cell>
          <cell r="I1739" t="str">
            <v>FUNCIONARIO</v>
          </cell>
          <cell r="J1739" t="str">
            <v>CR 11 A 5 140</v>
          </cell>
          <cell r="K1739" t="str">
            <v>17174</v>
          </cell>
          <cell r="L1739" t="str">
            <v>CHINCHINÁ</v>
          </cell>
          <cell r="M1739" t="str">
            <v>3207763027</v>
          </cell>
        </row>
        <row r="1740">
          <cell r="A1740">
            <v>30389456</v>
          </cell>
          <cell r="B1740" t="str">
            <v>4</v>
          </cell>
          <cell r="C1740" t="str">
            <v/>
          </cell>
          <cell r="D1740" t="str">
            <v>NP</v>
          </cell>
          <cell r="E1740" t="str">
            <v>SOR ZORAIDA</v>
          </cell>
          <cell r="F1740" t="str">
            <v>MORALES LONDOÑO</v>
          </cell>
          <cell r="G1740" t="str">
            <v>MORALES LONDOÑO SOR ZORAIDA</v>
          </cell>
          <cell r="H1740" t="str">
            <v>RESI</v>
          </cell>
          <cell r="I1740" t="str">
            <v>REGIMEN SIMPLIFICADO</v>
          </cell>
          <cell r="J1740" t="str">
            <v>CR 6   10   16</v>
          </cell>
          <cell r="K1740" t="str">
            <v>17495</v>
          </cell>
          <cell r="L1740" t="str">
            <v>NORCASIA</v>
          </cell>
          <cell r="M1740" t="str">
            <v>3137332764</v>
          </cell>
        </row>
        <row r="1741">
          <cell r="A1741">
            <v>30391124</v>
          </cell>
          <cell r="B1741" t="str">
            <v/>
          </cell>
          <cell r="C1741" t="str">
            <v/>
          </cell>
          <cell r="D1741" t="str">
            <v>CC</v>
          </cell>
          <cell r="E1741" t="str">
            <v>JULIANA</v>
          </cell>
          <cell r="F1741" t="str">
            <v>LONDOÑO VILLA</v>
          </cell>
          <cell r="G1741" t="str">
            <v>LONDOÑO VILLA JULIANA</v>
          </cell>
          <cell r="H1741" t="str">
            <v>FUNC</v>
          </cell>
          <cell r="I1741" t="str">
            <v>FUNCIONARIO</v>
          </cell>
          <cell r="J1741" t="str">
            <v>CL 81 B   25   41</v>
          </cell>
          <cell r="K1741" t="str">
            <v>17001</v>
          </cell>
          <cell r="L1741" t="str">
            <v>MANIZALES</v>
          </cell>
          <cell r="M1741" t="str">
            <v>8744584</v>
          </cell>
        </row>
        <row r="1742">
          <cell r="A1742">
            <v>30391169</v>
          </cell>
          <cell r="B1742" t="str">
            <v>1</v>
          </cell>
          <cell r="C1742" t="str">
            <v/>
          </cell>
          <cell r="D1742" t="str">
            <v>NP</v>
          </cell>
          <cell r="E1742" t="str">
            <v>MONICA ANDREA</v>
          </cell>
          <cell r="F1742" t="str">
            <v>BERRIO CALLE</v>
          </cell>
          <cell r="G1742" t="str">
            <v>BERRIO CALLE MONICA ANDREA</v>
          </cell>
          <cell r="H1742" t="str">
            <v>RECO</v>
          </cell>
          <cell r="I1742" t="str">
            <v>REGIMEN COMUN</v>
          </cell>
          <cell r="J1742" t="str">
            <v>CL 62 24 B 10 LC  102</v>
          </cell>
          <cell r="K1742" t="str">
            <v>17001</v>
          </cell>
          <cell r="L1742" t="str">
            <v>MANIZALES</v>
          </cell>
          <cell r="M1742" t="str">
            <v>3218396778</v>
          </cell>
        </row>
        <row r="1743">
          <cell r="A1743">
            <v>30391185</v>
          </cell>
          <cell r="B1743" t="str">
            <v/>
          </cell>
          <cell r="C1743" t="str">
            <v/>
          </cell>
          <cell r="D1743" t="str">
            <v>CC</v>
          </cell>
          <cell r="E1743" t="str">
            <v>ANGELA ANDREA</v>
          </cell>
          <cell r="F1743" t="str">
            <v>ORTIZ PARDEY</v>
          </cell>
          <cell r="G1743" t="str">
            <v>ORTIZ PARDEY ANGELA ANDREA</v>
          </cell>
          <cell r="H1743" t="str">
            <v>FUNC</v>
          </cell>
          <cell r="I1743" t="str">
            <v>FUNCIONARIO</v>
          </cell>
          <cell r="J1743" t="str">
            <v>CL 10 B   28   20 BRR LA CASTELLANA</v>
          </cell>
          <cell r="K1743" t="str">
            <v>17001</v>
          </cell>
          <cell r="L1743" t="str">
            <v>MANIZALES</v>
          </cell>
          <cell r="M1743" t="str">
            <v>3128322225</v>
          </cell>
        </row>
        <row r="1744">
          <cell r="A1744">
            <v>30392139</v>
          </cell>
          <cell r="B1744" t="str">
            <v/>
          </cell>
          <cell r="C1744" t="str">
            <v/>
          </cell>
          <cell r="D1744" t="str">
            <v>CC</v>
          </cell>
          <cell r="E1744" t="str">
            <v>NINFA ANDREA</v>
          </cell>
          <cell r="F1744" t="str">
            <v>MURILLO LONDOÑO</v>
          </cell>
          <cell r="G1744" t="str">
            <v>MURILLO LONDOÑO NINFA ANDREA</v>
          </cell>
          <cell r="H1744" t="str">
            <v>FUNC</v>
          </cell>
          <cell r="I1744" t="str">
            <v>FUNCIONARIO</v>
          </cell>
          <cell r="J1744" t="str">
            <v>CEL 14 BL 3 AP 402</v>
          </cell>
          <cell r="K1744" t="str">
            <v>17001</v>
          </cell>
          <cell r="L1744" t="str">
            <v>MANIZALES</v>
          </cell>
          <cell r="M1744" t="str">
            <v>3146755594</v>
          </cell>
        </row>
        <row r="1745">
          <cell r="A1745">
            <v>30393005</v>
          </cell>
          <cell r="B1745" t="str">
            <v/>
          </cell>
          <cell r="C1745" t="str">
            <v/>
          </cell>
          <cell r="D1745" t="str">
            <v>CC</v>
          </cell>
          <cell r="E1745" t="str">
            <v>GLORIA LUCIA</v>
          </cell>
          <cell r="F1745" t="str">
            <v>VELEZ LOPEZ</v>
          </cell>
          <cell r="G1745" t="str">
            <v>VELEZ LOPEZ GLORIA LUCIA</v>
          </cell>
          <cell r="H1745" t="str">
            <v>FUNC</v>
          </cell>
          <cell r="I1745" t="str">
            <v>FUNCIONARIO</v>
          </cell>
          <cell r="J1745" t="str">
            <v xml:space="preserve">CALLE 50 N. 26 69 APTO 603 B </v>
          </cell>
          <cell r="K1745" t="str">
            <v>17001</v>
          </cell>
          <cell r="L1745" t="str">
            <v>MANIZALES</v>
          </cell>
          <cell r="M1745" t="str">
            <v>8851890</v>
          </cell>
        </row>
        <row r="1746">
          <cell r="A1746">
            <v>30393475</v>
          </cell>
          <cell r="B1746" t="str">
            <v/>
          </cell>
          <cell r="C1746" t="str">
            <v/>
          </cell>
          <cell r="D1746" t="str">
            <v>CC</v>
          </cell>
          <cell r="E1746" t="str">
            <v>LUZ PATRICIA</v>
          </cell>
          <cell r="F1746" t="str">
            <v>VILLA MARIN</v>
          </cell>
          <cell r="G1746" t="str">
            <v>VILLA MARIN LUZ PATRICIA</v>
          </cell>
          <cell r="H1746" t="str">
            <v>FUNC</v>
          </cell>
          <cell r="I1746" t="str">
            <v>FUNCIONARIO</v>
          </cell>
          <cell r="J1746" t="str">
            <v>CALLE 5 N.22-124</v>
          </cell>
          <cell r="K1746" t="str">
            <v>17001</v>
          </cell>
          <cell r="L1746" t="str">
            <v>MANIZALES</v>
          </cell>
          <cell r="M1746" t="str">
            <v>8890586</v>
          </cell>
        </row>
        <row r="1747">
          <cell r="A1747">
            <v>30393984</v>
          </cell>
          <cell r="B1747" t="str">
            <v/>
          </cell>
          <cell r="C1747" t="str">
            <v/>
          </cell>
          <cell r="D1747" t="str">
            <v>CC</v>
          </cell>
          <cell r="E1747" t="str">
            <v>FRANCY ELENA</v>
          </cell>
          <cell r="F1747" t="str">
            <v>CORRALES RAMIREZ</v>
          </cell>
          <cell r="G1747" t="str">
            <v>CORRALES RAMIREZ FRANCY ELENA</v>
          </cell>
          <cell r="H1747" t="str">
            <v>FUNC</v>
          </cell>
          <cell r="I1747" t="str">
            <v>FUNCIONARIO</v>
          </cell>
          <cell r="J1747" t="str">
            <v>CR 32 29 A 16</v>
          </cell>
          <cell r="K1747" t="str">
            <v>17001</v>
          </cell>
          <cell r="L1747" t="str">
            <v>MANIZALES</v>
          </cell>
          <cell r="M1747" t="str">
            <v>3114707590</v>
          </cell>
        </row>
        <row r="1748">
          <cell r="A1748">
            <v>30394016</v>
          </cell>
          <cell r="B1748" t="str">
            <v/>
          </cell>
          <cell r="C1748" t="str">
            <v/>
          </cell>
          <cell r="D1748" t="str">
            <v>CC</v>
          </cell>
          <cell r="E1748" t="str">
            <v xml:space="preserve">ANA MARIA </v>
          </cell>
          <cell r="F1748" t="str">
            <v>OSORIO MEJIA</v>
          </cell>
          <cell r="G1748" t="str">
            <v xml:space="preserve">OSORIO MEJIA ANA MARIA </v>
          </cell>
          <cell r="H1748" t="str">
            <v>FUNC</v>
          </cell>
          <cell r="I1748" t="str">
            <v>FUNCIONARIO</v>
          </cell>
          <cell r="J1748" t="str">
            <v>CL 67   25   71  AP 101</v>
          </cell>
          <cell r="K1748" t="str">
            <v>17001</v>
          </cell>
          <cell r="L1748" t="str">
            <v>MANIZALES</v>
          </cell>
          <cell r="M1748" t="str">
            <v>8871477</v>
          </cell>
        </row>
        <row r="1749">
          <cell r="A1749">
            <v>30394123</v>
          </cell>
          <cell r="B1749" t="str">
            <v/>
          </cell>
          <cell r="C1749" t="str">
            <v/>
          </cell>
          <cell r="D1749" t="str">
            <v>CC</v>
          </cell>
          <cell r="E1749" t="str">
            <v>BEATRIZ EUGENIA</v>
          </cell>
          <cell r="F1749" t="str">
            <v>GONZALEZ MORALES</v>
          </cell>
          <cell r="G1749" t="str">
            <v>GONZALEZ MORALES BEATRIZ EUGENIA</v>
          </cell>
          <cell r="H1749" t="str">
            <v>FUNC</v>
          </cell>
          <cell r="I1749" t="str">
            <v>FUNCIONARIO</v>
          </cell>
          <cell r="J1749" t="str">
            <v>CR 32 B 99 A 36</v>
          </cell>
          <cell r="K1749" t="str">
            <v>17001</v>
          </cell>
          <cell r="L1749" t="str">
            <v>MANIZALES</v>
          </cell>
          <cell r="M1749" t="str">
            <v>3148947176</v>
          </cell>
        </row>
        <row r="1750">
          <cell r="A1750">
            <v>30394895</v>
          </cell>
          <cell r="B1750" t="str">
            <v/>
          </cell>
          <cell r="C1750" t="str">
            <v/>
          </cell>
          <cell r="D1750" t="str">
            <v>CC</v>
          </cell>
          <cell r="E1750" t="str">
            <v>MARIA CLEMENCIA</v>
          </cell>
          <cell r="F1750" t="str">
            <v>TANGARIFE LOPEZ</v>
          </cell>
          <cell r="G1750" t="str">
            <v>TANGARIFE LOPEZ MARIA CLEMENCIA</v>
          </cell>
          <cell r="H1750" t="str">
            <v>FUNC</v>
          </cell>
          <cell r="I1750" t="str">
            <v>FUNCIONARIO</v>
          </cell>
          <cell r="J1750" t="str">
            <v>CALLE 55 A 12 51</v>
          </cell>
          <cell r="K1750" t="str">
            <v>17001</v>
          </cell>
          <cell r="L1750" t="str">
            <v>MANIZALES</v>
          </cell>
          <cell r="M1750" t="str">
            <v>8760332</v>
          </cell>
        </row>
        <row r="1751">
          <cell r="A1751">
            <v>30394923</v>
          </cell>
          <cell r="B1751" t="str">
            <v>2</v>
          </cell>
          <cell r="C1751" t="str">
            <v/>
          </cell>
          <cell r="D1751" t="str">
            <v>NP</v>
          </cell>
          <cell r="E1751" t="str">
            <v>MARIA CLEMENCIA</v>
          </cell>
          <cell r="F1751" t="str">
            <v>RAMIREZ GUEVARA</v>
          </cell>
          <cell r="G1751" t="str">
            <v>RAMIREZ GUEVARA MARIA CLEMENCIA</v>
          </cell>
          <cell r="H1751" t="str">
            <v>RECO</v>
          </cell>
          <cell r="I1751" t="str">
            <v>REGIMEN COMUN</v>
          </cell>
          <cell r="J1751" t="str">
            <v>CR 23 70 A 31</v>
          </cell>
          <cell r="K1751" t="str">
            <v>17001</v>
          </cell>
          <cell r="L1751" t="str">
            <v>MANIZALES</v>
          </cell>
          <cell r="M1751" t="str">
            <v>8864982</v>
          </cell>
        </row>
        <row r="1752">
          <cell r="A1752">
            <v>30395455</v>
          </cell>
          <cell r="B1752" t="str">
            <v/>
          </cell>
          <cell r="C1752" t="str">
            <v/>
          </cell>
          <cell r="D1752" t="str">
            <v>CC</v>
          </cell>
          <cell r="E1752" t="str">
            <v>ANYELA ANDREA</v>
          </cell>
          <cell r="F1752" t="str">
            <v>HENAO LONDOÑO</v>
          </cell>
          <cell r="G1752" t="str">
            <v>HENAO LONDOÑO ANYELA ANDREA</v>
          </cell>
          <cell r="H1752" t="str">
            <v>RESI</v>
          </cell>
          <cell r="I1752" t="str">
            <v>REGIMEN SIMPLIFICADO</v>
          </cell>
          <cell r="J1752" t="str">
            <v>CL 58 C 8 25 BRR LA CUMBRE</v>
          </cell>
          <cell r="K1752" t="str">
            <v>17001</v>
          </cell>
          <cell r="L1752" t="str">
            <v>MANIZALES</v>
          </cell>
          <cell r="M1752" t="str">
            <v>3113263846</v>
          </cell>
        </row>
        <row r="1753">
          <cell r="A1753">
            <v>30395797</v>
          </cell>
          <cell r="B1753" t="str">
            <v/>
          </cell>
          <cell r="C1753" t="str">
            <v/>
          </cell>
          <cell r="D1753" t="str">
            <v>CC</v>
          </cell>
          <cell r="E1753" t="str">
            <v>PAULA ANDREA</v>
          </cell>
          <cell r="F1753" t="str">
            <v>CAÑON BUITRAGO</v>
          </cell>
          <cell r="G1753" t="str">
            <v>CAÑON BUITRAGO PAULA ANDREA</v>
          </cell>
          <cell r="H1753" t="str">
            <v>FUNC</v>
          </cell>
          <cell r="I1753" t="str">
            <v>FUNCIONARIO</v>
          </cell>
          <cell r="J1753" t="str">
            <v>CR 24   65   30</v>
          </cell>
          <cell r="K1753" t="str">
            <v>17001</v>
          </cell>
          <cell r="L1753" t="str">
            <v>MANIZALES</v>
          </cell>
          <cell r="M1753" t="str">
            <v>3115165786</v>
          </cell>
        </row>
        <row r="1754">
          <cell r="A1754">
            <v>30396161</v>
          </cell>
          <cell r="B1754" t="str">
            <v/>
          </cell>
          <cell r="C1754" t="str">
            <v/>
          </cell>
          <cell r="D1754" t="str">
            <v>CC</v>
          </cell>
          <cell r="E1754" t="str">
            <v>PAOLA ANDREA</v>
          </cell>
          <cell r="F1754" t="str">
            <v>CORREA ECHEVERRI</v>
          </cell>
          <cell r="G1754" t="str">
            <v>CORREA ECHEVERRI PAOLA ANDREA</v>
          </cell>
          <cell r="H1754" t="str">
            <v>FUNC</v>
          </cell>
          <cell r="I1754" t="str">
            <v>FUNCIONARIO</v>
          </cell>
          <cell r="J1754" t="str">
            <v>CL 67 NO 28 B 36 APTO 604B PALER</v>
          </cell>
          <cell r="K1754" t="str">
            <v>17001</v>
          </cell>
          <cell r="L1754" t="str">
            <v>MANIZALES</v>
          </cell>
          <cell r="M1754" t="str">
            <v>6823875</v>
          </cell>
        </row>
        <row r="1755">
          <cell r="A1755">
            <v>30396506</v>
          </cell>
          <cell r="B1755" t="str">
            <v>3</v>
          </cell>
          <cell r="C1755" t="str">
            <v/>
          </cell>
          <cell r="D1755" t="str">
            <v>NP</v>
          </cell>
          <cell r="E1755" t="str">
            <v>PAOLA</v>
          </cell>
          <cell r="F1755" t="str">
            <v>HERRERA RENDON</v>
          </cell>
          <cell r="G1755" t="str">
            <v>HERRERA RENDON PAOLA</v>
          </cell>
          <cell r="H1755" t="str">
            <v>NORE</v>
          </cell>
          <cell r="I1755" t="str">
            <v>NO RESPONSABLE DE IVA</v>
          </cell>
          <cell r="J1755" t="str">
            <v>CR 22 A 70 A 92</v>
          </cell>
          <cell r="K1755" t="str">
            <v>17001</v>
          </cell>
          <cell r="L1755" t="str">
            <v>MANIZALES</v>
          </cell>
          <cell r="M1755" t="str">
            <v>3043156190</v>
          </cell>
        </row>
        <row r="1756">
          <cell r="A1756">
            <v>30396680</v>
          </cell>
          <cell r="B1756" t="str">
            <v/>
          </cell>
          <cell r="C1756" t="str">
            <v/>
          </cell>
          <cell r="D1756" t="str">
            <v>CC</v>
          </cell>
          <cell r="E1756" t="str">
            <v>MARCELA</v>
          </cell>
          <cell r="F1756" t="str">
            <v>ARISTIZABAL QUINTERO</v>
          </cell>
          <cell r="G1756" t="str">
            <v>ARISTIZABAL QUINTERO MARCELA</v>
          </cell>
          <cell r="H1756" t="str">
            <v>FUNC</v>
          </cell>
          <cell r="I1756" t="str">
            <v>FUNCIONARIO</v>
          </cell>
          <cell r="J1756" t="str">
            <v>CR 25   24   50  AP 302</v>
          </cell>
          <cell r="K1756" t="str">
            <v>17001</v>
          </cell>
          <cell r="L1756" t="str">
            <v>MANIZALES</v>
          </cell>
          <cell r="M1756" t="str">
            <v>8731214</v>
          </cell>
        </row>
        <row r="1757">
          <cell r="A1757">
            <v>30397051</v>
          </cell>
          <cell r="B1757" t="str">
            <v>9</v>
          </cell>
          <cell r="C1757" t="str">
            <v/>
          </cell>
          <cell r="D1757" t="str">
            <v>NP</v>
          </cell>
          <cell r="E1757" t="str">
            <v>LUZ ANGELA</v>
          </cell>
          <cell r="F1757" t="str">
            <v>HINCAPIE BOTERO</v>
          </cell>
          <cell r="G1757" t="str">
            <v>HINCAPIE BOTERO LUZ ANGELA</v>
          </cell>
          <cell r="H1757" t="str">
            <v>NORE</v>
          </cell>
          <cell r="I1757" t="str">
            <v>NO RESPONSABLE DE IVA</v>
          </cell>
          <cell r="J1757" t="str">
            <v xml:space="preserve"> CL 103 A 32 A 77</v>
          </cell>
          <cell r="K1757" t="str">
            <v>17001</v>
          </cell>
          <cell r="L1757" t="str">
            <v>MANIZALES</v>
          </cell>
          <cell r="M1757" t="str">
            <v>3206716439</v>
          </cell>
        </row>
        <row r="1758">
          <cell r="A1758">
            <v>30397092</v>
          </cell>
          <cell r="B1758" t="str">
            <v/>
          </cell>
          <cell r="C1758" t="str">
            <v/>
          </cell>
          <cell r="D1758" t="str">
            <v>CC</v>
          </cell>
          <cell r="E1758" t="str">
            <v>PAULA XIMENA</v>
          </cell>
          <cell r="F1758" t="str">
            <v>GIRALDO GIRALDO</v>
          </cell>
          <cell r="G1758" t="str">
            <v>GIRALDO GIRALDO PAULA XIMENA</v>
          </cell>
          <cell r="H1758" t="str">
            <v>FUNC</v>
          </cell>
          <cell r="I1758" t="str">
            <v>FUNCIONARIO</v>
          </cell>
          <cell r="J1758" t="str">
            <v>CR 28 A 48 67</v>
          </cell>
          <cell r="K1758" t="str">
            <v>17001</v>
          </cell>
          <cell r="L1758" t="str">
            <v>MANIZALES</v>
          </cell>
          <cell r="M1758" t="str">
            <v>3126249012</v>
          </cell>
        </row>
        <row r="1759">
          <cell r="A1759">
            <v>30397539</v>
          </cell>
          <cell r="B1759" t="str">
            <v/>
          </cell>
          <cell r="C1759" t="str">
            <v/>
          </cell>
          <cell r="D1759" t="str">
            <v>CC</v>
          </cell>
          <cell r="E1759" t="str">
            <v>ISABEL CRISTINA</v>
          </cell>
          <cell r="F1759" t="str">
            <v>OSSA HOYOS</v>
          </cell>
          <cell r="G1759" t="str">
            <v>OSSA HOYOS ISABEL CRISTINA</v>
          </cell>
          <cell r="H1759" t="str">
            <v>FUNC</v>
          </cell>
          <cell r="I1759" t="str">
            <v>FUNCIONARIO</v>
          </cell>
          <cell r="J1759" t="str">
            <v>CALLE 60 # 32 D 04</v>
          </cell>
          <cell r="K1759" t="str">
            <v>17001</v>
          </cell>
          <cell r="L1759" t="str">
            <v>MANIZALES</v>
          </cell>
          <cell r="M1759" t="str">
            <v>3128167652</v>
          </cell>
        </row>
        <row r="1760">
          <cell r="A1760">
            <v>30398025</v>
          </cell>
          <cell r="B1760" t="str">
            <v/>
          </cell>
          <cell r="C1760" t="str">
            <v/>
          </cell>
          <cell r="D1760" t="str">
            <v>CC</v>
          </cell>
          <cell r="E1760" t="str">
            <v>CAROLINA</v>
          </cell>
          <cell r="F1760" t="str">
            <v>JARAMILLO SALAZAR</v>
          </cell>
          <cell r="G1760" t="str">
            <v>JARAMILLO SALAZAR CAROLINA</v>
          </cell>
          <cell r="H1760" t="str">
            <v>FUNC</v>
          </cell>
          <cell r="I1760" t="str">
            <v>FUNCIONARIO</v>
          </cell>
          <cell r="J1760" t="str">
            <v>CLL71 17 24 APTO 505</v>
          </cell>
          <cell r="K1760" t="str">
            <v>17001</v>
          </cell>
          <cell r="L1760" t="str">
            <v>MANIZALES</v>
          </cell>
          <cell r="M1760" t="str">
            <v>8750706</v>
          </cell>
        </row>
        <row r="1761">
          <cell r="A1761">
            <v>30398956</v>
          </cell>
          <cell r="B1761" t="str">
            <v>3</v>
          </cell>
          <cell r="C1761" t="str">
            <v/>
          </cell>
          <cell r="D1761" t="str">
            <v>NP</v>
          </cell>
          <cell r="E1761" t="str">
            <v>MONICA ANDREA</v>
          </cell>
          <cell r="F1761" t="str">
            <v>HERNANDEZ GIRALDO</v>
          </cell>
          <cell r="G1761" t="str">
            <v>HERNANDEZ GIRALDO MONICA ANDREA</v>
          </cell>
          <cell r="H1761" t="str">
            <v>RESI</v>
          </cell>
          <cell r="I1761" t="str">
            <v>REGIMEN SIMPLIFICADO</v>
          </cell>
          <cell r="J1761" t="str">
            <v>CL 55 24 63</v>
          </cell>
          <cell r="K1761" t="str">
            <v>17001</v>
          </cell>
          <cell r="L1761" t="str">
            <v>MANIZALES</v>
          </cell>
          <cell r="M1761" t="str">
            <v>3004849596</v>
          </cell>
        </row>
        <row r="1762">
          <cell r="A1762">
            <v>30399125</v>
          </cell>
          <cell r="B1762" t="str">
            <v>4</v>
          </cell>
          <cell r="C1762" t="str">
            <v/>
          </cell>
          <cell r="D1762" t="str">
            <v>NP</v>
          </cell>
          <cell r="E1762" t="str">
            <v>MARIA CAROLINA</v>
          </cell>
          <cell r="F1762" t="str">
            <v>ANDRADE RENDON</v>
          </cell>
          <cell r="G1762" t="str">
            <v>ANDRADE RENDON  MARIA CAROLINA</v>
          </cell>
          <cell r="H1762" t="str">
            <v>RESI</v>
          </cell>
          <cell r="I1762" t="str">
            <v>REGIMEN SIMPLIFICADO</v>
          </cell>
          <cell r="J1762" t="str">
            <v>CL 68 23 C 49</v>
          </cell>
          <cell r="K1762" t="str">
            <v>17001</v>
          </cell>
          <cell r="L1762" t="str">
            <v>MANIZALES</v>
          </cell>
          <cell r="M1762" t="str">
            <v>3153444783</v>
          </cell>
        </row>
        <row r="1763">
          <cell r="A1763">
            <v>30399248</v>
          </cell>
          <cell r="B1763" t="str">
            <v/>
          </cell>
          <cell r="C1763" t="str">
            <v/>
          </cell>
          <cell r="D1763" t="str">
            <v>CC</v>
          </cell>
          <cell r="E1763" t="str">
            <v>PAULA ANDREA</v>
          </cell>
          <cell r="F1763" t="str">
            <v>RIOS OCAMPO</v>
          </cell>
          <cell r="G1763" t="str">
            <v>RIOS OCAMPO PAULA ANDREA</v>
          </cell>
          <cell r="H1763" t="str">
            <v>FUNC</v>
          </cell>
          <cell r="I1763" t="str">
            <v>FUNCIONARIO</v>
          </cell>
          <cell r="J1763" t="str">
            <v>CR 33 A   10 D 52</v>
          </cell>
          <cell r="K1763" t="str">
            <v>17001</v>
          </cell>
          <cell r="L1763" t="str">
            <v>MANIZALES</v>
          </cell>
          <cell r="M1763" t="str">
            <v>8737950</v>
          </cell>
        </row>
        <row r="1764">
          <cell r="A1764">
            <v>30399697</v>
          </cell>
          <cell r="B1764" t="str">
            <v/>
          </cell>
          <cell r="C1764" t="str">
            <v/>
          </cell>
          <cell r="D1764" t="str">
            <v>CC</v>
          </cell>
          <cell r="E1764" t="str">
            <v>PAOLA ANDREA</v>
          </cell>
          <cell r="F1764" t="str">
            <v>MARTINEZ SERNA</v>
          </cell>
          <cell r="G1764" t="str">
            <v>MARTINEZ SERNA PAOLA ANDREA</v>
          </cell>
          <cell r="H1764" t="str">
            <v>EXFU</v>
          </cell>
          <cell r="I1764" t="str">
            <v>EX-FUNCIONARIOS</v>
          </cell>
          <cell r="J1764" t="str">
            <v>CRA 24A # 55 B - 82</v>
          </cell>
          <cell r="K1764" t="str">
            <v>17001</v>
          </cell>
          <cell r="L1764" t="str">
            <v>MANIZALES</v>
          </cell>
          <cell r="M1764" t="str">
            <v>3134183129</v>
          </cell>
        </row>
        <row r="1765">
          <cell r="A1765">
            <v>30399872</v>
          </cell>
          <cell r="B1765" t="str">
            <v>8</v>
          </cell>
          <cell r="C1765" t="str">
            <v/>
          </cell>
          <cell r="D1765" t="str">
            <v>NP</v>
          </cell>
          <cell r="E1765" t="str">
            <v>VICTORIA GOMEZ</v>
          </cell>
          <cell r="F1765" t="str">
            <v>LUZ MARIBEL</v>
          </cell>
          <cell r="G1765" t="str">
            <v>LUZ MARIBEL VICTORIA GOMEZ</v>
          </cell>
          <cell r="H1765" t="str">
            <v>RESI</v>
          </cell>
          <cell r="I1765" t="str">
            <v>REGIMEN SIMPLIFICADO</v>
          </cell>
          <cell r="J1765" t="str">
            <v>CR 36 A 100 16 BRR LA ENEA</v>
          </cell>
          <cell r="K1765" t="str">
            <v>17001</v>
          </cell>
          <cell r="L1765" t="str">
            <v>MANIZALES</v>
          </cell>
          <cell r="M1765" t="str">
            <v>8746195</v>
          </cell>
        </row>
        <row r="1766">
          <cell r="A1766">
            <v>30401131</v>
          </cell>
          <cell r="B1766" t="str">
            <v/>
          </cell>
          <cell r="C1766" t="str">
            <v/>
          </cell>
          <cell r="D1766" t="str">
            <v>CC</v>
          </cell>
          <cell r="E1766" t="str">
            <v>SANDRA SOFIA</v>
          </cell>
          <cell r="F1766" t="str">
            <v>NIETO CARDONA</v>
          </cell>
          <cell r="G1766" t="str">
            <v>NIETO CARDONA SANDRA SOFIA</v>
          </cell>
          <cell r="H1766" t="str">
            <v>RESI</v>
          </cell>
          <cell r="I1766" t="str">
            <v>REGIMEN SIMPLIFICADO</v>
          </cell>
          <cell r="J1766" t="str">
            <v>AV ALBERTO MENDOZA 87-02</v>
          </cell>
          <cell r="K1766" t="str">
            <v>17001</v>
          </cell>
          <cell r="L1766" t="str">
            <v>MANIZALES</v>
          </cell>
          <cell r="M1766" t="str">
            <v>3128713375</v>
          </cell>
        </row>
        <row r="1767">
          <cell r="A1767">
            <v>30401285</v>
          </cell>
          <cell r="B1767" t="str">
            <v/>
          </cell>
          <cell r="C1767" t="str">
            <v/>
          </cell>
          <cell r="D1767" t="str">
            <v>CC</v>
          </cell>
          <cell r="E1767" t="str">
            <v>CAROLINA</v>
          </cell>
          <cell r="F1767" t="str">
            <v>ZAPATA RAMIREZ</v>
          </cell>
          <cell r="G1767" t="str">
            <v>ZAPATA RAMIREZ CAROLINA</v>
          </cell>
          <cell r="H1767" t="str">
            <v>FUNC</v>
          </cell>
          <cell r="I1767" t="str">
            <v>FUNCIONARIO</v>
          </cell>
          <cell r="J1767" t="str">
            <v>CR 20 B 65 A 81</v>
          </cell>
          <cell r="K1767" t="str">
            <v>17001</v>
          </cell>
          <cell r="L1767" t="str">
            <v>MANIZALES</v>
          </cell>
          <cell r="M1767" t="str">
            <v>8902081</v>
          </cell>
        </row>
        <row r="1768">
          <cell r="A1768">
            <v>30401778</v>
          </cell>
          <cell r="B1768" t="str">
            <v>0</v>
          </cell>
          <cell r="C1768" t="str">
            <v/>
          </cell>
          <cell r="D1768" t="str">
            <v>CC</v>
          </cell>
          <cell r="E1768" t="str">
            <v>DIANA LORENA</v>
          </cell>
          <cell r="F1768" t="str">
            <v>RAMOS RODRIGUEZ</v>
          </cell>
          <cell r="G1768" t="str">
            <v>RAMOS RODRIGUEZ DIANA LORENA</v>
          </cell>
          <cell r="H1768" t="str">
            <v>FUNC</v>
          </cell>
          <cell r="I1768" t="str">
            <v>FUNCIONARIO</v>
          </cell>
          <cell r="J1768" t="str">
            <v>CRA 20B No 65-4</v>
          </cell>
          <cell r="K1768" t="str">
            <v>17001</v>
          </cell>
          <cell r="L1768" t="str">
            <v>MANIZALES</v>
          </cell>
          <cell r="M1768" t="str">
            <v>3105285191</v>
          </cell>
        </row>
        <row r="1769">
          <cell r="A1769">
            <v>30401798</v>
          </cell>
          <cell r="B1769" t="str">
            <v/>
          </cell>
          <cell r="C1769" t="str">
            <v/>
          </cell>
          <cell r="D1769" t="str">
            <v>CC</v>
          </cell>
          <cell r="E1769" t="str">
            <v>ANDREA DEL PILAR</v>
          </cell>
          <cell r="F1769" t="str">
            <v>GOMEZ CANO</v>
          </cell>
          <cell r="G1769" t="str">
            <v>GOMEZ CANO ANDREA DEL PILAR</v>
          </cell>
          <cell r="H1769" t="str">
            <v>FUNC</v>
          </cell>
          <cell r="I1769" t="str">
            <v>FUNCIONARIO</v>
          </cell>
          <cell r="J1769" t="str">
            <v>CR 21 57-28 ROSALES</v>
          </cell>
          <cell r="K1769" t="str">
            <v>17001</v>
          </cell>
          <cell r="L1769" t="str">
            <v>MANIZALES</v>
          </cell>
          <cell r="M1769" t="str">
            <v>8833941</v>
          </cell>
        </row>
        <row r="1770">
          <cell r="A1770">
            <v>30402269</v>
          </cell>
          <cell r="B1770" t="str">
            <v>9</v>
          </cell>
          <cell r="C1770" t="str">
            <v/>
          </cell>
          <cell r="D1770" t="str">
            <v>NP</v>
          </cell>
          <cell r="E1770" t="str">
            <v>CLAUDIA JEANETH</v>
          </cell>
          <cell r="F1770" t="str">
            <v>ALZATE TORO</v>
          </cell>
          <cell r="G1770" t="str">
            <v>ALZATE TORO CLAUDIA JEANETH</v>
          </cell>
          <cell r="H1770" t="str">
            <v>RESI</v>
          </cell>
          <cell r="I1770" t="str">
            <v>REGIMEN SIMPLIFICADO</v>
          </cell>
          <cell r="J1770" t="str">
            <v>cl 39 23 16</v>
          </cell>
          <cell r="K1770" t="str">
            <v>17001</v>
          </cell>
          <cell r="L1770" t="str">
            <v>MANIZALES</v>
          </cell>
          <cell r="M1770" t="str">
            <v>8762095</v>
          </cell>
        </row>
        <row r="1771">
          <cell r="A1771">
            <v>30402706</v>
          </cell>
          <cell r="B1771" t="str">
            <v/>
          </cell>
          <cell r="C1771" t="str">
            <v/>
          </cell>
          <cell r="D1771" t="str">
            <v>CC</v>
          </cell>
          <cell r="E1771" t="str">
            <v>DIANA LORENA</v>
          </cell>
          <cell r="F1771" t="str">
            <v>MEJÍA BOHORQUEZ</v>
          </cell>
          <cell r="G1771" t="str">
            <v>MEJÍA BOHORQUEZ DIANA LORENA</v>
          </cell>
          <cell r="H1771" t="str">
            <v>FUNC</v>
          </cell>
          <cell r="I1771" t="str">
            <v>FUNCIONARIO</v>
          </cell>
          <cell r="J1771" t="str">
            <v>CR 44 11 A 27</v>
          </cell>
          <cell r="K1771" t="str">
            <v>17001</v>
          </cell>
          <cell r="L1771" t="str">
            <v>MANIZALES</v>
          </cell>
          <cell r="M1771" t="str">
            <v>3142107143</v>
          </cell>
        </row>
        <row r="1772">
          <cell r="A1772">
            <v>30402957</v>
          </cell>
          <cell r="B1772" t="str">
            <v/>
          </cell>
          <cell r="C1772" t="str">
            <v/>
          </cell>
          <cell r="D1772" t="str">
            <v>CC</v>
          </cell>
          <cell r="E1772" t="str">
            <v>JANETH PATRICIA</v>
          </cell>
          <cell r="F1772" t="str">
            <v>DUQUE LOPEZ</v>
          </cell>
          <cell r="G1772" t="str">
            <v>DUQUE LOPEZ JANETH PATRICIA</v>
          </cell>
          <cell r="H1772" t="str">
            <v>FUNC</v>
          </cell>
          <cell r="I1772" t="str">
            <v>FUNCIONARIO</v>
          </cell>
          <cell r="J1772" t="str">
            <v>CR 24 NO  65 30, APTO 907</v>
          </cell>
          <cell r="K1772" t="str">
            <v>17001</v>
          </cell>
          <cell r="L1772" t="str">
            <v>MANIZALES</v>
          </cell>
          <cell r="M1772" t="str">
            <v>8868746</v>
          </cell>
        </row>
        <row r="1773">
          <cell r="A1773">
            <v>30403142</v>
          </cell>
          <cell r="B1773" t="str">
            <v/>
          </cell>
          <cell r="C1773" t="str">
            <v/>
          </cell>
          <cell r="D1773" t="str">
            <v>CC</v>
          </cell>
          <cell r="E1773" t="str">
            <v>MONICA ALEJANDRA</v>
          </cell>
          <cell r="F1773" t="str">
            <v>GONZALEZ LONDOÑO</v>
          </cell>
          <cell r="G1773" t="str">
            <v>GONZALEZ LONDOÑO MONICA ALEJANDRA</v>
          </cell>
          <cell r="H1773" t="str">
            <v>FUNC</v>
          </cell>
          <cell r="I1773" t="str">
            <v>FUNCIONARIO</v>
          </cell>
          <cell r="J1773" t="str">
            <v>TRANS 72 NO 20 50 ED MIRASOL 401</v>
          </cell>
          <cell r="K1773" t="str">
            <v>17001</v>
          </cell>
          <cell r="L1773" t="str">
            <v>MANIZALES</v>
          </cell>
          <cell r="M1773" t="str">
            <v>8856433</v>
          </cell>
        </row>
        <row r="1774">
          <cell r="A1774">
            <v>30403143</v>
          </cell>
          <cell r="B1774" t="str">
            <v/>
          </cell>
          <cell r="C1774" t="str">
            <v/>
          </cell>
          <cell r="D1774" t="str">
            <v>CC</v>
          </cell>
          <cell r="E1774" t="str">
            <v>CLAUDIA LISSET</v>
          </cell>
          <cell r="F1774" t="str">
            <v>BERNAL</v>
          </cell>
          <cell r="G1774" t="str">
            <v>BERNAL CLAUDIA LISSET</v>
          </cell>
          <cell r="H1774" t="str">
            <v>FUNC</v>
          </cell>
          <cell r="I1774" t="str">
            <v>FUNCIONARIO</v>
          </cell>
          <cell r="J1774" t="str">
            <v>AV KEVIN ANGEL MIRADOR DE PIAMONTE AP 2103</v>
          </cell>
          <cell r="K1774" t="str">
            <v>17001</v>
          </cell>
          <cell r="L1774" t="str">
            <v>MANIZALES</v>
          </cell>
          <cell r="M1774" t="str">
            <v>8764693</v>
          </cell>
        </row>
        <row r="1775">
          <cell r="A1775">
            <v>30403477</v>
          </cell>
          <cell r="B1775" t="str">
            <v/>
          </cell>
          <cell r="C1775" t="str">
            <v/>
          </cell>
          <cell r="D1775" t="str">
            <v>CC</v>
          </cell>
          <cell r="E1775" t="str">
            <v>MARIA ALEJANDRA</v>
          </cell>
          <cell r="F1775" t="str">
            <v>ESCOBAR MEJIA</v>
          </cell>
          <cell r="G1775" t="str">
            <v>ESCOBAR MEJIA MARIA ALEJANDRA</v>
          </cell>
          <cell r="H1775" t="str">
            <v>FUNC</v>
          </cell>
          <cell r="I1775" t="str">
            <v>FUNCIONARIO</v>
          </cell>
          <cell r="J1775" t="str">
            <v>CL 94   28   67</v>
          </cell>
          <cell r="K1775" t="str">
            <v>17001</v>
          </cell>
          <cell r="L1775" t="str">
            <v>MANIZALES</v>
          </cell>
          <cell r="M1775" t="str">
            <v>8745471</v>
          </cell>
        </row>
        <row r="1776">
          <cell r="A1776">
            <v>30404886</v>
          </cell>
          <cell r="B1776" t="str">
            <v/>
          </cell>
          <cell r="C1776" t="str">
            <v/>
          </cell>
          <cell r="D1776" t="str">
            <v>CC</v>
          </cell>
          <cell r="E1776" t="str">
            <v xml:space="preserve"> ELSA MARIA</v>
          </cell>
          <cell r="F1776" t="str">
            <v>CASTRILLON CORREA</v>
          </cell>
          <cell r="G1776" t="str">
            <v>CASTRILLON CORREA  ELSA MARIA</v>
          </cell>
          <cell r="H1776" t="str">
            <v>FUNC</v>
          </cell>
          <cell r="I1776" t="str">
            <v>FUNCIONARIO</v>
          </cell>
          <cell r="J1776" t="str">
            <v>CL 10 NORTE   18   207 AP 301</v>
          </cell>
          <cell r="K1776" t="str">
            <v>17001</v>
          </cell>
          <cell r="L1776" t="str">
            <v>MANIZALES</v>
          </cell>
          <cell r="M1776" t="str">
            <v>3216347947</v>
          </cell>
        </row>
        <row r="1777">
          <cell r="A1777">
            <v>30405660</v>
          </cell>
          <cell r="B1777" t="str">
            <v/>
          </cell>
          <cell r="C1777" t="str">
            <v/>
          </cell>
          <cell r="D1777" t="str">
            <v>CC</v>
          </cell>
          <cell r="E1777" t="str">
            <v>DIANA MARCELA</v>
          </cell>
          <cell r="F1777" t="str">
            <v>GRANADOS SALGADO</v>
          </cell>
          <cell r="G1777" t="str">
            <v>GRANADOS SALGADO DIANA MARCELA</v>
          </cell>
          <cell r="H1777" t="str">
            <v>FUNC</v>
          </cell>
          <cell r="I1777" t="str">
            <v>FUNCIONARIO</v>
          </cell>
          <cell r="J1777" t="str">
            <v>CR 32 A   103   62</v>
          </cell>
          <cell r="K1777" t="str">
            <v>17001</v>
          </cell>
          <cell r="L1777" t="str">
            <v>MANIZALES</v>
          </cell>
          <cell r="M1777" t="str">
            <v>3113837702</v>
          </cell>
        </row>
        <row r="1778">
          <cell r="A1778">
            <v>30406277</v>
          </cell>
          <cell r="B1778" t="str">
            <v/>
          </cell>
          <cell r="C1778" t="str">
            <v/>
          </cell>
          <cell r="D1778" t="str">
            <v>CC</v>
          </cell>
          <cell r="E1778" t="str">
            <v>GLORIA NANCY</v>
          </cell>
          <cell r="F1778" t="str">
            <v>OSPINA MARTINEZ</v>
          </cell>
          <cell r="G1778" t="str">
            <v>OSPINA MARTINEZ GLORIA NANCY</v>
          </cell>
          <cell r="H1778" t="str">
            <v>FUNC</v>
          </cell>
          <cell r="I1778" t="str">
            <v>FUNCIONARIO</v>
          </cell>
          <cell r="J1778" t="str">
            <v>CRA 2OB NO.58A-01MANIZALES</v>
          </cell>
          <cell r="K1778" t="str">
            <v>17001</v>
          </cell>
          <cell r="L1778" t="str">
            <v>MANIZALES</v>
          </cell>
          <cell r="M1778" t="str">
            <v>3223499681</v>
          </cell>
        </row>
        <row r="1779">
          <cell r="A1779">
            <v>30412653</v>
          </cell>
          <cell r="B1779" t="str">
            <v/>
          </cell>
          <cell r="C1779" t="str">
            <v/>
          </cell>
          <cell r="D1779" t="str">
            <v>CC</v>
          </cell>
          <cell r="E1779" t="str">
            <v>CAROLINA</v>
          </cell>
          <cell r="F1779" t="str">
            <v>ACEVEDO COLORADO</v>
          </cell>
          <cell r="G1779" t="str">
            <v>ACEVEDO COLORADO CAROLINA</v>
          </cell>
          <cell r="H1779" t="str">
            <v>FUNC</v>
          </cell>
          <cell r="I1779" t="str">
            <v>FUNCIONARIO</v>
          </cell>
          <cell r="J1779" t="str">
            <v>CR 7   11   69</v>
          </cell>
          <cell r="K1779" t="str">
            <v>17001</v>
          </cell>
          <cell r="L1779" t="str">
            <v>MANIZALES</v>
          </cell>
          <cell r="M1779" t="str">
            <v>3137826493</v>
          </cell>
        </row>
        <row r="1780">
          <cell r="A1780">
            <v>30414667</v>
          </cell>
          <cell r="B1780" t="str">
            <v>9</v>
          </cell>
          <cell r="C1780" t="str">
            <v/>
          </cell>
          <cell r="D1780" t="str">
            <v>NP</v>
          </cell>
          <cell r="E1780" t="str">
            <v>VIVIAN NATALIA</v>
          </cell>
          <cell r="F1780" t="str">
            <v>VALENCIA LARGO</v>
          </cell>
          <cell r="G1780" t="str">
            <v>VALENCIA LARGO VIVIAN NATALIA</v>
          </cell>
          <cell r="H1780" t="str">
            <v>RESI</v>
          </cell>
          <cell r="I1780" t="str">
            <v>REGIMEN SIMPLIFICADO</v>
          </cell>
          <cell r="J1780" t="str">
            <v>CR 10 10 A 09 BRR CENTRO</v>
          </cell>
          <cell r="K1780" t="str">
            <v>15238</v>
          </cell>
          <cell r="L1780" t="str">
            <v>DUITAMA</v>
          </cell>
          <cell r="M1780" t="str">
            <v>3017980457</v>
          </cell>
        </row>
        <row r="1781">
          <cell r="A1781">
            <v>30415429</v>
          </cell>
          <cell r="B1781" t="str">
            <v/>
          </cell>
          <cell r="C1781" t="str">
            <v/>
          </cell>
          <cell r="D1781" t="str">
            <v>CC</v>
          </cell>
          <cell r="E1781" t="str">
            <v>DIANA MILENA</v>
          </cell>
          <cell r="F1781" t="str">
            <v>LARGO ANDICA</v>
          </cell>
          <cell r="G1781" t="str">
            <v>LARGO ANDICA DIANA MILENA</v>
          </cell>
          <cell r="H1781" t="str">
            <v>FUNC</v>
          </cell>
          <cell r="I1781" t="str">
            <v>FUNCIONARIO</v>
          </cell>
          <cell r="J1781" t="str">
            <v>CR 32   98 A 70</v>
          </cell>
          <cell r="K1781" t="str">
            <v>17001</v>
          </cell>
          <cell r="L1781" t="str">
            <v>MANIZALES</v>
          </cell>
          <cell r="M1781" t="str">
            <v>3103753148</v>
          </cell>
        </row>
        <row r="1782">
          <cell r="A1782">
            <v>30715670</v>
          </cell>
          <cell r="B1782" t="str">
            <v>3</v>
          </cell>
          <cell r="C1782" t="str">
            <v/>
          </cell>
          <cell r="D1782" t="str">
            <v>NP</v>
          </cell>
          <cell r="E1782" t="str">
            <v>LIGIA JOSEFINA</v>
          </cell>
          <cell r="F1782" t="str">
            <v>ERASO CABRERA</v>
          </cell>
          <cell r="G1782" t="str">
            <v>ERASO CABRERA LIGIA JOSEFINA</v>
          </cell>
          <cell r="H1782" t="str">
            <v>RECO</v>
          </cell>
          <cell r="I1782" t="str">
            <v>REGIMEN COMUN</v>
          </cell>
          <cell r="J1782" t="str">
            <v>CL 13   8   39</v>
          </cell>
          <cell r="K1782" t="str">
            <v>11001</v>
          </cell>
          <cell r="L1782" t="str">
            <v>BOGOTA DC</v>
          </cell>
          <cell r="M1782" t="str">
            <v>2826565</v>
          </cell>
        </row>
        <row r="1783">
          <cell r="A1783">
            <v>30733630</v>
          </cell>
          <cell r="B1783" t="str">
            <v>5</v>
          </cell>
          <cell r="C1783" t="str">
            <v/>
          </cell>
          <cell r="D1783" t="str">
            <v>NP</v>
          </cell>
          <cell r="E1783" t="str">
            <v>MARIA CRISTINA</v>
          </cell>
          <cell r="F1783" t="str">
            <v>RIASCOS ERASO</v>
          </cell>
          <cell r="G1783" t="str">
            <v>RIASCOS ERASO MARIA CRISTINA</v>
          </cell>
          <cell r="H1783" t="str">
            <v>RECO</v>
          </cell>
          <cell r="I1783" t="str">
            <v>REGIMEN COMUN</v>
          </cell>
          <cell r="J1783" t="str">
            <v>C 32 B SEC BRICEÑO</v>
          </cell>
          <cell r="K1783" t="str">
            <v>52001</v>
          </cell>
          <cell r="L1783" t="str">
            <v xml:space="preserve">PASTO	</v>
          </cell>
          <cell r="M1783" t="str">
            <v>7312452</v>
          </cell>
        </row>
        <row r="1784">
          <cell r="A1784">
            <v>30854066</v>
          </cell>
          <cell r="B1784" t="str">
            <v/>
          </cell>
          <cell r="C1784" t="str">
            <v/>
          </cell>
          <cell r="D1784" t="str">
            <v>CC</v>
          </cell>
          <cell r="E1784" t="str">
            <v>DILCIA ISABEL</v>
          </cell>
          <cell r="F1784" t="str">
            <v>GASTELBONDO MERCADO</v>
          </cell>
          <cell r="G1784" t="str">
            <v>GASTELBONDO MERCADO DILCIA ISABEL</v>
          </cell>
          <cell r="H1784" t="str">
            <v>RESI</v>
          </cell>
          <cell r="I1784" t="str">
            <v>REGIMEN SIMPLIFICADO</v>
          </cell>
          <cell r="J1784" t="str">
            <v>CL 26 12 75 BRR NUEVO HORIZONTE</v>
          </cell>
          <cell r="K1784" t="str">
            <v>94001</v>
          </cell>
          <cell r="L1784" t="str">
            <v>INÍRIDA</v>
          </cell>
          <cell r="M1784" t="str">
            <v>3166842944</v>
          </cell>
        </row>
        <row r="1785">
          <cell r="A1785">
            <v>30939343</v>
          </cell>
          <cell r="B1785" t="str">
            <v>1</v>
          </cell>
          <cell r="C1785" t="str">
            <v/>
          </cell>
          <cell r="D1785" t="str">
            <v>NP</v>
          </cell>
          <cell r="E1785" t="str">
            <v>RESFA NAYIBE</v>
          </cell>
          <cell r="F1785" t="str">
            <v>RAMIREZ VELANDIA</v>
          </cell>
          <cell r="G1785" t="str">
            <v>RAMIREZ VELANDIA RESFA NAYIBE</v>
          </cell>
          <cell r="H1785" t="str">
            <v>RESI</v>
          </cell>
          <cell r="I1785" t="str">
            <v>REGIMEN SIMPLIFICADO</v>
          </cell>
          <cell r="J1785" t="str">
            <v>CR NOVENA CL 6 Y 7</v>
          </cell>
          <cell r="K1785" t="str">
            <v>99624</v>
          </cell>
          <cell r="L1785" t="str">
            <v>SANTA ROSALÍA</v>
          </cell>
          <cell r="M1785" t="str">
            <v>3143325120</v>
          </cell>
        </row>
        <row r="1786">
          <cell r="A1786">
            <v>31007793</v>
          </cell>
          <cell r="B1786" t="str">
            <v>7</v>
          </cell>
          <cell r="C1786" t="str">
            <v/>
          </cell>
          <cell r="D1786" t="str">
            <v>NP</v>
          </cell>
          <cell r="E1786" t="str">
            <v>DORALBA</v>
          </cell>
          <cell r="F1786" t="str">
            <v>ANDRADE RAYO</v>
          </cell>
          <cell r="G1786" t="str">
            <v>ANDRADE RAYO DORALBA</v>
          </cell>
          <cell r="H1786" t="str">
            <v>RESI</v>
          </cell>
          <cell r="I1786" t="str">
            <v>REGIMEN SIMPLIFICADO</v>
          </cell>
          <cell r="J1786" t="str">
            <v>CR 7 9   68   72</v>
          </cell>
          <cell r="K1786" t="str">
            <v>17174</v>
          </cell>
          <cell r="L1786" t="str">
            <v>CHINCHINÁ</v>
          </cell>
          <cell r="M1786" t="str">
            <v>3146106712</v>
          </cell>
        </row>
        <row r="1787">
          <cell r="A1787">
            <v>31158443</v>
          </cell>
          <cell r="B1787" t="str">
            <v>1</v>
          </cell>
          <cell r="C1787" t="str">
            <v/>
          </cell>
          <cell r="D1787" t="str">
            <v>NP</v>
          </cell>
          <cell r="E1787" t="str">
            <v>YAMILETH</v>
          </cell>
          <cell r="F1787" t="str">
            <v>VALDES BELALCAZAR</v>
          </cell>
          <cell r="G1787" t="str">
            <v>VALDES BELALCAZAR YAMILETH</v>
          </cell>
          <cell r="H1787" t="str">
            <v>RECO</v>
          </cell>
          <cell r="I1787" t="str">
            <v>REGIMEN COMUN</v>
          </cell>
          <cell r="J1787" t="str">
            <v>CL 32 33 29 BRR</v>
          </cell>
          <cell r="K1787" t="str">
            <v>76520</v>
          </cell>
          <cell r="L1787" t="str">
            <v>PALMIRA</v>
          </cell>
          <cell r="M1787" t="str">
            <v>2706161</v>
          </cell>
        </row>
        <row r="1788">
          <cell r="A1788">
            <v>31243845</v>
          </cell>
          <cell r="B1788" t="str">
            <v>2</v>
          </cell>
          <cell r="C1788" t="str">
            <v/>
          </cell>
          <cell r="D1788" t="str">
            <v>NP</v>
          </cell>
          <cell r="E1788" t="str">
            <v>NUBIA</v>
          </cell>
          <cell r="F1788" t="str">
            <v>SABOGAL DE SEGURA</v>
          </cell>
          <cell r="G1788" t="str">
            <v>SABOGAL DE SEGURA NUBIA</v>
          </cell>
          <cell r="H1788" t="str">
            <v>RESI</v>
          </cell>
          <cell r="I1788" t="str">
            <v>REGIMEN SIMPLIFICADO</v>
          </cell>
          <cell r="J1788" t="str">
            <v>DG 21 17 F 10 BRR LA FLORESTA</v>
          </cell>
          <cell r="K1788" t="str">
            <v>76001</v>
          </cell>
          <cell r="L1788" t="str">
            <v>CALI</v>
          </cell>
          <cell r="M1788" t="str">
            <v>4452486</v>
          </cell>
        </row>
        <row r="1789">
          <cell r="A1789">
            <v>31407996</v>
          </cell>
          <cell r="B1789" t="str">
            <v>1</v>
          </cell>
          <cell r="C1789" t="str">
            <v/>
          </cell>
          <cell r="D1789" t="str">
            <v>NP</v>
          </cell>
          <cell r="E1789" t="str">
            <v>STELLA</v>
          </cell>
          <cell r="F1789" t="str">
            <v>SALDARRIAGA VELARDE</v>
          </cell>
          <cell r="G1789" t="str">
            <v>SALDARRIAGA VELARDE STELLA</v>
          </cell>
          <cell r="H1789" t="str">
            <v>IMVE</v>
          </cell>
          <cell r="I1789" t="str">
            <v>IMPUESTO SOBRE LAS VENTAS</v>
          </cell>
          <cell r="J1789" t="str">
            <v>CR 14 10 70 BRR EL SAMAN</v>
          </cell>
          <cell r="K1789" t="str">
            <v>76147</v>
          </cell>
          <cell r="L1789" t="str">
            <v>CARTAGO</v>
          </cell>
          <cell r="M1789" t="str">
            <v>3174047591</v>
          </cell>
        </row>
        <row r="1790">
          <cell r="A1790">
            <v>31415032</v>
          </cell>
          <cell r="B1790" t="str">
            <v>0</v>
          </cell>
          <cell r="C1790" t="str">
            <v/>
          </cell>
          <cell r="D1790" t="str">
            <v>NP</v>
          </cell>
          <cell r="E1790" t="str">
            <v>MARIA VICTORIA</v>
          </cell>
          <cell r="F1790" t="str">
            <v>RAMIREZ MARTINEZ</v>
          </cell>
          <cell r="G1790" t="str">
            <v>RAMIREZ MARTINEZ MARIA VICTORIA</v>
          </cell>
          <cell r="H1790" t="str">
            <v>NORE</v>
          </cell>
          <cell r="I1790" t="str">
            <v>NO RESPONSABLE DE IVA</v>
          </cell>
          <cell r="J1790" t="str">
            <v>AV CIRCUNVALAR 83 92 AP 102</v>
          </cell>
          <cell r="K1790" t="str">
            <v>11001</v>
          </cell>
          <cell r="L1790" t="str">
            <v>BOGOTA DC</v>
          </cell>
          <cell r="M1790" t="str">
            <v>3011640078</v>
          </cell>
        </row>
        <row r="1791">
          <cell r="A1791">
            <v>31421314</v>
          </cell>
          <cell r="B1791" t="str">
            <v>7</v>
          </cell>
          <cell r="C1791" t="str">
            <v/>
          </cell>
          <cell r="D1791" t="str">
            <v>NP</v>
          </cell>
          <cell r="E1791" t="str">
            <v>IVONNE</v>
          </cell>
          <cell r="F1791" t="str">
            <v>LIBREROS MADRID</v>
          </cell>
          <cell r="G1791" t="str">
            <v>LIBREROS MADRID IVONNE</v>
          </cell>
          <cell r="H1791" t="str">
            <v>RECO</v>
          </cell>
          <cell r="I1791" t="str">
            <v>REGIMEN COMUN</v>
          </cell>
          <cell r="J1791" t="str">
            <v>CL 15 3 N 30 BRR EL PRADO</v>
          </cell>
          <cell r="K1791" t="str">
            <v>76147</v>
          </cell>
          <cell r="L1791" t="str">
            <v>CARTAGO</v>
          </cell>
          <cell r="M1791" t="str">
            <v>3164060916</v>
          </cell>
        </row>
        <row r="1792">
          <cell r="A1792">
            <v>31530079</v>
          </cell>
          <cell r="B1792" t="str">
            <v/>
          </cell>
          <cell r="C1792" t="str">
            <v/>
          </cell>
          <cell r="D1792" t="str">
            <v>CC</v>
          </cell>
          <cell r="E1792" t="str">
            <v>CECILIA INES</v>
          </cell>
          <cell r="F1792" t="str">
            <v>URRUTIA BARAHONA</v>
          </cell>
          <cell r="G1792" t="str">
            <v>URRUTIA BARAHONA CECILIA INES</v>
          </cell>
          <cell r="H1792" t="str">
            <v>FUNC</v>
          </cell>
          <cell r="I1792" t="str">
            <v>FUNCIONARIO</v>
          </cell>
          <cell r="J1792" t="str">
            <v>BRR BUENOS AIRES</v>
          </cell>
          <cell r="K1792" t="str">
            <v>27075</v>
          </cell>
          <cell r="L1792" t="str">
            <v>BAHÍA SOLANO</v>
          </cell>
          <cell r="M1792" t="str">
            <v>3207467218</v>
          </cell>
        </row>
        <row r="1793">
          <cell r="A1793">
            <v>31713882</v>
          </cell>
          <cell r="B1793" t="str">
            <v/>
          </cell>
          <cell r="C1793" t="str">
            <v/>
          </cell>
          <cell r="D1793" t="str">
            <v>CC</v>
          </cell>
          <cell r="E1793" t="str">
            <v>DIANA MARCELA</v>
          </cell>
          <cell r="F1793" t="str">
            <v>HURTADO QUINTERO</v>
          </cell>
          <cell r="G1793" t="str">
            <v>HURTADO QUINTERO DIANA MARCELA</v>
          </cell>
          <cell r="H1793" t="str">
            <v>FUNC</v>
          </cell>
          <cell r="I1793" t="str">
            <v>FUNCIONARIO</v>
          </cell>
          <cell r="J1793" t="str">
            <v>CRA 3 # 10 44</v>
          </cell>
          <cell r="K1793" t="str">
            <v>17174</v>
          </cell>
          <cell r="L1793" t="str">
            <v>CHINCHINÁ</v>
          </cell>
          <cell r="M1793" t="str">
            <v>3218121695</v>
          </cell>
        </row>
        <row r="1794">
          <cell r="A1794">
            <v>31972591</v>
          </cell>
          <cell r="B1794" t="str">
            <v>4</v>
          </cell>
          <cell r="C1794" t="str">
            <v/>
          </cell>
          <cell r="D1794" t="str">
            <v>NP</v>
          </cell>
          <cell r="E1794" t="str">
            <v>SANDRA XIMENA</v>
          </cell>
          <cell r="F1794" t="str">
            <v>SILVA ARISTIZABAL</v>
          </cell>
          <cell r="G1794" t="str">
            <v>SILVA ARISTIZABAL SANDRA XIMENA</v>
          </cell>
          <cell r="H1794" t="str">
            <v>RESI</v>
          </cell>
          <cell r="I1794" t="str">
            <v>REGIMEN SIMPLIFICADO</v>
          </cell>
          <cell r="J1794" t="str">
            <v>CR 30   87   02 CA 31</v>
          </cell>
          <cell r="K1794" t="str">
            <v>17001</v>
          </cell>
          <cell r="L1794" t="str">
            <v>MANIZALES</v>
          </cell>
          <cell r="M1794" t="str">
            <v>8744496</v>
          </cell>
        </row>
        <row r="1795">
          <cell r="A1795">
            <v>31973534</v>
          </cell>
          <cell r="B1795" t="str">
            <v/>
          </cell>
          <cell r="C1795" t="str">
            <v/>
          </cell>
          <cell r="D1795" t="str">
            <v>CC</v>
          </cell>
          <cell r="E1795" t="str">
            <v>ALBA LUCIA</v>
          </cell>
          <cell r="F1795" t="str">
            <v>MOLINA AGUDELO</v>
          </cell>
          <cell r="G1795" t="str">
            <v>MOLINA AGUDELO ALBA LUCIA</v>
          </cell>
          <cell r="H1795" t="str">
            <v>FUNC</v>
          </cell>
          <cell r="I1795" t="str">
            <v>FUNCIONARIO</v>
          </cell>
          <cell r="J1795" t="str">
            <v>CALLE 48 N° 18A-33</v>
          </cell>
          <cell r="K1795" t="str">
            <v>17001</v>
          </cell>
          <cell r="L1795" t="str">
            <v>MANIZALES</v>
          </cell>
          <cell r="M1795" t="str">
            <v>3122860573</v>
          </cell>
        </row>
        <row r="1796">
          <cell r="A1796">
            <v>32105793</v>
          </cell>
          <cell r="B1796" t="str">
            <v>0</v>
          </cell>
          <cell r="C1796" t="str">
            <v/>
          </cell>
          <cell r="D1796" t="str">
            <v>NP</v>
          </cell>
          <cell r="E1796" t="str">
            <v>MARCELA</v>
          </cell>
          <cell r="F1796" t="str">
            <v>BENJUMEA MANRIQUE</v>
          </cell>
          <cell r="G1796" t="str">
            <v>BENJUMEA MANRIQUE MARCELA</v>
          </cell>
          <cell r="H1796" t="str">
            <v>RESI</v>
          </cell>
          <cell r="I1796" t="str">
            <v>REGIMEN SIMPLIFICADO</v>
          </cell>
          <cell r="J1796" t="str">
            <v>CL 32 F 66 B 206</v>
          </cell>
          <cell r="K1796" t="str">
            <v>05001</v>
          </cell>
          <cell r="L1796" t="str">
            <v>MEDELLÍN</v>
          </cell>
          <cell r="M1796" t="str">
            <v>4484426</v>
          </cell>
        </row>
        <row r="1797">
          <cell r="A1797">
            <v>32654102</v>
          </cell>
          <cell r="B1797" t="str">
            <v/>
          </cell>
          <cell r="C1797" t="str">
            <v/>
          </cell>
          <cell r="D1797" t="str">
            <v>CC</v>
          </cell>
          <cell r="E1797" t="str">
            <v>NINFA ESTHER</v>
          </cell>
          <cell r="F1797" t="str">
            <v>PEREZ DE CONRADO</v>
          </cell>
          <cell r="G1797" t="str">
            <v>PEREZ DE CONRADO NINFA ESTHER</v>
          </cell>
          <cell r="H1797" t="str">
            <v>RESI</v>
          </cell>
          <cell r="I1797" t="str">
            <v>REGIMEN SIMPLIFICADO</v>
          </cell>
          <cell r="J1797" t="str">
            <v>CR 21 B   7 B   15</v>
          </cell>
          <cell r="K1797" t="str">
            <v>08001</v>
          </cell>
          <cell r="L1797" t="str">
            <v>BARRANQUILLA</v>
          </cell>
          <cell r="M1797" t="str">
            <v>3166809807</v>
          </cell>
        </row>
        <row r="1798">
          <cell r="A1798">
            <v>32775189</v>
          </cell>
          <cell r="B1798" t="str">
            <v/>
          </cell>
          <cell r="C1798" t="str">
            <v/>
          </cell>
          <cell r="D1798" t="str">
            <v>CC</v>
          </cell>
          <cell r="E1798" t="str">
            <v>CLARA YANETH</v>
          </cell>
          <cell r="F1798" t="str">
            <v>ANGEL AVILA</v>
          </cell>
          <cell r="G1798" t="str">
            <v>ANGEL AVILA CLARA YANETH</v>
          </cell>
          <cell r="H1798" t="str">
            <v>RESI</v>
          </cell>
          <cell r="I1798" t="str">
            <v>REGIMEN SIMPLIFICADO</v>
          </cell>
          <cell r="J1798" t="str">
            <v>MCP SAN LUIS DE PALENQUE VRD EL TIGRE PD VILLA NELLY</v>
          </cell>
          <cell r="K1798" t="str">
            <v>85325</v>
          </cell>
          <cell r="L1798" t="str">
            <v>SAN LUIS DE PALENQUE</v>
          </cell>
          <cell r="M1798" t="str">
            <v>3118750393</v>
          </cell>
        </row>
        <row r="1799">
          <cell r="A1799">
            <v>33283027</v>
          </cell>
          <cell r="B1799" t="str">
            <v>2</v>
          </cell>
          <cell r="C1799" t="str">
            <v/>
          </cell>
          <cell r="D1799" t="str">
            <v>NP</v>
          </cell>
          <cell r="E1799" t="str">
            <v>ROSMIRA MARGARETH</v>
          </cell>
          <cell r="F1799" t="str">
            <v>GONZALEZ TSAZA</v>
          </cell>
          <cell r="G1799" t="str">
            <v>GONZALEZ TSAZA ROSMIRA MARGARETH</v>
          </cell>
          <cell r="H1799" t="str">
            <v>NORE</v>
          </cell>
          <cell r="I1799" t="str">
            <v>NO RESPONSABLE DE IVA</v>
          </cell>
          <cell r="J1799" t="str">
            <v>CR 23 22 10</v>
          </cell>
          <cell r="K1799" t="str">
            <v>15516</v>
          </cell>
          <cell r="L1799" t="str">
            <v>PAIPA</v>
          </cell>
          <cell r="M1799" t="str">
            <v>322293363</v>
          </cell>
        </row>
        <row r="1800">
          <cell r="A1800">
            <v>33366257</v>
          </cell>
          <cell r="B1800" t="str">
            <v>7</v>
          </cell>
          <cell r="C1800" t="str">
            <v/>
          </cell>
          <cell r="D1800" t="str">
            <v>NP</v>
          </cell>
          <cell r="E1800" t="str">
            <v>LINA MARIA</v>
          </cell>
          <cell r="F1800" t="str">
            <v xml:space="preserve"> ACEVEDO OSORIO</v>
          </cell>
          <cell r="G1800" t="str">
            <v xml:space="preserve"> ACEVEDO OSORIO LINA MARIA</v>
          </cell>
          <cell r="H1800" t="str">
            <v>RECO</v>
          </cell>
          <cell r="I1800" t="str">
            <v>REGIMEN COMUN</v>
          </cell>
          <cell r="J1800" t="str">
            <v>CL 18 11 22</v>
          </cell>
          <cell r="K1800" t="str">
            <v>15001</v>
          </cell>
          <cell r="L1800" t="str">
            <v>TUNJA</v>
          </cell>
          <cell r="M1800" t="str">
            <v>7401116</v>
          </cell>
        </row>
        <row r="1801">
          <cell r="A1801">
            <v>33368699</v>
          </cell>
          <cell r="B1801" t="str">
            <v>8</v>
          </cell>
          <cell r="C1801" t="str">
            <v/>
          </cell>
          <cell r="D1801" t="str">
            <v>NP</v>
          </cell>
          <cell r="E1801" t="str">
            <v>LILIANA MARCELA</v>
          </cell>
          <cell r="F1801" t="str">
            <v>QUIROS SANCHEZ</v>
          </cell>
          <cell r="G1801" t="str">
            <v>QUIROS SANCHEZ LILIANA MARCELA</v>
          </cell>
          <cell r="H1801" t="str">
            <v>RESI</v>
          </cell>
          <cell r="I1801" t="str">
            <v>REGIMEN SIMPLIFICADO</v>
          </cell>
          <cell r="J1801" t="str">
            <v>CL 19 A 6 152 BRR MANZANAREZ</v>
          </cell>
          <cell r="K1801" t="str">
            <v>15238</v>
          </cell>
          <cell r="L1801" t="str">
            <v>DUITAMA</v>
          </cell>
          <cell r="M1801" t="str">
            <v>3005698968</v>
          </cell>
        </row>
        <row r="1802">
          <cell r="A1802">
            <v>33375411</v>
          </cell>
          <cell r="B1802" t="str">
            <v>3</v>
          </cell>
          <cell r="C1802" t="str">
            <v/>
          </cell>
          <cell r="D1802" t="str">
            <v>NP</v>
          </cell>
          <cell r="E1802" t="str">
            <v>DIANA YULIETH</v>
          </cell>
          <cell r="F1802" t="str">
            <v>SILVA PARADA</v>
          </cell>
          <cell r="G1802" t="str">
            <v>SILVA PARADA DIANA YULIETH</v>
          </cell>
          <cell r="H1802" t="str">
            <v>RESI</v>
          </cell>
          <cell r="I1802" t="str">
            <v>REGIMEN SIMPLIFICADO</v>
          </cell>
          <cell r="J1802" t="str">
            <v>CL 6  4 A  15 URB DOÑA EVA</v>
          </cell>
          <cell r="K1802" t="str">
            <v>15001</v>
          </cell>
          <cell r="L1802" t="str">
            <v>TUNJA</v>
          </cell>
          <cell r="M1802" t="str">
            <v>3124168759</v>
          </cell>
        </row>
        <row r="1803">
          <cell r="A1803">
            <v>33377221</v>
          </cell>
          <cell r="B1803" t="str">
            <v/>
          </cell>
          <cell r="C1803" t="str">
            <v/>
          </cell>
          <cell r="D1803" t="str">
            <v>CC</v>
          </cell>
          <cell r="E1803" t="str">
            <v>SANDRA SOFIA</v>
          </cell>
          <cell r="F1803" t="str">
            <v>GUTIERREZ PESTANA</v>
          </cell>
          <cell r="G1803" t="str">
            <v>GUTIERREZ PESTANA SANDRA SOFIA</v>
          </cell>
          <cell r="H1803" t="str">
            <v>RESI</v>
          </cell>
          <cell r="I1803" t="str">
            <v>REGIMEN SIMPLIFICADO</v>
          </cell>
          <cell r="J1803" t="str">
            <v>DG 66 10 72 CONJ ALTOS DE LA VILLA TO A AP 602</v>
          </cell>
          <cell r="K1803" t="str">
            <v>15001</v>
          </cell>
          <cell r="L1803" t="str">
            <v>TUNJA</v>
          </cell>
          <cell r="M1803" t="str">
            <v>3123547780</v>
          </cell>
        </row>
        <row r="1804">
          <cell r="A1804">
            <v>33377261</v>
          </cell>
          <cell r="B1804" t="str">
            <v>4</v>
          </cell>
          <cell r="C1804" t="str">
            <v/>
          </cell>
          <cell r="D1804" t="str">
            <v>NP</v>
          </cell>
          <cell r="E1804" t="str">
            <v>CLAUDIA MARITZA</v>
          </cell>
          <cell r="F1804" t="str">
            <v>ORTIZ HERNANDEZ</v>
          </cell>
          <cell r="G1804" t="str">
            <v>ORTIZ HERNANDEZ CLAUDIA MARITZA</v>
          </cell>
          <cell r="H1804" t="str">
            <v>RECO</v>
          </cell>
          <cell r="I1804" t="str">
            <v>REGIMEN COMUN</v>
          </cell>
          <cell r="J1804" t="str">
            <v>CL 21 B 43 13</v>
          </cell>
          <cell r="K1804" t="str">
            <v>15238</v>
          </cell>
          <cell r="L1804" t="str">
            <v>DUITAMA</v>
          </cell>
          <cell r="M1804" t="str">
            <v>7615270</v>
          </cell>
        </row>
        <row r="1805">
          <cell r="A1805">
            <v>33378685</v>
          </cell>
          <cell r="B1805" t="str">
            <v>8</v>
          </cell>
          <cell r="C1805" t="str">
            <v/>
          </cell>
          <cell r="D1805" t="str">
            <v>NP</v>
          </cell>
          <cell r="E1805" t="str">
            <v>LUZ MARINA</v>
          </cell>
          <cell r="F1805" t="str">
            <v>SUAREZ RIVERA</v>
          </cell>
          <cell r="G1805" t="str">
            <v>SUAREZ RIVERA LUZ MARINA</v>
          </cell>
          <cell r="H1805" t="str">
            <v>IMVE</v>
          </cell>
          <cell r="I1805" t="str">
            <v>IMPUESTO SOBRE LAS VENTAS</v>
          </cell>
          <cell r="J1805" t="str">
            <v>AV ORIENTAL 1 94 BRR BOLIVAR</v>
          </cell>
          <cell r="K1805" t="str">
            <v>15001</v>
          </cell>
          <cell r="L1805" t="str">
            <v>TUNJA</v>
          </cell>
          <cell r="M1805" t="str">
            <v>3107867864</v>
          </cell>
        </row>
        <row r="1806">
          <cell r="A1806">
            <v>33379346</v>
          </cell>
          <cell r="B1806" t="str">
            <v/>
          </cell>
          <cell r="C1806" t="str">
            <v/>
          </cell>
          <cell r="D1806" t="str">
            <v>CC</v>
          </cell>
          <cell r="E1806" t="str">
            <v>DIANA ISABEL</v>
          </cell>
          <cell r="F1806" t="str">
            <v>MOLANO SALAMANCA</v>
          </cell>
          <cell r="G1806" t="str">
            <v>MOLANO SALAMANCA DIANA ISABEL</v>
          </cell>
          <cell r="H1806" t="str">
            <v>FUNC</v>
          </cell>
          <cell r="I1806" t="str">
            <v>FUNCIONARIO</v>
          </cell>
          <cell r="J1806" t="str">
            <v>PAIPA</v>
          </cell>
          <cell r="K1806" t="str">
            <v>15516</v>
          </cell>
          <cell r="L1806" t="str">
            <v>PAIPA</v>
          </cell>
          <cell r="M1806" t="str">
            <v>3229066155</v>
          </cell>
        </row>
        <row r="1807">
          <cell r="A1807">
            <v>33445816</v>
          </cell>
          <cell r="B1807" t="str">
            <v/>
          </cell>
          <cell r="C1807" t="str">
            <v/>
          </cell>
          <cell r="D1807" t="str">
            <v>CC</v>
          </cell>
          <cell r="E1807" t="str">
            <v>GLORIA DENNIS</v>
          </cell>
          <cell r="F1807" t="str">
            <v>ADAME FARFAN</v>
          </cell>
          <cell r="G1807" t="str">
            <v>ADAME FARFAN GLORIA DENNIS</v>
          </cell>
          <cell r="H1807" t="str">
            <v>RESI</v>
          </cell>
          <cell r="I1807" t="str">
            <v>REGIMEN SIMPLIFICADO</v>
          </cell>
          <cell r="J1807" t="str">
            <v>CL 15 A   25   28</v>
          </cell>
          <cell r="K1807" t="str">
            <v>85001</v>
          </cell>
          <cell r="L1807" t="str">
            <v>YOPAL</v>
          </cell>
          <cell r="M1807" t="str">
            <v>3114758938</v>
          </cell>
        </row>
        <row r="1808">
          <cell r="A1808">
            <v>33449394</v>
          </cell>
          <cell r="B1808" t="str">
            <v/>
          </cell>
          <cell r="C1808" t="str">
            <v/>
          </cell>
          <cell r="D1808" t="str">
            <v>CC</v>
          </cell>
          <cell r="E1808" t="str">
            <v>MARIA AMPARO</v>
          </cell>
          <cell r="F1808" t="str">
            <v>FORERO AVELLA</v>
          </cell>
          <cell r="G1808" t="str">
            <v>FORERO AVELLA MARIA AMPARO</v>
          </cell>
          <cell r="H1808" t="str">
            <v>RESI</v>
          </cell>
          <cell r="I1808" t="str">
            <v>REGIMEN SIMPLIFICADO</v>
          </cell>
          <cell r="J1808" t="str">
            <v>CR 3   5 A   41</v>
          </cell>
          <cell r="K1808" t="str">
            <v>85001</v>
          </cell>
          <cell r="L1808" t="str">
            <v>YOPAL</v>
          </cell>
          <cell r="M1808" t="str">
            <v>6371038</v>
          </cell>
        </row>
        <row r="1809">
          <cell r="A1809">
            <v>33449965</v>
          </cell>
          <cell r="B1809" t="str">
            <v>0</v>
          </cell>
          <cell r="C1809" t="str">
            <v/>
          </cell>
          <cell r="D1809" t="str">
            <v>NP</v>
          </cell>
          <cell r="E1809" t="str">
            <v>EDUVINA</v>
          </cell>
          <cell r="F1809" t="str">
            <v>DIAZ DE PALACIOS</v>
          </cell>
          <cell r="G1809" t="str">
            <v>EDUVINADIAZ DE PALACIOS</v>
          </cell>
          <cell r="H1809" t="str">
            <v>RESI</v>
          </cell>
          <cell r="I1809" t="str">
            <v>REGIMEN SIMPLIFICADO</v>
          </cell>
          <cell r="J1809" t="str">
            <v>CR 20 A 7-44 AP 101</v>
          </cell>
          <cell r="K1809" t="str">
            <v>15759</v>
          </cell>
          <cell r="L1809" t="str">
            <v>SOGAMOSO</v>
          </cell>
          <cell r="M1809" t="str">
            <v>3204838191</v>
          </cell>
        </row>
        <row r="1810">
          <cell r="A1810">
            <v>33745872</v>
          </cell>
          <cell r="B1810" t="str">
            <v/>
          </cell>
          <cell r="C1810" t="str">
            <v/>
          </cell>
          <cell r="D1810" t="str">
            <v>CC</v>
          </cell>
          <cell r="E1810" t="str">
            <v>ANA MARIA</v>
          </cell>
          <cell r="F1810" t="str">
            <v>ZULUAGA ARISTIZABAL</v>
          </cell>
          <cell r="G1810" t="str">
            <v>ZULUAGA ARISTIZABAL ANA MARIA</v>
          </cell>
          <cell r="H1810" t="str">
            <v>FUNC</v>
          </cell>
          <cell r="I1810" t="str">
            <v>FUNCIONARIO</v>
          </cell>
          <cell r="J1810" t="str">
            <v>CL 68 A   9   100 CA 10</v>
          </cell>
          <cell r="K1810" t="str">
            <v>17001</v>
          </cell>
          <cell r="L1810" t="str">
            <v>MANIZALES</v>
          </cell>
          <cell r="M1810" t="str">
            <v>8911084</v>
          </cell>
        </row>
        <row r="1811">
          <cell r="A1811">
            <v>33965829</v>
          </cell>
          <cell r="B1811" t="str">
            <v>1</v>
          </cell>
          <cell r="C1811" t="str">
            <v/>
          </cell>
          <cell r="D1811" t="str">
            <v>NP</v>
          </cell>
          <cell r="E1811" t="str">
            <v>DIANA CAROLINA</v>
          </cell>
          <cell r="F1811" t="str">
            <v>MEJÍA GARZÓN</v>
          </cell>
          <cell r="G1811" t="str">
            <v>MEJÍA GARZÓN DIANA CAROLINA</v>
          </cell>
          <cell r="H1811" t="str">
            <v>RESI</v>
          </cell>
          <cell r="I1811" t="str">
            <v>REGIMEN SIMPLIFICADO</v>
          </cell>
          <cell r="J1811" t="str">
            <v>CC CABLE PLAZA BURBUJA NRO  1</v>
          </cell>
          <cell r="K1811" t="str">
            <v>17001</v>
          </cell>
          <cell r="L1811" t="str">
            <v>MANIZALES</v>
          </cell>
          <cell r="M1811" t="str">
            <v>3184356500</v>
          </cell>
        </row>
        <row r="1812">
          <cell r="A1812">
            <v>33993878</v>
          </cell>
          <cell r="B1812" t="str">
            <v>1</v>
          </cell>
          <cell r="C1812" t="str">
            <v/>
          </cell>
          <cell r="D1812" t="str">
            <v>NP</v>
          </cell>
          <cell r="E1812" t="str">
            <v>XIOMARA</v>
          </cell>
          <cell r="F1812" t="str">
            <v>GIRALDO HERNANDEZ</v>
          </cell>
          <cell r="G1812" t="str">
            <v>GIRALDO HERNANDEZ XIOMARA</v>
          </cell>
          <cell r="H1812" t="str">
            <v>RESI</v>
          </cell>
          <cell r="I1812" t="str">
            <v>REGIMEN SIMPLIFICADO</v>
          </cell>
          <cell r="J1812" t="str">
            <v xml:space="preserve"> CR 26  84 41 CA 89</v>
          </cell>
          <cell r="K1812" t="str">
            <v>17001</v>
          </cell>
          <cell r="L1812" t="str">
            <v>MANIZALES</v>
          </cell>
          <cell r="M1812" t="str">
            <v>8744694</v>
          </cell>
        </row>
        <row r="1813">
          <cell r="A1813">
            <v>34000332</v>
          </cell>
          <cell r="B1813" t="str">
            <v/>
          </cell>
          <cell r="C1813" t="str">
            <v/>
          </cell>
          <cell r="D1813" t="str">
            <v>CC</v>
          </cell>
          <cell r="E1813" t="str">
            <v>SANDRA MARCELA</v>
          </cell>
          <cell r="F1813" t="str">
            <v>SANCHEZ PARRA</v>
          </cell>
          <cell r="G1813" t="str">
            <v>SANCHEZ PARRA SANDRA MARCELA</v>
          </cell>
          <cell r="H1813" t="str">
            <v>FUNC</v>
          </cell>
          <cell r="I1813" t="str">
            <v>FUNCIONARIO</v>
          </cell>
          <cell r="J1813" t="str">
            <v>CR 10 A    63  43</v>
          </cell>
          <cell r="K1813" t="str">
            <v>17001</v>
          </cell>
          <cell r="L1813" t="str">
            <v>MANIZALES</v>
          </cell>
          <cell r="M1813" t="str">
            <v>8750811</v>
          </cell>
        </row>
        <row r="1814">
          <cell r="A1814">
            <v>34001317</v>
          </cell>
          <cell r="B1814" t="str">
            <v>8</v>
          </cell>
          <cell r="C1814" t="str">
            <v/>
          </cell>
          <cell r="D1814" t="str">
            <v>NP</v>
          </cell>
          <cell r="E1814" t="str">
            <v>SANDRA MILENA</v>
          </cell>
          <cell r="F1814" t="str">
            <v>OROZCO HURTADO</v>
          </cell>
          <cell r="G1814" t="str">
            <v>OROZCO HURTADO SANDRA MILENA</v>
          </cell>
          <cell r="H1814" t="str">
            <v>RCPN</v>
          </cell>
          <cell r="I1814" t="str">
            <v>RESPONSABLE IVA PERSONA NATURAL</v>
          </cell>
          <cell r="J1814" t="str">
            <v>CR 23  57 52</v>
          </cell>
          <cell r="K1814" t="str">
            <v>17001</v>
          </cell>
          <cell r="L1814" t="str">
            <v>MANIZALES</v>
          </cell>
          <cell r="M1814" t="str">
            <v>8853080</v>
          </cell>
        </row>
        <row r="1815">
          <cell r="A1815">
            <v>34001578</v>
          </cell>
          <cell r="B1815" t="str">
            <v>3</v>
          </cell>
          <cell r="C1815" t="str">
            <v/>
          </cell>
          <cell r="D1815" t="str">
            <v>NP</v>
          </cell>
          <cell r="E1815" t="str">
            <v>ANGELICA JOHANNA</v>
          </cell>
          <cell r="F1815" t="str">
            <v>CALLE GIRALDO</v>
          </cell>
          <cell r="G1815" t="str">
            <v>CALLE GIRALDO ANGELICA JOHANNA</v>
          </cell>
          <cell r="H1815" t="str">
            <v>NORE</v>
          </cell>
          <cell r="I1815" t="str">
            <v>NO RESPONSABLE DE IVA</v>
          </cell>
          <cell r="J1815" t="str">
            <v>CR 36 107 21</v>
          </cell>
          <cell r="K1815" t="str">
            <v>17001</v>
          </cell>
          <cell r="L1815" t="str">
            <v>MANIZALES</v>
          </cell>
          <cell r="M1815" t="str">
            <v>3108425251</v>
          </cell>
        </row>
        <row r="1816">
          <cell r="A1816">
            <v>34002462</v>
          </cell>
          <cell r="B1816" t="str">
            <v/>
          </cell>
          <cell r="C1816" t="str">
            <v/>
          </cell>
          <cell r="D1816" t="str">
            <v>CC</v>
          </cell>
          <cell r="E1816" t="str">
            <v>MONICA MARCELA</v>
          </cell>
          <cell r="F1816" t="str">
            <v>MARTINEZ CASTAÑEDA</v>
          </cell>
          <cell r="G1816" t="str">
            <v>MARTINEZ CASTAÑEDA MONICA MARCELA</v>
          </cell>
          <cell r="H1816" t="str">
            <v>FUNC</v>
          </cell>
          <cell r="I1816" t="str">
            <v>FUNCIONARIO</v>
          </cell>
          <cell r="J1816" t="str">
            <v>CR 6   15 A 36</v>
          </cell>
          <cell r="K1816" t="str">
            <v>17001</v>
          </cell>
          <cell r="L1816" t="str">
            <v>MANIZALES</v>
          </cell>
          <cell r="M1816" t="str">
            <v>8774373</v>
          </cell>
        </row>
        <row r="1817">
          <cell r="A1817">
            <v>34053054</v>
          </cell>
          <cell r="B1817" t="str">
            <v>9</v>
          </cell>
          <cell r="C1817" t="str">
            <v/>
          </cell>
          <cell r="D1817" t="str">
            <v>NP</v>
          </cell>
          <cell r="E1817" t="str">
            <v>MATILDE MARIA</v>
          </cell>
          <cell r="F1817" t="str">
            <v>SANTANDER MEJIA</v>
          </cell>
          <cell r="G1817" t="str">
            <v>SANTANDER MEJIA MATILDE MARIA</v>
          </cell>
          <cell r="H1817" t="str">
            <v>RESI</v>
          </cell>
          <cell r="I1817" t="str">
            <v>REGIMEN SIMPLIFICADO</v>
          </cell>
          <cell r="J1817" t="str">
            <v xml:space="preserve"> CR 24 65 30 ap 901 ed guayacan real</v>
          </cell>
          <cell r="K1817" t="str">
            <v>17001</v>
          </cell>
          <cell r="L1817" t="str">
            <v>MANIZALES</v>
          </cell>
          <cell r="M1817" t="str">
            <v>3136598421</v>
          </cell>
        </row>
        <row r="1818">
          <cell r="A1818">
            <v>34056060</v>
          </cell>
          <cell r="B1818" t="str">
            <v>7</v>
          </cell>
          <cell r="C1818" t="str">
            <v/>
          </cell>
          <cell r="D1818" t="str">
            <v>NP</v>
          </cell>
          <cell r="E1818" t="str">
            <v>FLOR DE PIEDAD</v>
          </cell>
          <cell r="F1818" t="str">
            <v>HURTADO MEJIA</v>
          </cell>
          <cell r="G1818" t="str">
            <v>HURTADO MEJIA FLOR DE PIEDAD</v>
          </cell>
          <cell r="H1818" t="str">
            <v>RESI</v>
          </cell>
          <cell r="I1818" t="str">
            <v>REGIMEN SIMPLIFICADO</v>
          </cell>
          <cell r="J1818" t="str">
            <v>CL 68 B 27-105</v>
          </cell>
          <cell r="K1818" t="str">
            <v>17001</v>
          </cell>
          <cell r="L1818" t="str">
            <v>MANIZALES</v>
          </cell>
          <cell r="M1818" t="str">
            <v>8871401</v>
          </cell>
        </row>
        <row r="1819">
          <cell r="A1819">
            <v>34316191</v>
          </cell>
          <cell r="B1819" t="str">
            <v/>
          </cell>
          <cell r="C1819" t="str">
            <v/>
          </cell>
          <cell r="D1819" t="str">
            <v>CC</v>
          </cell>
          <cell r="E1819" t="str">
            <v>ROSANA</v>
          </cell>
          <cell r="F1819" t="str">
            <v>SILVA BURBANO</v>
          </cell>
          <cell r="G1819" t="str">
            <v>SILVA BURBANO ROSANA</v>
          </cell>
          <cell r="H1819" t="str">
            <v>FUNC</v>
          </cell>
          <cell r="I1819" t="str">
            <v>FUNCIONARIO</v>
          </cell>
          <cell r="J1819" t="str">
            <v>CR 27   65 A 51 ED BALCONES AP 401</v>
          </cell>
          <cell r="K1819" t="str">
            <v>17001</v>
          </cell>
          <cell r="L1819" t="str">
            <v>MANIZALES</v>
          </cell>
          <cell r="M1819" t="str">
            <v>3148902406</v>
          </cell>
        </row>
        <row r="1820">
          <cell r="A1820">
            <v>34329039</v>
          </cell>
          <cell r="B1820" t="str">
            <v/>
          </cell>
          <cell r="C1820" t="str">
            <v/>
          </cell>
          <cell r="D1820" t="str">
            <v>CC</v>
          </cell>
          <cell r="E1820" t="str">
            <v>PAULA ANDREA</v>
          </cell>
          <cell r="F1820" t="str">
            <v>OROZCO OSNAS</v>
          </cell>
          <cell r="G1820" t="str">
            <v>OROZCO OSNAS PAULA ANDREA</v>
          </cell>
          <cell r="H1820" t="str">
            <v>FUNC</v>
          </cell>
          <cell r="I1820" t="str">
            <v>FUNCIONARIO</v>
          </cell>
          <cell r="J1820" t="str">
            <v>CL 47 A   28   70 IN 103</v>
          </cell>
          <cell r="K1820" t="str">
            <v>85001</v>
          </cell>
          <cell r="L1820" t="str">
            <v>YOPAL</v>
          </cell>
          <cell r="M1820" t="str">
            <v>3226328211</v>
          </cell>
        </row>
        <row r="1821">
          <cell r="A1821">
            <v>34540243</v>
          </cell>
          <cell r="B1821" t="str">
            <v>3</v>
          </cell>
          <cell r="C1821" t="str">
            <v/>
          </cell>
          <cell r="D1821" t="str">
            <v>NP</v>
          </cell>
          <cell r="E1821" t="str">
            <v>YOLANDA</v>
          </cell>
          <cell r="F1821" t="str">
            <v>VIDAL FERNANDEZ</v>
          </cell>
          <cell r="G1821" t="str">
            <v>VIDAL FERNANDEZ YOLANDA</v>
          </cell>
          <cell r="H1821" t="str">
            <v>RECO</v>
          </cell>
          <cell r="I1821" t="str">
            <v>REGIMEN COMUN</v>
          </cell>
          <cell r="J1821" t="str">
            <v>CR 15 B S   10   60</v>
          </cell>
          <cell r="K1821" t="str">
            <v>66001</v>
          </cell>
          <cell r="L1821" t="str">
            <v>PEREIRA</v>
          </cell>
          <cell r="M1821" t="str">
            <v>3344257</v>
          </cell>
        </row>
        <row r="1822">
          <cell r="A1822">
            <v>34679148</v>
          </cell>
          <cell r="B1822" t="str">
            <v/>
          </cell>
          <cell r="C1822" t="str">
            <v/>
          </cell>
          <cell r="D1822" t="str">
            <v>CC</v>
          </cell>
          <cell r="E1822" t="str">
            <v>SONIA STELLA</v>
          </cell>
          <cell r="F1822" t="str">
            <v>GONGORA CUERO</v>
          </cell>
          <cell r="G1822" t="str">
            <v>GONGORA CUERO SONIA STELLA</v>
          </cell>
          <cell r="H1822" t="str">
            <v>FUNC</v>
          </cell>
          <cell r="I1822" t="str">
            <v>FUNCIONARIO</v>
          </cell>
          <cell r="J1822" t="str">
            <v>BRR OLIMPICO</v>
          </cell>
          <cell r="K1822" t="str">
            <v>19318</v>
          </cell>
          <cell r="L1822" t="str">
            <v>GUAPI</v>
          </cell>
          <cell r="M1822" t="str">
            <v>3226267097</v>
          </cell>
        </row>
        <row r="1823">
          <cell r="A1823">
            <v>34679408</v>
          </cell>
          <cell r="B1823" t="str">
            <v>1</v>
          </cell>
          <cell r="C1823" t="str">
            <v/>
          </cell>
          <cell r="D1823" t="str">
            <v>NP</v>
          </cell>
          <cell r="E1823" t="str">
            <v>EMIR</v>
          </cell>
          <cell r="F1823" t="str">
            <v>ESTUPIÑAN OLIVEROS</v>
          </cell>
          <cell r="G1823" t="str">
            <v>ESTUPIÑAN OLIVEROS EMIR</v>
          </cell>
          <cell r="H1823" t="str">
            <v>IMVE</v>
          </cell>
          <cell r="I1823" t="str">
            <v>IMPUESTO SOBRE LAS VENTAS</v>
          </cell>
          <cell r="J1823" t="str">
            <v>CL 3 1 31 LC 2 BRR LA ESPERANZA</v>
          </cell>
          <cell r="K1823" t="str">
            <v>19318</v>
          </cell>
          <cell r="L1823" t="str">
            <v>GUAPI</v>
          </cell>
          <cell r="M1823" t="str">
            <v>3136327644</v>
          </cell>
        </row>
        <row r="1824">
          <cell r="A1824">
            <v>34948086</v>
          </cell>
          <cell r="B1824" t="str">
            <v/>
          </cell>
          <cell r="C1824" t="str">
            <v/>
          </cell>
          <cell r="D1824" t="str">
            <v>CC</v>
          </cell>
          <cell r="E1824" t="str">
            <v>CANDELARIA VANNESA</v>
          </cell>
          <cell r="F1824" t="str">
            <v>CARRIAZO LAMADRID</v>
          </cell>
          <cell r="G1824" t="str">
            <v>CARRIAZO LAMADRID CANDELARIA VANNESA</v>
          </cell>
          <cell r="H1824" t="str">
            <v>FUNC</v>
          </cell>
          <cell r="I1824" t="str">
            <v>FUNCIONARIO</v>
          </cell>
          <cell r="J1824" t="str">
            <v>CR 5 25 N 77</v>
          </cell>
          <cell r="K1824" t="str">
            <v>19001</v>
          </cell>
          <cell r="L1824" t="str">
            <v>POPAYÁN</v>
          </cell>
          <cell r="M1824" t="str">
            <v>3126087452</v>
          </cell>
        </row>
        <row r="1825">
          <cell r="A1825">
            <v>34980568</v>
          </cell>
          <cell r="B1825" t="str">
            <v>9</v>
          </cell>
          <cell r="C1825" t="str">
            <v/>
          </cell>
          <cell r="D1825" t="str">
            <v>NP</v>
          </cell>
          <cell r="E1825" t="str">
            <v>OMAIRA AUXILIADORA</v>
          </cell>
          <cell r="F1825" t="str">
            <v xml:space="preserve"> HOYOS OYOLA</v>
          </cell>
          <cell r="G1825" t="str">
            <v xml:space="preserve"> HOYOS OYOLA OMAIRA AUXILIADORA</v>
          </cell>
          <cell r="H1825" t="str">
            <v>RESI</v>
          </cell>
          <cell r="I1825" t="str">
            <v>REGIMEN SIMPLIFICADO</v>
          </cell>
          <cell r="J1825" t="str">
            <v>CL 16 11 72 VIA AEROPUERTO</v>
          </cell>
          <cell r="K1825" t="str">
            <v>94001</v>
          </cell>
          <cell r="L1825" t="str">
            <v>INÍRIDA</v>
          </cell>
          <cell r="M1825" t="str">
            <v>3108000758</v>
          </cell>
        </row>
        <row r="1826">
          <cell r="A1826">
            <v>35143460</v>
          </cell>
          <cell r="B1826" t="str">
            <v/>
          </cell>
          <cell r="C1826" t="str">
            <v/>
          </cell>
          <cell r="D1826" t="str">
            <v>CC</v>
          </cell>
          <cell r="E1826" t="str">
            <v xml:space="preserve">JAQUELINE </v>
          </cell>
          <cell r="F1826" t="str">
            <v>GUZMAN HERAZO</v>
          </cell>
          <cell r="G1826" t="str">
            <v xml:space="preserve">GUZMAN HERAZO JAQUELINE </v>
          </cell>
          <cell r="H1826" t="str">
            <v>FUNC</v>
          </cell>
          <cell r="I1826" t="str">
            <v>FUNCIONARIO</v>
          </cell>
          <cell r="J1826" t="str">
            <v>CL 17   10   82</v>
          </cell>
          <cell r="K1826" t="str">
            <v>08001</v>
          </cell>
          <cell r="L1826" t="str">
            <v>BARRANQUILLA</v>
          </cell>
          <cell r="M1826" t="str">
            <v>7751535</v>
          </cell>
        </row>
        <row r="1827">
          <cell r="A1827">
            <v>35198441</v>
          </cell>
          <cell r="B1827" t="str">
            <v>2</v>
          </cell>
          <cell r="C1827" t="str">
            <v/>
          </cell>
          <cell r="D1827" t="str">
            <v>NP</v>
          </cell>
          <cell r="E1827" t="str">
            <v>DIANA MARITZA</v>
          </cell>
          <cell r="F1827" t="str">
            <v>GONZALEZ ALDANA</v>
          </cell>
          <cell r="G1827" t="str">
            <v>GONZALEZ ALDANA DIANA MARITZA</v>
          </cell>
          <cell r="H1827" t="str">
            <v>RESI</v>
          </cell>
          <cell r="I1827" t="str">
            <v>REGIMEN SIMPLIFICADO</v>
          </cell>
          <cell r="J1827" t="str">
            <v xml:space="preserve"> CL 30  12 A  08</v>
          </cell>
          <cell r="K1827" t="str">
            <v>15516</v>
          </cell>
          <cell r="L1827" t="str">
            <v>PAIPA</v>
          </cell>
          <cell r="M1827" t="str">
            <v>3132512966</v>
          </cell>
        </row>
        <row r="1828">
          <cell r="A1828">
            <v>35464629</v>
          </cell>
          <cell r="B1828" t="str">
            <v/>
          </cell>
          <cell r="C1828" t="str">
            <v/>
          </cell>
          <cell r="D1828" t="str">
            <v>CC</v>
          </cell>
          <cell r="E1828" t="str">
            <v>MARCELA</v>
          </cell>
          <cell r="F1828" t="str">
            <v>MEDINA NIÑO</v>
          </cell>
          <cell r="G1828" t="str">
            <v>MEDINA NIÑO MARCELA</v>
          </cell>
          <cell r="H1828" t="str">
            <v>RESI</v>
          </cell>
          <cell r="I1828" t="str">
            <v>REGIMEN SIMPLIFICADO</v>
          </cell>
          <cell r="J1828" t="str">
            <v>MCP NUNCHIA VRD LA BARQUEREÑA PD EL PALMAR</v>
          </cell>
          <cell r="K1828" t="str">
            <v>85001</v>
          </cell>
          <cell r="L1828" t="str">
            <v>YOPAL</v>
          </cell>
          <cell r="M1828" t="str">
            <v>3152299999</v>
          </cell>
        </row>
        <row r="1829">
          <cell r="A1829">
            <v>35894365</v>
          </cell>
          <cell r="B1829" t="str">
            <v/>
          </cell>
          <cell r="C1829" t="str">
            <v/>
          </cell>
          <cell r="D1829" t="str">
            <v>CC</v>
          </cell>
          <cell r="E1829" t="str">
            <v>VILMA CECILIA</v>
          </cell>
          <cell r="F1829" t="str">
            <v>CORDOBA ROJAS</v>
          </cell>
          <cell r="G1829" t="str">
            <v>CORDOBA ROJAS VILMA CECILIA</v>
          </cell>
          <cell r="H1829" t="str">
            <v>RESI</v>
          </cell>
          <cell r="I1829" t="str">
            <v>REGIMEN SIMPLIFICADO</v>
          </cell>
          <cell r="J1829" t="str">
            <v>XXX</v>
          </cell>
          <cell r="K1829" t="str">
            <v>17001</v>
          </cell>
          <cell r="L1829" t="str">
            <v>MANIZALES</v>
          </cell>
          <cell r="M1829" t="str">
            <v>XXX</v>
          </cell>
        </row>
        <row r="1830">
          <cell r="A1830">
            <v>36068047</v>
          </cell>
          <cell r="B1830" t="str">
            <v>1</v>
          </cell>
          <cell r="C1830" t="str">
            <v/>
          </cell>
          <cell r="D1830" t="str">
            <v>NP</v>
          </cell>
          <cell r="E1830" t="str">
            <v>CATALINA ANDREA</v>
          </cell>
          <cell r="F1830" t="str">
            <v>VEGA BEDOYA</v>
          </cell>
          <cell r="G1830" t="str">
            <v>VEGA BEDOYA CATALINA ANDREA</v>
          </cell>
          <cell r="H1830" t="str">
            <v>RECO</v>
          </cell>
          <cell r="I1830" t="str">
            <v>REGIMEN COMUN</v>
          </cell>
          <cell r="J1830" t="str">
            <v>CR 20   23   04</v>
          </cell>
          <cell r="K1830" t="str">
            <v>17001</v>
          </cell>
          <cell r="L1830" t="str">
            <v>MANIZALES</v>
          </cell>
          <cell r="M1830" t="str">
            <v>8824108</v>
          </cell>
        </row>
        <row r="1831">
          <cell r="A1831">
            <v>36157382</v>
          </cell>
          <cell r="B1831" t="str">
            <v>4</v>
          </cell>
          <cell r="C1831" t="str">
            <v/>
          </cell>
          <cell r="D1831" t="str">
            <v>NP</v>
          </cell>
          <cell r="E1831" t="str">
            <v>LUZ NANCY</v>
          </cell>
          <cell r="F1831" t="str">
            <v>RAMIREZ</v>
          </cell>
          <cell r="G1831" t="str">
            <v>RAMIREZ LUZ NANCY</v>
          </cell>
          <cell r="H1831" t="str">
            <v>RESI</v>
          </cell>
          <cell r="I1831" t="str">
            <v>REGIMEN SIMPLIFICADO</v>
          </cell>
          <cell r="J1831" t="str">
            <v>CORR BAHIA SOLANO</v>
          </cell>
          <cell r="K1831" t="str">
            <v>41001</v>
          </cell>
          <cell r="L1831" t="str">
            <v>NEIVA</v>
          </cell>
          <cell r="M1831" t="str">
            <v>946827525</v>
          </cell>
        </row>
        <row r="1832">
          <cell r="A1832">
            <v>36282721</v>
          </cell>
          <cell r="B1832" t="str">
            <v>2</v>
          </cell>
          <cell r="C1832" t="str">
            <v/>
          </cell>
          <cell r="D1832" t="str">
            <v>NP</v>
          </cell>
          <cell r="E1832" t="str">
            <v>MILDRED</v>
          </cell>
          <cell r="F1832" t="str">
            <v>BARRERA MOLINA</v>
          </cell>
          <cell r="G1832" t="str">
            <v>BARRERA MOLINA MILDRED</v>
          </cell>
          <cell r="H1832" t="str">
            <v>RECO</v>
          </cell>
          <cell r="I1832" t="str">
            <v>REGIMEN COMUN</v>
          </cell>
          <cell r="J1832" t="str">
            <v>CL 6 B   1 B   36</v>
          </cell>
          <cell r="K1832" t="str">
            <v>41551</v>
          </cell>
          <cell r="L1832" t="str">
            <v>PITALITO</v>
          </cell>
          <cell r="M1832" t="str">
            <v>8361844</v>
          </cell>
        </row>
        <row r="1833">
          <cell r="A1833">
            <v>36313616</v>
          </cell>
          <cell r="B1833" t="str">
            <v>1</v>
          </cell>
          <cell r="C1833" t="str">
            <v/>
          </cell>
          <cell r="D1833" t="str">
            <v>NP</v>
          </cell>
          <cell r="E1833" t="str">
            <v>ANDREA</v>
          </cell>
          <cell r="F1833" t="str">
            <v>ALDANA SERRANO</v>
          </cell>
          <cell r="G1833" t="str">
            <v>ALDANA SERRANO ANDREA</v>
          </cell>
          <cell r="H1833" t="str">
            <v>RECO</v>
          </cell>
          <cell r="I1833" t="str">
            <v>REGIMEN COMUN</v>
          </cell>
          <cell r="J1833" t="str">
            <v>CR 7 4 A  19 BRR CENTRO</v>
          </cell>
          <cell r="K1833" t="str">
            <v>18753</v>
          </cell>
          <cell r="L1833" t="str">
            <v>SAN VICENTE DEL CAGUÁN</v>
          </cell>
          <cell r="M1833" t="str">
            <v>3213721615</v>
          </cell>
        </row>
        <row r="1834">
          <cell r="A1834">
            <v>37272481</v>
          </cell>
          <cell r="B1834" t="str">
            <v>0</v>
          </cell>
          <cell r="C1834" t="str">
            <v/>
          </cell>
          <cell r="D1834" t="str">
            <v>NP</v>
          </cell>
          <cell r="E1834" t="str">
            <v>NINI JOHANNA</v>
          </cell>
          <cell r="F1834" t="str">
            <v>DUEÑAS IGUERA</v>
          </cell>
          <cell r="G1834" t="str">
            <v>DUEÑAS IGUERA NINI JOHANNA</v>
          </cell>
          <cell r="H1834" t="str">
            <v>NORE</v>
          </cell>
          <cell r="I1834" t="str">
            <v>NO RESPONSABLE DE IVA</v>
          </cell>
          <cell r="J1834" t="str">
            <v>CL 10 18 113 BRR MARIA AUXILIADORZA</v>
          </cell>
          <cell r="K1834" t="str">
            <v>15238</v>
          </cell>
          <cell r="L1834" t="str">
            <v>DUITAMA</v>
          </cell>
          <cell r="M1834" t="str">
            <v>3142941539</v>
          </cell>
        </row>
        <row r="1835">
          <cell r="A1835">
            <v>37329508</v>
          </cell>
          <cell r="B1835" t="str">
            <v/>
          </cell>
          <cell r="C1835" t="str">
            <v/>
          </cell>
          <cell r="D1835" t="str">
            <v>CC</v>
          </cell>
          <cell r="E1835" t="str">
            <v>LINA GEYNNIS</v>
          </cell>
          <cell r="F1835" t="str">
            <v>CABRALES PINEDA</v>
          </cell>
          <cell r="G1835" t="str">
            <v>LINA GEYNNIS CABRALES PINEDA</v>
          </cell>
          <cell r="H1835" t="str">
            <v>FUNC</v>
          </cell>
          <cell r="I1835" t="str">
            <v>FUNCIONARIO</v>
          </cell>
          <cell r="J1835" t="str">
            <v>CL 07   25   41</v>
          </cell>
          <cell r="K1835" t="str">
            <v>17001</v>
          </cell>
          <cell r="L1835" t="str">
            <v>MANIZALES</v>
          </cell>
          <cell r="M1835" t="str">
            <v>3125407249</v>
          </cell>
        </row>
        <row r="1836">
          <cell r="A1836">
            <v>37511912</v>
          </cell>
          <cell r="B1836" t="str">
            <v>1</v>
          </cell>
          <cell r="C1836" t="str">
            <v/>
          </cell>
          <cell r="D1836" t="str">
            <v>NP</v>
          </cell>
          <cell r="E1836" t="str">
            <v>ANA MARIA</v>
          </cell>
          <cell r="F1836" t="str">
            <v>MORENO GARCIA</v>
          </cell>
          <cell r="G1836" t="str">
            <v>MORENO GARCIA ANA MARIA</v>
          </cell>
          <cell r="H1836" t="str">
            <v>RESI</v>
          </cell>
          <cell r="I1836" t="str">
            <v>REGIMEN SIMPLIFICADO</v>
          </cell>
          <cell r="J1836" t="str">
            <v>CR 20 94 25 TO 1 AP 704</v>
          </cell>
          <cell r="K1836" t="str">
            <v>11001</v>
          </cell>
          <cell r="L1836" t="str">
            <v>BOGOTA DC</v>
          </cell>
          <cell r="M1836" t="str">
            <v>6161091</v>
          </cell>
        </row>
        <row r="1837">
          <cell r="A1837">
            <v>37706800</v>
          </cell>
          <cell r="B1837" t="str">
            <v/>
          </cell>
          <cell r="C1837" t="str">
            <v/>
          </cell>
          <cell r="D1837" t="str">
            <v>CC</v>
          </cell>
          <cell r="E1837" t="str">
            <v>NELLY</v>
          </cell>
          <cell r="F1837" t="str">
            <v>VARGAS CARREÑO</v>
          </cell>
          <cell r="G1837" t="str">
            <v>VARGAS CARREÑO NELLY</v>
          </cell>
          <cell r="H1837" t="str">
            <v>RESI</v>
          </cell>
          <cell r="I1837" t="str">
            <v>REGIMEN SIMPLIFICADO</v>
          </cell>
          <cell r="J1837" t="str">
            <v>MCP NUNCHIA VRD COREA PD CHARALA</v>
          </cell>
          <cell r="K1837" t="str">
            <v>85001</v>
          </cell>
          <cell r="L1837" t="str">
            <v>YOPAL</v>
          </cell>
          <cell r="M1837" t="str">
            <v>3203384717</v>
          </cell>
        </row>
        <row r="1838">
          <cell r="A1838">
            <v>37725581</v>
          </cell>
          <cell r="B1838" t="str">
            <v>4</v>
          </cell>
          <cell r="C1838" t="str">
            <v/>
          </cell>
          <cell r="D1838" t="str">
            <v>NP</v>
          </cell>
          <cell r="E1838" t="str">
            <v>SULY MAGRETH</v>
          </cell>
          <cell r="F1838" t="str">
            <v>BARRIOS RINCON</v>
          </cell>
          <cell r="G1838" t="str">
            <v>BARRIOS RINCON SULY MAGRETH</v>
          </cell>
          <cell r="H1838" t="str">
            <v>RESI</v>
          </cell>
          <cell r="I1838" t="str">
            <v>REGIMEN SIMPLIFICADO</v>
          </cell>
          <cell r="J1838" t="str">
            <v>CL 24   28   36 P 1 LC 3</v>
          </cell>
          <cell r="K1838" t="str">
            <v>85001</v>
          </cell>
          <cell r="L1838" t="str">
            <v>YOPAL</v>
          </cell>
          <cell r="M1838" t="str">
            <v>3202322521</v>
          </cell>
        </row>
        <row r="1839">
          <cell r="A1839">
            <v>38236323</v>
          </cell>
          <cell r="B1839" t="str">
            <v>6</v>
          </cell>
          <cell r="C1839" t="str">
            <v/>
          </cell>
          <cell r="D1839" t="str">
            <v>NP</v>
          </cell>
          <cell r="E1839" t="str">
            <v>PATRICIA</v>
          </cell>
          <cell r="F1839" t="str">
            <v>PARRA PEREZ</v>
          </cell>
          <cell r="G1839" t="str">
            <v>PARRA PEREZ PATRICIA</v>
          </cell>
          <cell r="H1839" t="str">
            <v>RESI</v>
          </cell>
          <cell r="I1839" t="str">
            <v>REGIMEN SIMPLIFICADO</v>
          </cell>
          <cell r="J1839" t="str">
            <v>CR 44 A   24 C   16</v>
          </cell>
          <cell r="K1839" t="str">
            <v>11001</v>
          </cell>
          <cell r="L1839" t="str">
            <v>BOGOTA DC</v>
          </cell>
          <cell r="M1839" t="str">
            <v>2680771</v>
          </cell>
        </row>
        <row r="1840">
          <cell r="A1840">
            <v>38284367</v>
          </cell>
          <cell r="B1840" t="str">
            <v>4</v>
          </cell>
          <cell r="C1840" t="str">
            <v/>
          </cell>
          <cell r="D1840" t="str">
            <v>NP</v>
          </cell>
          <cell r="E1840" t="str">
            <v xml:space="preserve">MATILDE </v>
          </cell>
          <cell r="F1840" t="str">
            <v>ZAMUDIO CORTAZAR</v>
          </cell>
          <cell r="G1840" t="str">
            <v>MATILDE ZAMUDIO CORTAZAR/HOTEL GUAIMARAL</v>
          </cell>
          <cell r="H1840" t="str">
            <v>RECO</v>
          </cell>
          <cell r="I1840" t="str">
            <v>REGIMEN COMUN</v>
          </cell>
          <cell r="J1840" t="str">
            <v xml:space="preserve">CR 7 21 22 BRR LA LIBERTAD      </v>
          </cell>
          <cell r="K1840" t="str">
            <v>18001</v>
          </cell>
          <cell r="L1840" t="str">
            <v>FLORENCIA</v>
          </cell>
          <cell r="M1840" t="str">
            <v>4357519</v>
          </cell>
        </row>
        <row r="1841">
          <cell r="A1841">
            <v>38466777</v>
          </cell>
          <cell r="B1841" t="str">
            <v>2</v>
          </cell>
          <cell r="C1841" t="str">
            <v/>
          </cell>
          <cell r="D1841" t="str">
            <v>NP</v>
          </cell>
          <cell r="E1841" t="str">
            <v>GRECIA INES</v>
          </cell>
          <cell r="F1841" t="str">
            <v>VALOIS</v>
          </cell>
          <cell r="G1841" t="str">
            <v>GRECIA INES VALOIS/FERRETERIA BAHIA SOLANO</v>
          </cell>
          <cell r="H1841" t="str">
            <v>RESI</v>
          </cell>
          <cell r="I1841" t="str">
            <v>REGIMEN SIMPLIFICADO</v>
          </cell>
          <cell r="J1841" t="str">
            <v>BARRIO FILLOCASTRO</v>
          </cell>
          <cell r="K1841" t="str">
            <v>27075</v>
          </cell>
          <cell r="L1841" t="str">
            <v>BAHÍA SOLANO</v>
          </cell>
          <cell r="M1841" t="str">
            <v>6826967</v>
          </cell>
        </row>
        <row r="1842">
          <cell r="A1842">
            <v>39175288</v>
          </cell>
          <cell r="B1842" t="str">
            <v>7</v>
          </cell>
          <cell r="C1842" t="str">
            <v/>
          </cell>
          <cell r="D1842" t="str">
            <v>NP</v>
          </cell>
          <cell r="E1842" t="str">
            <v>ANGELA YURLENY</v>
          </cell>
          <cell r="F1842" t="str">
            <v>GRISALES CARDONA</v>
          </cell>
          <cell r="G1842" t="str">
            <v>GRISALES CARDONA ANGELA YURLENY</v>
          </cell>
          <cell r="H1842" t="str">
            <v>RESI</v>
          </cell>
          <cell r="I1842" t="str">
            <v>REGIMEN SIMPLIFICADO</v>
          </cell>
          <cell r="J1842" t="str">
            <v>VDA BERLIN</v>
          </cell>
          <cell r="K1842" t="str">
            <v>05483</v>
          </cell>
          <cell r="L1842" t="str">
            <v>NARIÑO</v>
          </cell>
          <cell r="M1842" t="str">
            <v>3128908290</v>
          </cell>
        </row>
        <row r="1843">
          <cell r="A1843">
            <v>39186005</v>
          </cell>
          <cell r="B1843" t="str">
            <v>7</v>
          </cell>
          <cell r="C1843" t="str">
            <v/>
          </cell>
          <cell r="D1843" t="str">
            <v>NP</v>
          </cell>
          <cell r="E1843" t="str">
            <v>MARIA NORELA</v>
          </cell>
          <cell r="F1843" t="str">
            <v>GALLO PEREZ</v>
          </cell>
          <cell r="G1843" t="str">
            <v>GALLO PEREZ MARIA NORELA</v>
          </cell>
          <cell r="H1843" t="str">
            <v>RECO</v>
          </cell>
          <cell r="I1843" t="str">
            <v>REGIMEN COMUN</v>
          </cell>
          <cell r="J1843" t="str">
            <v>CL 98 101 A 53</v>
          </cell>
          <cell r="K1843" t="str">
            <v>05045</v>
          </cell>
          <cell r="L1843" t="str">
            <v>APARTADÓ</v>
          </cell>
          <cell r="M1843" t="str">
            <v>8284142</v>
          </cell>
        </row>
        <row r="1844">
          <cell r="A1844">
            <v>39306037</v>
          </cell>
          <cell r="B1844" t="str">
            <v/>
          </cell>
          <cell r="C1844" t="str">
            <v/>
          </cell>
          <cell r="D1844" t="str">
            <v>CC</v>
          </cell>
          <cell r="E1844" t="str">
            <v>MARINELIS</v>
          </cell>
          <cell r="F1844" t="str">
            <v>BECERRA CUESTA</v>
          </cell>
          <cell r="G1844" t="str">
            <v>BECERRA CUESTA MARINELIS</v>
          </cell>
          <cell r="H1844" t="str">
            <v>RECO</v>
          </cell>
          <cell r="I1844" t="str">
            <v>REGIMEN COMUN</v>
          </cell>
          <cell r="J1844" t="str">
            <v>C PEÑALOSA</v>
          </cell>
          <cell r="K1844" t="str">
            <v>27006</v>
          </cell>
          <cell r="L1844" t="str">
            <v>ACANDÍ</v>
          </cell>
          <cell r="M1844" t="str">
            <v>3147976679</v>
          </cell>
        </row>
        <row r="1845">
          <cell r="A1845">
            <v>39448738</v>
          </cell>
          <cell r="B1845" t="str">
            <v>2</v>
          </cell>
          <cell r="C1845" t="str">
            <v/>
          </cell>
          <cell r="D1845" t="str">
            <v>NP</v>
          </cell>
          <cell r="E1845" t="str">
            <v>GILMA NANCY</v>
          </cell>
          <cell r="F1845" t="str">
            <v>MARIN AMAYA</v>
          </cell>
          <cell r="G1845" t="str">
            <v>MARIN AMAYA GILMA NANCY</v>
          </cell>
          <cell r="H1845" t="str">
            <v>RESI</v>
          </cell>
          <cell r="I1845" t="str">
            <v>REGIMEN SIMPLIFICADO</v>
          </cell>
          <cell r="J1845" t="str">
            <v>CR 22  48 C  33 P 2</v>
          </cell>
          <cell r="K1845" t="str">
            <v>17001</v>
          </cell>
          <cell r="L1845" t="str">
            <v>MANIZALES</v>
          </cell>
          <cell r="M1845" t="str">
            <v>8810059</v>
          </cell>
        </row>
        <row r="1846">
          <cell r="A1846">
            <v>39537947</v>
          </cell>
          <cell r="B1846" t="str">
            <v>7</v>
          </cell>
          <cell r="C1846" t="str">
            <v/>
          </cell>
          <cell r="D1846" t="str">
            <v>NP</v>
          </cell>
          <cell r="E1846" t="str">
            <v>SANDRA PATRICIA</v>
          </cell>
          <cell r="F1846" t="str">
            <v>QUIROZ</v>
          </cell>
          <cell r="G1846" t="str">
            <v>QUIROZ SANDRA PATRICIA</v>
          </cell>
          <cell r="H1846" t="str">
            <v>RECO</v>
          </cell>
          <cell r="I1846" t="str">
            <v>REGIMEN COMUN</v>
          </cell>
          <cell r="J1846" t="str">
            <v>CL 17 16 03</v>
          </cell>
          <cell r="K1846" t="str">
            <v>15238</v>
          </cell>
          <cell r="L1846" t="str">
            <v>DUITAMA</v>
          </cell>
          <cell r="M1846" t="str">
            <v>7612153</v>
          </cell>
        </row>
        <row r="1847">
          <cell r="A1847">
            <v>39620536</v>
          </cell>
          <cell r="B1847" t="str">
            <v>8</v>
          </cell>
          <cell r="C1847" t="str">
            <v/>
          </cell>
          <cell r="D1847" t="str">
            <v>NP</v>
          </cell>
          <cell r="E1847" t="str">
            <v>JOHANA ASTRID</v>
          </cell>
          <cell r="F1847" t="str">
            <v>MEDINA PEÑA</v>
          </cell>
          <cell r="G1847" t="str">
            <v>MEDINA PEÑA JOHANA ASTRID</v>
          </cell>
          <cell r="H1847" t="str">
            <v>RCPN</v>
          </cell>
          <cell r="I1847" t="str">
            <v>RESPONSABLE IVA PERSONA NATURAL</v>
          </cell>
          <cell r="J1847" t="str">
            <v>CR 29   17   59 BL D IN 10</v>
          </cell>
          <cell r="K1847" t="str">
            <v>85001</v>
          </cell>
          <cell r="L1847" t="str">
            <v>YOPAL</v>
          </cell>
          <cell r="M1847" t="str">
            <v>311820604</v>
          </cell>
        </row>
        <row r="1848">
          <cell r="A1848">
            <v>39622848</v>
          </cell>
          <cell r="B1848" t="str">
            <v>1</v>
          </cell>
          <cell r="C1848" t="str">
            <v/>
          </cell>
          <cell r="D1848" t="str">
            <v>NP</v>
          </cell>
          <cell r="E1848" t="str">
            <v>YOLANDA</v>
          </cell>
          <cell r="F1848" t="str">
            <v>PORRAS PORRAS</v>
          </cell>
          <cell r="G1848" t="str">
            <v>PORRAS PORRAS YOLANDA</v>
          </cell>
          <cell r="H1848" t="str">
            <v>RESI</v>
          </cell>
          <cell r="I1848" t="str">
            <v>REGIMEN SIMPLIFICADO</v>
          </cell>
          <cell r="J1848" t="str">
            <v>CL 33 14 75 C 8</v>
          </cell>
          <cell r="K1848" t="str">
            <v>15516</v>
          </cell>
          <cell r="L1848" t="str">
            <v>PAIPA</v>
          </cell>
          <cell r="M1848" t="str">
            <v>3115797955</v>
          </cell>
        </row>
        <row r="1849">
          <cell r="A1849">
            <v>39643425</v>
          </cell>
          <cell r="B1849" t="str">
            <v>8</v>
          </cell>
          <cell r="C1849" t="str">
            <v/>
          </cell>
          <cell r="D1849" t="str">
            <v>NP</v>
          </cell>
          <cell r="E1849" t="str">
            <v>LUZ DARY</v>
          </cell>
          <cell r="F1849" t="str">
            <v>CARMONA MORENO</v>
          </cell>
          <cell r="G1849" t="str">
            <v>CARMONA MORENO LUZ DARY</v>
          </cell>
          <cell r="H1849" t="str">
            <v>NORE</v>
          </cell>
          <cell r="I1849" t="str">
            <v>NO RESPONSABLE DE IVA</v>
          </cell>
          <cell r="J1849" t="str">
            <v>CL 51 24 06 AP 603</v>
          </cell>
          <cell r="K1849" t="str">
            <v>11001</v>
          </cell>
          <cell r="L1849" t="str">
            <v>BOGOTA DC</v>
          </cell>
          <cell r="M1849" t="str">
            <v>3005559878</v>
          </cell>
        </row>
        <row r="1850">
          <cell r="A1850">
            <v>39686071</v>
          </cell>
          <cell r="B1850" t="str">
            <v>9</v>
          </cell>
          <cell r="C1850" t="str">
            <v/>
          </cell>
          <cell r="D1850" t="str">
            <v>NP</v>
          </cell>
          <cell r="E1850" t="str">
            <v>ROSALBA</v>
          </cell>
          <cell r="F1850" t="str">
            <v>ALVAREZ BONILLA</v>
          </cell>
          <cell r="G1850" t="str">
            <v>ALVAREZ BONILLA ROSALBA</v>
          </cell>
          <cell r="H1850" t="str">
            <v>NORE</v>
          </cell>
          <cell r="I1850" t="str">
            <v>NO RESPONSABLE DE IVA</v>
          </cell>
          <cell r="J1850" t="str">
            <v>127 D 19 88 TO 4 AP 701 BRR PRADOS DE LA CALLEJA</v>
          </cell>
          <cell r="K1850" t="str">
            <v>11001</v>
          </cell>
          <cell r="L1850" t="str">
            <v>BOGOTA DC</v>
          </cell>
          <cell r="M1850" t="str">
            <v>6150252</v>
          </cell>
        </row>
        <row r="1851">
          <cell r="A1851">
            <v>39686255</v>
          </cell>
          <cell r="B1851" t="str">
            <v>7</v>
          </cell>
          <cell r="C1851" t="str">
            <v/>
          </cell>
          <cell r="D1851" t="str">
            <v>NP</v>
          </cell>
          <cell r="E1851" t="str">
            <v>MARCELA</v>
          </cell>
          <cell r="F1851" t="str">
            <v>FRANCO REYES</v>
          </cell>
          <cell r="G1851" t="str">
            <v>FRANCO REYES MARCELA</v>
          </cell>
          <cell r="H1851" t="str">
            <v>RESI</v>
          </cell>
          <cell r="I1851" t="str">
            <v>REGIMEN SIMPLIFICADO</v>
          </cell>
          <cell r="J1851" t="str">
            <v>CRT AGUAZUL KM 2</v>
          </cell>
          <cell r="K1851" t="str">
            <v>85001</v>
          </cell>
          <cell r="L1851" t="str">
            <v>YOPAL</v>
          </cell>
          <cell r="M1851" t="str">
            <v>3115635210</v>
          </cell>
        </row>
        <row r="1852">
          <cell r="A1852">
            <v>39687910</v>
          </cell>
          <cell r="B1852" t="str">
            <v>8</v>
          </cell>
          <cell r="C1852" t="str">
            <v/>
          </cell>
          <cell r="D1852" t="str">
            <v>NP</v>
          </cell>
          <cell r="E1852" t="str">
            <v>LUZ MARINA</v>
          </cell>
          <cell r="F1852" t="str">
            <v>GOMEZ NARANJO</v>
          </cell>
          <cell r="G1852" t="str">
            <v>GOMEZ NARANJO LUZ MARINA</v>
          </cell>
          <cell r="H1852" t="str">
            <v>RESI</v>
          </cell>
          <cell r="I1852" t="str">
            <v>REGIMEN SIMPLIFICADO</v>
          </cell>
          <cell r="J1852" t="str">
            <v>CL 16 5 62  MZ 1  BRR EL CENTRO</v>
          </cell>
          <cell r="K1852" t="str">
            <v>94001</v>
          </cell>
          <cell r="L1852" t="str">
            <v>INÍRIDA</v>
          </cell>
          <cell r="M1852" t="str">
            <v>3123057538</v>
          </cell>
        </row>
        <row r="1853">
          <cell r="A1853">
            <v>39719928</v>
          </cell>
          <cell r="B1853" t="str">
            <v>9</v>
          </cell>
          <cell r="C1853" t="str">
            <v/>
          </cell>
          <cell r="D1853" t="str">
            <v>NP</v>
          </cell>
          <cell r="E1853" t="str">
            <v>ESPERANZA</v>
          </cell>
          <cell r="F1853" t="str">
            <v>MIRANDA HERRERA</v>
          </cell>
          <cell r="G1853" t="str">
            <v>MIRANDA HERRERA ESPERANZA</v>
          </cell>
          <cell r="H1853" t="str">
            <v>RESI</v>
          </cell>
          <cell r="I1853" t="str">
            <v>REGIMEN SIMPLIFICADO</v>
          </cell>
          <cell r="J1853" t="str">
            <v xml:space="preserve">CL 14 18 90                             </v>
          </cell>
          <cell r="K1853" t="str">
            <v>15238</v>
          </cell>
          <cell r="L1853" t="str">
            <v>DUITAMA</v>
          </cell>
          <cell r="M1853" t="str">
            <v>7630535</v>
          </cell>
        </row>
        <row r="1854">
          <cell r="A1854">
            <v>39761875</v>
          </cell>
          <cell r="B1854" t="str">
            <v>4</v>
          </cell>
          <cell r="C1854" t="str">
            <v/>
          </cell>
          <cell r="D1854" t="str">
            <v>NP</v>
          </cell>
          <cell r="E1854" t="str">
            <v>CLAUDIA OVEIDA</v>
          </cell>
          <cell r="F1854" t="str">
            <v>AREVALO CARDENAS</v>
          </cell>
          <cell r="G1854" t="str">
            <v>AREVALO CARDENAS CLAUDIA OVEIDA</v>
          </cell>
          <cell r="H1854" t="str">
            <v>RESI</v>
          </cell>
          <cell r="I1854" t="str">
            <v>REGIMEN SIMPLIFICADO</v>
          </cell>
          <cell r="J1854" t="str">
            <v>CL 22 F 82 24 BRR MODELIA</v>
          </cell>
          <cell r="K1854" t="str">
            <v>11001</v>
          </cell>
          <cell r="L1854" t="str">
            <v>BOGOTA DC</v>
          </cell>
          <cell r="M1854" t="str">
            <v>3142117019</v>
          </cell>
        </row>
        <row r="1855">
          <cell r="A1855">
            <v>39763682</v>
          </cell>
          <cell r="B1855" t="str">
            <v/>
          </cell>
          <cell r="C1855" t="str">
            <v/>
          </cell>
          <cell r="D1855" t="str">
            <v>CC</v>
          </cell>
          <cell r="E1855" t="str">
            <v>ANGELA ROCIO</v>
          </cell>
          <cell r="F1855" t="str">
            <v>BRICEÑO PARRA</v>
          </cell>
          <cell r="G1855" t="str">
            <v>BRICEÑO PARRA ANGELA ROCIO</v>
          </cell>
          <cell r="H1855" t="str">
            <v>FUNC</v>
          </cell>
          <cell r="I1855" t="str">
            <v>FUNCIONARIO</v>
          </cell>
          <cell r="J1855" t="str">
            <v>CL 23 NO  5   27</v>
          </cell>
          <cell r="K1855" t="str">
            <v>11001</v>
          </cell>
          <cell r="L1855" t="str">
            <v>BOGOTA DC</v>
          </cell>
          <cell r="M1855" t="str">
            <v>4219665</v>
          </cell>
        </row>
        <row r="1856">
          <cell r="A1856">
            <v>39767390</v>
          </cell>
          <cell r="B1856" t="str">
            <v>1</v>
          </cell>
          <cell r="C1856" t="str">
            <v/>
          </cell>
          <cell r="D1856" t="str">
            <v>NP</v>
          </cell>
          <cell r="E1856" t="str">
            <v>LIBIA YANNETH</v>
          </cell>
          <cell r="F1856" t="str">
            <v>HERNANDEZ CHAPARRO</v>
          </cell>
          <cell r="G1856" t="str">
            <v>HERNANDEZ CHAPARRO LIBIA YANNETH</v>
          </cell>
          <cell r="H1856" t="str">
            <v>RECO</v>
          </cell>
          <cell r="I1856" t="str">
            <v>REGIMEN COMUN</v>
          </cell>
          <cell r="J1856" t="str">
            <v>VDA  VANGUARDIA LT 1 PD DESPUES DEL PEAJE</v>
          </cell>
          <cell r="K1856" t="str">
            <v>50001</v>
          </cell>
          <cell r="L1856" t="str">
            <v>VILLAVICENCIO</v>
          </cell>
          <cell r="M1856" t="str">
            <v>6648060</v>
          </cell>
        </row>
        <row r="1857">
          <cell r="A1857">
            <v>39791035</v>
          </cell>
          <cell r="B1857" t="str">
            <v>2</v>
          </cell>
          <cell r="C1857" t="str">
            <v/>
          </cell>
          <cell r="D1857" t="str">
            <v>NP</v>
          </cell>
          <cell r="E1857" t="str">
            <v>SONIA MIREYA</v>
          </cell>
          <cell r="F1857" t="str">
            <v>PENAGOS FAJARDO</v>
          </cell>
          <cell r="G1857" t="str">
            <v>PENAGOS FAJARDO SONIA MIREYA</v>
          </cell>
          <cell r="H1857" t="str">
            <v>RCPN</v>
          </cell>
          <cell r="I1857" t="str">
            <v>RESPONSABLE IVA PERSONA NATURAL</v>
          </cell>
          <cell r="J1857" t="str">
            <v xml:space="preserve"> CL 15  16 25 LC 112</v>
          </cell>
          <cell r="K1857" t="str">
            <v>15238</v>
          </cell>
          <cell r="L1857" t="str">
            <v>DUITAMA</v>
          </cell>
          <cell r="M1857" t="str">
            <v>7610685</v>
          </cell>
        </row>
        <row r="1858">
          <cell r="A1858">
            <v>40013666</v>
          </cell>
          <cell r="B1858" t="str">
            <v>7</v>
          </cell>
          <cell r="C1858" t="str">
            <v/>
          </cell>
          <cell r="D1858" t="str">
            <v>NP</v>
          </cell>
          <cell r="E1858" t="str">
            <v>MARIA CUSTODIA</v>
          </cell>
          <cell r="F1858" t="str">
            <v>CASTRO DE ALBA</v>
          </cell>
          <cell r="G1858" t="str">
            <v>CASTRO DE ALBA MARIA CUSTODIA</v>
          </cell>
          <cell r="H1858" t="str">
            <v>RERE</v>
          </cell>
          <cell r="I1858" t="str">
            <v>RENTA REGIMEN ESPECIAL NO IVA</v>
          </cell>
          <cell r="J1858" t="str">
            <v>CL 25 19 52</v>
          </cell>
          <cell r="K1858" t="str">
            <v>15516</v>
          </cell>
          <cell r="L1858" t="str">
            <v>PAIPA</v>
          </cell>
          <cell r="M1858" t="str">
            <v>7850022</v>
          </cell>
        </row>
        <row r="1859">
          <cell r="A1859">
            <v>40015282</v>
          </cell>
          <cell r="B1859" t="str">
            <v>1</v>
          </cell>
          <cell r="C1859" t="str">
            <v/>
          </cell>
          <cell r="D1859" t="str">
            <v>NP</v>
          </cell>
          <cell r="E1859" t="str">
            <v>ANA MERCEDES</v>
          </cell>
          <cell r="F1859" t="str">
            <v xml:space="preserve">ALVARADO </v>
          </cell>
          <cell r="G1859" t="str">
            <v>ANA MERCEDES ALVARADO</v>
          </cell>
          <cell r="H1859" t="str">
            <v>RESI</v>
          </cell>
          <cell r="I1859" t="str">
            <v>REGIMEN SIMPLIFICADO</v>
          </cell>
          <cell r="J1859" t="str">
            <v>vd centro</v>
          </cell>
          <cell r="K1859" t="str">
            <v>15476</v>
          </cell>
          <cell r="L1859" t="str">
            <v>MOTAVITA</v>
          </cell>
          <cell r="M1859" t="str">
            <v>7433410</v>
          </cell>
        </row>
        <row r="1860">
          <cell r="A1860">
            <v>40016357</v>
          </cell>
          <cell r="B1860" t="str">
            <v>1</v>
          </cell>
          <cell r="C1860" t="str">
            <v/>
          </cell>
          <cell r="D1860" t="str">
            <v>NP</v>
          </cell>
          <cell r="E1860" t="str">
            <v>EDILMA</v>
          </cell>
          <cell r="F1860" t="str">
            <v>BARRERA BOHORQUEZ</v>
          </cell>
          <cell r="G1860" t="str">
            <v>BARRERA BOHORQUEZ EDILMA  NOTARIA PRIMERA YOPAL</v>
          </cell>
          <cell r="H1860" t="str">
            <v>RECO</v>
          </cell>
          <cell r="I1860" t="str">
            <v>REGIMEN COMUN</v>
          </cell>
          <cell r="J1860" t="str">
            <v>CR 20 N 6 86</v>
          </cell>
          <cell r="K1860" t="str">
            <v>85001</v>
          </cell>
          <cell r="L1860" t="str">
            <v>YOPAL</v>
          </cell>
          <cell r="M1860" t="str">
            <v>6358446</v>
          </cell>
        </row>
        <row r="1861">
          <cell r="A1861">
            <v>40021773</v>
          </cell>
          <cell r="B1861" t="str">
            <v/>
          </cell>
          <cell r="C1861" t="str">
            <v/>
          </cell>
          <cell r="D1861" t="str">
            <v>CC</v>
          </cell>
          <cell r="E1861" t="str">
            <v>GLADYS EDILMA</v>
          </cell>
          <cell r="F1861" t="str">
            <v>NUMPAQUE TORRES</v>
          </cell>
          <cell r="G1861" t="str">
            <v>NUMPAQUE TORRES GLADYS EDILMA</v>
          </cell>
          <cell r="H1861" t="str">
            <v>FUNC</v>
          </cell>
          <cell r="I1861" t="str">
            <v>FUNCIONARIO</v>
          </cell>
          <cell r="J1861" t="str">
            <v>CONJUNTO RESIDENCIAL ZARABANDA MZ K CASA 13 TUNJA</v>
          </cell>
          <cell r="K1861" t="str">
            <v>15516</v>
          </cell>
          <cell r="L1861" t="str">
            <v>PAIPA</v>
          </cell>
          <cell r="M1861" t="str">
            <v>3214853094</v>
          </cell>
        </row>
        <row r="1862">
          <cell r="A1862">
            <v>40028401</v>
          </cell>
          <cell r="B1862" t="str">
            <v>8</v>
          </cell>
          <cell r="C1862" t="str">
            <v/>
          </cell>
          <cell r="D1862" t="str">
            <v>NP</v>
          </cell>
          <cell r="E1862" t="str">
            <v>NURY</v>
          </cell>
          <cell r="F1862" t="str">
            <v>YARURO CARRASCAL</v>
          </cell>
          <cell r="G1862" t="str">
            <v>YARURO CARRASCAL NURY</v>
          </cell>
          <cell r="H1862" t="str">
            <v>IMVE</v>
          </cell>
          <cell r="I1862" t="str">
            <v>IMPUESTO SOBRE LAS VENTAS</v>
          </cell>
          <cell r="J1862" t="str">
            <v xml:space="preserve"> CL 12  17 33</v>
          </cell>
          <cell r="K1862" t="str">
            <v>15238</v>
          </cell>
          <cell r="L1862" t="str">
            <v>DUITAMA</v>
          </cell>
          <cell r="M1862" t="str">
            <v>7613287</v>
          </cell>
        </row>
        <row r="1863">
          <cell r="A1863">
            <v>40029306</v>
          </cell>
          <cell r="B1863" t="str">
            <v>0</v>
          </cell>
          <cell r="C1863" t="str">
            <v/>
          </cell>
          <cell r="D1863" t="str">
            <v>NP</v>
          </cell>
          <cell r="E1863" t="str">
            <v>DORIS</v>
          </cell>
          <cell r="F1863" t="str">
            <v>CORREDOR MUNEVAR</v>
          </cell>
          <cell r="G1863" t="str">
            <v xml:space="preserve">CORREDOR MUNEVAR DORIS                                      </v>
          </cell>
          <cell r="H1863" t="str">
            <v>REOR</v>
          </cell>
          <cell r="I1863" t="str">
            <v>RENTA REGIMEN ORDINARIO</v>
          </cell>
          <cell r="J1863" t="str">
            <v>TV 16  47 12</v>
          </cell>
          <cell r="K1863" t="str">
            <v>15001</v>
          </cell>
          <cell r="L1863" t="str">
            <v>TUNJA</v>
          </cell>
          <cell r="M1863" t="str">
            <v>7437636</v>
          </cell>
        </row>
        <row r="1864">
          <cell r="A1864">
            <v>40031168</v>
          </cell>
          <cell r="B1864" t="str">
            <v>7</v>
          </cell>
          <cell r="C1864" t="str">
            <v/>
          </cell>
          <cell r="D1864" t="str">
            <v>NP</v>
          </cell>
          <cell r="E1864" t="str">
            <v>DORIS GEORGINA</v>
          </cell>
          <cell r="F1864" t="str">
            <v>SANCHEZ RUBIO</v>
          </cell>
          <cell r="G1864" t="str">
            <v>SANCHEZ RUBIO DORIS GEORGINA</v>
          </cell>
          <cell r="H1864" t="str">
            <v>IMVE</v>
          </cell>
          <cell r="I1864" t="str">
            <v>IMPUESTO SOBRE LAS VENTAS</v>
          </cell>
          <cell r="J1864" t="str">
            <v>CL 11 17 10</v>
          </cell>
          <cell r="K1864" t="str">
            <v>15238</v>
          </cell>
          <cell r="L1864" t="str">
            <v>DUITAMA</v>
          </cell>
          <cell r="M1864" t="str">
            <v>7612342</v>
          </cell>
        </row>
        <row r="1865">
          <cell r="A1865">
            <v>40039609</v>
          </cell>
          <cell r="B1865" t="str">
            <v>1</v>
          </cell>
          <cell r="C1865" t="str">
            <v/>
          </cell>
          <cell r="D1865" t="str">
            <v>NP</v>
          </cell>
          <cell r="E1865" t="str">
            <v>LUZ DARY</v>
          </cell>
          <cell r="F1865" t="str">
            <v>MEDINA SILVA</v>
          </cell>
          <cell r="G1865" t="str">
            <v>MEDINA SILVA LUZ DARY</v>
          </cell>
          <cell r="H1865" t="str">
            <v>IMVE</v>
          </cell>
          <cell r="I1865" t="str">
            <v>IMPUESTO SOBRE LAS VENTAS</v>
          </cell>
          <cell r="J1865" t="str">
            <v>CR 15 12 95 BRR PARAISO</v>
          </cell>
          <cell r="K1865" t="str">
            <v>15001</v>
          </cell>
          <cell r="L1865" t="str">
            <v>TUNJA</v>
          </cell>
          <cell r="M1865" t="str">
            <v>3112564307</v>
          </cell>
        </row>
        <row r="1866">
          <cell r="A1866">
            <v>40041368</v>
          </cell>
          <cell r="B1866" t="str">
            <v/>
          </cell>
          <cell r="C1866" t="str">
            <v/>
          </cell>
          <cell r="D1866" t="str">
            <v>CC</v>
          </cell>
          <cell r="E1866" t="str">
            <v>JIMENA DEL ROCIO</v>
          </cell>
          <cell r="F1866" t="str">
            <v>RODRIGUEZ CORTES</v>
          </cell>
          <cell r="G1866" t="str">
            <v>RODRIGUEZ CORTES JIMENA DEL ROCIO</v>
          </cell>
          <cell r="H1866" t="str">
            <v>FUNC</v>
          </cell>
          <cell r="I1866" t="str">
            <v>FUNCIONARIO</v>
          </cell>
          <cell r="J1866" t="str">
            <v>TV 0   70   01 BRR SOAMOX</v>
          </cell>
          <cell r="K1866" t="str">
            <v>15516</v>
          </cell>
          <cell r="L1866" t="str">
            <v>PAIPA</v>
          </cell>
          <cell r="M1866" t="str">
            <v>3115451366</v>
          </cell>
        </row>
        <row r="1867">
          <cell r="A1867">
            <v>40046429</v>
          </cell>
          <cell r="B1867" t="str">
            <v/>
          </cell>
          <cell r="C1867" t="str">
            <v/>
          </cell>
          <cell r="D1867" t="str">
            <v>CC</v>
          </cell>
          <cell r="E1867" t="str">
            <v>YENI CAROLINA</v>
          </cell>
          <cell r="F1867" t="str">
            <v>CORREDOR NIÑO</v>
          </cell>
          <cell r="G1867" t="str">
            <v>CORREDOR NIÑO YENI CAROLINA</v>
          </cell>
          <cell r="H1867" t="str">
            <v>RCPN</v>
          </cell>
          <cell r="I1867" t="str">
            <v>RESPONSABLE IVA PERSONA NATURAL</v>
          </cell>
          <cell r="J1867" t="str">
            <v>KM 1 VIA A LAS PISCINAS TERMALES PAIPA</v>
          </cell>
          <cell r="K1867" t="str">
            <v>17001</v>
          </cell>
          <cell r="L1867" t="str">
            <v>MANIZALES</v>
          </cell>
          <cell r="M1867" t="str">
            <v>038-7850191</v>
          </cell>
        </row>
        <row r="1868">
          <cell r="A1868">
            <v>40049973</v>
          </cell>
          <cell r="B1868" t="str">
            <v>9</v>
          </cell>
          <cell r="C1868" t="str">
            <v/>
          </cell>
          <cell r="D1868" t="str">
            <v>NP</v>
          </cell>
          <cell r="E1868" t="str">
            <v>NANCY BEATRIZ</v>
          </cell>
          <cell r="F1868" t="str">
            <v>MORALES ROMERO</v>
          </cell>
          <cell r="G1868" t="str">
            <v>MORALES ROMERO NANCY BEATRIZ</v>
          </cell>
          <cell r="H1868" t="str">
            <v>REOR</v>
          </cell>
          <cell r="I1868" t="str">
            <v>RENTA REGIMEN ORDINARIO</v>
          </cell>
          <cell r="J1868" t="str">
            <v>CR 11   22   30</v>
          </cell>
          <cell r="K1868" t="str">
            <v>85162</v>
          </cell>
          <cell r="L1868" t="str">
            <v>MONTERREY</v>
          </cell>
          <cell r="M1868" t="str">
            <v>3208012502</v>
          </cell>
        </row>
        <row r="1869">
          <cell r="A1869">
            <v>40177615</v>
          </cell>
          <cell r="B1869" t="str">
            <v>5</v>
          </cell>
          <cell r="C1869" t="str">
            <v/>
          </cell>
          <cell r="D1869" t="str">
            <v>NP</v>
          </cell>
          <cell r="E1869" t="str">
            <v>OTILIA</v>
          </cell>
          <cell r="F1869" t="str">
            <v>RODRIGUEZ LOZANO</v>
          </cell>
          <cell r="G1869" t="str">
            <v>RODRIGUEZ LOZANO OTILIA</v>
          </cell>
          <cell r="H1869" t="str">
            <v>REOR</v>
          </cell>
          <cell r="I1869" t="str">
            <v>RENTA REGIMEN ORDINARIO</v>
          </cell>
          <cell r="J1869" t="str">
            <v>CL 14 CA 102 BRR LA SARITA</v>
          </cell>
          <cell r="K1869" t="str">
            <v>91001</v>
          </cell>
          <cell r="L1869" t="str">
            <v>LETICIA</v>
          </cell>
          <cell r="M1869" t="str">
            <v>3108149928</v>
          </cell>
        </row>
        <row r="1870">
          <cell r="A1870">
            <v>40178395</v>
          </cell>
          <cell r="B1870" t="str">
            <v/>
          </cell>
          <cell r="C1870" t="str">
            <v/>
          </cell>
          <cell r="D1870" t="str">
            <v>CC</v>
          </cell>
          <cell r="E1870" t="str">
            <v>HEIDY YENNY</v>
          </cell>
          <cell r="F1870" t="str">
            <v>TORRES TAMANI</v>
          </cell>
          <cell r="G1870" t="str">
            <v>TORRES TAMANI HEIDY YENNY</v>
          </cell>
          <cell r="H1870" t="str">
            <v>FUNC</v>
          </cell>
          <cell r="I1870" t="str">
            <v>FUNCIONARIO</v>
          </cell>
          <cell r="J1870" t="str">
            <v>LETICIA</v>
          </cell>
          <cell r="K1870" t="str">
            <v>91001</v>
          </cell>
          <cell r="L1870" t="str">
            <v>LETICIA</v>
          </cell>
          <cell r="M1870" t="str">
            <v>0</v>
          </cell>
        </row>
        <row r="1871">
          <cell r="A1871">
            <v>40178796</v>
          </cell>
          <cell r="B1871" t="str">
            <v/>
          </cell>
          <cell r="C1871" t="str">
            <v/>
          </cell>
          <cell r="D1871" t="str">
            <v>CC</v>
          </cell>
          <cell r="E1871" t="str">
            <v>MARTHA CECILIA</v>
          </cell>
          <cell r="F1871" t="str">
            <v>TORRES VARON</v>
          </cell>
          <cell r="G1871" t="str">
            <v>MARTHA CECILIA TORRES VARON</v>
          </cell>
          <cell r="H1871" t="str">
            <v>FUNC</v>
          </cell>
          <cell r="I1871" t="str">
            <v>FUNCIONARIO</v>
          </cell>
          <cell r="J1871" t="str">
            <v>LETICIA</v>
          </cell>
          <cell r="K1871" t="str">
            <v>91001</v>
          </cell>
          <cell r="L1871" t="str">
            <v>LETICIA</v>
          </cell>
          <cell r="M1871" t="str">
            <v>0</v>
          </cell>
        </row>
        <row r="1872">
          <cell r="A1872">
            <v>40285418</v>
          </cell>
          <cell r="B1872" t="str">
            <v>3</v>
          </cell>
          <cell r="C1872" t="str">
            <v/>
          </cell>
          <cell r="D1872" t="str">
            <v>NP</v>
          </cell>
          <cell r="E1872" t="str">
            <v>SANDRA MILENA</v>
          </cell>
          <cell r="F1872" t="str">
            <v>OSORIO VASQUEZ</v>
          </cell>
          <cell r="G1872" t="str">
            <v>SANDRA MILENA OSORIO VASQUEZ</v>
          </cell>
          <cell r="H1872" t="str">
            <v>NORE</v>
          </cell>
          <cell r="I1872" t="str">
            <v>NO RESPONSABLE DE IVA</v>
          </cell>
          <cell r="J1872" t="str">
            <v xml:space="preserve"> CR 7  16 A  11 29 BRR CENTRO</v>
          </cell>
          <cell r="K1872" t="str">
            <v>94001</v>
          </cell>
          <cell r="L1872" t="str">
            <v>INÍRIDA</v>
          </cell>
          <cell r="M1872" t="str">
            <v>3112470925</v>
          </cell>
        </row>
        <row r="1873">
          <cell r="A1873">
            <v>40328275</v>
          </cell>
          <cell r="B1873" t="str">
            <v>3</v>
          </cell>
          <cell r="C1873" t="str">
            <v/>
          </cell>
          <cell r="D1873" t="str">
            <v>NP</v>
          </cell>
          <cell r="E1873" t="str">
            <v>DIANA ALEXANDRA</v>
          </cell>
          <cell r="F1873" t="str">
            <v>HERNANDEZ REY</v>
          </cell>
          <cell r="G1873" t="str">
            <v>HERNANDEZ REY DIANA ALEXANDRA</v>
          </cell>
          <cell r="H1873" t="str">
            <v>NORE</v>
          </cell>
          <cell r="I1873" t="str">
            <v>NO RESPONSABLE DE IVA</v>
          </cell>
          <cell r="J1873" t="str">
            <v>CR 8 20 55 BRR BERLIN</v>
          </cell>
          <cell r="K1873" t="str">
            <v>94001</v>
          </cell>
          <cell r="L1873" t="str">
            <v>INÍRIDA</v>
          </cell>
          <cell r="M1873" t="str">
            <v>3112500225</v>
          </cell>
        </row>
        <row r="1874">
          <cell r="A1874">
            <v>40334494</v>
          </cell>
          <cell r="B1874" t="str">
            <v>4</v>
          </cell>
          <cell r="C1874" t="str">
            <v/>
          </cell>
          <cell r="D1874" t="str">
            <v>NP</v>
          </cell>
          <cell r="E1874" t="str">
            <v>NATALIA XIMENA</v>
          </cell>
          <cell r="F1874" t="str">
            <v>ORTIZ MORALES</v>
          </cell>
          <cell r="G1874" t="str">
            <v>ORTIZ MORALES NATALIA XIMENA</v>
          </cell>
          <cell r="H1874" t="str">
            <v>NORE</v>
          </cell>
          <cell r="I1874" t="str">
            <v>NO RESPONSABLE DE IVA</v>
          </cell>
          <cell r="J1874" t="str">
            <v>CALLE 19 BARRIO LAS ACACIAS</v>
          </cell>
          <cell r="K1874" t="str">
            <v>99001</v>
          </cell>
          <cell r="L1874" t="str">
            <v>PUERTO CARREÑO</v>
          </cell>
          <cell r="M1874" t="str">
            <v>3108065446</v>
          </cell>
        </row>
        <row r="1875">
          <cell r="A1875">
            <v>40365536</v>
          </cell>
          <cell r="B1875" t="str">
            <v>8</v>
          </cell>
          <cell r="C1875" t="str">
            <v/>
          </cell>
          <cell r="D1875" t="str">
            <v>NP</v>
          </cell>
          <cell r="E1875" t="str">
            <v>BLANCA</v>
          </cell>
          <cell r="F1875" t="str">
            <v>PARDO SUAREZ</v>
          </cell>
          <cell r="G1875" t="str">
            <v>PARDO SUAREZ BLANCA</v>
          </cell>
          <cell r="H1875" t="str">
            <v>RESI</v>
          </cell>
          <cell r="I1875" t="str">
            <v>REGIMEN SIMPLIFICADO</v>
          </cell>
          <cell r="J1875" t="str">
            <v>CL 4   7   2</v>
          </cell>
          <cell r="K1875" t="str">
            <v>85430</v>
          </cell>
          <cell r="L1875" t="str">
            <v>TRINIDAD</v>
          </cell>
          <cell r="M1875" t="str">
            <v>3214962767</v>
          </cell>
        </row>
        <row r="1876">
          <cell r="A1876">
            <v>40369149</v>
          </cell>
          <cell r="B1876" t="str">
            <v>9</v>
          </cell>
          <cell r="C1876" t="str">
            <v/>
          </cell>
          <cell r="D1876" t="str">
            <v>NP</v>
          </cell>
          <cell r="E1876" t="str">
            <v>DORIS</v>
          </cell>
          <cell r="F1876" t="str">
            <v>URREA PACHON</v>
          </cell>
          <cell r="G1876" t="str">
            <v>URREA PACHON DORIS</v>
          </cell>
          <cell r="H1876" t="str">
            <v>REOR</v>
          </cell>
          <cell r="I1876" t="str">
            <v>RENTA REGIMEN ORDINARIO</v>
          </cell>
          <cell r="J1876" t="str">
            <v>CR 8 5 60 BRR PORVENIR</v>
          </cell>
          <cell r="K1876" t="str">
            <v>97001</v>
          </cell>
          <cell r="L1876" t="str">
            <v>MITÚ</v>
          </cell>
          <cell r="M1876" t="str">
            <v>3124813012</v>
          </cell>
        </row>
        <row r="1877">
          <cell r="A1877">
            <v>40372528</v>
          </cell>
          <cell r="B1877" t="str">
            <v>8</v>
          </cell>
          <cell r="C1877" t="str">
            <v/>
          </cell>
          <cell r="D1877" t="str">
            <v>NP</v>
          </cell>
          <cell r="E1877" t="str">
            <v>MARIA NOHEMI</v>
          </cell>
          <cell r="F1877" t="str">
            <v>ALONSO TABERA</v>
          </cell>
          <cell r="G1877" t="str">
            <v>ALONSO TABERA MARIA NOHEMI</v>
          </cell>
          <cell r="H1877" t="str">
            <v>RESI</v>
          </cell>
          <cell r="I1877" t="str">
            <v>REGIMEN SIMPLIFICADO</v>
          </cell>
          <cell r="J1877" t="str">
            <v>CL 14 4 27 BRR NAVARRO BONILLA</v>
          </cell>
          <cell r="K1877" t="str">
            <v>97001</v>
          </cell>
          <cell r="L1877" t="str">
            <v>MITÚ</v>
          </cell>
          <cell r="M1877" t="str">
            <v>3124260862</v>
          </cell>
        </row>
        <row r="1878">
          <cell r="A1878">
            <v>40376067</v>
          </cell>
          <cell r="B1878" t="str">
            <v>2</v>
          </cell>
          <cell r="C1878" t="str">
            <v/>
          </cell>
          <cell r="D1878" t="str">
            <v>NP</v>
          </cell>
          <cell r="E1878" t="str">
            <v>ROSA ALICIA</v>
          </cell>
          <cell r="F1878" t="str">
            <v>ROMERO MORALES</v>
          </cell>
          <cell r="G1878" t="str">
            <v>ROMERO MORALES ROSA ALICIA</v>
          </cell>
          <cell r="H1878" t="str">
            <v>RESI</v>
          </cell>
          <cell r="I1878" t="str">
            <v>REGIMEN SIMPLIFICADO</v>
          </cell>
          <cell r="J1878" t="str">
            <v>CL 13 13 112 BRR VILLA</v>
          </cell>
          <cell r="K1878" t="str">
            <v>97001</v>
          </cell>
          <cell r="L1878" t="str">
            <v>MITÚ</v>
          </cell>
          <cell r="M1878" t="str">
            <v>3124570161</v>
          </cell>
        </row>
        <row r="1879">
          <cell r="A1879">
            <v>40381040</v>
          </cell>
          <cell r="B1879" t="str">
            <v>4</v>
          </cell>
          <cell r="C1879" t="str">
            <v/>
          </cell>
          <cell r="D1879" t="str">
            <v>NP</v>
          </cell>
          <cell r="E1879" t="str">
            <v>MYRIAM STELLA</v>
          </cell>
          <cell r="F1879" t="str">
            <v>ROMERO RAMIREZ</v>
          </cell>
          <cell r="G1879" t="str">
            <v>ROMERO RAMIREZ MYRIAM STELLA</v>
          </cell>
          <cell r="H1879" t="str">
            <v>RESI</v>
          </cell>
          <cell r="I1879" t="str">
            <v>REGIMEN SIMPLIFICADO</v>
          </cell>
          <cell r="J1879" t="str">
            <v>CR 33 24 B 34 BRR SAN MARCOS</v>
          </cell>
          <cell r="K1879" t="str">
            <v>50001</v>
          </cell>
          <cell r="L1879" t="str">
            <v>VILLAVICENCIO</v>
          </cell>
          <cell r="M1879" t="str">
            <v>3125976663</v>
          </cell>
        </row>
        <row r="1880">
          <cell r="A1880">
            <v>40381407</v>
          </cell>
          <cell r="B1880" t="str">
            <v>3</v>
          </cell>
          <cell r="C1880" t="str">
            <v/>
          </cell>
          <cell r="D1880" t="str">
            <v>NP</v>
          </cell>
          <cell r="E1880" t="str">
            <v>GLORIA</v>
          </cell>
          <cell r="F1880" t="str">
            <v>ROJAS PEREZ</v>
          </cell>
          <cell r="G1880" t="str">
            <v>ROJAS PEREZ GLORIA</v>
          </cell>
          <cell r="H1880" t="str">
            <v>IMVE</v>
          </cell>
          <cell r="I1880" t="str">
            <v>IMPUESTO SOBRE LAS VENTAS</v>
          </cell>
          <cell r="J1880" t="str">
            <v>CL 16 5 53 LC 1 BRR EL CENTRO</v>
          </cell>
          <cell r="K1880" t="str">
            <v>17001</v>
          </cell>
          <cell r="L1880" t="str">
            <v>MANIZALES</v>
          </cell>
          <cell r="M1880" t="str">
            <v>3114801934</v>
          </cell>
        </row>
        <row r="1881">
          <cell r="A1881">
            <v>40385386</v>
          </cell>
          <cell r="B1881" t="str">
            <v>5</v>
          </cell>
          <cell r="C1881" t="str">
            <v/>
          </cell>
          <cell r="D1881" t="str">
            <v>NP</v>
          </cell>
          <cell r="E1881" t="str">
            <v>FRACNI ACENEDT</v>
          </cell>
          <cell r="F1881" t="str">
            <v>ROMERO AVILA</v>
          </cell>
          <cell r="G1881" t="str">
            <v>ROMERO AVILA FRACNI ACENEDT</v>
          </cell>
          <cell r="H1881" t="str">
            <v>RESI</v>
          </cell>
          <cell r="I1881" t="str">
            <v>REGIMEN SIMPLIFICADO</v>
          </cell>
          <cell r="J1881" t="str">
            <v>TV 23   37   87</v>
          </cell>
          <cell r="K1881" t="str">
            <v>85001</v>
          </cell>
          <cell r="L1881" t="str">
            <v>YOPAL</v>
          </cell>
          <cell r="M1881" t="str">
            <v>3102236645</v>
          </cell>
        </row>
        <row r="1882">
          <cell r="A1882">
            <v>40386871</v>
          </cell>
          <cell r="B1882" t="str">
            <v>0</v>
          </cell>
          <cell r="C1882" t="str">
            <v/>
          </cell>
          <cell r="D1882" t="str">
            <v>NP</v>
          </cell>
          <cell r="E1882" t="str">
            <v>ALBA AIDE</v>
          </cell>
          <cell r="F1882" t="str">
            <v>ORTIZ POVEDA</v>
          </cell>
          <cell r="G1882" t="str">
            <v>ORTIZ POVEDA ALBA AIDE</v>
          </cell>
          <cell r="H1882" t="str">
            <v>RESI</v>
          </cell>
          <cell r="I1882" t="str">
            <v>REGIMEN SIMPLIFICADO</v>
          </cell>
          <cell r="J1882" t="str">
            <v>CL 38   27   48 BRR VILLA JULIA</v>
          </cell>
          <cell r="K1882" t="str">
            <v>94001</v>
          </cell>
          <cell r="L1882" t="str">
            <v>INÍRIDA</v>
          </cell>
          <cell r="M1882" t="str">
            <v>3114698118</v>
          </cell>
        </row>
        <row r="1883">
          <cell r="A1883">
            <v>40387402</v>
          </cell>
          <cell r="B1883" t="str">
            <v>4</v>
          </cell>
          <cell r="C1883" t="str">
            <v/>
          </cell>
          <cell r="D1883" t="str">
            <v>NP</v>
          </cell>
          <cell r="E1883" t="str">
            <v>FLOREDY</v>
          </cell>
          <cell r="F1883" t="str">
            <v>PEREZ BETANCOURTH</v>
          </cell>
          <cell r="G1883" t="str">
            <v>PEREZ BETANCOURTH FLOREDY</v>
          </cell>
          <cell r="H1883" t="str">
            <v>REOR</v>
          </cell>
          <cell r="I1883" t="str">
            <v>RENTA REGIMEN ORDINARIO</v>
          </cell>
          <cell r="J1883" t="str">
            <v>VRD MARARAVE  FCA EL  PARAISO</v>
          </cell>
          <cell r="K1883" t="str">
            <v>25530</v>
          </cell>
          <cell r="L1883" t="str">
            <v>PARATEBUENO</v>
          </cell>
          <cell r="M1883" t="str">
            <v>3123426419</v>
          </cell>
        </row>
        <row r="1884">
          <cell r="A1884">
            <v>40400945</v>
          </cell>
          <cell r="B1884" t="str">
            <v>7</v>
          </cell>
          <cell r="C1884" t="str">
            <v/>
          </cell>
          <cell r="D1884" t="str">
            <v>NP</v>
          </cell>
          <cell r="E1884" t="str">
            <v>YINETH</v>
          </cell>
          <cell r="F1884" t="str">
            <v>TORRES</v>
          </cell>
          <cell r="G1884" t="str">
            <v>TORRES YINETH</v>
          </cell>
          <cell r="H1884" t="str">
            <v>RECO</v>
          </cell>
          <cell r="I1884" t="str">
            <v>REGIMEN COMUN</v>
          </cell>
          <cell r="J1884" t="str">
            <v>CR 7 N 16 37</v>
          </cell>
          <cell r="K1884" t="str">
            <v>94001</v>
          </cell>
          <cell r="L1884" t="str">
            <v>INÍRIDA</v>
          </cell>
          <cell r="M1884" t="str">
            <v>3115323856</v>
          </cell>
        </row>
        <row r="1885">
          <cell r="A1885">
            <v>40404116</v>
          </cell>
          <cell r="B1885" t="str">
            <v>6</v>
          </cell>
          <cell r="C1885" t="str">
            <v/>
          </cell>
          <cell r="D1885" t="str">
            <v>NP</v>
          </cell>
          <cell r="E1885" t="str">
            <v>HELIANA CONSUELO</v>
          </cell>
          <cell r="F1885" t="str">
            <v>CAMPO RUIZ</v>
          </cell>
          <cell r="G1885" t="str">
            <v>CAMPO RUIZ HELIANA CONSUELO</v>
          </cell>
          <cell r="H1885" t="str">
            <v>RECO</v>
          </cell>
          <cell r="I1885" t="str">
            <v>REGIMEN COMUN</v>
          </cell>
          <cell r="J1885" t="str">
            <v>CR 12  17 52 BRR LOS LIBERTADORES</v>
          </cell>
          <cell r="K1885" t="str">
            <v>94001</v>
          </cell>
          <cell r="L1885" t="str">
            <v>INÍRIDA</v>
          </cell>
          <cell r="M1885" t="str">
            <v>3118474047</v>
          </cell>
        </row>
        <row r="1886">
          <cell r="A1886">
            <v>40421634</v>
          </cell>
          <cell r="B1886" t="str">
            <v>1</v>
          </cell>
          <cell r="C1886" t="str">
            <v/>
          </cell>
          <cell r="D1886" t="str">
            <v>NP</v>
          </cell>
          <cell r="E1886" t="str">
            <v>NUBIA STELLA</v>
          </cell>
          <cell r="F1886" t="str">
            <v>CASTRO MOLANO</v>
          </cell>
          <cell r="G1886" t="str">
            <v>CASTRO MOLANO NUBIA STELLA</v>
          </cell>
          <cell r="H1886" t="str">
            <v>NORE</v>
          </cell>
          <cell r="I1886" t="str">
            <v>NO RESPONSABLE DE IVA</v>
          </cell>
          <cell r="J1886" t="str">
            <v>CR 29 17 59 CL F 30</v>
          </cell>
          <cell r="K1886" t="str">
            <v>85001</v>
          </cell>
          <cell r="L1886" t="str">
            <v>YOPAL</v>
          </cell>
          <cell r="M1886" t="str">
            <v>3138546038</v>
          </cell>
        </row>
        <row r="1887">
          <cell r="A1887">
            <v>40432059</v>
          </cell>
          <cell r="B1887" t="str">
            <v>3</v>
          </cell>
          <cell r="C1887" t="str">
            <v/>
          </cell>
          <cell r="D1887" t="str">
            <v>NP</v>
          </cell>
          <cell r="E1887" t="str">
            <v>SANDRELLY</v>
          </cell>
          <cell r="F1887" t="str">
            <v>MAHECHA ROZO</v>
          </cell>
          <cell r="G1887" t="str">
            <v>MAHECHA ROZO SANDRELLY</v>
          </cell>
          <cell r="H1887" t="str">
            <v>RESI</v>
          </cell>
          <cell r="I1887" t="str">
            <v>REGIMEN SIMPLIFICADO</v>
          </cell>
          <cell r="J1887" t="str">
            <v>CL 9 CR BRR</v>
          </cell>
          <cell r="K1887" t="str">
            <v>99524</v>
          </cell>
          <cell r="L1887" t="str">
            <v>LA PRIMAVERA</v>
          </cell>
          <cell r="M1887" t="str">
            <v>3227130416</v>
          </cell>
        </row>
        <row r="1888">
          <cell r="A1888">
            <v>40438900</v>
          </cell>
          <cell r="B1888" t="str">
            <v>0</v>
          </cell>
          <cell r="C1888" t="str">
            <v/>
          </cell>
          <cell r="D1888" t="str">
            <v>NP</v>
          </cell>
          <cell r="E1888" t="str">
            <v>CLAUDIA JANETH</v>
          </cell>
          <cell r="F1888" t="str">
            <v>JIMENEZ GONZALEZ</v>
          </cell>
          <cell r="G1888" t="str">
            <v>JIMENEZ GONZALEZ CLAUDIA JANETH</v>
          </cell>
          <cell r="H1888" t="str">
            <v>NORE</v>
          </cell>
          <cell r="I1888" t="str">
            <v>NO RESPONSABLE DE IVA</v>
          </cell>
          <cell r="J1888" t="str">
            <v>CL 17 6 16 BRR CENTRO</v>
          </cell>
          <cell r="K1888" t="str">
            <v>94001</v>
          </cell>
          <cell r="L1888" t="str">
            <v>INÍRIDA</v>
          </cell>
          <cell r="M1888" t="str">
            <v>3107887734</v>
          </cell>
        </row>
        <row r="1889">
          <cell r="A1889">
            <v>40610296</v>
          </cell>
          <cell r="B1889" t="str">
            <v>6</v>
          </cell>
          <cell r="C1889" t="str">
            <v/>
          </cell>
          <cell r="D1889" t="str">
            <v>NP</v>
          </cell>
          <cell r="E1889" t="str">
            <v>JENNY ALEIDA</v>
          </cell>
          <cell r="F1889" t="str">
            <v>GARCÍA GONZÁLEZ</v>
          </cell>
          <cell r="G1889" t="str">
            <v>GARCÍA GONZÁLEZ JENNY ALEIDA</v>
          </cell>
          <cell r="H1889" t="str">
            <v>REOR</v>
          </cell>
          <cell r="I1889" t="str">
            <v>RENTA REGIMEN ORDINARIO</v>
          </cell>
          <cell r="J1889" t="str">
            <v>CR 17 62 35 A P 201 F</v>
          </cell>
          <cell r="K1889" t="str">
            <v>17001</v>
          </cell>
          <cell r="L1889" t="str">
            <v>MANIZALES</v>
          </cell>
          <cell r="M1889" t="str">
            <v>3117331880</v>
          </cell>
        </row>
        <row r="1890">
          <cell r="A1890">
            <v>40610993</v>
          </cell>
          <cell r="B1890" t="str">
            <v/>
          </cell>
          <cell r="C1890" t="str">
            <v/>
          </cell>
          <cell r="D1890" t="str">
            <v>CC</v>
          </cell>
          <cell r="E1890" t="str">
            <v>LAUREN ROCIO</v>
          </cell>
          <cell r="F1890" t="str">
            <v>TOVAR TORO</v>
          </cell>
          <cell r="G1890" t="str">
            <v>TOVAR TORO LAUREN ROCIO</v>
          </cell>
          <cell r="H1890" t="str">
            <v>FUNC</v>
          </cell>
          <cell r="I1890" t="str">
            <v>FUNCIONARIO</v>
          </cell>
          <cell r="J1890" t="str">
            <v>CR 09   12   57 BRR JOSE MARIA HERNANDEZ</v>
          </cell>
          <cell r="K1890" t="str">
            <v>91001</v>
          </cell>
          <cell r="L1890" t="str">
            <v>LETICIA</v>
          </cell>
          <cell r="M1890" t="str">
            <v>5926217</v>
          </cell>
        </row>
        <row r="1891">
          <cell r="A1891">
            <v>40777551</v>
          </cell>
          <cell r="B1891" t="str">
            <v/>
          </cell>
          <cell r="C1891" t="str">
            <v/>
          </cell>
          <cell r="D1891" t="str">
            <v>CC</v>
          </cell>
          <cell r="E1891" t="str">
            <v>LUZ MARINA</v>
          </cell>
          <cell r="F1891" t="str">
            <v>SUSUNAGA PINZÓN</v>
          </cell>
          <cell r="G1891" t="str">
            <v>SUSUNAGA PINZÓN LUZ MARINA</v>
          </cell>
          <cell r="H1891" t="str">
            <v>NORE</v>
          </cell>
          <cell r="I1891" t="str">
            <v>NO RESPONSABLE DE IVA</v>
          </cell>
          <cell r="J1891" t="str">
            <v>PARQUE PRINCIPAL</v>
          </cell>
          <cell r="K1891" t="str">
            <v>18860</v>
          </cell>
          <cell r="L1891" t="str">
            <v>VALPARAÍSO</v>
          </cell>
          <cell r="M1891" t="str">
            <v>012345678</v>
          </cell>
        </row>
        <row r="1892">
          <cell r="A1892">
            <v>40780097</v>
          </cell>
          <cell r="B1892" t="str">
            <v/>
          </cell>
          <cell r="C1892" t="str">
            <v/>
          </cell>
          <cell r="D1892" t="str">
            <v>CC</v>
          </cell>
          <cell r="E1892" t="str">
            <v>NARDA ELIANA</v>
          </cell>
          <cell r="F1892" t="str">
            <v>DOMINGIEZ PEREZ</v>
          </cell>
          <cell r="G1892" t="str">
            <v>DOMINGIEZ PEREZ NARDA ELIANA</v>
          </cell>
          <cell r="H1892" t="str">
            <v>RESI</v>
          </cell>
          <cell r="I1892" t="str">
            <v>REGIMEN SIMPLIFICADO</v>
          </cell>
          <cell r="J1892" t="str">
            <v>TERCERO CREADO SIN RUT</v>
          </cell>
          <cell r="K1892" t="str">
            <v>17001</v>
          </cell>
          <cell r="L1892" t="str">
            <v>MANIZALES</v>
          </cell>
          <cell r="M1892" t="str">
            <v>9999999999</v>
          </cell>
        </row>
        <row r="1893">
          <cell r="A1893">
            <v>41056451</v>
          </cell>
          <cell r="B1893" t="str">
            <v/>
          </cell>
          <cell r="C1893" t="str">
            <v/>
          </cell>
          <cell r="D1893" t="str">
            <v>CC</v>
          </cell>
          <cell r="E1893" t="str">
            <v>LILIANA PATRICIA</v>
          </cell>
          <cell r="F1893" t="str">
            <v>REVELO PATERNINA</v>
          </cell>
          <cell r="G1893" t="str">
            <v>REVELO PATERNINA LILIANA PATRICIA</v>
          </cell>
          <cell r="H1893" t="str">
            <v>FUNC</v>
          </cell>
          <cell r="I1893" t="str">
            <v>FUNCIONARIO</v>
          </cell>
          <cell r="J1893" t="str">
            <v>CL 08   07   78</v>
          </cell>
          <cell r="K1893" t="str">
            <v>91001</v>
          </cell>
          <cell r="L1893" t="str">
            <v>LETICIA</v>
          </cell>
          <cell r="M1893" t="str">
            <v>5924018</v>
          </cell>
        </row>
        <row r="1894">
          <cell r="A1894">
            <v>41212452</v>
          </cell>
          <cell r="B1894" t="str">
            <v>5</v>
          </cell>
          <cell r="C1894" t="str">
            <v/>
          </cell>
          <cell r="D1894" t="str">
            <v>NP</v>
          </cell>
          <cell r="E1894" t="str">
            <v>LUZ MARY</v>
          </cell>
          <cell r="F1894" t="str">
            <v>GARCIA RODRIGUEZ</v>
          </cell>
          <cell r="G1894" t="str">
            <v>GARCIA RODRIGUEZ LUZ MARY</v>
          </cell>
          <cell r="H1894" t="str">
            <v>IMVE</v>
          </cell>
          <cell r="I1894" t="str">
            <v>IMPUESTO SOBRE LAS VENTAS</v>
          </cell>
          <cell r="J1894" t="str">
            <v>CR 7 A 7 109 BRR LA FLORESTA</v>
          </cell>
          <cell r="K1894" t="str">
            <v>97001</v>
          </cell>
          <cell r="L1894" t="str">
            <v>MITÚ</v>
          </cell>
          <cell r="M1894" t="str">
            <v>3214880529</v>
          </cell>
        </row>
        <row r="1895">
          <cell r="A1895">
            <v>41250463</v>
          </cell>
          <cell r="B1895" t="str">
            <v/>
          </cell>
          <cell r="C1895" t="str">
            <v/>
          </cell>
          <cell r="D1895" t="str">
            <v>CC</v>
          </cell>
          <cell r="E1895" t="str">
            <v>MARIA EMMA</v>
          </cell>
          <cell r="F1895" t="str">
            <v>VILLARREAL VILLARREAL</v>
          </cell>
          <cell r="G1895" t="str">
            <v>VILLARREAL VILLARREAL MARIA EMMA</v>
          </cell>
          <cell r="H1895" t="str">
            <v>RESI</v>
          </cell>
          <cell r="I1895" t="str">
            <v>REGIMEN SIMPLIFICADO</v>
          </cell>
          <cell r="J1895" t="str">
            <v>VRD LA HERMOSA</v>
          </cell>
          <cell r="K1895" t="str">
            <v>85250</v>
          </cell>
          <cell r="L1895" t="str">
            <v>PAZ DE ARIPORO</v>
          </cell>
          <cell r="M1895" t="str">
            <v>8756262</v>
          </cell>
        </row>
        <row r="1896">
          <cell r="A1896">
            <v>41250866</v>
          </cell>
          <cell r="B1896" t="str">
            <v>2</v>
          </cell>
          <cell r="C1896" t="str">
            <v/>
          </cell>
          <cell r="D1896" t="str">
            <v>NP</v>
          </cell>
          <cell r="E1896" t="str">
            <v>ELSA CECILIA</v>
          </cell>
          <cell r="F1896" t="str">
            <v>GASCA POLANCO</v>
          </cell>
          <cell r="G1896" t="str">
            <v>GASCA POLANCO ELSA CECILIA</v>
          </cell>
          <cell r="H1896" t="str">
            <v>RESI</v>
          </cell>
          <cell r="I1896" t="str">
            <v>REGIMEN SIMPLIFICADO</v>
          </cell>
          <cell r="J1896" t="str">
            <v>CR 10   5   27 BRR DIVINO NIÑO</v>
          </cell>
          <cell r="K1896" t="str">
            <v>99524</v>
          </cell>
          <cell r="L1896" t="str">
            <v>LA PRIMAVERA</v>
          </cell>
          <cell r="M1896" t="str">
            <v>3132848098</v>
          </cell>
        </row>
        <row r="1897">
          <cell r="A1897">
            <v>41251259</v>
          </cell>
          <cell r="B1897" t="str">
            <v/>
          </cell>
          <cell r="C1897" t="str">
            <v/>
          </cell>
          <cell r="D1897" t="str">
            <v>CC</v>
          </cell>
          <cell r="E1897" t="str">
            <v>CARMEN ELISA</v>
          </cell>
          <cell r="F1897" t="str">
            <v>PINTO</v>
          </cell>
          <cell r="G1897" t="str">
            <v>PINTO CARMEN ELISA</v>
          </cell>
          <cell r="H1897" t="str">
            <v>RESI</v>
          </cell>
          <cell r="I1897" t="str">
            <v>REGIMEN SIMPLIFICADO</v>
          </cell>
          <cell r="J1897" t="str">
            <v>VRD CAMUARA</v>
          </cell>
          <cell r="K1897" t="str">
            <v>99524</v>
          </cell>
          <cell r="L1897" t="str">
            <v>LA PRIMAVERA</v>
          </cell>
          <cell r="M1897" t="str">
            <v>3133064035</v>
          </cell>
        </row>
        <row r="1898">
          <cell r="A1898">
            <v>41251290</v>
          </cell>
          <cell r="B1898" t="str">
            <v>5</v>
          </cell>
          <cell r="C1898" t="str">
            <v/>
          </cell>
          <cell r="D1898" t="str">
            <v>NP</v>
          </cell>
          <cell r="E1898" t="str">
            <v>YENEY</v>
          </cell>
          <cell r="F1898" t="str">
            <v>TABACO REYES</v>
          </cell>
          <cell r="G1898" t="str">
            <v>TABACO REYES YENEY</v>
          </cell>
          <cell r="H1898" t="str">
            <v>RESI</v>
          </cell>
          <cell r="I1898" t="str">
            <v>REGIMEN SIMPLIFICADO</v>
          </cell>
          <cell r="J1898" t="str">
            <v>CR 7   5   08 ESQ</v>
          </cell>
          <cell r="K1898" t="str">
            <v>99524</v>
          </cell>
          <cell r="L1898" t="str">
            <v>LA PRIMAVERA</v>
          </cell>
          <cell r="M1898" t="str">
            <v>3134713360</v>
          </cell>
        </row>
        <row r="1899">
          <cell r="A1899">
            <v>41391067</v>
          </cell>
          <cell r="B1899" t="str">
            <v>9</v>
          </cell>
          <cell r="C1899" t="str">
            <v/>
          </cell>
          <cell r="D1899" t="str">
            <v>NP</v>
          </cell>
          <cell r="E1899" t="str">
            <v xml:space="preserve">OLMERY </v>
          </cell>
          <cell r="F1899" t="str">
            <v>CARDENAS SERNA</v>
          </cell>
          <cell r="G1899" t="str">
            <v>OLMERY CARDENAS SERNA</v>
          </cell>
          <cell r="H1899" t="str">
            <v>RECO</v>
          </cell>
          <cell r="I1899" t="str">
            <v>REGIMEN COMUN</v>
          </cell>
          <cell r="J1899" t="str">
            <v xml:space="preserve">CR 23 N 64B 33                     </v>
          </cell>
          <cell r="K1899" t="str">
            <v>17001</v>
          </cell>
          <cell r="L1899" t="str">
            <v>MANIZALES</v>
          </cell>
          <cell r="M1899" t="str">
            <v>8756262</v>
          </cell>
        </row>
        <row r="1900">
          <cell r="A1900">
            <v>41401465</v>
          </cell>
          <cell r="B1900" t="str">
            <v>1</v>
          </cell>
          <cell r="C1900" t="str">
            <v/>
          </cell>
          <cell r="D1900" t="str">
            <v>NP</v>
          </cell>
          <cell r="E1900" t="str">
            <v>ANA LEONOR</v>
          </cell>
          <cell r="F1900" t="str">
            <v>TORRES DE GUARNIZO</v>
          </cell>
          <cell r="G1900" t="str">
            <v>TORRES DE GUARNIZO ANA LEONOR</v>
          </cell>
          <cell r="H1900" t="str">
            <v>RESI</v>
          </cell>
          <cell r="I1900" t="str">
            <v>REGIMEN SIMPLIFICADO</v>
          </cell>
          <cell r="J1900" t="str">
            <v>CR 5 79 BRR LA ERMITA</v>
          </cell>
          <cell r="K1900" t="str">
            <v>73443</v>
          </cell>
          <cell r="L1900" t="str">
            <v>MARIQUITA</v>
          </cell>
          <cell r="M1900" t="str">
            <v>2526678</v>
          </cell>
        </row>
        <row r="1901">
          <cell r="A1901">
            <v>41420732</v>
          </cell>
          <cell r="B1901" t="str">
            <v>4</v>
          </cell>
          <cell r="C1901" t="str">
            <v/>
          </cell>
          <cell r="D1901" t="str">
            <v>NP</v>
          </cell>
          <cell r="E1901" t="str">
            <v>ROMELIA</v>
          </cell>
          <cell r="F1901" t="str">
            <v>BARON RUIZ</v>
          </cell>
          <cell r="G1901" t="str">
            <v>BARON RUIZ ROMELIA</v>
          </cell>
          <cell r="H1901" t="str">
            <v>RST</v>
          </cell>
          <cell r="I1901" t="str">
            <v>REGIMEN SIMPLE DE TRIBUTACION</v>
          </cell>
          <cell r="J1901" t="str">
            <v>AV LIBERTADORES 22 01 APT 401</v>
          </cell>
          <cell r="K1901" t="str">
            <v>15516</v>
          </cell>
          <cell r="L1901" t="str">
            <v>PAIPA</v>
          </cell>
          <cell r="M1901" t="str">
            <v>7853216</v>
          </cell>
        </row>
        <row r="1902">
          <cell r="A1902">
            <v>41426510</v>
          </cell>
          <cell r="B1902" t="str">
            <v>3</v>
          </cell>
          <cell r="C1902" t="str">
            <v/>
          </cell>
          <cell r="D1902" t="str">
            <v>NP</v>
          </cell>
          <cell r="E1902" t="str">
            <v>LILIA OLGA</v>
          </cell>
          <cell r="F1902" t="str">
            <v>LUNA DE DIAZ</v>
          </cell>
          <cell r="G1902" t="str">
            <v>LUNA DE DIAZ LILIA OLGA</v>
          </cell>
          <cell r="H1902" t="str">
            <v>RESI</v>
          </cell>
          <cell r="I1902" t="str">
            <v>REGIMEN SIMPLIFICADO</v>
          </cell>
          <cell r="J1902" t="str">
            <v>CR 3 12 01 BRR LA CANDELARIA CENTRO</v>
          </cell>
          <cell r="K1902" t="str">
            <v>11001</v>
          </cell>
          <cell r="L1902" t="str">
            <v>BOGOTA DC</v>
          </cell>
          <cell r="M1902" t="str">
            <v>2826500</v>
          </cell>
        </row>
        <row r="1903">
          <cell r="A1903">
            <v>41497627</v>
          </cell>
          <cell r="B1903" t="str">
            <v>1</v>
          </cell>
          <cell r="C1903" t="str">
            <v/>
          </cell>
          <cell r="D1903" t="str">
            <v>NP</v>
          </cell>
          <cell r="E1903" t="str">
            <v>VILMA TERESA</v>
          </cell>
          <cell r="F1903" t="str">
            <v>RODRIGUEZ SANCHEZ</v>
          </cell>
          <cell r="G1903" t="str">
            <v>RODRIGUEZ SANCHEZ VILMA TERESA</v>
          </cell>
          <cell r="H1903" t="str">
            <v>RESI</v>
          </cell>
          <cell r="I1903" t="str">
            <v>REGIMEN SIMPLIFICADO</v>
          </cell>
          <cell r="J1903" t="str">
            <v>CR 13   41   16</v>
          </cell>
          <cell r="K1903" t="str">
            <v>11001</v>
          </cell>
          <cell r="L1903" t="str">
            <v>BOGOTA DC</v>
          </cell>
          <cell r="M1903" t="str">
            <v>2455710</v>
          </cell>
        </row>
        <row r="1904">
          <cell r="A1904">
            <v>41505284</v>
          </cell>
          <cell r="B1904" t="str">
            <v>2</v>
          </cell>
          <cell r="C1904" t="str">
            <v/>
          </cell>
          <cell r="D1904" t="str">
            <v>NP</v>
          </cell>
          <cell r="E1904" t="str">
            <v>ZULMA</v>
          </cell>
          <cell r="F1904" t="str">
            <v>CEDEÑO MORENO</v>
          </cell>
          <cell r="G1904" t="str">
            <v>CEDEÑO MORENO ZULMA</v>
          </cell>
          <cell r="H1904" t="str">
            <v>RESI</v>
          </cell>
          <cell r="I1904" t="str">
            <v>REGIMEN SIMPLIFICADO</v>
          </cell>
          <cell r="J1904" t="str">
            <v>CL 129 B 55 20 TO 4 AP 901 CONJ ATALAYA DE IBERIA</v>
          </cell>
          <cell r="K1904" t="str">
            <v>11001</v>
          </cell>
          <cell r="L1904" t="str">
            <v>BOGOTA DC</v>
          </cell>
          <cell r="M1904" t="str">
            <v>3039472</v>
          </cell>
        </row>
        <row r="1905">
          <cell r="A1905">
            <v>41555245</v>
          </cell>
          <cell r="B1905" t="str">
            <v>9</v>
          </cell>
          <cell r="C1905" t="str">
            <v/>
          </cell>
          <cell r="D1905" t="str">
            <v>NP</v>
          </cell>
          <cell r="E1905" t="str">
            <v>CONSUELO</v>
          </cell>
          <cell r="F1905" t="str">
            <v>ULLOA ULLOA</v>
          </cell>
          <cell r="G1905" t="str">
            <v>ULLOA ULLOA CONSUELO</v>
          </cell>
          <cell r="H1905" t="str">
            <v>RECO</v>
          </cell>
          <cell r="I1905" t="str">
            <v>REGIMEN COMUN</v>
          </cell>
          <cell r="J1905" t="str">
            <v>CL 104   14 A   66</v>
          </cell>
          <cell r="K1905" t="str">
            <v>11001</v>
          </cell>
          <cell r="L1905" t="str">
            <v>BOGOTA DC</v>
          </cell>
          <cell r="M1905" t="str">
            <v>6115715</v>
          </cell>
        </row>
        <row r="1906">
          <cell r="A1906">
            <v>41591834</v>
          </cell>
          <cell r="B1906" t="str">
            <v>1</v>
          </cell>
          <cell r="C1906" t="str">
            <v/>
          </cell>
          <cell r="D1906" t="str">
            <v>NP</v>
          </cell>
          <cell r="E1906" t="str">
            <v>ELBA</v>
          </cell>
          <cell r="F1906" t="str">
            <v>ORTIZ GARCIA</v>
          </cell>
          <cell r="G1906" t="str">
            <v>ORTIZ GARCIA ELBA</v>
          </cell>
          <cell r="H1906" t="str">
            <v>RECO</v>
          </cell>
          <cell r="I1906" t="str">
            <v>REGIMEN COMUN</v>
          </cell>
          <cell r="J1906" t="str">
            <v>AV DEL RIO CALLE PRINCIPAL</v>
          </cell>
          <cell r="K1906" t="str">
            <v>97001</v>
          </cell>
          <cell r="L1906" t="str">
            <v>MITÚ</v>
          </cell>
          <cell r="M1906" t="str">
            <v>5642023</v>
          </cell>
        </row>
        <row r="1907">
          <cell r="A1907">
            <v>41630799</v>
          </cell>
          <cell r="B1907" t="str">
            <v>8</v>
          </cell>
          <cell r="C1907" t="str">
            <v/>
          </cell>
          <cell r="D1907" t="str">
            <v>NP</v>
          </cell>
          <cell r="E1907" t="str">
            <v>LUZ MARY</v>
          </cell>
          <cell r="F1907" t="str">
            <v>CARDENAS VELANDIA</v>
          </cell>
          <cell r="G1907" t="str">
            <v>CARDENAS VELANDIA LUZ MARY</v>
          </cell>
          <cell r="H1907" t="str">
            <v>RECO</v>
          </cell>
          <cell r="I1907" t="str">
            <v>REGIMEN COMUN</v>
          </cell>
          <cell r="J1907" t="str">
            <v>CR 15   96   07</v>
          </cell>
          <cell r="K1907" t="str">
            <v>11001</v>
          </cell>
          <cell r="L1907" t="str">
            <v>BOGOTA DC</v>
          </cell>
          <cell r="M1907" t="str">
            <v>6917948</v>
          </cell>
        </row>
        <row r="1908">
          <cell r="A1908">
            <v>41632004</v>
          </cell>
          <cell r="B1908" t="str">
            <v>0</v>
          </cell>
          <cell r="C1908" t="str">
            <v/>
          </cell>
          <cell r="D1908" t="str">
            <v>NP</v>
          </cell>
          <cell r="E1908" t="str">
            <v>MARIA AMPARO</v>
          </cell>
          <cell r="F1908" t="str">
            <v>QUINTERO ARTURO</v>
          </cell>
          <cell r="G1908" t="str">
            <v>QUINTERO ARTURO MARIA AMPARO</v>
          </cell>
          <cell r="H1908" t="str">
            <v>RECO</v>
          </cell>
          <cell r="I1908" t="str">
            <v>REGIMEN COMUN</v>
          </cell>
          <cell r="J1908" t="str">
            <v>CR 9   69   31</v>
          </cell>
          <cell r="K1908" t="str">
            <v>11001</v>
          </cell>
          <cell r="L1908" t="str">
            <v>BOGOTA DC</v>
          </cell>
          <cell r="M1908" t="str">
            <v>3170100</v>
          </cell>
        </row>
        <row r="1909">
          <cell r="A1909">
            <v>41659871</v>
          </cell>
          <cell r="B1909" t="str">
            <v/>
          </cell>
          <cell r="C1909" t="str">
            <v/>
          </cell>
          <cell r="D1909" t="str">
            <v>CC</v>
          </cell>
          <cell r="E1909" t="str">
            <v>LUZ MARINA</v>
          </cell>
          <cell r="F1909" t="str">
            <v>GONZALEZ BALCARCEL</v>
          </cell>
          <cell r="G1909" t="str">
            <v>GONZALEZ BALCARCEL LUZ MARINA</v>
          </cell>
          <cell r="H1909" t="str">
            <v>RESI</v>
          </cell>
          <cell r="I1909" t="str">
            <v>REGIMEN SIMPLIFICADO</v>
          </cell>
          <cell r="J1909" t="str">
            <v>MCP TRINIDAD VRD EL LORO PD EL RETIRO</v>
          </cell>
          <cell r="K1909" t="str">
            <v>17001</v>
          </cell>
          <cell r="L1909" t="str">
            <v>MANIZALES</v>
          </cell>
          <cell r="M1909" t="str">
            <v>3106806134</v>
          </cell>
        </row>
        <row r="1910">
          <cell r="A1910">
            <v>41663213</v>
          </cell>
          <cell r="B1910" t="str">
            <v>6</v>
          </cell>
          <cell r="C1910" t="str">
            <v/>
          </cell>
          <cell r="D1910" t="str">
            <v>NP</v>
          </cell>
          <cell r="E1910" t="str">
            <v>ROSALIA</v>
          </cell>
          <cell r="F1910" t="str">
            <v>CAMARGO PALACIOS</v>
          </cell>
          <cell r="G1910" t="str">
            <v>CAMARGO PALACIOS ROSALIA</v>
          </cell>
          <cell r="H1910" t="str">
            <v>RECO</v>
          </cell>
          <cell r="I1910" t="str">
            <v>REGIMEN COMUN</v>
          </cell>
          <cell r="J1910" t="str">
            <v>CL 11   11   09</v>
          </cell>
          <cell r="K1910" t="str">
            <v>15759</v>
          </cell>
          <cell r="L1910" t="str">
            <v>SOGAMOSO</v>
          </cell>
          <cell r="M1910" t="str">
            <v>3153438336</v>
          </cell>
        </row>
        <row r="1911">
          <cell r="A1911">
            <v>41679553</v>
          </cell>
          <cell r="B1911" t="str">
            <v>5</v>
          </cell>
          <cell r="C1911" t="str">
            <v/>
          </cell>
          <cell r="D1911" t="str">
            <v>NP</v>
          </cell>
          <cell r="E1911" t="str">
            <v>MARIA CRISTINA</v>
          </cell>
          <cell r="F1911" t="str">
            <v>TOLEDO NEIRA</v>
          </cell>
          <cell r="G1911" t="str">
            <v>TOLEDO NEIRA MARIA CRISTINA</v>
          </cell>
          <cell r="H1911" t="str">
            <v>RESI</v>
          </cell>
          <cell r="I1911" t="str">
            <v>REGIMEN SIMPLIFICADO</v>
          </cell>
          <cell r="J1911" t="str">
            <v>CR 28 A 49 A 79 AP 402</v>
          </cell>
          <cell r="K1911" t="str">
            <v>11001</v>
          </cell>
          <cell r="L1911" t="str">
            <v>BOGOTA DC</v>
          </cell>
          <cell r="M1911" t="str">
            <v>3103286545</v>
          </cell>
        </row>
        <row r="1912">
          <cell r="A1912">
            <v>41693864</v>
          </cell>
          <cell r="B1912" t="str">
            <v>9</v>
          </cell>
          <cell r="C1912" t="str">
            <v/>
          </cell>
          <cell r="D1912" t="str">
            <v>NP</v>
          </cell>
          <cell r="E1912" t="str">
            <v>BEATRIZ</v>
          </cell>
          <cell r="F1912" t="str">
            <v>SANIN POSADA</v>
          </cell>
          <cell r="G1912" t="str">
            <v>SANIN POSADA BEATRIZ</v>
          </cell>
          <cell r="H1912" t="str">
            <v>RECO</v>
          </cell>
          <cell r="I1912" t="str">
            <v>REGIMEN COMUN</v>
          </cell>
          <cell r="J1912" t="str">
            <v>AV 82   11   62</v>
          </cell>
          <cell r="K1912" t="str">
            <v>11001</v>
          </cell>
          <cell r="L1912" t="str">
            <v>BOGOTA DC</v>
          </cell>
          <cell r="M1912" t="str">
            <v>6221397</v>
          </cell>
        </row>
        <row r="1913">
          <cell r="A1913">
            <v>41736468</v>
          </cell>
          <cell r="B1913" t="str">
            <v>1</v>
          </cell>
          <cell r="C1913" t="str">
            <v/>
          </cell>
          <cell r="D1913" t="str">
            <v>NP</v>
          </cell>
          <cell r="E1913" t="str">
            <v>CLARA INES</v>
          </cell>
          <cell r="F1913" t="str">
            <v>GAVIRIA CAMACHO</v>
          </cell>
          <cell r="G1913" t="str">
            <v>GAVIRIA CAMACHO CLARA INES</v>
          </cell>
          <cell r="H1913" t="str">
            <v>RESI</v>
          </cell>
          <cell r="I1913" t="str">
            <v>REGIMEN SIMPLIFICADO</v>
          </cell>
          <cell r="J1913" t="str">
            <v>CL 86 B 49 C 37</v>
          </cell>
          <cell r="K1913" t="str">
            <v>11001</v>
          </cell>
          <cell r="L1913" t="str">
            <v>BOGOTA DC</v>
          </cell>
          <cell r="M1913" t="str">
            <v>3153978527</v>
          </cell>
        </row>
        <row r="1914">
          <cell r="A1914">
            <v>41747805</v>
          </cell>
          <cell r="B1914" t="str">
            <v>8</v>
          </cell>
          <cell r="C1914" t="str">
            <v/>
          </cell>
          <cell r="D1914" t="str">
            <v>NP</v>
          </cell>
          <cell r="E1914" t="str">
            <v>MONICA ISABEL</v>
          </cell>
          <cell r="F1914" t="str">
            <v>CONTRERAS SAENZ</v>
          </cell>
          <cell r="G1914" t="str">
            <v>CONTRERAS SAENZ MONICA ISABEL</v>
          </cell>
          <cell r="H1914" t="str">
            <v>RECO</v>
          </cell>
          <cell r="I1914" t="str">
            <v>REGIMEN COMUN</v>
          </cell>
          <cell r="J1914" t="str">
            <v>CL 9   22   95</v>
          </cell>
          <cell r="K1914" t="str">
            <v>85001</v>
          </cell>
          <cell r="L1914" t="str">
            <v>YOPAL</v>
          </cell>
          <cell r="M1914" t="str">
            <v>6359518</v>
          </cell>
        </row>
        <row r="1915">
          <cell r="A1915">
            <v>41774036</v>
          </cell>
          <cell r="B1915" t="str">
            <v>5</v>
          </cell>
          <cell r="C1915" t="str">
            <v/>
          </cell>
          <cell r="D1915" t="str">
            <v>NP</v>
          </cell>
          <cell r="E1915" t="str">
            <v>LUZ MYRIAM</v>
          </cell>
          <cell r="F1915" t="str">
            <v>GUZMAN COTE</v>
          </cell>
          <cell r="G1915" t="str">
            <v>GUZMAN COTE LUZ MYRIAM</v>
          </cell>
          <cell r="H1915" t="str">
            <v>NORE</v>
          </cell>
          <cell r="I1915" t="str">
            <v>NO RESPONSABLE DE IVA</v>
          </cell>
          <cell r="J1915" t="str">
            <v xml:space="preserve"> PAR  EMPRESARIAL MOSQUERA II KM 13 5 MZ 05 UN SETENTA Y CUATRO</v>
          </cell>
          <cell r="K1915" t="str">
            <v>30</v>
          </cell>
          <cell r="L1915" t="str">
            <v>CUNDINAMARCA</v>
          </cell>
          <cell r="M1915" t="str">
            <v>7595967</v>
          </cell>
        </row>
        <row r="1916">
          <cell r="A1916">
            <v>41798287</v>
          </cell>
          <cell r="B1916" t="str">
            <v>0</v>
          </cell>
          <cell r="C1916" t="str">
            <v/>
          </cell>
          <cell r="D1916" t="str">
            <v>NP</v>
          </cell>
          <cell r="E1916" t="str">
            <v>LUZ MARINA</v>
          </cell>
          <cell r="F1916" t="str">
            <v>GRANADOS DE LOZANO</v>
          </cell>
          <cell r="G1916" t="str">
            <v>GRANADOS DE LOZANO LUZ MARINA</v>
          </cell>
          <cell r="H1916" t="str">
            <v>RECO</v>
          </cell>
          <cell r="I1916" t="str">
            <v>REGIMEN COMUN</v>
          </cell>
          <cell r="J1916" t="str">
            <v>CL 66  26 10  BRR SIETE DE AGOSTO</v>
          </cell>
          <cell r="K1916" t="str">
            <v>11001</v>
          </cell>
          <cell r="L1916" t="str">
            <v>BOGOTA DC</v>
          </cell>
          <cell r="M1916" t="str">
            <v>315066228</v>
          </cell>
        </row>
        <row r="1917">
          <cell r="A1917">
            <v>41921276</v>
          </cell>
          <cell r="B1917" t="str">
            <v>7</v>
          </cell>
          <cell r="C1917" t="str">
            <v/>
          </cell>
          <cell r="D1917" t="str">
            <v>NP</v>
          </cell>
          <cell r="E1917" t="str">
            <v>SANDRA LILIANA</v>
          </cell>
          <cell r="F1917" t="str">
            <v>RESTREPO RIVERA</v>
          </cell>
          <cell r="G1917" t="str">
            <v>RESTREPO RIVERA SANDRA LILIANA</v>
          </cell>
          <cell r="H1917" t="str">
            <v>RESI</v>
          </cell>
          <cell r="I1917" t="str">
            <v>REGIMEN SIMPLIFICADO</v>
          </cell>
          <cell r="J1917" t="str">
            <v>CL 17 3 53</v>
          </cell>
          <cell r="K1917" t="str">
            <v>15238</v>
          </cell>
          <cell r="L1917" t="str">
            <v>DUITAMA</v>
          </cell>
          <cell r="M1917" t="str">
            <v>7630658</v>
          </cell>
        </row>
        <row r="1918">
          <cell r="A1918">
            <v>41924430</v>
          </cell>
          <cell r="B1918" t="str">
            <v>9</v>
          </cell>
          <cell r="C1918" t="str">
            <v/>
          </cell>
          <cell r="D1918" t="str">
            <v>NP</v>
          </cell>
          <cell r="E1918" t="str">
            <v>LUZ ADRIANA</v>
          </cell>
          <cell r="F1918" t="str">
            <v>ORTIZ  CARVAJAL</v>
          </cell>
          <cell r="G1918" t="str">
            <v>ORTIZ  CARVAJAL LUZ ADRIANA</v>
          </cell>
          <cell r="H1918" t="str">
            <v>IMVE</v>
          </cell>
          <cell r="I1918" t="str">
            <v>IMPUESTO SOBRE LAS VENTAS</v>
          </cell>
          <cell r="J1918" t="str">
            <v>VDA EL CAIMO CR 2  1  14</v>
          </cell>
          <cell r="K1918" t="str">
            <v>63001</v>
          </cell>
          <cell r="L1918" t="str">
            <v>ARMENIA</v>
          </cell>
          <cell r="M1918" t="str">
            <v>3114682310</v>
          </cell>
        </row>
        <row r="1919">
          <cell r="A1919">
            <v>42017378</v>
          </cell>
          <cell r="B1919" t="str">
            <v>6</v>
          </cell>
          <cell r="C1919" t="str">
            <v/>
          </cell>
          <cell r="D1919" t="str">
            <v>NP</v>
          </cell>
          <cell r="E1919" t="str">
            <v>CLAUDIA MILENA</v>
          </cell>
          <cell r="F1919" t="str">
            <v>SANCHEZ GARCIA</v>
          </cell>
          <cell r="G1919" t="str">
            <v>SANCHEZ GARCIA CLAUDIA MILENA</v>
          </cell>
          <cell r="H1919" t="str">
            <v>RESI</v>
          </cell>
          <cell r="I1919" t="str">
            <v>REGIMEN SIMPLIFICADO</v>
          </cell>
          <cell r="J1919" t="str">
            <v>CR 23 22 15</v>
          </cell>
          <cell r="K1919" t="str">
            <v>17001</v>
          </cell>
          <cell r="L1919" t="str">
            <v>MANIZALES</v>
          </cell>
          <cell r="M1919" t="str">
            <v>3113393530</v>
          </cell>
        </row>
        <row r="1920">
          <cell r="A1920">
            <v>42087649</v>
          </cell>
          <cell r="B1920" t="str">
            <v>6</v>
          </cell>
          <cell r="C1920" t="str">
            <v/>
          </cell>
          <cell r="D1920" t="str">
            <v>NP</v>
          </cell>
          <cell r="E1920" t="str">
            <v>MARIA SIRLEY</v>
          </cell>
          <cell r="F1920" t="str">
            <v>MONTES MEDINA</v>
          </cell>
          <cell r="G1920" t="str">
            <v>MONTES MEDINA MARIA SIRLEY</v>
          </cell>
          <cell r="H1920" t="str">
            <v>NORE</v>
          </cell>
          <cell r="I1920" t="str">
            <v>NO RESPONSABLE DE IVA</v>
          </cell>
          <cell r="J1920" t="str">
            <v>CL 15 11 104 BRR LA ESPERANZA</v>
          </cell>
          <cell r="K1920" t="str">
            <v>94001</v>
          </cell>
          <cell r="L1920" t="str">
            <v>INÍRIDA</v>
          </cell>
          <cell r="M1920" t="str">
            <v>3125159091</v>
          </cell>
        </row>
        <row r="1921">
          <cell r="A1921">
            <v>42106952</v>
          </cell>
          <cell r="B1921" t="str">
            <v/>
          </cell>
          <cell r="C1921" t="str">
            <v/>
          </cell>
          <cell r="D1921" t="str">
            <v>CC</v>
          </cell>
          <cell r="E1921" t="str">
            <v>CLARA INES</v>
          </cell>
          <cell r="F1921" t="str">
            <v>TRUQUES RIVAS</v>
          </cell>
          <cell r="G1921" t="str">
            <v>TRUQUES RIVAS CLARA INES</v>
          </cell>
          <cell r="H1921" t="str">
            <v>FUNC</v>
          </cell>
          <cell r="I1921" t="str">
            <v>FUNCIONARIO</v>
          </cell>
          <cell r="J1921" t="str">
            <v>BRR VIENTO LIBRE</v>
          </cell>
          <cell r="K1921" t="str">
            <v>17001</v>
          </cell>
          <cell r="L1921" t="str">
            <v>MANIZALES</v>
          </cell>
          <cell r="M1921" t="str">
            <v>3125220275</v>
          </cell>
        </row>
        <row r="1922">
          <cell r="A1922">
            <v>42545161</v>
          </cell>
          <cell r="B1922" t="str">
            <v>1</v>
          </cell>
          <cell r="C1922" t="str">
            <v/>
          </cell>
          <cell r="D1922" t="str">
            <v>NP</v>
          </cell>
          <cell r="E1922" t="str">
            <v>LIBIA MARIA</v>
          </cell>
          <cell r="F1922" t="str">
            <v>MOLINA LARA</v>
          </cell>
          <cell r="G1922" t="str">
            <v>MOLINA LARA LIBIA MARIA</v>
          </cell>
          <cell r="H1922" t="str">
            <v>RESI</v>
          </cell>
          <cell r="I1922" t="str">
            <v>REGIMEN SIMPLIFICADO</v>
          </cell>
          <cell r="J1922" t="str">
            <v>CR 9 19 55 BRR BERLIN</v>
          </cell>
          <cell r="K1922" t="str">
            <v>94001</v>
          </cell>
          <cell r="L1922" t="str">
            <v>INÍRIDA</v>
          </cell>
          <cell r="M1922" t="str">
            <v>5656350</v>
          </cell>
        </row>
        <row r="1923">
          <cell r="A1923">
            <v>42546343</v>
          </cell>
          <cell r="B1923" t="str">
            <v>8</v>
          </cell>
          <cell r="C1923" t="str">
            <v/>
          </cell>
          <cell r="D1923" t="str">
            <v>NP</v>
          </cell>
          <cell r="E1923" t="str">
            <v>OFELIA</v>
          </cell>
          <cell r="F1923" t="str">
            <v>MENDEZ URIBE</v>
          </cell>
          <cell r="G1923" t="str">
            <v>MENDEZ URIBE OFELIA</v>
          </cell>
          <cell r="H1923" t="str">
            <v>RECO</v>
          </cell>
          <cell r="I1923" t="str">
            <v>REGIMEN COMUN</v>
          </cell>
          <cell r="J1923" t="str">
            <v>BRR EL CENTRO  CL 16 5 89</v>
          </cell>
          <cell r="K1923" t="str">
            <v>94001</v>
          </cell>
          <cell r="L1923" t="str">
            <v>INÍRIDA</v>
          </cell>
          <cell r="M1923" t="str">
            <v>5657090</v>
          </cell>
        </row>
        <row r="1924">
          <cell r="A1924">
            <v>42546850</v>
          </cell>
          <cell r="B1924" t="str">
            <v/>
          </cell>
          <cell r="C1924" t="str">
            <v/>
          </cell>
          <cell r="D1924" t="str">
            <v>CC</v>
          </cell>
          <cell r="E1924" t="str">
            <v>CENOBIA</v>
          </cell>
          <cell r="F1924" t="str">
            <v>TORCUATO CAICEDO</v>
          </cell>
          <cell r="G1924" t="str">
            <v>TORCUATO CAICEDO CENOBIA</v>
          </cell>
          <cell r="H1924" t="str">
            <v>FUNC</v>
          </cell>
          <cell r="I1924" t="str">
            <v>FUNCIONARIO</v>
          </cell>
          <cell r="J1924" t="str">
            <v>CR 4    14 C 37</v>
          </cell>
          <cell r="K1924" t="str">
            <v>94001</v>
          </cell>
          <cell r="L1924" t="str">
            <v>INÍRIDA</v>
          </cell>
          <cell r="M1924" t="str">
            <v>5656966</v>
          </cell>
        </row>
        <row r="1925">
          <cell r="A1925">
            <v>42547520</v>
          </cell>
          <cell r="B1925" t="str">
            <v>1</v>
          </cell>
          <cell r="C1925" t="str">
            <v/>
          </cell>
          <cell r="D1925" t="str">
            <v>NP</v>
          </cell>
          <cell r="E1925" t="str">
            <v>MARY LICETH</v>
          </cell>
          <cell r="F1925" t="str">
            <v>MONTES GARCIA</v>
          </cell>
          <cell r="G1925" t="str">
            <v>MONTES GARCIA MARY LICETH</v>
          </cell>
          <cell r="H1925" t="str">
            <v>RECO</v>
          </cell>
          <cell r="I1925" t="str">
            <v>REGIMEN COMUN</v>
          </cell>
          <cell r="J1925" t="str">
            <v>CR 16 A 06 07 BRR EL CENTRO</v>
          </cell>
          <cell r="K1925" t="str">
            <v>94001</v>
          </cell>
          <cell r="L1925" t="str">
            <v>INÍRIDA</v>
          </cell>
          <cell r="M1925" t="str">
            <v>5656450</v>
          </cell>
        </row>
        <row r="1926">
          <cell r="A1926">
            <v>42547759</v>
          </cell>
          <cell r="B1926" t="str">
            <v>2</v>
          </cell>
          <cell r="C1926" t="str">
            <v/>
          </cell>
          <cell r="D1926" t="str">
            <v>NP</v>
          </cell>
          <cell r="E1926" t="str">
            <v>SANDRA MILENA</v>
          </cell>
          <cell r="F1926" t="str">
            <v>SANABRIA MELENDEZ</v>
          </cell>
          <cell r="G1926" t="str">
            <v>SANABRIA MELENDEZ SANDRA MILENA</v>
          </cell>
          <cell r="H1926" t="str">
            <v>RESI</v>
          </cell>
          <cell r="I1926" t="str">
            <v>REGIMEN SIMPLIFICADO</v>
          </cell>
          <cell r="J1926" t="str">
            <v>CR 6 34 55 BRR GALAN</v>
          </cell>
          <cell r="K1926" t="str">
            <v>94001</v>
          </cell>
          <cell r="L1926" t="str">
            <v>INÍRIDA</v>
          </cell>
          <cell r="M1926" t="str">
            <v>5656230</v>
          </cell>
        </row>
        <row r="1927">
          <cell r="A1927">
            <v>42821876</v>
          </cell>
          <cell r="B1927" t="str">
            <v>0</v>
          </cell>
          <cell r="C1927" t="str">
            <v/>
          </cell>
          <cell r="D1927" t="str">
            <v>NP</v>
          </cell>
          <cell r="E1927" t="str">
            <v>CRISTINA</v>
          </cell>
          <cell r="F1927" t="str">
            <v>RODRIGUEZ PEÑA</v>
          </cell>
          <cell r="G1927" t="str">
            <v>RODRIGUEZ PEÑA CRISTINA</v>
          </cell>
          <cell r="H1927" t="str">
            <v>RECO</v>
          </cell>
          <cell r="I1927" t="str">
            <v>REGIMEN COMUN</v>
          </cell>
          <cell r="J1927" t="str">
            <v>CR   46   23 BRR CENTRO</v>
          </cell>
          <cell r="K1927" t="str">
            <v>05615</v>
          </cell>
          <cell r="L1927" t="str">
            <v>RIONEGRO</v>
          </cell>
          <cell r="M1927" t="str">
            <v>5611624</v>
          </cell>
        </row>
        <row r="1928">
          <cell r="A1928">
            <v>42823659</v>
          </cell>
          <cell r="B1928" t="str">
            <v>8</v>
          </cell>
          <cell r="C1928" t="str">
            <v/>
          </cell>
          <cell r="D1928" t="str">
            <v>NP</v>
          </cell>
          <cell r="E1928" t="str">
            <v>JOHNNY CARL</v>
          </cell>
          <cell r="F1928" t="str">
            <v>JOHNNY CARL</v>
          </cell>
          <cell r="G1928" t="str">
            <v>JOHNNY CARL JOHNNY CARL</v>
          </cell>
          <cell r="H1928" t="str">
            <v>RESI</v>
          </cell>
          <cell r="I1928" t="str">
            <v>REGIMEN SIMPLIFICADO</v>
          </cell>
          <cell r="J1928" t="str">
            <v>CR 65 A   13 157 LC 46</v>
          </cell>
          <cell r="K1928" t="str">
            <v>05001</v>
          </cell>
          <cell r="L1928" t="str">
            <v>MEDELLÍN</v>
          </cell>
          <cell r="M1928" t="str">
            <v>2551299</v>
          </cell>
        </row>
        <row r="1929">
          <cell r="A1929">
            <v>42897084</v>
          </cell>
          <cell r="B1929" t="str">
            <v>0</v>
          </cell>
          <cell r="C1929" t="str">
            <v/>
          </cell>
          <cell r="D1929" t="str">
            <v>NP</v>
          </cell>
          <cell r="E1929" t="str">
            <v>YULIETH</v>
          </cell>
          <cell r="F1929" t="str">
            <v>LOBO ROSO</v>
          </cell>
          <cell r="G1929" t="str">
            <v>LOBO ROSO YULIETH</v>
          </cell>
          <cell r="H1929" t="str">
            <v>IMVE</v>
          </cell>
          <cell r="I1929" t="str">
            <v>IMPUESTO SOBRE LAS VENTAS</v>
          </cell>
          <cell r="J1929" t="str">
            <v>CR 38 N 10 33</v>
          </cell>
          <cell r="K1929" t="str">
            <v>05002</v>
          </cell>
          <cell r="L1929" t="str">
            <v>MEDELLIN</v>
          </cell>
          <cell r="M1929" t="str">
            <v>6042666484</v>
          </cell>
        </row>
        <row r="1930">
          <cell r="A1930">
            <v>42987006</v>
          </cell>
          <cell r="B1930" t="str">
            <v>2</v>
          </cell>
          <cell r="C1930" t="str">
            <v/>
          </cell>
          <cell r="D1930" t="str">
            <v>NP</v>
          </cell>
          <cell r="E1930" t="str">
            <v>GLADYS</v>
          </cell>
          <cell r="F1930" t="str">
            <v>AGUIRRE VARGAS</v>
          </cell>
          <cell r="G1930" t="str">
            <v>AGUIRRE VARGAS GLADYS</v>
          </cell>
          <cell r="H1930" t="str">
            <v>RECO</v>
          </cell>
          <cell r="I1930" t="str">
            <v>REGIMEN COMUN</v>
          </cell>
          <cell r="J1930" t="str">
            <v>CR 73 A   31 A   78</v>
          </cell>
          <cell r="K1930" t="str">
            <v>05001</v>
          </cell>
          <cell r="L1930" t="str">
            <v>MEDELLÍN</v>
          </cell>
          <cell r="M1930" t="str">
            <v>2352205</v>
          </cell>
        </row>
        <row r="1931">
          <cell r="A1931">
            <v>43063221</v>
          </cell>
          <cell r="B1931" t="str">
            <v>8</v>
          </cell>
          <cell r="C1931" t="str">
            <v/>
          </cell>
          <cell r="D1931" t="str">
            <v>NP</v>
          </cell>
          <cell r="E1931" t="str">
            <v>OLGA INES</v>
          </cell>
          <cell r="F1931" t="str">
            <v>YEPES J</v>
          </cell>
          <cell r="G1931" t="str">
            <v>YEPES J OLGA INES</v>
          </cell>
          <cell r="H1931" t="str">
            <v>RECO</v>
          </cell>
          <cell r="I1931" t="str">
            <v>REGIMEN COMUN</v>
          </cell>
          <cell r="J1931" t="str">
            <v>CL 24 20 14</v>
          </cell>
          <cell r="K1931" t="str">
            <v>17001</v>
          </cell>
          <cell r="L1931" t="str">
            <v>MANIZALES</v>
          </cell>
          <cell r="M1931" t="str">
            <v>8840248</v>
          </cell>
        </row>
        <row r="1932">
          <cell r="A1932">
            <v>43265659</v>
          </cell>
          <cell r="B1932" t="str">
            <v/>
          </cell>
          <cell r="C1932" t="str">
            <v/>
          </cell>
          <cell r="D1932" t="str">
            <v>CC</v>
          </cell>
          <cell r="E1932" t="str">
            <v>ANNETH</v>
          </cell>
          <cell r="F1932" t="str">
            <v>MEDINA RIVAS</v>
          </cell>
          <cell r="G1932" t="str">
            <v>MEDINA RIVAS ANNETH</v>
          </cell>
          <cell r="H1932" t="str">
            <v>FUNC</v>
          </cell>
          <cell r="I1932" t="str">
            <v>FUNCIONARIO</v>
          </cell>
          <cell r="J1932" t="str">
            <v>BRR EL SILENCIO</v>
          </cell>
          <cell r="K1932" t="str">
            <v>17001</v>
          </cell>
          <cell r="L1932" t="str">
            <v>MANIZALES</v>
          </cell>
          <cell r="M1932" t="str">
            <v>3212125054</v>
          </cell>
        </row>
        <row r="1933">
          <cell r="A1933">
            <v>43270343</v>
          </cell>
          <cell r="B1933" t="str">
            <v/>
          </cell>
          <cell r="C1933" t="str">
            <v/>
          </cell>
          <cell r="D1933" t="str">
            <v>CC</v>
          </cell>
          <cell r="E1933" t="str">
            <v>EMMY JOHANA</v>
          </cell>
          <cell r="F1933" t="str">
            <v>BADILLO MEDINA</v>
          </cell>
          <cell r="G1933" t="str">
            <v>BADILLO MEDINA EMMY JOHANA</v>
          </cell>
          <cell r="H1933" t="str">
            <v>FUNC</v>
          </cell>
          <cell r="I1933" t="str">
            <v>FUNCIONARIO</v>
          </cell>
          <cell r="J1933" t="str">
            <v>BRR CHOCOLATAL</v>
          </cell>
          <cell r="K1933" t="str">
            <v>27075</v>
          </cell>
          <cell r="L1933" t="str">
            <v>BAHÍA SOLANO</v>
          </cell>
          <cell r="M1933" t="str">
            <v>3116867261</v>
          </cell>
        </row>
        <row r="1934">
          <cell r="A1934">
            <v>43382333</v>
          </cell>
          <cell r="B1934" t="str">
            <v>2</v>
          </cell>
          <cell r="C1934" t="str">
            <v/>
          </cell>
          <cell r="D1934" t="str">
            <v>NP</v>
          </cell>
          <cell r="E1934" t="str">
            <v>LUZ FAY</v>
          </cell>
          <cell r="F1934" t="str">
            <v>MARTINEZ GALEANO</v>
          </cell>
          <cell r="G1934" t="str">
            <v>MARTINEZ GALEANO LUZ FAY</v>
          </cell>
          <cell r="H1934" t="str">
            <v>RESI</v>
          </cell>
          <cell r="I1934" t="str">
            <v>REGIMEN SIMPLIFICADO</v>
          </cell>
          <cell r="J1934" t="str">
            <v>CR 23   65   11 LC 203</v>
          </cell>
          <cell r="K1934" t="str">
            <v>17001</v>
          </cell>
          <cell r="L1934" t="str">
            <v>MANIZALES</v>
          </cell>
          <cell r="M1934" t="str">
            <v>8756511</v>
          </cell>
        </row>
        <row r="1935">
          <cell r="A1935">
            <v>43402156</v>
          </cell>
          <cell r="B1935" t="str">
            <v>2</v>
          </cell>
          <cell r="C1935" t="str">
            <v/>
          </cell>
          <cell r="D1935" t="str">
            <v>NP</v>
          </cell>
          <cell r="E1935" t="str">
            <v>MARIA MARGARITA</v>
          </cell>
          <cell r="F1935" t="str">
            <v>OCAMPO SOTO</v>
          </cell>
          <cell r="G1935" t="str">
            <v>OCAMPO SOTO MARIA MARGARITA</v>
          </cell>
          <cell r="H1935" t="str">
            <v>RECO</v>
          </cell>
          <cell r="I1935" t="str">
            <v>REGIMEN COMUN</v>
          </cell>
          <cell r="J1935" t="str">
            <v>CR 18  17  65</v>
          </cell>
          <cell r="K1935" t="str">
            <v>15238</v>
          </cell>
          <cell r="L1935" t="str">
            <v>DUITAMA</v>
          </cell>
          <cell r="M1935" t="str">
            <v>7610768</v>
          </cell>
        </row>
        <row r="1936">
          <cell r="A1936">
            <v>43403484</v>
          </cell>
          <cell r="B1936" t="str">
            <v>8</v>
          </cell>
          <cell r="C1936" t="str">
            <v/>
          </cell>
          <cell r="D1936" t="str">
            <v>NP</v>
          </cell>
          <cell r="E1936" t="str">
            <v>MARLENY DE JESUS</v>
          </cell>
          <cell r="F1936" t="str">
            <v>GOMEZ ZULUAGA</v>
          </cell>
          <cell r="G1936" t="str">
            <v>GOMEZ ZULUAGA MARLENY DE JESUS</v>
          </cell>
          <cell r="H1936" t="str">
            <v>NORE</v>
          </cell>
          <cell r="I1936" t="str">
            <v>NO RESPONSABLE DE IVA</v>
          </cell>
          <cell r="J1936" t="str">
            <v>C EL VALLE</v>
          </cell>
          <cell r="K1936" t="str">
            <v>27075</v>
          </cell>
          <cell r="L1936" t="str">
            <v>BAHÍA SOLANO</v>
          </cell>
          <cell r="M1936" t="str">
            <v>3104720411</v>
          </cell>
        </row>
        <row r="1937">
          <cell r="A1937">
            <v>43404124</v>
          </cell>
          <cell r="B1937" t="str">
            <v>6</v>
          </cell>
          <cell r="C1937" t="str">
            <v/>
          </cell>
          <cell r="D1937" t="str">
            <v>NP</v>
          </cell>
          <cell r="E1937" t="str">
            <v>LUZ DARY</v>
          </cell>
          <cell r="F1937" t="str">
            <v>ZULUAGA</v>
          </cell>
          <cell r="G1937" t="str">
            <v>ZULUAGA LUZ DARY</v>
          </cell>
          <cell r="H1937" t="str">
            <v>RECO</v>
          </cell>
          <cell r="I1937" t="str">
            <v>REGIMEN COMUN</v>
          </cell>
          <cell r="J1937" t="str">
            <v>CR 23 6 58</v>
          </cell>
          <cell r="K1937" t="str">
            <v>17001</v>
          </cell>
          <cell r="L1937" t="str">
            <v>MANIZALES</v>
          </cell>
          <cell r="M1937" t="str">
            <v>8860541</v>
          </cell>
        </row>
        <row r="1938">
          <cell r="A1938">
            <v>43475764</v>
          </cell>
          <cell r="B1938" t="str">
            <v>3</v>
          </cell>
          <cell r="C1938" t="str">
            <v/>
          </cell>
          <cell r="D1938" t="str">
            <v>NP</v>
          </cell>
          <cell r="E1938" t="str">
            <v>FLOR BEATRIZ</v>
          </cell>
          <cell r="F1938" t="str">
            <v>PARRA ALZATE</v>
          </cell>
          <cell r="G1938" t="str">
            <v>PARRA ALZATE FLOR BEATRIZ</v>
          </cell>
          <cell r="H1938" t="str">
            <v>RECO</v>
          </cell>
          <cell r="I1938" t="str">
            <v>REGIMEN COMUN</v>
          </cell>
          <cell r="J1938" t="str">
            <v>CL 25 A CR 18 108 BRR CENTRO</v>
          </cell>
          <cell r="K1938" t="str">
            <v>70001</v>
          </cell>
          <cell r="L1938" t="str">
            <v>SINCELEJO</v>
          </cell>
          <cell r="M1938" t="str">
            <v>2761308</v>
          </cell>
        </row>
        <row r="1939">
          <cell r="A1939">
            <v>43528430</v>
          </cell>
          <cell r="B1939" t="str">
            <v>8</v>
          </cell>
          <cell r="C1939" t="str">
            <v/>
          </cell>
          <cell r="D1939" t="str">
            <v>NP</v>
          </cell>
          <cell r="E1939" t="str">
            <v>IDALI</v>
          </cell>
          <cell r="F1939" t="str">
            <v>ARCILA MARTINEZ</v>
          </cell>
          <cell r="G1939" t="str">
            <v>ARCILA MARTINEZ IDALI</v>
          </cell>
          <cell r="H1939" t="str">
            <v>RECO</v>
          </cell>
          <cell r="I1939" t="str">
            <v>REGIMEN COMUN</v>
          </cell>
          <cell r="J1939" t="str">
            <v>CIR 5 69 52</v>
          </cell>
          <cell r="K1939" t="str">
            <v>05001</v>
          </cell>
          <cell r="L1939" t="str">
            <v>MEDELLÍN</v>
          </cell>
          <cell r="M1939" t="str">
            <v>2603707</v>
          </cell>
        </row>
        <row r="1940">
          <cell r="A1940">
            <v>43567269</v>
          </cell>
          <cell r="B1940" t="str">
            <v/>
          </cell>
          <cell r="C1940" t="str">
            <v/>
          </cell>
          <cell r="D1940" t="str">
            <v>CC</v>
          </cell>
          <cell r="E1940" t="str">
            <v>FRANCIA HELENA</v>
          </cell>
          <cell r="F1940" t="str">
            <v>MUÑOZ VELASQUEZ</v>
          </cell>
          <cell r="G1940" t="str">
            <v>MUÑOZ VELASQUEZ FRANCIA HELENA</v>
          </cell>
          <cell r="H1940" t="str">
            <v>FUNC</v>
          </cell>
          <cell r="I1940" t="str">
            <v>FUNCIONARIO</v>
          </cell>
          <cell r="J1940" t="str">
            <v>CL 37    23   68</v>
          </cell>
          <cell r="K1940" t="str">
            <v>17001</v>
          </cell>
          <cell r="L1940" t="str">
            <v>MANIZALES</v>
          </cell>
          <cell r="M1940" t="str">
            <v>8827274</v>
          </cell>
        </row>
        <row r="1941">
          <cell r="A1941">
            <v>43614897</v>
          </cell>
          <cell r="B1941" t="str">
            <v>1</v>
          </cell>
          <cell r="C1941" t="str">
            <v/>
          </cell>
          <cell r="D1941" t="str">
            <v>NP</v>
          </cell>
          <cell r="E1941" t="str">
            <v>JOANA</v>
          </cell>
          <cell r="F1941" t="str">
            <v>MARIN DIAZ</v>
          </cell>
          <cell r="G1941" t="str">
            <v>MARIN DIAZ JOANA</v>
          </cell>
          <cell r="H1941" t="str">
            <v>RECO</v>
          </cell>
          <cell r="I1941" t="str">
            <v>REGIMEN COMUN</v>
          </cell>
          <cell r="J1941" t="str">
            <v>CL 20 B   80 A 32 P 4</v>
          </cell>
          <cell r="K1941" t="str">
            <v>17001</v>
          </cell>
          <cell r="L1941" t="str">
            <v>MANIZALES</v>
          </cell>
          <cell r="M1941" t="str">
            <v>3435086</v>
          </cell>
        </row>
        <row r="1942">
          <cell r="A1942">
            <v>43619784</v>
          </cell>
          <cell r="B1942" t="str">
            <v>0</v>
          </cell>
          <cell r="C1942" t="str">
            <v/>
          </cell>
          <cell r="D1942" t="str">
            <v>NP</v>
          </cell>
          <cell r="E1942" t="str">
            <v>DARLEYDA</v>
          </cell>
          <cell r="F1942" t="str">
            <v>MURILLO GONZALEZ</v>
          </cell>
          <cell r="G1942" t="str">
            <v>MURILLO GONZALEZ DARLEYDA</v>
          </cell>
          <cell r="H1942" t="str">
            <v>NORE</v>
          </cell>
          <cell r="I1942" t="str">
            <v>NO RESPONSABLE DE IVA</v>
          </cell>
          <cell r="J1942" t="str">
            <v>CORR DEL VALLE BRR LA MAREA</v>
          </cell>
          <cell r="K1942" t="str">
            <v>27075</v>
          </cell>
          <cell r="L1942" t="str">
            <v>BAHÍA SOLANO</v>
          </cell>
          <cell r="M1942" t="str">
            <v>3227094113</v>
          </cell>
        </row>
        <row r="1943">
          <cell r="A1943">
            <v>43701382</v>
          </cell>
          <cell r="B1943" t="str">
            <v>3</v>
          </cell>
          <cell r="C1943" t="str">
            <v/>
          </cell>
          <cell r="D1943" t="str">
            <v>NP</v>
          </cell>
          <cell r="E1943" t="str">
            <v>LUZ JANETH</v>
          </cell>
          <cell r="F1943" t="str">
            <v>AMAYA GIL</v>
          </cell>
          <cell r="G1943" t="str">
            <v>AMAYA GIL LUZ JANETH</v>
          </cell>
          <cell r="H1943" t="str">
            <v>NORE</v>
          </cell>
          <cell r="I1943" t="str">
            <v>NO RESPONSABLE DE IVA</v>
          </cell>
          <cell r="J1943" t="str">
            <v>CR 13 A 15 45</v>
          </cell>
          <cell r="K1943" t="str">
            <v>97001</v>
          </cell>
          <cell r="L1943" t="str">
            <v>MITÚ</v>
          </cell>
          <cell r="M1943" t="str">
            <v>3147780421</v>
          </cell>
        </row>
        <row r="1944">
          <cell r="A1944">
            <v>43744824</v>
          </cell>
          <cell r="B1944" t="str">
            <v>1</v>
          </cell>
          <cell r="C1944" t="str">
            <v/>
          </cell>
          <cell r="D1944" t="str">
            <v>NP</v>
          </cell>
          <cell r="E1944" t="str">
            <v>OLGA RUT</v>
          </cell>
          <cell r="F1944" t="str">
            <v>PEREZ RONDON</v>
          </cell>
          <cell r="G1944" t="str">
            <v>PEREZ RONDON OLGA RUT</v>
          </cell>
          <cell r="H1944" t="str">
            <v>NORE</v>
          </cell>
          <cell r="I1944" t="str">
            <v>NO RESPONSABLE DE IVA</v>
          </cell>
          <cell r="J1944" t="str">
            <v>CL 79 A SUR 46 49 AP 204</v>
          </cell>
          <cell r="K1944" t="str">
            <v>17001</v>
          </cell>
          <cell r="L1944" t="str">
            <v>MANIZALES</v>
          </cell>
          <cell r="M1944" t="str">
            <v>3194476350</v>
          </cell>
        </row>
        <row r="1945">
          <cell r="A1945">
            <v>43864894</v>
          </cell>
          <cell r="B1945" t="str">
            <v>1</v>
          </cell>
          <cell r="C1945" t="str">
            <v/>
          </cell>
          <cell r="D1945" t="str">
            <v>NP</v>
          </cell>
          <cell r="E1945" t="str">
            <v>NATALIA MARIA</v>
          </cell>
          <cell r="F1945" t="str">
            <v>TABARES HERNANDEZ</v>
          </cell>
          <cell r="G1945" t="str">
            <v>TABARES HERNANDEZ NATALIA MARIA</v>
          </cell>
          <cell r="H1945" t="str">
            <v>RESI</v>
          </cell>
          <cell r="I1945" t="str">
            <v>REGIMEN SIMPLIFICADO</v>
          </cell>
          <cell r="J1945" t="str">
            <v>CR 23 59 100</v>
          </cell>
          <cell r="K1945" t="str">
            <v>17001</v>
          </cell>
          <cell r="L1945" t="str">
            <v>MANIZALES</v>
          </cell>
          <cell r="M1945" t="str">
            <v>8855865</v>
          </cell>
        </row>
        <row r="1946">
          <cell r="A1946">
            <v>43876476</v>
          </cell>
          <cell r="B1946" t="str">
            <v/>
          </cell>
          <cell r="C1946" t="str">
            <v/>
          </cell>
          <cell r="D1946" t="str">
            <v>CC</v>
          </cell>
          <cell r="E1946" t="str">
            <v>CATALINA</v>
          </cell>
          <cell r="F1946" t="str">
            <v>NARANJO HERNANDEZ</v>
          </cell>
          <cell r="G1946" t="str">
            <v>NARANJO HERNANDEZ CATALINA</v>
          </cell>
          <cell r="H1946" t="str">
            <v>FUNC</v>
          </cell>
          <cell r="I1946" t="str">
            <v>FUNCIONARIO</v>
          </cell>
          <cell r="J1946" t="str">
            <v>CALLE 17 NO. 34-59</v>
          </cell>
          <cell r="K1946" t="str">
            <v>15238</v>
          </cell>
          <cell r="L1946" t="str">
            <v>DUITAMA</v>
          </cell>
          <cell r="M1946" t="str">
            <v>8924547</v>
          </cell>
        </row>
        <row r="1947">
          <cell r="A1947">
            <v>43973132</v>
          </cell>
          <cell r="B1947" t="str">
            <v/>
          </cell>
          <cell r="C1947" t="str">
            <v/>
          </cell>
          <cell r="D1947" t="str">
            <v>CC</v>
          </cell>
          <cell r="E1947" t="str">
            <v>YURANI</v>
          </cell>
          <cell r="F1947" t="str">
            <v>BRANDT URIBE</v>
          </cell>
          <cell r="G1947" t="str">
            <v>BRANDT URIBE YURANI</v>
          </cell>
          <cell r="H1947" t="str">
            <v>FUNC</v>
          </cell>
          <cell r="I1947" t="str">
            <v>FUNCIONARIO</v>
          </cell>
          <cell r="J1947" t="str">
            <v>CR 37   95 D   23 BRR</v>
          </cell>
          <cell r="K1947" t="str">
            <v>17001</v>
          </cell>
          <cell r="L1947" t="str">
            <v>MANIZALES</v>
          </cell>
          <cell r="M1947" t="str">
            <v>3175244809</v>
          </cell>
        </row>
        <row r="1948">
          <cell r="A1948">
            <v>43990377</v>
          </cell>
          <cell r="B1948" t="str">
            <v>4</v>
          </cell>
          <cell r="C1948" t="str">
            <v/>
          </cell>
          <cell r="D1948" t="str">
            <v>NP</v>
          </cell>
          <cell r="E1948" t="str">
            <v>NERLY MARIA</v>
          </cell>
          <cell r="F1948" t="str">
            <v>MOSQUERA PEREZ</v>
          </cell>
          <cell r="G1948" t="str">
            <v>MOSQUERA PEREZ NERLY MARIA</v>
          </cell>
          <cell r="H1948" t="str">
            <v>RESI</v>
          </cell>
          <cell r="I1948" t="str">
            <v>REGIMEN SIMPLIFICADO</v>
          </cell>
          <cell r="J1948" t="str">
            <v>CR 12   100   10 BRR GAITAN</v>
          </cell>
          <cell r="K1948" t="str">
            <v>05837</v>
          </cell>
          <cell r="L1948" t="str">
            <v>TURBO</v>
          </cell>
          <cell r="M1948" t="str">
            <v>8274173</v>
          </cell>
        </row>
        <row r="1949">
          <cell r="A1949">
            <v>45442156</v>
          </cell>
          <cell r="B1949" t="str">
            <v/>
          </cell>
          <cell r="C1949" t="str">
            <v/>
          </cell>
          <cell r="D1949" t="str">
            <v>CC</v>
          </cell>
          <cell r="E1949" t="str">
            <v>MARIA</v>
          </cell>
          <cell r="F1949" t="str">
            <v>BONFANTE STEPHENS</v>
          </cell>
          <cell r="G1949" t="str">
            <v>BONFANTE STEPHENS MARIA</v>
          </cell>
          <cell r="H1949" t="str">
            <v>RESI</v>
          </cell>
          <cell r="I1949" t="str">
            <v>REGIMEN SIMPLIFICADO</v>
          </cell>
          <cell r="J1949" t="str">
            <v>MCP CARTAGENA</v>
          </cell>
          <cell r="K1949" t="str">
            <v>13001</v>
          </cell>
          <cell r="L1949" t="str">
            <v>CARTAGENA</v>
          </cell>
          <cell r="M1949" t="str">
            <v>SIN DATOS</v>
          </cell>
        </row>
        <row r="1950">
          <cell r="A1950">
            <v>46351525</v>
          </cell>
          <cell r="B1950" t="str">
            <v>8</v>
          </cell>
          <cell r="C1950" t="str">
            <v/>
          </cell>
          <cell r="D1950" t="str">
            <v>NP</v>
          </cell>
          <cell r="E1950" t="str">
            <v>NELLY ROCIO</v>
          </cell>
          <cell r="F1950" t="str">
            <v>VARGAS RODRIGUEZ</v>
          </cell>
          <cell r="G1950" t="str">
            <v>VARGAS RODRIGUEZ NELLY ROCIO</v>
          </cell>
          <cell r="H1950" t="str">
            <v>RECO</v>
          </cell>
          <cell r="I1950" t="str">
            <v>REGIMEN COMUN</v>
          </cell>
          <cell r="J1950" t="str">
            <v>CL 9   20   45 IN 03</v>
          </cell>
          <cell r="K1950" t="str">
            <v>85001</v>
          </cell>
          <cell r="L1950" t="str">
            <v>YOPAL</v>
          </cell>
          <cell r="M1950" t="str">
            <v>6357749</v>
          </cell>
        </row>
        <row r="1951">
          <cell r="A1951">
            <v>46352223</v>
          </cell>
          <cell r="B1951" t="str">
            <v>3</v>
          </cell>
          <cell r="C1951" t="str">
            <v/>
          </cell>
          <cell r="D1951" t="str">
            <v>NP</v>
          </cell>
          <cell r="E1951" t="str">
            <v>MARIA IRMA</v>
          </cell>
          <cell r="F1951" t="str">
            <v>RODRIGUEZ</v>
          </cell>
          <cell r="G1951" t="str">
            <v>RODRIGUEZ MARIA IRMA/ACERIS SOGAMOSO</v>
          </cell>
          <cell r="H1951" t="str">
            <v>RCPN</v>
          </cell>
          <cell r="I1951" t="str">
            <v>RESPONSABLE IVA PERSONA NATURAL</v>
          </cell>
          <cell r="J1951" t="str">
            <v xml:space="preserve">CL 11A 19 64                            </v>
          </cell>
          <cell r="K1951" t="str">
            <v>15759</v>
          </cell>
          <cell r="L1951" t="str">
            <v>SOGAMOSO</v>
          </cell>
          <cell r="M1951" t="str">
            <v>3105761146</v>
          </cell>
        </row>
        <row r="1952">
          <cell r="A1952">
            <v>46352988</v>
          </cell>
          <cell r="B1952" t="str">
            <v>9</v>
          </cell>
          <cell r="C1952" t="str">
            <v/>
          </cell>
          <cell r="D1952" t="str">
            <v>NP</v>
          </cell>
          <cell r="E1952" t="str">
            <v>MARIA AURORA</v>
          </cell>
          <cell r="F1952" t="str">
            <v>ALARCON RODRIGUEZ</v>
          </cell>
          <cell r="G1952" t="str">
            <v>ALARCON RODRIGUEZ MARIA AURORA</v>
          </cell>
          <cell r="H1952" t="str">
            <v>IMVE</v>
          </cell>
          <cell r="I1952" t="str">
            <v>IMPUESTO SOBRE LAS VENTAS</v>
          </cell>
          <cell r="J1952" t="str">
            <v>CL 46 C 12 A 10</v>
          </cell>
          <cell r="K1952" t="str">
            <v>15759</v>
          </cell>
          <cell r="L1952" t="str">
            <v>SOGAMOSO</v>
          </cell>
          <cell r="M1952" t="str">
            <v>3186198315</v>
          </cell>
        </row>
        <row r="1953">
          <cell r="A1953">
            <v>46354026</v>
          </cell>
          <cell r="B1953" t="str">
            <v/>
          </cell>
          <cell r="C1953" t="str">
            <v/>
          </cell>
          <cell r="D1953" t="str">
            <v>CC</v>
          </cell>
          <cell r="E1953" t="str">
            <v>MARTHA</v>
          </cell>
          <cell r="F1953" t="str">
            <v>LOPEZ FERNANDEZ</v>
          </cell>
          <cell r="G1953" t="str">
            <v>LOPEZ FERNANDEZ MARTHA</v>
          </cell>
          <cell r="H1953" t="str">
            <v>RESI</v>
          </cell>
          <cell r="I1953" t="str">
            <v>REGIMEN SIMPLIFICADO</v>
          </cell>
          <cell r="J1953" t="str">
            <v>MCP SOGAMOSO</v>
          </cell>
          <cell r="K1953" t="str">
            <v>15759</v>
          </cell>
          <cell r="L1953" t="str">
            <v>SOGAMOSO</v>
          </cell>
          <cell r="M1953" t="str">
            <v>SIN NRO</v>
          </cell>
        </row>
        <row r="1954">
          <cell r="A1954">
            <v>46355666</v>
          </cell>
          <cell r="B1954" t="str">
            <v>6</v>
          </cell>
          <cell r="C1954" t="str">
            <v/>
          </cell>
          <cell r="D1954" t="str">
            <v>NP</v>
          </cell>
          <cell r="E1954" t="str">
            <v>ANA NELLY</v>
          </cell>
          <cell r="F1954" t="str">
            <v>FONSECA MEDINA</v>
          </cell>
          <cell r="G1954" t="str">
            <v>FONSECA MEDINA ANA NELLY</v>
          </cell>
          <cell r="H1954" t="str">
            <v>RESI</v>
          </cell>
          <cell r="I1954" t="str">
            <v>REGIMEN SIMPLIFICADO</v>
          </cell>
          <cell r="J1954" t="str">
            <v>CR 46 187 65 AP 101 IN 5 BRR MIRANDELA ET 11</v>
          </cell>
          <cell r="K1954" t="str">
            <v>15759</v>
          </cell>
          <cell r="L1954" t="str">
            <v>SOGAMOSO</v>
          </cell>
          <cell r="M1954" t="str">
            <v>5107469</v>
          </cell>
        </row>
        <row r="1955">
          <cell r="A1955">
            <v>46355901</v>
          </cell>
          <cell r="B1955" t="str">
            <v>2</v>
          </cell>
          <cell r="C1955" t="str">
            <v/>
          </cell>
          <cell r="D1955" t="str">
            <v>NP</v>
          </cell>
          <cell r="E1955" t="str">
            <v>ELDA MARIA</v>
          </cell>
          <cell r="F1955" t="str">
            <v>PEREZ FONSECA</v>
          </cell>
          <cell r="G1955" t="str">
            <v>PEREZ FONSECA ELDA MARIA</v>
          </cell>
          <cell r="H1955" t="str">
            <v>RCPN</v>
          </cell>
          <cell r="I1955" t="str">
            <v>RESPONSABLE IVA PERSONA NATURAL</v>
          </cell>
          <cell r="J1955" t="str">
            <v>CR 1   9 22</v>
          </cell>
          <cell r="K1955" t="str">
            <v>85001</v>
          </cell>
          <cell r="L1955" t="str">
            <v>YOPAL</v>
          </cell>
          <cell r="M1955" t="str">
            <v>6353768</v>
          </cell>
        </row>
        <row r="1956">
          <cell r="A1956">
            <v>46355995</v>
          </cell>
          <cell r="B1956" t="str">
            <v>4</v>
          </cell>
          <cell r="C1956" t="str">
            <v/>
          </cell>
          <cell r="D1956" t="str">
            <v>NP</v>
          </cell>
          <cell r="E1956" t="str">
            <v>NANCY</v>
          </cell>
          <cell r="F1956" t="str">
            <v>ESPITIA RODRIGUEZ</v>
          </cell>
          <cell r="G1956" t="str">
            <v>ESPITIA RODRIGUEZ NANCY</v>
          </cell>
          <cell r="H1956" t="str">
            <v>IMVE</v>
          </cell>
          <cell r="I1956" t="str">
            <v>IMPUESTO SOBRE LAS VENTAS</v>
          </cell>
          <cell r="J1956" t="str">
            <v>CR 5 14 46 P 2</v>
          </cell>
          <cell r="K1956" t="str">
            <v>17001</v>
          </cell>
          <cell r="L1956" t="str">
            <v>MANIZALES</v>
          </cell>
          <cell r="M1956" t="str">
            <v>3212683001</v>
          </cell>
        </row>
        <row r="1957">
          <cell r="A1957">
            <v>46356764</v>
          </cell>
          <cell r="B1957" t="str">
            <v>4</v>
          </cell>
          <cell r="C1957" t="str">
            <v/>
          </cell>
          <cell r="D1957" t="str">
            <v>NP</v>
          </cell>
          <cell r="E1957" t="str">
            <v xml:space="preserve">GLADYS </v>
          </cell>
          <cell r="F1957" t="str">
            <v>CARO TORRES</v>
          </cell>
          <cell r="G1957" t="str">
            <v>GLADYS CARO TORRES</v>
          </cell>
          <cell r="H1957" t="str">
            <v>RESI</v>
          </cell>
          <cell r="I1957" t="str">
            <v>REGIMEN SIMPLIFICADO</v>
          </cell>
          <cell r="J1957" t="str">
            <v>CL 14  12 39 AP 901</v>
          </cell>
          <cell r="K1957" t="str">
            <v>15759</v>
          </cell>
          <cell r="L1957" t="str">
            <v>SOGAMOSO</v>
          </cell>
          <cell r="M1957" t="str">
            <v>7750469</v>
          </cell>
        </row>
        <row r="1958">
          <cell r="A1958">
            <v>46357085</v>
          </cell>
          <cell r="B1958" t="str">
            <v>6</v>
          </cell>
          <cell r="C1958" t="str">
            <v/>
          </cell>
          <cell r="D1958" t="str">
            <v>NP</v>
          </cell>
          <cell r="E1958" t="str">
            <v>ANA STELLA DEL CARMEN</v>
          </cell>
          <cell r="F1958" t="str">
            <v>VARGAS PEDROZA</v>
          </cell>
          <cell r="G1958" t="str">
            <v>VARGAS PEDROZA ANA STELLA DEL CARMEN</v>
          </cell>
          <cell r="H1958" t="str">
            <v>IMVE</v>
          </cell>
          <cell r="I1958" t="str">
            <v>IMPUESTO SOBRE LAS VENTAS</v>
          </cell>
          <cell r="J1958" t="str">
            <v>CL 99 71 C 51</v>
          </cell>
          <cell r="K1958" t="str">
            <v>11001</v>
          </cell>
          <cell r="L1958" t="str">
            <v>BOGOTA DC</v>
          </cell>
          <cell r="M1958" t="str">
            <v>3176926127</v>
          </cell>
        </row>
        <row r="1959">
          <cell r="A1959">
            <v>46357617</v>
          </cell>
          <cell r="B1959" t="str">
            <v/>
          </cell>
          <cell r="C1959" t="str">
            <v/>
          </cell>
          <cell r="D1959" t="str">
            <v>CC</v>
          </cell>
          <cell r="E1959" t="str">
            <v>GRACIELA</v>
          </cell>
          <cell r="F1959" t="str">
            <v>BARRERA ROSAS</v>
          </cell>
          <cell r="G1959" t="str">
            <v>BARRERA ROSAS GRACIELA</v>
          </cell>
          <cell r="H1959" t="str">
            <v>FUNC</v>
          </cell>
          <cell r="I1959" t="str">
            <v>FUNCIONARIO</v>
          </cell>
          <cell r="J1959" t="str">
            <v>CALLE 33 No 14-75 CASA 19 URB, LA CASTILLA PAIPA</v>
          </cell>
          <cell r="K1959" t="str">
            <v>15516</v>
          </cell>
          <cell r="L1959" t="str">
            <v>PAIPA</v>
          </cell>
          <cell r="M1959" t="str">
            <v>3208543026</v>
          </cell>
        </row>
        <row r="1960">
          <cell r="A1960">
            <v>46358231</v>
          </cell>
          <cell r="B1960" t="str">
            <v>1</v>
          </cell>
          <cell r="C1960" t="str">
            <v/>
          </cell>
          <cell r="D1960" t="str">
            <v>NP</v>
          </cell>
          <cell r="E1960" t="str">
            <v>SONIA ESMERALDA</v>
          </cell>
          <cell r="F1960" t="str">
            <v>CASTRO GUTIERREZ</v>
          </cell>
          <cell r="G1960" t="str">
            <v>CASTRO GUTIERREZ SONIA ESMERALDA</v>
          </cell>
          <cell r="H1960" t="str">
            <v>RESI</v>
          </cell>
          <cell r="I1960" t="str">
            <v>REGIMEN SIMPLIFICADO</v>
          </cell>
          <cell r="J1960" t="str">
            <v>CL 8   21   85</v>
          </cell>
          <cell r="K1960" t="str">
            <v>85001</v>
          </cell>
          <cell r="L1960" t="str">
            <v>YOPAL</v>
          </cell>
          <cell r="M1960" t="str">
            <v>3132496414</v>
          </cell>
        </row>
        <row r="1961">
          <cell r="A1961">
            <v>46359335</v>
          </cell>
          <cell r="B1961" t="str">
            <v>1</v>
          </cell>
          <cell r="C1961" t="str">
            <v/>
          </cell>
          <cell r="D1961" t="str">
            <v>NP</v>
          </cell>
          <cell r="E1961" t="str">
            <v>ANA DELIA</v>
          </cell>
          <cell r="F1961" t="str">
            <v>PEREZ BARRERA</v>
          </cell>
          <cell r="G1961" t="str">
            <v>PEREZ BARRERA ANA DELIA</v>
          </cell>
          <cell r="H1961" t="str">
            <v>RESI</v>
          </cell>
          <cell r="I1961" t="str">
            <v>REGIMEN SIMPLIFICADO</v>
          </cell>
          <cell r="J1961" t="str">
            <v>VDA MEREY FCA ACAPULCO</v>
          </cell>
          <cell r="K1961" t="str">
            <v>85325</v>
          </cell>
          <cell r="L1961" t="str">
            <v>SAN LUIS DE PALENQUE</v>
          </cell>
          <cell r="M1961" t="str">
            <v>3203986132</v>
          </cell>
        </row>
        <row r="1962">
          <cell r="A1962">
            <v>46360540</v>
          </cell>
          <cell r="B1962" t="str">
            <v>7</v>
          </cell>
          <cell r="C1962" t="str">
            <v/>
          </cell>
          <cell r="D1962" t="str">
            <v>NP</v>
          </cell>
          <cell r="E1962" t="str">
            <v>SANDRA YAMILE</v>
          </cell>
          <cell r="F1962" t="str">
            <v>RAMIREZ MUÑOZ</v>
          </cell>
          <cell r="G1962" t="str">
            <v>RAMIREZ MUÑOZ SANDRA YAMILE</v>
          </cell>
          <cell r="H1962" t="str">
            <v>RESI</v>
          </cell>
          <cell r="I1962" t="str">
            <v>REGIMEN SIMPLIFICADO</v>
          </cell>
          <cell r="J1962" t="str">
            <v>CL 19   23   14</v>
          </cell>
          <cell r="K1962" t="str">
            <v>85001</v>
          </cell>
          <cell r="L1962" t="str">
            <v>YOPAL</v>
          </cell>
          <cell r="M1962" t="str">
            <v>3103295450</v>
          </cell>
        </row>
        <row r="1963">
          <cell r="A1963">
            <v>46361078</v>
          </cell>
          <cell r="B1963" t="str">
            <v>1</v>
          </cell>
          <cell r="C1963" t="str">
            <v/>
          </cell>
          <cell r="D1963" t="str">
            <v>NP</v>
          </cell>
          <cell r="E1963" t="str">
            <v>MARIA OFELIA</v>
          </cell>
          <cell r="F1963" t="str">
            <v>CASTILLO NIÑO</v>
          </cell>
          <cell r="G1963" t="str">
            <v>CASTILLO NIÑO MARIA OFELIA</v>
          </cell>
          <cell r="H1963" t="str">
            <v>RECO</v>
          </cell>
          <cell r="I1963" t="str">
            <v>REGIMEN COMUN</v>
          </cell>
          <cell r="J1963" t="str">
            <v>CL 13 18 32</v>
          </cell>
          <cell r="K1963" t="str">
            <v>15238</v>
          </cell>
          <cell r="L1963" t="str">
            <v>DUITAMA</v>
          </cell>
          <cell r="M1963" t="str">
            <v>7604330</v>
          </cell>
        </row>
        <row r="1964">
          <cell r="A1964">
            <v>46361191</v>
          </cell>
          <cell r="B1964" t="str">
            <v>4</v>
          </cell>
          <cell r="C1964" t="str">
            <v/>
          </cell>
          <cell r="D1964" t="str">
            <v>NP</v>
          </cell>
          <cell r="E1964" t="str">
            <v>FABIOLA</v>
          </cell>
          <cell r="F1964" t="str">
            <v>OSPINA</v>
          </cell>
          <cell r="G1964" t="str">
            <v>OSPINA FABIOLA</v>
          </cell>
          <cell r="H1964" t="str">
            <v>RESI</v>
          </cell>
          <cell r="I1964" t="str">
            <v>REGIMEN SIMPLIFICADO</v>
          </cell>
          <cell r="J1964" t="str">
            <v>CR 5   13   415 BRR DONAIRE</v>
          </cell>
          <cell r="K1964" t="str">
            <v>85430</v>
          </cell>
          <cell r="L1964" t="str">
            <v>TRINIDAD</v>
          </cell>
          <cell r="M1964" t="str">
            <v>3144350068</v>
          </cell>
        </row>
        <row r="1965">
          <cell r="A1965">
            <v>46361385</v>
          </cell>
          <cell r="B1965" t="str">
            <v>6</v>
          </cell>
          <cell r="C1965" t="str">
            <v/>
          </cell>
          <cell r="D1965" t="str">
            <v>NP</v>
          </cell>
          <cell r="E1965" t="str">
            <v>LUZ ESPERANZA</v>
          </cell>
          <cell r="F1965" t="str">
            <v>GONZALEZ SIERRA</v>
          </cell>
          <cell r="G1965" t="str">
            <v>LUZ ESPERANZA GONZALEZ SIERRA</v>
          </cell>
          <cell r="H1965" t="str">
            <v>RESI</v>
          </cell>
          <cell r="I1965" t="str">
            <v>REGIMEN SIMPLIFICADO</v>
          </cell>
          <cell r="J1965" t="str">
            <v>CR 10 C 34-08</v>
          </cell>
          <cell r="K1965" t="str">
            <v>15759</v>
          </cell>
          <cell r="L1965" t="str">
            <v>SOGAMOSO</v>
          </cell>
          <cell r="M1965" t="str">
            <v>7719504</v>
          </cell>
        </row>
        <row r="1966">
          <cell r="A1966">
            <v>46366399</v>
          </cell>
          <cell r="B1966" t="str">
            <v/>
          </cell>
          <cell r="C1966" t="str">
            <v/>
          </cell>
          <cell r="D1966" t="str">
            <v>CC</v>
          </cell>
          <cell r="E1966" t="str">
            <v>ALEXANDRA</v>
          </cell>
          <cell r="F1966" t="str">
            <v>DEAQUIS FRACICA</v>
          </cell>
          <cell r="G1966" t="str">
            <v>DEAQUIS FRACICA ALEXANDRA</v>
          </cell>
          <cell r="H1966" t="str">
            <v>FUNC</v>
          </cell>
          <cell r="I1966" t="str">
            <v>FUNCIONARIO</v>
          </cell>
          <cell r="J1966" t="str">
            <v>CR 6 N 19 22 BRR LOS ALPES</v>
          </cell>
          <cell r="K1966" t="str">
            <v>15759</v>
          </cell>
          <cell r="L1966" t="str">
            <v>SOGAMOSO</v>
          </cell>
          <cell r="M1966" t="str">
            <v>3004815578</v>
          </cell>
        </row>
        <row r="1967">
          <cell r="A1967">
            <v>46366733</v>
          </cell>
          <cell r="B1967" t="str">
            <v>9</v>
          </cell>
          <cell r="C1967" t="str">
            <v/>
          </cell>
          <cell r="D1967" t="str">
            <v>NP</v>
          </cell>
          <cell r="E1967" t="str">
            <v>YOLANDA PATRICIA</v>
          </cell>
          <cell r="F1967" t="str">
            <v>DUEÑAS</v>
          </cell>
          <cell r="G1967" t="str">
            <v>DUEÑAS YOLANDA PATRICIA</v>
          </cell>
          <cell r="H1967" t="str">
            <v>RECO</v>
          </cell>
          <cell r="I1967" t="str">
            <v>REGIMEN COMUN</v>
          </cell>
          <cell r="J1967" t="str">
            <v>PAR PRINCIPAL</v>
          </cell>
          <cell r="K1967" t="str">
            <v>15516</v>
          </cell>
          <cell r="L1967" t="str">
            <v>PAIPA</v>
          </cell>
          <cell r="M1967" t="str">
            <v>0000</v>
          </cell>
        </row>
        <row r="1968">
          <cell r="A1968">
            <v>46366988</v>
          </cell>
          <cell r="B1968" t="str">
            <v>1</v>
          </cell>
          <cell r="C1968" t="str">
            <v/>
          </cell>
          <cell r="D1968" t="str">
            <v>NP</v>
          </cell>
          <cell r="E1968" t="str">
            <v>ANDREA</v>
          </cell>
          <cell r="F1968" t="str">
            <v>RUIZ RAMIREZ</v>
          </cell>
          <cell r="G1968" t="str">
            <v>RUIZ RAMIREZ ANDREA</v>
          </cell>
          <cell r="H1968" t="str">
            <v>IMVE</v>
          </cell>
          <cell r="I1968" t="str">
            <v>IMPUESTO SOBRE LAS VENTAS</v>
          </cell>
          <cell r="J1968" t="str">
            <v>CR 11  15 52 LC 113 PJ SEIS DE SEPTIEMBRE</v>
          </cell>
          <cell r="K1968" t="str">
            <v>15759</v>
          </cell>
          <cell r="L1968" t="str">
            <v>SOGAMOSO</v>
          </cell>
          <cell r="M1968" t="str">
            <v>7731207</v>
          </cell>
        </row>
        <row r="1969">
          <cell r="A1969">
            <v>46369207</v>
          </cell>
          <cell r="B1969" t="str">
            <v>1</v>
          </cell>
          <cell r="C1969" t="str">
            <v/>
          </cell>
          <cell r="D1969" t="str">
            <v>NP</v>
          </cell>
          <cell r="E1969" t="str">
            <v>NANCY DEL ROSARIO</v>
          </cell>
          <cell r="F1969" t="str">
            <v>LEON MARTINEZ</v>
          </cell>
          <cell r="G1969" t="str">
            <v>LEON MARTINEZ NANCY DEL  ROSARIO</v>
          </cell>
          <cell r="H1969" t="str">
            <v>RECO</v>
          </cell>
          <cell r="I1969" t="str">
            <v>REGIMEN COMUN</v>
          </cell>
          <cell r="J1969" t="str">
            <v xml:space="preserve"> TV 54 18 30 IN 6 AP 501</v>
          </cell>
          <cell r="K1969" t="str">
            <v>11001</v>
          </cell>
          <cell r="L1969" t="str">
            <v>BOGOTA DC</v>
          </cell>
          <cell r="M1969" t="str">
            <v>3176644557</v>
          </cell>
        </row>
        <row r="1970">
          <cell r="A1970">
            <v>46370689</v>
          </cell>
          <cell r="B1970" t="str">
            <v>8</v>
          </cell>
          <cell r="C1970" t="str">
            <v/>
          </cell>
          <cell r="D1970" t="str">
            <v>NP</v>
          </cell>
          <cell r="E1970" t="str">
            <v>NUBIA ESPERANZA</v>
          </cell>
          <cell r="F1970" t="str">
            <v>CALA PEREZ</v>
          </cell>
          <cell r="G1970" t="str">
            <v>CALA PEREZ NUBIA ESPERANZA</v>
          </cell>
          <cell r="H1970" t="str">
            <v>IMVE</v>
          </cell>
          <cell r="I1970" t="str">
            <v>IMPUESTO SOBRE LAS VENTAS</v>
          </cell>
          <cell r="J1970" t="str">
            <v>CL 19 28 A 20 ED TORRE DE SAN NICOLAS AP 801</v>
          </cell>
          <cell r="K1970" t="str">
            <v>85001</v>
          </cell>
          <cell r="L1970" t="str">
            <v>YOPAL</v>
          </cell>
          <cell r="M1970" t="str">
            <v>3107999678</v>
          </cell>
        </row>
        <row r="1971">
          <cell r="A1971">
            <v>46371897</v>
          </cell>
          <cell r="B1971" t="str">
            <v>8</v>
          </cell>
          <cell r="C1971" t="str">
            <v/>
          </cell>
          <cell r="D1971" t="str">
            <v>NP</v>
          </cell>
          <cell r="E1971" t="str">
            <v>SONNIA FABIOLA</v>
          </cell>
          <cell r="F1971" t="str">
            <v>PINTO RINCON</v>
          </cell>
          <cell r="G1971" t="str">
            <v>PINTO RINCON SONNIA FABIOLA</v>
          </cell>
          <cell r="H1971" t="str">
            <v>RCPN</v>
          </cell>
          <cell r="I1971" t="str">
            <v>RESPONSABLE IVA PERSONA NATURAL</v>
          </cell>
          <cell r="J1971" t="str">
            <v>CL 8 A   24   75</v>
          </cell>
          <cell r="K1971" t="str">
            <v>15759</v>
          </cell>
          <cell r="L1971" t="str">
            <v>SOGAMOSO</v>
          </cell>
          <cell r="M1971" t="str">
            <v>3114880984</v>
          </cell>
        </row>
        <row r="1972">
          <cell r="A1972">
            <v>46373919</v>
          </cell>
          <cell r="B1972" t="str">
            <v>0</v>
          </cell>
          <cell r="C1972" t="str">
            <v/>
          </cell>
          <cell r="D1972" t="str">
            <v>NP</v>
          </cell>
          <cell r="E1972" t="str">
            <v>GLORIA</v>
          </cell>
          <cell r="F1972" t="str">
            <v>RIOS BELTRAN</v>
          </cell>
          <cell r="G1972" t="str">
            <v>RIOS BELTRAN GLORIA</v>
          </cell>
          <cell r="H1972" t="str">
            <v>REOR</v>
          </cell>
          <cell r="I1972" t="str">
            <v>RENTA REGIMEN ORDINARIO</v>
          </cell>
          <cell r="J1972" t="str">
            <v>CL 35 10B 61 BRR LA PRADERA</v>
          </cell>
          <cell r="K1972" t="str">
            <v>17001</v>
          </cell>
          <cell r="L1972" t="str">
            <v>MANIZALES</v>
          </cell>
          <cell r="M1972" t="str">
            <v>3203034497</v>
          </cell>
        </row>
        <row r="1973">
          <cell r="A1973">
            <v>46375058</v>
          </cell>
          <cell r="B1973" t="str">
            <v>3</v>
          </cell>
          <cell r="C1973" t="str">
            <v/>
          </cell>
          <cell r="D1973" t="str">
            <v>NP</v>
          </cell>
          <cell r="E1973" t="str">
            <v>DORY MILENA</v>
          </cell>
          <cell r="F1973" t="str">
            <v>AGUIRRE ALVARADO</v>
          </cell>
          <cell r="G1973" t="str">
            <v>AGUIRRE ALVARADO DORY MILENA</v>
          </cell>
          <cell r="H1973" t="str">
            <v>RECO</v>
          </cell>
          <cell r="I1973" t="str">
            <v>REGIMEN COMUN</v>
          </cell>
          <cell r="J1973" t="str">
            <v>CL 13 16 28</v>
          </cell>
          <cell r="K1973" t="str">
            <v>15238</v>
          </cell>
          <cell r="L1973" t="str">
            <v>DUITAMA</v>
          </cell>
          <cell r="M1973" t="str">
            <v>7620926</v>
          </cell>
        </row>
        <row r="1974">
          <cell r="A1974">
            <v>46375629</v>
          </cell>
          <cell r="B1974" t="str">
            <v/>
          </cell>
          <cell r="C1974" t="str">
            <v/>
          </cell>
          <cell r="D1974" t="str">
            <v>CC</v>
          </cell>
          <cell r="E1974" t="str">
            <v>ELBA</v>
          </cell>
          <cell r="F1974" t="str">
            <v>PEREZ VEGA</v>
          </cell>
          <cell r="G1974" t="str">
            <v>PEREZ VEGA ELBA</v>
          </cell>
          <cell r="H1974" t="str">
            <v>FUNC</v>
          </cell>
          <cell r="I1974" t="str">
            <v>FUNCIONARIO</v>
          </cell>
          <cell r="J1974" t="str">
            <v>CR 10 N 20 48 BRR</v>
          </cell>
          <cell r="K1974" t="str">
            <v>15759</v>
          </cell>
          <cell r="L1974" t="str">
            <v>SOGAMOSO</v>
          </cell>
          <cell r="M1974" t="str">
            <v>3118591255</v>
          </cell>
        </row>
        <row r="1975">
          <cell r="A1975">
            <v>46377074</v>
          </cell>
          <cell r="B1975" t="str">
            <v>0</v>
          </cell>
          <cell r="C1975" t="str">
            <v/>
          </cell>
          <cell r="D1975" t="str">
            <v>NP</v>
          </cell>
          <cell r="E1975" t="str">
            <v>JOHANA PATRICIA</v>
          </cell>
          <cell r="F1975" t="str">
            <v>ACEVEDO CAMARGO</v>
          </cell>
          <cell r="G1975" t="str">
            <v>ACEVEDO CAMARGO JOHANA PATRICIA</v>
          </cell>
          <cell r="H1975" t="str">
            <v>IMVE</v>
          </cell>
          <cell r="I1975" t="str">
            <v>IMPUESTO SOBRE LAS VENTAS</v>
          </cell>
          <cell r="J1975" t="str">
            <v>CR 10 A 43 135</v>
          </cell>
          <cell r="K1975" t="str">
            <v>15759</v>
          </cell>
          <cell r="L1975" t="str">
            <v>SOGAMOSO</v>
          </cell>
          <cell r="M1975" t="str">
            <v>3112339353</v>
          </cell>
        </row>
        <row r="1976">
          <cell r="A1976">
            <v>46383248</v>
          </cell>
          <cell r="B1976" t="str">
            <v>1</v>
          </cell>
          <cell r="C1976" t="str">
            <v/>
          </cell>
          <cell r="D1976" t="str">
            <v>NP</v>
          </cell>
          <cell r="E1976" t="str">
            <v>LINA YESMIN</v>
          </cell>
          <cell r="F1976" t="str">
            <v>ALARCON LOPEZ</v>
          </cell>
          <cell r="G1976" t="str">
            <v>ALARCON LOPEZ LINA YESMIN</v>
          </cell>
          <cell r="H1976" t="str">
            <v>RESI</v>
          </cell>
          <cell r="I1976" t="str">
            <v>REGIMEN SIMPLIFICADO</v>
          </cell>
          <cell r="J1976" t="str">
            <v>CL 20 10 30</v>
          </cell>
          <cell r="K1976" t="str">
            <v>15759</v>
          </cell>
          <cell r="L1976" t="str">
            <v>SOGAMOSO</v>
          </cell>
          <cell r="M1976" t="str">
            <v>3142457894</v>
          </cell>
        </row>
        <row r="1977">
          <cell r="A1977">
            <v>46383557</v>
          </cell>
          <cell r="B1977" t="str">
            <v>0</v>
          </cell>
          <cell r="C1977" t="str">
            <v/>
          </cell>
          <cell r="D1977" t="str">
            <v>NP</v>
          </cell>
          <cell r="E1977" t="str">
            <v>ZULMA CAROLINA</v>
          </cell>
          <cell r="F1977" t="str">
            <v>CARVAJAL CELY</v>
          </cell>
          <cell r="G1977" t="str">
            <v>CARVAJAL CELY ZULMA CAROLINA</v>
          </cell>
          <cell r="H1977" t="str">
            <v>RECO</v>
          </cell>
          <cell r="I1977" t="str">
            <v>REGIMEN COMUN</v>
          </cell>
          <cell r="J1977" t="str">
            <v>CL 11 18 40</v>
          </cell>
          <cell r="K1977" t="str">
            <v>15516</v>
          </cell>
          <cell r="L1977" t="str">
            <v>PAIPA</v>
          </cell>
          <cell r="M1977" t="str">
            <v>3123794030</v>
          </cell>
        </row>
        <row r="1978">
          <cell r="A1978">
            <v>46384823</v>
          </cell>
          <cell r="B1978" t="str">
            <v/>
          </cell>
          <cell r="C1978" t="str">
            <v/>
          </cell>
          <cell r="D1978" t="str">
            <v>CC</v>
          </cell>
          <cell r="E1978" t="str">
            <v>YAQUELINE</v>
          </cell>
          <cell r="F1978" t="str">
            <v>CARDENAS BOTIA</v>
          </cell>
          <cell r="G1978" t="str">
            <v>CARDENAS BOTIA YAQUELINE</v>
          </cell>
          <cell r="H1978" t="str">
            <v>FUNC</v>
          </cell>
          <cell r="I1978" t="str">
            <v>FUNCIONARIO</v>
          </cell>
          <cell r="J1978" t="str">
            <v>CR 9 N 31 A 31 CONJ CANDELARIA NORTE</v>
          </cell>
          <cell r="K1978" t="str">
            <v>15759</v>
          </cell>
          <cell r="L1978" t="str">
            <v>SOGAMOSO</v>
          </cell>
          <cell r="M1978" t="str">
            <v>3134839563</v>
          </cell>
        </row>
        <row r="1979">
          <cell r="A1979">
            <v>46385244</v>
          </cell>
          <cell r="B1979" t="str">
            <v/>
          </cell>
          <cell r="C1979" t="str">
            <v/>
          </cell>
          <cell r="D1979" t="str">
            <v>CC</v>
          </cell>
          <cell r="E1979" t="str">
            <v>SARA ELIZABETH</v>
          </cell>
          <cell r="F1979" t="str">
            <v>MERCHAN CARVAJAL</v>
          </cell>
          <cell r="G1979" t="str">
            <v>MERCHAN CARVAJAL SARA ELIZABETH</v>
          </cell>
          <cell r="H1979" t="str">
            <v>FUNC</v>
          </cell>
          <cell r="I1979" t="str">
            <v>FUNCIONARIO</v>
          </cell>
          <cell r="J1979" t="str">
            <v>CL 34 A 10 C 37</v>
          </cell>
          <cell r="K1979" t="str">
            <v>15759</v>
          </cell>
          <cell r="L1979" t="str">
            <v>SOGAMOSO</v>
          </cell>
          <cell r="M1979" t="str">
            <v>3228370481</v>
          </cell>
        </row>
        <row r="1980">
          <cell r="A1980">
            <v>46450765</v>
          </cell>
          <cell r="B1980" t="str">
            <v/>
          </cell>
          <cell r="C1980" t="str">
            <v/>
          </cell>
          <cell r="D1980" t="str">
            <v>CC</v>
          </cell>
          <cell r="E1980" t="str">
            <v>JENNY ESTELA</v>
          </cell>
          <cell r="F1980" t="str">
            <v>PIRAJON</v>
          </cell>
          <cell r="G1980" t="str">
            <v>PIRAJON JENNY ESTELA</v>
          </cell>
          <cell r="H1980" t="str">
            <v>FUNC</v>
          </cell>
          <cell r="I1980" t="str">
            <v>FUNCIONARIO</v>
          </cell>
          <cell r="J1980" t="str">
            <v>CARRERA 17 No 2-110 T5 APARTAMENTO 202 REFUGIO ALAMOS</v>
          </cell>
          <cell r="K1980" t="str">
            <v>15238</v>
          </cell>
          <cell r="L1980" t="str">
            <v>DUITAMA</v>
          </cell>
          <cell r="M1980" t="str">
            <v>3112257537</v>
          </cell>
        </row>
        <row r="1981">
          <cell r="A1981">
            <v>46452056</v>
          </cell>
          <cell r="B1981" t="str">
            <v>9</v>
          </cell>
          <cell r="C1981" t="str">
            <v/>
          </cell>
          <cell r="D1981" t="str">
            <v>NP</v>
          </cell>
          <cell r="E1981" t="str">
            <v>LEIDE SORANY</v>
          </cell>
          <cell r="F1981" t="str">
            <v>CORREA GARCIA</v>
          </cell>
          <cell r="G1981" t="str">
            <v>CORREA GARCIA LEIDE SORANY</v>
          </cell>
          <cell r="H1981" t="str">
            <v>RECO</v>
          </cell>
          <cell r="I1981" t="str">
            <v>REGIMEN COMUN</v>
          </cell>
          <cell r="J1981" t="str">
            <v>CR 18 14 A 12</v>
          </cell>
          <cell r="K1981" t="str">
            <v>15238</v>
          </cell>
          <cell r="L1981" t="str">
            <v>DUITAMA</v>
          </cell>
          <cell r="M1981" t="str">
            <v>3112497567</v>
          </cell>
        </row>
        <row r="1982">
          <cell r="A1982">
            <v>46452280</v>
          </cell>
          <cell r="B1982" t="str">
            <v>2</v>
          </cell>
          <cell r="C1982" t="str">
            <v/>
          </cell>
          <cell r="D1982" t="str">
            <v>NP</v>
          </cell>
          <cell r="E1982" t="str">
            <v>CLAUDIA MILENA</v>
          </cell>
          <cell r="F1982" t="str">
            <v>GUZMAN ROJAS</v>
          </cell>
          <cell r="G1982" t="str">
            <v>GUZMAN ROJAS CLAUDIA MILENA</v>
          </cell>
          <cell r="H1982" t="str">
            <v>IMVE</v>
          </cell>
          <cell r="I1982" t="str">
            <v>IMPUESTO SOBRE LAS VENTAS</v>
          </cell>
          <cell r="J1982" t="str">
            <v>CR 19 14 17</v>
          </cell>
          <cell r="K1982" t="str">
            <v>15238</v>
          </cell>
          <cell r="L1982" t="str">
            <v>DUITAMA</v>
          </cell>
          <cell r="M1982" t="str">
            <v>3203419194</v>
          </cell>
        </row>
        <row r="1983">
          <cell r="A1983">
            <v>46452491</v>
          </cell>
          <cell r="B1983" t="str">
            <v/>
          </cell>
          <cell r="C1983" t="str">
            <v/>
          </cell>
          <cell r="D1983" t="str">
            <v>CC</v>
          </cell>
          <cell r="E1983" t="str">
            <v>DEISY MARIBEL</v>
          </cell>
          <cell r="F1983" t="str">
            <v>BARRERA MALDONADO</v>
          </cell>
          <cell r="G1983" t="str">
            <v>BARRERA MALDONADO DEISY MARIBEL</v>
          </cell>
          <cell r="H1983" t="str">
            <v>RESI</v>
          </cell>
          <cell r="I1983" t="str">
            <v>REGIMEN SIMPLIFICADO</v>
          </cell>
          <cell r="J1983" t="str">
            <v>CL 14 B 5 C 119 BRR AP 501</v>
          </cell>
          <cell r="K1983" t="str">
            <v>15238</v>
          </cell>
          <cell r="L1983" t="str">
            <v>DUITAMA</v>
          </cell>
          <cell r="M1983" t="str">
            <v>3123763805</v>
          </cell>
        </row>
        <row r="1984">
          <cell r="A1984">
            <v>46452625</v>
          </cell>
          <cell r="B1984" t="str">
            <v>1</v>
          </cell>
          <cell r="C1984" t="str">
            <v/>
          </cell>
          <cell r="D1984" t="str">
            <v>NP</v>
          </cell>
          <cell r="E1984" t="str">
            <v>ANGELA CONSTANZA</v>
          </cell>
          <cell r="F1984" t="str">
            <v>REAL GOMEZ</v>
          </cell>
          <cell r="G1984" t="str">
            <v>REAL GOMEZ ANGELA CONSTANZA</v>
          </cell>
          <cell r="H1984" t="str">
            <v>NORE</v>
          </cell>
          <cell r="I1984" t="str">
            <v>NO RESPONSABLE DE IVA</v>
          </cell>
          <cell r="J1984" t="str">
            <v>CL 19 23 33</v>
          </cell>
          <cell r="K1984" t="str">
            <v>15516</v>
          </cell>
          <cell r="L1984" t="str">
            <v>PAIPA</v>
          </cell>
          <cell r="M1984" t="str">
            <v>3005714028</v>
          </cell>
        </row>
        <row r="1985">
          <cell r="A1985">
            <v>46453391</v>
          </cell>
          <cell r="B1985" t="str">
            <v/>
          </cell>
          <cell r="C1985" t="str">
            <v/>
          </cell>
          <cell r="D1985" t="str">
            <v>CC</v>
          </cell>
          <cell r="E1985" t="str">
            <v>BLANCA NINEYE</v>
          </cell>
          <cell r="F1985" t="str">
            <v>BARRERA HIGUERA</v>
          </cell>
          <cell r="G1985" t="str">
            <v>BARRERA HIGUERA BLANCA NINEYE</v>
          </cell>
          <cell r="H1985" t="str">
            <v>FUNC</v>
          </cell>
          <cell r="I1985" t="str">
            <v>FUNCIONARIO</v>
          </cell>
          <cell r="J1985" t="str">
            <v>CL 18 A 1 64</v>
          </cell>
          <cell r="K1985" t="str">
            <v>15516</v>
          </cell>
          <cell r="L1985" t="str">
            <v>PAIPA</v>
          </cell>
          <cell r="M1985" t="str">
            <v>3123619867</v>
          </cell>
        </row>
        <row r="1986">
          <cell r="A1986">
            <v>46453586</v>
          </cell>
          <cell r="B1986" t="str">
            <v/>
          </cell>
          <cell r="C1986" t="str">
            <v/>
          </cell>
          <cell r="D1986" t="str">
            <v>CC</v>
          </cell>
          <cell r="E1986" t="str">
            <v>LUZ MARINA</v>
          </cell>
          <cell r="F1986" t="str">
            <v>CARDENAS GIL</v>
          </cell>
          <cell r="G1986" t="str">
            <v>CARDENAS GIL LUZ MARINA</v>
          </cell>
          <cell r="H1986" t="str">
            <v>FUNC</v>
          </cell>
          <cell r="I1986" t="str">
            <v>FUNCIONARIO</v>
          </cell>
          <cell r="J1986" t="str">
            <v>CR 5   14 B 67</v>
          </cell>
          <cell r="K1986" t="str">
            <v>15516</v>
          </cell>
          <cell r="L1986" t="str">
            <v>PAIPA</v>
          </cell>
          <cell r="M1986" t="str">
            <v>3148909494</v>
          </cell>
        </row>
        <row r="1987">
          <cell r="A1987">
            <v>46453602</v>
          </cell>
          <cell r="B1987" t="str">
            <v>5</v>
          </cell>
          <cell r="C1987" t="str">
            <v/>
          </cell>
          <cell r="D1987" t="str">
            <v>NP</v>
          </cell>
          <cell r="E1987" t="str">
            <v>ALBA MARISOL</v>
          </cell>
          <cell r="F1987" t="str">
            <v>MURCIA REYES</v>
          </cell>
          <cell r="G1987" t="str">
            <v>MURCIA REYES ALBA MARISOL</v>
          </cell>
          <cell r="H1987" t="str">
            <v>REOR</v>
          </cell>
          <cell r="I1987" t="str">
            <v>RENTA REGIMEN ORDINARIO</v>
          </cell>
          <cell r="J1987" t="str">
            <v>CL17 6 30 P 2</v>
          </cell>
          <cell r="K1987" t="str">
            <v>15238</v>
          </cell>
          <cell r="L1987" t="str">
            <v>DUITAMA</v>
          </cell>
          <cell r="M1987" t="str">
            <v>3133770743</v>
          </cell>
        </row>
        <row r="1988">
          <cell r="A1988">
            <v>46453671</v>
          </cell>
          <cell r="B1988" t="str">
            <v>3</v>
          </cell>
          <cell r="C1988" t="str">
            <v/>
          </cell>
          <cell r="D1988" t="str">
            <v>NP</v>
          </cell>
          <cell r="E1988" t="str">
            <v>DIANA MARCELA</v>
          </cell>
          <cell r="F1988" t="str">
            <v>FLECHAS AMEZQUITA</v>
          </cell>
          <cell r="G1988" t="str">
            <v>FLECHAS AMEZQUITA DIANA MARCELA</v>
          </cell>
          <cell r="H1988" t="str">
            <v>NORE</v>
          </cell>
          <cell r="I1988" t="str">
            <v>NO RESPONSABLE DE IVA</v>
          </cell>
          <cell r="J1988" t="str">
            <v>CL 9 C 30 42</v>
          </cell>
          <cell r="K1988" t="str">
            <v>15238</v>
          </cell>
          <cell r="L1988" t="str">
            <v>DUITAMA</v>
          </cell>
          <cell r="M1988" t="str">
            <v>3012270419</v>
          </cell>
        </row>
        <row r="1989">
          <cell r="A1989">
            <v>46454186</v>
          </cell>
          <cell r="B1989" t="str">
            <v>7</v>
          </cell>
          <cell r="C1989" t="str">
            <v/>
          </cell>
          <cell r="D1989" t="str">
            <v>NP</v>
          </cell>
          <cell r="E1989" t="str">
            <v>DORELY</v>
          </cell>
          <cell r="F1989" t="str">
            <v>BECERRA QUIJANO</v>
          </cell>
          <cell r="G1989" t="str">
            <v>BECERRA QUIJANO DORELY</v>
          </cell>
          <cell r="H1989" t="str">
            <v>RECO</v>
          </cell>
          <cell r="I1989" t="str">
            <v>REGIMEN COMUN</v>
          </cell>
          <cell r="J1989" t="str">
            <v>CR 19 16 45</v>
          </cell>
          <cell r="K1989" t="str">
            <v>15238</v>
          </cell>
          <cell r="L1989" t="str">
            <v>DUITAMA</v>
          </cell>
          <cell r="M1989" t="str">
            <v>3208542651</v>
          </cell>
        </row>
        <row r="1990">
          <cell r="A1990">
            <v>46454937</v>
          </cell>
          <cell r="B1990" t="str">
            <v>1</v>
          </cell>
          <cell r="C1990" t="str">
            <v/>
          </cell>
          <cell r="D1990" t="str">
            <v>NP</v>
          </cell>
          <cell r="E1990" t="str">
            <v>DIANA MARCELA</v>
          </cell>
          <cell r="F1990" t="str">
            <v>GUAJE NITOLA</v>
          </cell>
          <cell r="G1990" t="str">
            <v>GUAJE NITOLA DIANA MARCELA</v>
          </cell>
          <cell r="H1990" t="str">
            <v>RESI</v>
          </cell>
          <cell r="I1990" t="str">
            <v>REGIMEN SIMPLIFICADO</v>
          </cell>
          <cell r="J1990" t="str">
            <v>CL 15  17 54 P 2  OF 201</v>
          </cell>
          <cell r="K1990" t="str">
            <v>15238</v>
          </cell>
          <cell r="L1990" t="str">
            <v>DUITAMA</v>
          </cell>
          <cell r="M1990" t="str">
            <v>46454937</v>
          </cell>
        </row>
        <row r="1991">
          <cell r="A1991">
            <v>46454954</v>
          </cell>
          <cell r="B1991" t="str">
            <v>7</v>
          </cell>
          <cell r="C1991" t="str">
            <v/>
          </cell>
          <cell r="D1991" t="str">
            <v>NP</v>
          </cell>
          <cell r="E1991" t="str">
            <v>DIANA CAROL</v>
          </cell>
          <cell r="F1991" t="str">
            <v>PAMPLONA RINCON</v>
          </cell>
          <cell r="G1991" t="str">
            <v>PAMPLONA RINCON DIANA CAROL</v>
          </cell>
          <cell r="H1991" t="str">
            <v>RECO</v>
          </cell>
          <cell r="I1991" t="str">
            <v>REGIMEN COMUN</v>
          </cell>
          <cell r="J1991" t="str">
            <v>CR 19   12 A 22 LC</v>
          </cell>
          <cell r="K1991" t="str">
            <v>15238</v>
          </cell>
          <cell r="L1991" t="str">
            <v>DUITAMA</v>
          </cell>
          <cell r="M1991" t="str">
            <v>3115321415</v>
          </cell>
        </row>
        <row r="1992">
          <cell r="A1992">
            <v>46455572</v>
          </cell>
          <cell r="B1992" t="str">
            <v/>
          </cell>
          <cell r="C1992" t="str">
            <v/>
          </cell>
          <cell r="D1992" t="str">
            <v>CC</v>
          </cell>
          <cell r="E1992" t="str">
            <v>LIDA VIVIANA</v>
          </cell>
          <cell r="F1992" t="str">
            <v>MARQUEZ ESPEJO</v>
          </cell>
          <cell r="G1992" t="str">
            <v>MARQUEZ ESPEJO LIDA VIVIANA</v>
          </cell>
          <cell r="H1992" t="str">
            <v>FUNC</v>
          </cell>
          <cell r="I1992" t="str">
            <v>FUNCIONARIO</v>
          </cell>
          <cell r="J1992" t="str">
            <v>VEREDA PUENTE DE LA BALSA DUITAMA</v>
          </cell>
          <cell r="K1992" t="str">
            <v>15516</v>
          </cell>
          <cell r="L1992" t="str">
            <v>PAIPA</v>
          </cell>
          <cell r="M1992" t="str">
            <v>3103414788</v>
          </cell>
        </row>
        <row r="1993">
          <cell r="A1993">
            <v>46455779</v>
          </cell>
          <cell r="B1993" t="str">
            <v/>
          </cell>
          <cell r="C1993" t="str">
            <v/>
          </cell>
          <cell r="D1993" t="str">
            <v>CC</v>
          </cell>
          <cell r="E1993" t="str">
            <v>MAIRA YULY</v>
          </cell>
          <cell r="F1993" t="str">
            <v>ACEVEDO SOCHA</v>
          </cell>
          <cell r="G1993" t="str">
            <v>ACEVEDO SOCHA MAIRA YULY</v>
          </cell>
          <cell r="H1993" t="str">
            <v>FUNC</v>
          </cell>
          <cell r="I1993" t="str">
            <v>FUNCIONARIO</v>
          </cell>
          <cell r="J1993" t="str">
            <v>CARRERA 17A No 28-27 DUITAMA</v>
          </cell>
          <cell r="K1993" t="str">
            <v>15238</v>
          </cell>
          <cell r="L1993" t="str">
            <v>DUITAMA</v>
          </cell>
          <cell r="M1993" t="str">
            <v>3103173306</v>
          </cell>
        </row>
        <row r="1994">
          <cell r="A1994">
            <v>46457143</v>
          </cell>
          <cell r="B1994" t="str">
            <v>4</v>
          </cell>
          <cell r="C1994" t="str">
            <v/>
          </cell>
          <cell r="D1994" t="str">
            <v>NP</v>
          </cell>
          <cell r="E1994" t="str">
            <v>ANGELA YOHANA</v>
          </cell>
          <cell r="F1994" t="str">
            <v>NONTOA CAMARGO</v>
          </cell>
          <cell r="G1994" t="str">
            <v>NONTOA CAMARGO ANGELA YOHANA</v>
          </cell>
          <cell r="H1994" t="str">
            <v>RESI</v>
          </cell>
          <cell r="I1994" t="str">
            <v>REGIMEN SIMPLIFICADO</v>
          </cell>
          <cell r="J1994" t="str">
            <v>CL 13 18 15</v>
          </cell>
          <cell r="K1994" t="str">
            <v>15238</v>
          </cell>
          <cell r="L1994" t="str">
            <v>DUITAMA</v>
          </cell>
          <cell r="M1994" t="str">
            <v>3115465295</v>
          </cell>
        </row>
        <row r="1995">
          <cell r="A1995">
            <v>46457273</v>
          </cell>
          <cell r="B1995" t="str">
            <v>3</v>
          </cell>
          <cell r="C1995" t="str">
            <v/>
          </cell>
          <cell r="D1995" t="str">
            <v>NP</v>
          </cell>
          <cell r="E1995" t="str">
            <v>LEYDI VIVIANA</v>
          </cell>
          <cell r="F1995" t="str">
            <v>GARCIA VALENCIA</v>
          </cell>
          <cell r="G1995" t="str">
            <v>GARCIA VALENCIA LEYDI VIVIANA</v>
          </cell>
          <cell r="H1995" t="str">
            <v>RESI</v>
          </cell>
          <cell r="I1995" t="str">
            <v>REGIMEN SIMPLIFICADO</v>
          </cell>
          <cell r="J1995" t="str">
            <v>CL 4 10 04</v>
          </cell>
          <cell r="K1995" t="str">
            <v>15238</v>
          </cell>
          <cell r="L1995" t="str">
            <v>DUITAMA</v>
          </cell>
          <cell r="M1995" t="str">
            <v>3143180903</v>
          </cell>
        </row>
        <row r="1996">
          <cell r="A1996">
            <v>46666336</v>
          </cell>
          <cell r="B1996" t="str">
            <v>5</v>
          </cell>
          <cell r="C1996" t="str">
            <v/>
          </cell>
          <cell r="D1996" t="str">
            <v>NP</v>
          </cell>
          <cell r="E1996" t="str">
            <v>MARTHA LUCIA</v>
          </cell>
          <cell r="F1996" t="str">
            <v>JAIME BUITRAGO</v>
          </cell>
          <cell r="G1996" t="str">
            <v>JAIME BUITRAGO MARTHA LUCIA</v>
          </cell>
          <cell r="H1996" t="str">
            <v>NORE</v>
          </cell>
          <cell r="I1996" t="str">
            <v>NO RESPONSABLE DE IVA</v>
          </cell>
          <cell r="J1996" t="str">
            <v>CALLE 17 12 BARRIO LIBERTADORES</v>
          </cell>
          <cell r="K1996" t="str">
            <v>94001</v>
          </cell>
          <cell r="L1996" t="str">
            <v>INÍRIDA</v>
          </cell>
          <cell r="M1996" t="str">
            <v>3105634487</v>
          </cell>
        </row>
        <row r="1997">
          <cell r="A1997">
            <v>46666521</v>
          </cell>
          <cell r="B1997" t="str">
            <v>1</v>
          </cell>
          <cell r="C1997" t="str">
            <v/>
          </cell>
          <cell r="D1997" t="str">
            <v>NP</v>
          </cell>
          <cell r="E1997" t="str">
            <v>MARTHA EMILIA</v>
          </cell>
          <cell r="F1997" t="str">
            <v>GIL TELLEZ</v>
          </cell>
          <cell r="G1997" t="str">
            <v>GIL TELLEZ MARTHA EMILIA</v>
          </cell>
          <cell r="H1997" t="str">
            <v>NORE</v>
          </cell>
          <cell r="I1997" t="str">
            <v>NO RESPONSABLE DE IVA</v>
          </cell>
          <cell r="J1997" t="str">
            <v>CL 24 5 A 53 BRR LAS NIEVES</v>
          </cell>
          <cell r="K1997" t="str">
            <v>15001</v>
          </cell>
          <cell r="L1997" t="str">
            <v>TUNJA</v>
          </cell>
          <cell r="M1997" t="str">
            <v>3137689981</v>
          </cell>
        </row>
        <row r="1998">
          <cell r="A1998">
            <v>46667457</v>
          </cell>
          <cell r="B1998" t="str">
            <v>2</v>
          </cell>
          <cell r="C1998" t="str">
            <v/>
          </cell>
          <cell r="D1998" t="str">
            <v>NP</v>
          </cell>
          <cell r="E1998" t="str">
            <v>LIGIA ESTELLA</v>
          </cell>
          <cell r="F1998" t="str">
            <v>VIVAS SILVA</v>
          </cell>
          <cell r="G1998" t="str">
            <v>VIVAS SILVA LIGIA ESTELLA</v>
          </cell>
          <cell r="H1998" t="str">
            <v>IMVE</v>
          </cell>
          <cell r="I1998" t="str">
            <v>IMPUESTO SOBRE LAS VENTAS</v>
          </cell>
          <cell r="J1998" t="str">
            <v xml:space="preserve"> CR 42 13 143</v>
          </cell>
          <cell r="K1998" t="str">
            <v>15238</v>
          </cell>
          <cell r="L1998" t="str">
            <v>DUITAMA</v>
          </cell>
          <cell r="M1998" t="str">
            <v>3108840155</v>
          </cell>
        </row>
        <row r="1999">
          <cell r="A1999">
            <v>46667990</v>
          </cell>
          <cell r="B1999" t="str">
            <v>7</v>
          </cell>
          <cell r="C1999" t="str">
            <v/>
          </cell>
          <cell r="D1999" t="str">
            <v>NP</v>
          </cell>
          <cell r="E1999" t="str">
            <v>GLORIA ANTONIA</v>
          </cell>
          <cell r="F1999" t="str">
            <v>SILVA HOLGUIN</v>
          </cell>
          <cell r="G1999" t="str">
            <v>SILVA HOLGUIN GLORIA ANTONIA</v>
          </cell>
          <cell r="H1999" t="str">
            <v>RESI</v>
          </cell>
          <cell r="I1999" t="str">
            <v>REGIMEN SIMPLIFICADO</v>
          </cell>
          <cell r="J1999" t="str">
            <v>AV CIRCUNVALAR 10 48</v>
          </cell>
          <cell r="K1999" t="str">
            <v>15238</v>
          </cell>
          <cell r="L1999" t="str">
            <v>DUITAMA</v>
          </cell>
          <cell r="M1999" t="str">
            <v>7603334</v>
          </cell>
        </row>
        <row r="2000">
          <cell r="A2000">
            <v>46668507</v>
          </cell>
          <cell r="B2000" t="str">
            <v>7</v>
          </cell>
          <cell r="C2000" t="str">
            <v/>
          </cell>
          <cell r="D2000" t="str">
            <v>NP</v>
          </cell>
          <cell r="E2000" t="str">
            <v>ANA PATRICIA</v>
          </cell>
          <cell r="F2000" t="str">
            <v>PULIDO BARON</v>
          </cell>
          <cell r="G2000" t="str">
            <v>PULIDO BARON ANA PATRICIA</v>
          </cell>
          <cell r="H2000" t="str">
            <v>RESI</v>
          </cell>
          <cell r="I2000" t="str">
            <v>REGIMEN SIMPLIFICADO</v>
          </cell>
          <cell r="J2000" t="str">
            <v>CR   23   11</v>
          </cell>
          <cell r="K2000" t="str">
            <v>15238</v>
          </cell>
          <cell r="L2000" t="str">
            <v>DUITAMA</v>
          </cell>
          <cell r="M2000" t="str">
            <v>7631890</v>
          </cell>
        </row>
        <row r="2001">
          <cell r="A2001">
            <v>46669080</v>
          </cell>
          <cell r="B2001" t="str">
            <v>9</v>
          </cell>
          <cell r="C2001" t="str">
            <v/>
          </cell>
          <cell r="D2001" t="str">
            <v>NP</v>
          </cell>
          <cell r="E2001" t="str">
            <v>OFELIA</v>
          </cell>
          <cell r="F2001" t="str">
            <v>CIENDUA GIL</v>
          </cell>
          <cell r="G2001" t="str">
            <v>CIENDUA GIL OFELIA</v>
          </cell>
          <cell r="H2001" t="str">
            <v>FUNC</v>
          </cell>
          <cell r="I2001" t="str">
            <v>FUNCIONARIO</v>
          </cell>
          <cell r="J2001" t="str">
            <v>CL 11 36 19 AP 302</v>
          </cell>
          <cell r="K2001" t="str">
            <v>15238</v>
          </cell>
          <cell r="L2001" t="str">
            <v>DUITAMA</v>
          </cell>
          <cell r="M2001" t="str">
            <v>3007840024</v>
          </cell>
        </row>
        <row r="2002">
          <cell r="A2002">
            <v>46670747</v>
          </cell>
          <cell r="B2002" t="str">
            <v>4</v>
          </cell>
          <cell r="C2002" t="str">
            <v/>
          </cell>
          <cell r="D2002" t="str">
            <v>NP</v>
          </cell>
          <cell r="E2002" t="str">
            <v>MARIA NELLY</v>
          </cell>
          <cell r="F2002" t="str">
            <v>PARADA</v>
          </cell>
          <cell r="G2002" t="str">
            <v>PARADA MARIA NELLY</v>
          </cell>
          <cell r="H2002" t="str">
            <v>NORE</v>
          </cell>
          <cell r="I2002" t="str">
            <v>NO RESPONSABLE DE IVA</v>
          </cell>
          <cell r="J2002" t="str">
            <v>CR 35 2 W 179 BRR HIGUERAS</v>
          </cell>
          <cell r="K2002" t="str">
            <v>15238</v>
          </cell>
          <cell r="L2002" t="str">
            <v>DUITAMA</v>
          </cell>
          <cell r="M2002" t="str">
            <v>7624113</v>
          </cell>
        </row>
        <row r="2003">
          <cell r="A2003">
            <v>46671420</v>
          </cell>
          <cell r="B2003" t="str">
            <v>6</v>
          </cell>
          <cell r="C2003" t="str">
            <v/>
          </cell>
          <cell r="D2003" t="str">
            <v>NP</v>
          </cell>
          <cell r="E2003" t="str">
            <v>ANGELA</v>
          </cell>
          <cell r="F2003" t="str">
            <v>RUBIANO CASTAÑEDA</v>
          </cell>
          <cell r="G2003" t="str">
            <v>RUBIANO CASTAÑEDA ANGELA/ ELECTRONICOS EL TRANSISTOR</v>
          </cell>
          <cell r="H2003" t="str">
            <v>RCPN</v>
          </cell>
          <cell r="I2003" t="str">
            <v>RESPONSABLE IVA PERSONA NATURAL</v>
          </cell>
          <cell r="J2003" t="str">
            <v xml:space="preserve">CR 16 N  13   14                       </v>
          </cell>
          <cell r="K2003" t="str">
            <v>15238</v>
          </cell>
          <cell r="L2003" t="str">
            <v>DUITAMA</v>
          </cell>
          <cell r="M2003" t="str">
            <v>7603949</v>
          </cell>
        </row>
        <row r="2004">
          <cell r="A2004">
            <v>46671613</v>
          </cell>
          <cell r="B2004" t="str">
            <v>0</v>
          </cell>
          <cell r="C2004" t="str">
            <v/>
          </cell>
          <cell r="D2004" t="str">
            <v>NP</v>
          </cell>
          <cell r="E2004" t="str">
            <v>ANDREA YALILE</v>
          </cell>
          <cell r="F2004" t="str">
            <v>PEREZ SANDOVAL</v>
          </cell>
          <cell r="G2004" t="str">
            <v>PEREZ SANDOVAL ANDREA YALILE</v>
          </cell>
          <cell r="H2004" t="str">
            <v>IMVE</v>
          </cell>
          <cell r="I2004" t="str">
            <v>IMPUESTO SOBRE LAS VENTAS</v>
          </cell>
          <cell r="J2004" t="str">
            <v>CR 19 10 42</v>
          </cell>
          <cell r="K2004" t="str">
            <v>15238</v>
          </cell>
          <cell r="L2004" t="str">
            <v>DUITAMA</v>
          </cell>
          <cell r="M2004" t="str">
            <v>3115359966</v>
          </cell>
        </row>
        <row r="2005">
          <cell r="A2005">
            <v>46671770</v>
          </cell>
          <cell r="B2005" t="str">
            <v/>
          </cell>
          <cell r="C2005" t="str">
            <v/>
          </cell>
          <cell r="D2005" t="str">
            <v>CC</v>
          </cell>
          <cell r="E2005" t="str">
            <v>CARMEN LUCIA</v>
          </cell>
          <cell r="F2005" t="str">
            <v>GIL CHIQUILLO</v>
          </cell>
          <cell r="G2005" t="str">
            <v>GIL CHIQUILLO CARMEN LUCIA</v>
          </cell>
          <cell r="H2005" t="str">
            <v>FUNC</v>
          </cell>
          <cell r="I2005" t="str">
            <v>FUNCIONARIO</v>
          </cell>
          <cell r="J2005" t="str">
            <v>SIN DIRECCI¿N</v>
          </cell>
          <cell r="K2005" t="str">
            <v>17001</v>
          </cell>
          <cell r="L2005" t="str">
            <v>MANIZALES</v>
          </cell>
          <cell r="M2005" t="str">
            <v>0000</v>
          </cell>
        </row>
        <row r="2006">
          <cell r="A2006">
            <v>46672145</v>
          </cell>
          <cell r="B2006" t="str">
            <v>1</v>
          </cell>
          <cell r="C2006" t="str">
            <v/>
          </cell>
          <cell r="D2006" t="str">
            <v>NP</v>
          </cell>
          <cell r="E2006" t="str">
            <v>GLORIA PATRICIA</v>
          </cell>
          <cell r="F2006" t="str">
            <v>TORRES CHAPARRO</v>
          </cell>
          <cell r="G2006" t="str">
            <v>TORRES CHAPARRO GLORIA PATRICIA</v>
          </cell>
          <cell r="H2006" t="str">
            <v>RECO</v>
          </cell>
          <cell r="I2006" t="str">
            <v>REGIMEN COMUN</v>
          </cell>
          <cell r="J2006" t="str">
            <v>CR 19 13 73</v>
          </cell>
          <cell r="K2006" t="str">
            <v>15238</v>
          </cell>
          <cell r="L2006" t="str">
            <v>DUITAMA</v>
          </cell>
          <cell r="M2006" t="str">
            <v>7602873</v>
          </cell>
        </row>
        <row r="2007">
          <cell r="A2007">
            <v>46673770</v>
          </cell>
          <cell r="B2007" t="str">
            <v/>
          </cell>
          <cell r="C2007" t="str">
            <v/>
          </cell>
          <cell r="D2007" t="str">
            <v>CC</v>
          </cell>
          <cell r="E2007" t="str">
            <v>CARMEN LUCIA</v>
          </cell>
          <cell r="F2007" t="str">
            <v>GIL CHIQUILLO</v>
          </cell>
          <cell r="G2007" t="str">
            <v>GIL CHIQUILLO CARMEN LUCIA</v>
          </cell>
          <cell r="H2007" t="str">
            <v>FUNC</v>
          </cell>
          <cell r="I2007" t="str">
            <v>FUNCIONARIO</v>
          </cell>
          <cell r="J2007" t="str">
            <v>CALLE 9C No 33-07</v>
          </cell>
          <cell r="K2007" t="str">
            <v>15238</v>
          </cell>
          <cell r="L2007" t="str">
            <v>DUITAMA</v>
          </cell>
          <cell r="M2007" t="str">
            <v>3107943471</v>
          </cell>
        </row>
        <row r="2008">
          <cell r="A2008">
            <v>46673798</v>
          </cell>
          <cell r="B2008" t="str">
            <v>3</v>
          </cell>
          <cell r="C2008" t="str">
            <v/>
          </cell>
          <cell r="D2008" t="str">
            <v>NP</v>
          </cell>
          <cell r="E2008" t="str">
            <v>ELISABETH</v>
          </cell>
          <cell r="F2008" t="str">
            <v>RAMIREZ MERCHAN</v>
          </cell>
          <cell r="G2008" t="str">
            <v>RAMIREZ MERCHAN ELISABETH</v>
          </cell>
          <cell r="H2008" t="str">
            <v>IMVE</v>
          </cell>
          <cell r="I2008" t="str">
            <v>IMPUESTO SOBRE LAS VENTAS</v>
          </cell>
          <cell r="J2008" t="str">
            <v>CR 14 13 72</v>
          </cell>
          <cell r="K2008" t="str">
            <v>17001</v>
          </cell>
          <cell r="L2008" t="str">
            <v>MANIZALES</v>
          </cell>
          <cell r="M2008" t="str">
            <v>3007770298</v>
          </cell>
        </row>
        <row r="2009">
          <cell r="A2009">
            <v>46673819</v>
          </cell>
          <cell r="B2009" t="str">
            <v/>
          </cell>
          <cell r="C2009" t="str">
            <v/>
          </cell>
          <cell r="D2009" t="str">
            <v>CC</v>
          </cell>
          <cell r="E2009" t="str">
            <v>LIDA ESPERANZA</v>
          </cell>
          <cell r="F2009" t="str">
            <v>PEDRAZA CUEVAS</v>
          </cell>
          <cell r="G2009" t="str">
            <v>PEDRAZA CUEVAS LIDA ESPERANZA</v>
          </cell>
          <cell r="H2009" t="str">
            <v>FUNC</v>
          </cell>
          <cell r="I2009" t="str">
            <v>FUNCIONARIO</v>
          </cell>
          <cell r="J2009" t="str">
            <v>CON CHITICUY</v>
          </cell>
          <cell r="K2009" t="str">
            <v>17001</v>
          </cell>
          <cell r="L2009" t="str">
            <v>MANIZALES</v>
          </cell>
          <cell r="M2009" t="str">
            <v>7613262</v>
          </cell>
        </row>
        <row r="2010">
          <cell r="A2010">
            <v>46674362</v>
          </cell>
          <cell r="B2010" t="str">
            <v>0</v>
          </cell>
          <cell r="C2010" t="str">
            <v/>
          </cell>
          <cell r="D2010" t="str">
            <v>NP</v>
          </cell>
          <cell r="E2010" t="str">
            <v>AURORA CECILIA</v>
          </cell>
          <cell r="F2010" t="str">
            <v>ROJAS LOPEZ</v>
          </cell>
          <cell r="G2010" t="str">
            <v>ROJAS LOPEZ AURORA CECILIA</v>
          </cell>
          <cell r="H2010" t="str">
            <v>RESI</v>
          </cell>
          <cell r="I2010" t="str">
            <v>REGIMEN SIMPLIFICADO</v>
          </cell>
          <cell r="J2010" t="str">
            <v>CR 17   10   37</v>
          </cell>
          <cell r="K2010" t="str">
            <v>15238</v>
          </cell>
          <cell r="L2010" t="str">
            <v>DUITAMA</v>
          </cell>
          <cell r="M2010" t="str">
            <v>3142673951</v>
          </cell>
        </row>
        <row r="2011">
          <cell r="A2011">
            <v>46674831</v>
          </cell>
          <cell r="B2011" t="str">
            <v>3</v>
          </cell>
          <cell r="C2011" t="str">
            <v/>
          </cell>
          <cell r="D2011" t="str">
            <v>NP</v>
          </cell>
          <cell r="E2011" t="str">
            <v>ANDREA CAROLINA</v>
          </cell>
          <cell r="F2011" t="str">
            <v>SANABRIA ROJAS</v>
          </cell>
          <cell r="G2011" t="str">
            <v>SANABRIA ROJAS ANDREA CAROLINA</v>
          </cell>
          <cell r="H2011" t="str">
            <v>RESI</v>
          </cell>
          <cell r="I2011" t="str">
            <v>REGIMEN SIMPLIFICADO</v>
          </cell>
          <cell r="J2011" t="str">
            <v>CR 17 19 01</v>
          </cell>
          <cell r="K2011" t="str">
            <v>15238</v>
          </cell>
          <cell r="L2011" t="str">
            <v>DUITAMA</v>
          </cell>
          <cell r="M2011" t="str">
            <v>3105531973</v>
          </cell>
        </row>
        <row r="2012">
          <cell r="A2012">
            <v>46679770</v>
          </cell>
          <cell r="B2012" t="str">
            <v/>
          </cell>
          <cell r="C2012" t="str">
            <v/>
          </cell>
          <cell r="D2012" t="str">
            <v>CC</v>
          </cell>
          <cell r="E2012" t="str">
            <v>CARMEN LUCIA</v>
          </cell>
          <cell r="F2012" t="str">
            <v>GIL CHIQUILLO</v>
          </cell>
          <cell r="G2012" t="str">
            <v>GIL CHIQUILLO CARMEN LUCIA</v>
          </cell>
          <cell r="H2012" t="str">
            <v>FUNC</v>
          </cell>
          <cell r="I2012" t="str">
            <v>FUNCIONARIO</v>
          </cell>
          <cell r="J2012" t="str">
            <v>CALLE 9C No 33-07</v>
          </cell>
          <cell r="K2012" t="str">
            <v>15516</v>
          </cell>
          <cell r="L2012" t="str">
            <v>PAIPA</v>
          </cell>
          <cell r="M2012" t="str">
            <v>3107943471</v>
          </cell>
        </row>
        <row r="2013">
          <cell r="A2013">
            <v>46680612</v>
          </cell>
          <cell r="B2013" t="str">
            <v>1</v>
          </cell>
          <cell r="C2013" t="str">
            <v/>
          </cell>
          <cell r="D2013" t="str">
            <v>NP</v>
          </cell>
          <cell r="E2013" t="str">
            <v>EDY CRISTINA</v>
          </cell>
          <cell r="F2013" t="str">
            <v>CAMARGO CUERVO</v>
          </cell>
          <cell r="G2013" t="str">
            <v>CAMARGO CUERVO EDY CRISTINA</v>
          </cell>
          <cell r="H2013" t="str">
            <v>IMVE</v>
          </cell>
          <cell r="I2013" t="str">
            <v>IMPUESTO SOBRE LAS VENTAS</v>
          </cell>
          <cell r="J2013" t="str">
            <v>CL 23 25 00</v>
          </cell>
          <cell r="K2013" t="str">
            <v>15516</v>
          </cell>
          <cell r="L2013" t="str">
            <v>PAIPA</v>
          </cell>
          <cell r="M2013" t="str">
            <v>3143239509</v>
          </cell>
        </row>
        <row r="2014">
          <cell r="A2014">
            <v>46680755</v>
          </cell>
          <cell r="B2014" t="str">
            <v>6</v>
          </cell>
          <cell r="C2014" t="str">
            <v/>
          </cell>
          <cell r="D2014" t="str">
            <v>NP</v>
          </cell>
          <cell r="E2014" t="str">
            <v>ROCIO AMANDA</v>
          </cell>
          <cell r="F2014" t="str">
            <v>PACHECO MEDINA</v>
          </cell>
          <cell r="G2014" t="str">
            <v>PACHECO MEDINA ROCIO AMANDA/MADERAS ALAMOS</v>
          </cell>
          <cell r="H2014" t="str">
            <v>RCPN</v>
          </cell>
          <cell r="I2014" t="str">
            <v>RESPONSABLE IVA PERSONA NATURAL</v>
          </cell>
          <cell r="J2014" t="str">
            <v xml:space="preserve">CR 21 N  20 07                         </v>
          </cell>
          <cell r="K2014" t="str">
            <v>15516</v>
          </cell>
          <cell r="L2014" t="str">
            <v>PAIPA</v>
          </cell>
          <cell r="M2014" t="str">
            <v>7850119</v>
          </cell>
        </row>
        <row r="2015">
          <cell r="A2015">
            <v>46681167</v>
          </cell>
          <cell r="B2015" t="str">
            <v>1</v>
          </cell>
          <cell r="C2015" t="str">
            <v/>
          </cell>
          <cell r="D2015" t="str">
            <v>NP</v>
          </cell>
          <cell r="E2015" t="str">
            <v>EMILCE</v>
          </cell>
          <cell r="F2015" t="str">
            <v>BOLIVAR CRUZ</v>
          </cell>
          <cell r="G2015" t="str">
            <v>BOLIVAR CRUZ EMILCE</v>
          </cell>
          <cell r="H2015" t="str">
            <v>RESI</v>
          </cell>
          <cell r="I2015" t="str">
            <v>REGIMEN SIMPLIFICADO</v>
          </cell>
          <cell r="J2015" t="str">
            <v xml:space="preserve">CL 14 23B 14                            </v>
          </cell>
          <cell r="K2015" t="str">
            <v>15516</v>
          </cell>
          <cell r="L2015" t="str">
            <v>PAIPA</v>
          </cell>
          <cell r="M2015" t="str">
            <v>7853196</v>
          </cell>
        </row>
        <row r="2016">
          <cell r="A2016">
            <v>46681793</v>
          </cell>
          <cell r="B2016" t="str">
            <v/>
          </cell>
          <cell r="C2016" t="str">
            <v/>
          </cell>
          <cell r="D2016" t="str">
            <v>CC</v>
          </cell>
          <cell r="E2016" t="str">
            <v>HEIDY MARISOL</v>
          </cell>
          <cell r="F2016" t="str">
            <v>VASQUEZ QUINTERO</v>
          </cell>
          <cell r="G2016" t="str">
            <v>VASQUEZ QUINTERO HEIDY MARISOL</v>
          </cell>
          <cell r="H2016" t="str">
            <v>FUNC</v>
          </cell>
          <cell r="I2016" t="str">
            <v>FUNCIONARIO</v>
          </cell>
          <cell r="J2016" t="str">
            <v>URB LA ESTACION MZ G CA 14</v>
          </cell>
          <cell r="K2016" t="str">
            <v>17001</v>
          </cell>
          <cell r="L2016" t="str">
            <v>MANIZALES</v>
          </cell>
          <cell r="M2016" t="str">
            <v>3214345994</v>
          </cell>
        </row>
        <row r="2017">
          <cell r="A2017">
            <v>46681879</v>
          </cell>
          <cell r="B2017" t="str">
            <v>5</v>
          </cell>
          <cell r="C2017" t="str">
            <v/>
          </cell>
          <cell r="D2017" t="str">
            <v>NP</v>
          </cell>
          <cell r="E2017" t="str">
            <v>DIANA CRISTINA</v>
          </cell>
          <cell r="F2017" t="str">
            <v>ROBERTO</v>
          </cell>
          <cell r="G2017" t="str">
            <v>ROBERTO DIANA CRISTINA</v>
          </cell>
          <cell r="H2017" t="str">
            <v>RESI</v>
          </cell>
          <cell r="I2017" t="str">
            <v>REGIMEN SIMPLIFICADO</v>
          </cell>
          <cell r="J2017" t="str">
            <v>CL 21 22 15</v>
          </cell>
          <cell r="K2017" t="str">
            <v>15516</v>
          </cell>
          <cell r="L2017" t="str">
            <v>PAIPA</v>
          </cell>
          <cell r="M2017" t="str">
            <v>7850453</v>
          </cell>
        </row>
        <row r="2018">
          <cell r="A2018">
            <v>46682020</v>
          </cell>
          <cell r="B2018" t="str">
            <v>0</v>
          </cell>
          <cell r="C2018" t="str">
            <v/>
          </cell>
          <cell r="D2018" t="str">
            <v>NP</v>
          </cell>
          <cell r="E2018" t="str">
            <v>CAROLINA</v>
          </cell>
          <cell r="F2018" t="str">
            <v>PATARROYO AVENDAÑO</v>
          </cell>
          <cell r="G2018" t="str">
            <v>PATARROYO AVENDAÑO CAROLINA</v>
          </cell>
          <cell r="H2018" t="str">
            <v>NORE</v>
          </cell>
          <cell r="I2018" t="str">
            <v>NO RESPONSABLE DE IVA</v>
          </cell>
          <cell r="J2018" t="str">
            <v>CL 27 A 22 28</v>
          </cell>
          <cell r="K2018" t="str">
            <v>15516</v>
          </cell>
          <cell r="L2018" t="str">
            <v>PAIPA</v>
          </cell>
          <cell r="M2018" t="str">
            <v>3143170534</v>
          </cell>
        </row>
        <row r="2019">
          <cell r="A2019">
            <v>46682831</v>
          </cell>
          <cell r="B2019" t="str">
            <v/>
          </cell>
          <cell r="C2019" t="str">
            <v/>
          </cell>
          <cell r="D2019" t="str">
            <v>CC</v>
          </cell>
          <cell r="E2019" t="str">
            <v>VILMA CAROLINA</v>
          </cell>
          <cell r="F2019" t="str">
            <v>HURTADO ORTIZ</v>
          </cell>
          <cell r="G2019" t="str">
            <v>HURTADO ORTIZ VILMA CAROLINA</v>
          </cell>
          <cell r="H2019" t="str">
            <v>FUNC</v>
          </cell>
          <cell r="I2019" t="str">
            <v>FUNCIONARIO</v>
          </cell>
          <cell r="J2019" t="str">
            <v>CR 7 E   6   157</v>
          </cell>
          <cell r="K2019" t="str">
            <v>15516</v>
          </cell>
          <cell r="L2019" t="str">
            <v>PAIPA</v>
          </cell>
          <cell r="M2019" t="str">
            <v>3133327997</v>
          </cell>
        </row>
        <row r="2020">
          <cell r="A2020">
            <v>46682947</v>
          </cell>
          <cell r="B2020" t="str">
            <v/>
          </cell>
          <cell r="C2020" t="str">
            <v/>
          </cell>
          <cell r="D2020" t="str">
            <v>CC</v>
          </cell>
          <cell r="E2020" t="str">
            <v>MARTHA MILENA</v>
          </cell>
          <cell r="F2020" t="str">
            <v>MESA ESPINEL</v>
          </cell>
          <cell r="G2020" t="str">
            <v>MESA ESPINEL MARTHA MILENA</v>
          </cell>
          <cell r="H2020" t="str">
            <v>RESI</v>
          </cell>
          <cell r="I2020" t="str">
            <v>REGIMEN SIMPLIFICADO</v>
          </cell>
          <cell r="J2020" t="str">
            <v>CL 24 N 16-17 A P 602</v>
          </cell>
          <cell r="K2020" t="str">
            <v>15516</v>
          </cell>
          <cell r="L2020" t="str">
            <v>PAIPA</v>
          </cell>
          <cell r="M2020" t="str">
            <v>7853104</v>
          </cell>
        </row>
        <row r="2021">
          <cell r="A2021">
            <v>47405009</v>
          </cell>
          <cell r="B2021" t="str">
            <v/>
          </cell>
          <cell r="C2021" t="str">
            <v/>
          </cell>
          <cell r="D2021" t="str">
            <v>CC</v>
          </cell>
          <cell r="E2021" t="str">
            <v>ADIELA</v>
          </cell>
          <cell r="F2021" t="str">
            <v>HURTADO DE BARRAGAN</v>
          </cell>
          <cell r="G2021" t="str">
            <v>HURTADO DE BARRAGAN ADIELA</v>
          </cell>
          <cell r="H2021" t="str">
            <v>RESI</v>
          </cell>
          <cell r="I2021" t="str">
            <v>REGIMEN SIMPLIFICADO</v>
          </cell>
          <cell r="J2021" t="str">
            <v>VRD MATA DE SANTO MCP SAN LUIS DE PALENQUE PD EL CAIRO</v>
          </cell>
          <cell r="K2021" t="str">
            <v>85325</v>
          </cell>
          <cell r="L2021" t="str">
            <v>SAN LUIS DE PALENQUE</v>
          </cell>
          <cell r="M2021" t="str">
            <v>3204518913</v>
          </cell>
        </row>
        <row r="2022">
          <cell r="A2022">
            <v>47420141</v>
          </cell>
          <cell r="B2022" t="str">
            <v>3</v>
          </cell>
          <cell r="C2022" t="str">
            <v/>
          </cell>
          <cell r="D2022" t="str">
            <v>NP</v>
          </cell>
          <cell r="E2022" t="str">
            <v>SANDRA LISSET</v>
          </cell>
          <cell r="F2022" t="str">
            <v>BETANCOURT GARCIA</v>
          </cell>
          <cell r="G2022" t="str">
            <v>BETANCOURT GARCIA SANDRA LISSET</v>
          </cell>
          <cell r="H2022" t="str">
            <v>RESI</v>
          </cell>
          <cell r="I2022" t="str">
            <v>REGIMEN SIMPLIFICADO</v>
          </cell>
          <cell r="J2022" t="str">
            <v>CL 6 1 15 BRR CEN</v>
          </cell>
          <cell r="K2022" t="str">
            <v>85430</v>
          </cell>
          <cell r="L2022" t="str">
            <v>TRINIDAD</v>
          </cell>
          <cell r="M2022" t="str">
            <v>3143566471</v>
          </cell>
        </row>
        <row r="2023">
          <cell r="A2023">
            <v>47420165</v>
          </cell>
          <cell r="B2023" t="str">
            <v>1</v>
          </cell>
          <cell r="C2023" t="str">
            <v/>
          </cell>
          <cell r="D2023" t="str">
            <v>NP</v>
          </cell>
          <cell r="E2023" t="str">
            <v>LELO YOVANA</v>
          </cell>
          <cell r="F2023" t="str">
            <v>RODRIGUEZ SANABRIA</v>
          </cell>
          <cell r="G2023" t="str">
            <v>RODRIGUEZ SANABRIA LELO YOVANA</v>
          </cell>
          <cell r="H2023" t="str">
            <v>RESI</v>
          </cell>
          <cell r="I2023" t="str">
            <v>REGIMEN SIMPLIFICADO</v>
          </cell>
          <cell r="J2023" t="str">
            <v>CL 4   3   54</v>
          </cell>
          <cell r="K2023" t="str">
            <v>85325</v>
          </cell>
          <cell r="L2023" t="str">
            <v>SAN LUIS DE PALENQUE</v>
          </cell>
          <cell r="M2023" t="str">
            <v>3124829314</v>
          </cell>
        </row>
        <row r="2024">
          <cell r="A2024">
            <v>47425261</v>
          </cell>
          <cell r="B2024" t="str">
            <v/>
          </cell>
          <cell r="C2024" t="str">
            <v/>
          </cell>
          <cell r="D2024" t="str">
            <v>CC</v>
          </cell>
          <cell r="E2024" t="str">
            <v>INES</v>
          </cell>
          <cell r="F2024" t="str">
            <v>PINZON CARDOZO</v>
          </cell>
          <cell r="G2024" t="str">
            <v>PINZON CARDOZO INES</v>
          </cell>
          <cell r="H2024" t="str">
            <v>RESI</v>
          </cell>
          <cell r="I2024" t="str">
            <v>REGIMEN SIMPLIFICADO</v>
          </cell>
          <cell r="J2024" t="str">
            <v>MCP SAN LUIS DE PALENQUE VRD SANTA ANA PD LA VEREMOS</v>
          </cell>
          <cell r="K2024" t="str">
            <v>85001</v>
          </cell>
          <cell r="L2024" t="str">
            <v>YOPAL</v>
          </cell>
          <cell r="M2024" t="str">
            <v>3123731255</v>
          </cell>
        </row>
        <row r="2025">
          <cell r="A2025">
            <v>47425615</v>
          </cell>
          <cell r="B2025" t="str">
            <v/>
          </cell>
          <cell r="C2025" t="str">
            <v/>
          </cell>
          <cell r="D2025" t="str">
            <v>CC</v>
          </cell>
          <cell r="E2025" t="str">
            <v>YAQUELINE</v>
          </cell>
          <cell r="F2025" t="str">
            <v>CRUZ HURTADO</v>
          </cell>
          <cell r="G2025" t="str">
            <v>CRUZ HURTADO YAQUELINE</v>
          </cell>
          <cell r="H2025" t="str">
            <v>RESI</v>
          </cell>
          <cell r="I2025" t="str">
            <v>REGIMEN SIMPLIFICADO</v>
          </cell>
          <cell r="J2025" t="str">
            <v>MCP TRINIDAD C BOCAS DEL PAUTO</v>
          </cell>
          <cell r="K2025" t="str">
            <v>85430</v>
          </cell>
          <cell r="L2025" t="str">
            <v>TRINIDAD</v>
          </cell>
          <cell r="M2025" t="str">
            <v>3143903774</v>
          </cell>
        </row>
        <row r="2026">
          <cell r="A2026">
            <v>47426169</v>
          </cell>
          <cell r="B2026" t="str">
            <v>6</v>
          </cell>
          <cell r="C2026" t="str">
            <v/>
          </cell>
          <cell r="D2026" t="str">
            <v>NP</v>
          </cell>
          <cell r="E2026" t="str">
            <v>EDNA MILENA</v>
          </cell>
          <cell r="F2026" t="str">
            <v>CLAVIJO CORRALES</v>
          </cell>
          <cell r="G2026" t="str">
            <v>CLAVIJO CORRALES EDNA MILENA</v>
          </cell>
          <cell r="H2026" t="str">
            <v>RESI</v>
          </cell>
          <cell r="I2026" t="str">
            <v>REGIMEN SIMPLIFICADO</v>
          </cell>
          <cell r="J2026" t="str">
            <v>CR 9   3   92 BRR EL CENTRO</v>
          </cell>
          <cell r="K2026" t="str">
            <v>99624</v>
          </cell>
          <cell r="L2026" t="str">
            <v>SANTA ROSALÍA</v>
          </cell>
          <cell r="M2026" t="str">
            <v>3107999389</v>
          </cell>
        </row>
        <row r="2027">
          <cell r="A2027">
            <v>47426561</v>
          </cell>
          <cell r="B2027" t="str">
            <v>0</v>
          </cell>
          <cell r="C2027" t="str">
            <v/>
          </cell>
          <cell r="D2027" t="str">
            <v>NP</v>
          </cell>
          <cell r="E2027" t="str">
            <v>HERCILIA</v>
          </cell>
          <cell r="F2027" t="str">
            <v>PRIETO ACERO</v>
          </cell>
          <cell r="G2027" t="str">
            <v>PRIETO ACERO HERCILIA</v>
          </cell>
          <cell r="H2027" t="str">
            <v>RESI</v>
          </cell>
          <cell r="I2027" t="str">
            <v>REGIMEN SIMPLIFICADO</v>
          </cell>
          <cell r="J2027" t="str">
            <v>CR 3 6 77</v>
          </cell>
          <cell r="K2027" t="str">
            <v>85430</v>
          </cell>
          <cell r="L2027" t="str">
            <v>TRINIDAD</v>
          </cell>
          <cell r="M2027" t="str">
            <v>3144731989</v>
          </cell>
        </row>
        <row r="2028">
          <cell r="A2028">
            <v>47426765</v>
          </cell>
          <cell r="B2028" t="str">
            <v>6</v>
          </cell>
          <cell r="C2028" t="str">
            <v/>
          </cell>
          <cell r="D2028" t="str">
            <v>NP</v>
          </cell>
          <cell r="E2028" t="str">
            <v>ALBA YANETH</v>
          </cell>
          <cell r="F2028" t="str">
            <v>BUSTOS LOPEZ</v>
          </cell>
          <cell r="G2028" t="str">
            <v>BUSTOS LOPEZ ALBA YANETH</v>
          </cell>
          <cell r="H2028" t="str">
            <v>RESI</v>
          </cell>
          <cell r="I2028" t="str">
            <v>REGIMEN SIMPLIFICADO</v>
          </cell>
          <cell r="J2028" t="str">
            <v>CR 4   6   04</v>
          </cell>
          <cell r="K2028" t="str">
            <v>85430</v>
          </cell>
          <cell r="L2028" t="str">
            <v>TRINIDAD</v>
          </cell>
          <cell r="M2028" t="str">
            <v>3112376974</v>
          </cell>
        </row>
        <row r="2029">
          <cell r="A2029">
            <v>47428789</v>
          </cell>
          <cell r="B2029" t="str">
            <v>1</v>
          </cell>
          <cell r="C2029" t="str">
            <v/>
          </cell>
          <cell r="D2029" t="str">
            <v>NP</v>
          </cell>
          <cell r="E2029" t="str">
            <v>OLGA</v>
          </cell>
          <cell r="F2029" t="str">
            <v>PEDRAZA PATARROYO</v>
          </cell>
          <cell r="G2029" t="str">
            <v>PEDRAZA PATARROYO OLGA</v>
          </cell>
          <cell r="H2029" t="str">
            <v>RECO</v>
          </cell>
          <cell r="I2029" t="str">
            <v>REGIMEN COMUN</v>
          </cell>
          <cell r="J2029" t="str">
            <v>CL 9   19   57</v>
          </cell>
          <cell r="K2029" t="str">
            <v>85001</v>
          </cell>
          <cell r="L2029" t="str">
            <v>YOPAL</v>
          </cell>
          <cell r="M2029" t="str">
            <v>6356965</v>
          </cell>
        </row>
        <row r="2030">
          <cell r="A2030">
            <v>47428924</v>
          </cell>
          <cell r="B2030" t="str">
            <v/>
          </cell>
          <cell r="C2030" t="str">
            <v/>
          </cell>
          <cell r="D2030" t="str">
            <v>CC</v>
          </cell>
          <cell r="E2030" t="str">
            <v>MERCEDES</v>
          </cell>
          <cell r="F2030" t="str">
            <v>CORTES PULIDO</v>
          </cell>
          <cell r="G2030" t="str">
            <v>CORTES PULIDO MERCEDES</v>
          </cell>
          <cell r="H2030" t="str">
            <v>RESI</v>
          </cell>
          <cell r="I2030" t="str">
            <v>REGIMEN SIMPLIFICADO</v>
          </cell>
          <cell r="J2030" t="str">
            <v>CR 29   22   63</v>
          </cell>
          <cell r="K2030" t="str">
            <v>85001</v>
          </cell>
          <cell r="L2030" t="str">
            <v>YOPAL</v>
          </cell>
          <cell r="M2030" t="str">
            <v>6349893</v>
          </cell>
        </row>
        <row r="2031">
          <cell r="A2031">
            <v>47428996</v>
          </cell>
          <cell r="B2031" t="str">
            <v>1</v>
          </cell>
          <cell r="C2031" t="str">
            <v/>
          </cell>
          <cell r="D2031" t="str">
            <v>NP</v>
          </cell>
          <cell r="E2031" t="str">
            <v>OMAIRA</v>
          </cell>
          <cell r="F2031" t="str">
            <v>CRUZ URIBE</v>
          </cell>
          <cell r="G2031" t="str">
            <v>CRUZ URIBE OMAIRA</v>
          </cell>
          <cell r="H2031" t="str">
            <v>RESI</v>
          </cell>
          <cell r="I2031" t="str">
            <v>REGIMEN SIMPLIFICADO</v>
          </cell>
          <cell r="J2031" t="str">
            <v>CL 9   22   75</v>
          </cell>
          <cell r="K2031" t="str">
            <v>85001</v>
          </cell>
          <cell r="L2031" t="str">
            <v>YOPAL</v>
          </cell>
          <cell r="M2031" t="str">
            <v>6358254</v>
          </cell>
        </row>
        <row r="2032">
          <cell r="A2032">
            <v>47429308</v>
          </cell>
          <cell r="B2032" t="str">
            <v>7</v>
          </cell>
          <cell r="C2032" t="str">
            <v/>
          </cell>
          <cell r="D2032" t="str">
            <v>NP</v>
          </cell>
          <cell r="E2032" t="str">
            <v>HILCER</v>
          </cell>
          <cell r="F2032" t="str">
            <v>AVELLA ORTEGA</v>
          </cell>
          <cell r="G2032" t="str">
            <v>AVELLA ORTEGA HILCER</v>
          </cell>
          <cell r="H2032" t="str">
            <v>RESI</v>
          </cell>
          <cell r="I2032" t="str">
            <v>REGIMEN SIMPLIFICADO</v>
          </cell>
          <cell r="J2032" t="str">
            <v>CL 12   27   67 IN 4</v>
          </cell>
          <cell r="K2032" t="str">
            <v>85001</v>
          </cell>
          <cell r="L2032" t="str">
            <v>YOPAL</v>
          </cell>
          <cell r="M2032" t="str">
            <v>3212047272</v>
          </cell>
        </row>
        <row r="2033">
          <cell r="A2033">
            <v>47429795</v>
          </cell>
          <cell r="B2033" t="str">
            <v>0</v>
          </cell>
          <cell r="C2033" t="str">
            <v/>
          </cell>
          <cell r="D2033" t="str">
            <v>NP</v>
          </cell>
          <cell r="E2033" t="str">
            <v>MARIA OLIVA</v>
          </cell>
          <cell r="F2033" t="str">
            <v>MORENO</v>
          </cell>
          <cell r="G2033" t="str">
            <v>MORENO MARIA OLIVA</v>
          </cell>
          <cell r="H2033" t="str">
            <v>RESI</v>
          </cell>
          <cell r="I2033" t="str">
            <v>REGIMEN SIMPLIFICADO</v>
          </cell>
          <cell r="J2033" t="str">
            <v>CR 22   8   71</v>
          </cell>
          <cell r="K2033" t="str">
            <v>85001</v>
          </cell>
          <cell r="L2033" t="str">
            <v>YOPAL</v>
          </cell>
          <cell r="M2033" t="str">
            <v>3132936735</v>
          </cell>
        </row>
        <row r="2034">
          <cell r="A2034">
            <v>47430231</v>
          </cell>
          <cell r="B2034" t="str">
            <v>0</v>
          </cell>
          <cell r="C2034" t="str">
            <v/>
          </cell>
          <cell r="D2034" t="str">
            <v>NP</v>
          </cell>
          <cell r="E2034" t="str">
            <v>PATRICIA</v>
          </cell>
          <cell r="F2034" t="str">
            <v>NUVAN BOHORQUEZ</v>
          </cell>
          <cell r="G2034" t="str">
            <v>NUVAN BOHORQUEZ PATRICIA</v>
          </cell>
          <cell r="H2034" t="str">
            <v>RESI</v>
          </cell>
          <cell r="I2034" t="str">
            <v>REGIMEN SIMPLIFICADO</v>
          </cell>
          <cell r="J2034" t="str">
            <v>CR 29 14 42</v>
          </cell>
          <cell r="K2034" t="str">
            <v>85001</v>
          </cell>
          <cell r="L2034" t="str">
            <v>YOPAL</v>
          </cell>
          <cell r="M2034" t="str">
            <v>3112512876</v>
          </cell>
        </row>
        <row r="2035">
          <cell r="A2035">
            <v>47431003</v>
          </cell>
          <cell r="B2035" t="str">
            <v/>
          </cell>
          <cell r="C2035" t="str">
            <v/>
          </cell>
          <cell r="D2035" t="str">
            <v>CC</v>
          </cell>
          <cell r="E2035" t="str">
            <v>MILENA</v>
          </cell>
          <cell r="F2035" t="str">
            <v>RIVERA</v>
          </cell>
          <cell r="G2035" t="str">
            <v>RIVERA MILENA</v>
          </cell>
          <cell r="H2035" t="str">
            <v>RESI</v>
          </cell>
          <cell r="I2035" t="str">
            <v>REGIMEN SIMPLIFICADO</v>
          </cell>
          <cell r="J2035" t="str">
            <v>XXX</v>
          </cell>
          <cell r="K2035" t="str">
            <v>17001</v>
          </cell>
          <cell r="L2035" t="str">
            <v>MANIZALES</v>
          </cell>
          <cell r="M2035" t="str">
            <v>XXX</v>
          </cell>
        </row>
        <row r="2036">
          <cell r="A2036">
            <v>47432880</v>
          </cell>
          <cell r="B2036" t="str">
            <v>1</v>
          </cell>
          <cell r="C2036" t="str">
            <v/>
          </cell>
          <cell r="D2036" t="str">
            <v>NP</v>
          </cell>
          <cell r="E2036" t="str">
            <v>MARIA EDID</v>
          </cell>
          <cell r="F2036" t="str">
            <v>AVELLA ORTEGA</v>
          </cell>
          <cell r="G2036" t="str">
            <v>AVELLA ORTEGA MARIA EDID</v>
          </cell>
          <cell r="H2036" t="str">
            <v>RESI</v>
          </cell>
          <cell r="I2036" t="str">
            <v>REGIMEN SIMPLIFICADO</v>
          </cell>
          <cell r="J2036" t="str">
            <v>CR 6   28   66</v>
          </cell>
          <cell r="K2036" t="str">
            <v>85001</v>
          </cell>
          <cell r="L2036" t="str">
            <v>YOPAL</v>
          </cell>
          <cell r="M2036" t="str">
            <v>3143652118</v>
          </cell>
        </row>
        <row r="2037">
          <cell r="A2037">
            <v>47433909</v>
          </cell>
          <cell r="B2037" t="str">
            <v>9</v>
          </cell>
          <cell r="C2037" t="str">
            <v/>
          </cell>
          <cell r="D2037" t="str">
            <v>NP</v>
          </cell>
          <cell r="E2037" t="str">
            <v>SANDRA PATRICIA</v>
          </cell>
          <cell r="F2037" t="str">
            <v>GALAN BARAJAS</v>
          </cell>
          <cell r="G2037" t="str">
            <v>GALAN BARAJAS SANDRA PATRICIA</v>
          </cell>
          <cell r="H2037" t="str">
            <v>RESI</v>
          </cell>
          <cell r="I2037" t="str">
            <v>REGIMEN SIMPLIFICADO</v>
          </cell>
          <cell r="J2037" t="str">
            <v>CRA 20 N 13-76 BRR BELLO HORIZONTE</v>
          </cell>
          <cell r="K2037" t="str">
            <v>85001</v>
          </cell>
          <cell r="L2037" t="str">
            <v>YOPAL</v>
          </cell>
          <cell r="M2037" t="str">
            <v>3164722343</v>
          </cell>
        </row>
        <row r="2038">
          <cell r="A2038">
            <v>47434166</v>
          </cell>
          <cell r="B2038" t="str">
            <v/>
          </cell>
          <cell r="C2038" t="str">
            <v/>
          </cell>
          <cell r="D2038" t="str">
            <v>CC</v>
          </cell>
          <cell r="E2038" t="str">
            <v>MARLY ELIZABETH</v>
          </cell>
          <cell r="F2038" t="str">
            <v>MARTINEZ ROA</v>
          </cell>
          <cell r="G2038" t="str">
            <v>MARTINEZ ROA MARLY ELIZABETH</v>
          </cell>
          <cell r="H2038" t="str">
            <v>RECO</v>
          </cell>
          <cell r="I2038" t="str">
            <v>REGIMEN COMUN</v>
          </cell>
          <cell r="J2038" t="str">
            <v>CR 01   03   06</v>
          </cell>
          <cell r="K2038" t="str">
            <v>85001</v>
          </cell>
          <cell r="L2038" t="str">
            <v>YOPAL</v>
          </cell>
          <cell r="M2038" t="str">
            <v>3213830292</v>
          </cell>
        </row>
        <row r="2039">
          <cell r="A2039">
            <v>47435396</v>
          </cell>
          <cell r="B2039" t="str">
            <v>1</v>
          </cell>
          <cell r="C2039" t="str">
            <v/>
          </cell>
          <cell r="D2039" t="str">
            <v>NP</v>
          </cell>
          <cell r="E2039" t="str">
            <v>MARIA NEIRUTT</v>
          </cell>
          <cell r="F2039" t="str">
            <v>MALDONADO PINTO</v>
          </cell>
          <cell r="G2039" t="str">
            <v>MALDONADO PINTO MARIA NEIRUTT</v>
          </cell>
          <cell r="H2039" t="str">
            <v>RESI</v>
          </cell>
          <cell r="I2039" t="str">
            <v>REGIMEN SIMPLIFICADO</v>
          </cell>
          <cell r="J2039" t="str">
            <v>CR 19   36   55</v>
          </cell>
          <cell r="K2039" t="str">
            <v>85001</v>
          </cell>
          <cell r="L2039" t="str">
            <v>YOPAL</v>
          </cell>
          <cell r="M2039" t="str">
            <v>3143851011</v>
          </cell>
        </row>
        <row r="2040">
          <cell r="A2040">
            <v>47435419</v>
          </cell>
          <cell r="B2040" t="str">
            <v>0</v>
          </cell>
          <cell r="C2040" t="str">
            <v/>
          </cell>
          <cell r="D2040" t="str">
            <v>NP</v>
          </cell>
          <cell r="E2040" t="str">
            <v>ROSMERY</v>
          </cell>
          <cell r="F2040" t="str">
            <v>CHAPARRO CHAPARRO</v>
          </cell>
          <cell r="G2040" t="str">
            <v>CHAPARRO CHAPARRO ROSMERY</v>
          </cell>
          <cell r="H2040" t="str">
            <v>RESI</v>
          </cell>
          <cell r="I2040" t="str">
            <v>REGIMEN SIMPLIFICADO</v>
          </cell>
          <cell r="J2040" t="str">
            <v>CR 29   14   42</v>
          </cell>
          <cell r="K2040" t="str">
            <v>85001</v>
          </cell>
          <cell r="L2040" t="str">
            <v>YOPAL</v>
          </cell>
          <cell r="M2040" t="str">
            <v>3203010002</v>
          </cell>
        </row>
        <row r="2041">
          <cell r="A2041">
            <v>47435677</v>
          </cell>
          <cell r="B2041" t="str">
            <v/>
          </cell>
          <cell r="C2041" t="str">
            <v/>
          </cell>
          <cell r="D2041" t="str">
            <v>CC</v>
          </cell>
          <cell r="E2041" t="str">
            <v>MARIA NENA</v>
          </cell>
          <cell r="F2041" t="str">
            <v>FARFAN MALDONADO</v>
          </cell>
          <cell r="G2041" t="str">
            <v>FARFAN MALDONADO MARIA NENA</v>
          </cell>
          <cell r="H2041" t="str">
            <v>RESI</v>
          </cell>
          <cell r="I2041" t="str">
            <v>REGIMEN SIMPLIFICADO</v>
          </cell>
          <cell r="J2041" t="str">
            <v>MCP NUNCHÍA VRD COREA PD  LA LIBERTAD</v>
          </cell>
          <cell r="K2041" t="str">
            <v>85225</v>
          </cell>
          <cell r="L2041" t="str">
            <v>NUNCHÍA</v>
          </cell>
          <cell r="M2041" t="str">
            <v>3214272463</v>
          </cell>
        </row>
        <row r="2042">
          <cell r="A2042">
            <v>47436054</v>
          </cell>
          <cell r="B2042" t="str">
            <v>0</v>
          </cell>
          <cell r="C2042" t="str">
            <v/>
          </cell>
          <cell r="D2042" t="str">
            <v>NP</v>
          </cell>
          <cell r="E2042" t="str">
            <v>ESPERANZA</v>
          </cell>
          <cell r="F2042" t="str">
            <v>MALAVER ABRIL</v>
          </cell>
          <cell r="G2042" t="str">
            <v>MALAVER ABRIL ESPERANZA</v>
          </cell>
          <cell r="H2042" t="str">
            <v>RESI</v>
          </cell>
          <cell r="I2042" t="str">
            <v>REGIMEN SIMPLIFICADO</v>
          </cell>
          <cell r="J2042" t="str">
            <v>CR 16 B   35 A   09</v>
          </cell>
          <cell r="K2042" t="str">
            <v>85001</v>
          </cell>
          <cell r="L2042" t="str">
            <v>YOPAL</v>
          </cell>
          <cell r="M2042" t="str">
            <v>3112659157</v>
          </cell>
        </row>
        <row r="2043">
          <cell r="A2043">
            <v>47436521</v>
          </cell>
          <cell r="B2043" t="str">
            <v/>
          </cell>
          <cell r="C2043" t="str">
            <v/>
          </cell>
          <cell r="D2043" t="str">
            <v>CC</v>
          </cell>
          <cell r="E2043" t="str">
            <v>MARIA EDILIA</v>
          </cell>
          <cell r="F2043" t="str">
            <v>COBA</v>
          </cell>
          <cell r="G2043" t="str">
            <v>COBA MARIA EDILIA</v>
          </cell>
          <cell r="H2043" t="str">
            <v>RESI</v>
          </cell>
          <cell r="I2043" t="str">
            <v>REGIMEN SIMPLIFICADO</v>
          </cell>
          <cell r="J2043" t="str">
            <v>VRD EL PRETEXTO PD LA DORADA</v>
          </cell>
          <cell r="K2043" t="str">
            <v>85225</v>
          </cell>
          <cell r="L2043" t="str">
            <v>NUNCHÍA</v>
          </cell>
          <cell r="M2043" t="str">
            <v>3204030504</v>
          </cell>
        </row>
        <row r="2044">
          <cell r="A2044">
            <v>47436876</v>
          </cell>
          <cell r="B2044" t="str">
            <v>8</v>
          </cell>
          <cell r="C2044" t="str">
            <v/>
          </cell>
          <cell r="D2044" t="str">
            <v>NP</v>
          </cell>
          <cell r="E2044" t="str">
            <v>MARELVIS</v>
          </cell>
          <cell r="F2044" t="str">
            <v>ESTEVEZ LARA</v>
          </cell>
          <cell r="G2044" t="str">
            <v>ESTEVEZ LARA MARELVIS</v>
          </cell>
          <cell r="H2044" t="str">
            <v>RESI</v>
          </cell>
          <cell r="I2044" t="str">
            <v>REGIMEN SIMPLIFICADO</v>
          </cell>
          <cell r="J2044" t="str">
            <v>CL 29  12 28</v>
          </cell>
          <cell r="K2044" t="str">
            <v>85001</v>
          </cell>
          <cell r="L2044" t="str">
            <v>YOPAL</v>
          </cell>
          <cell r="M2044" t="str">
            <v>3112021010</v>
          </cell>
        </row>
        <row r="2045">
          <cell r="A2045">
            <v>47438281</v>
          </cell>
          <cell r="B2045" t="str">
            <v>5</v>
          </cell>
          <cell r="C2045" t="str">
            <v/>
          </cell>
          <cell r="D2045" t="str">
            <v>NP</v>
          </cell>
          <cell r="E2045" t="str">
            <v>NURIA PATRICIA</v>
          </cell>
          <cell r="F2045" t="str">
            <v>SANCHEZ GUALDRON</v>
          </cell>
          <cell r="G2045" t="str">
            <v>SANCHEZ GUALDRON NURIA PATRICIA</v>
          </cell>
          <cell r="H2045" t="str">
            <v>RESI</v>
          </cell>
          <cell r="I2045" t="str">
            <v>REGIMEN SIMPLIFICADO</v>
          </cell>
          <cell r="J2045" t="str">
            <v>VRD LAS CAÑAS</v>
          </cell>
          <cell r="K2045" t="str">
            <v>85225</v>
          </cell>
          <cell r="L2045" t="str">
            <v>NUNCHÍA</v>
          </cell>
          <cell r="M2045" t="str">
            <v>3212275934</v>
          </cell>
        </row>
        <row r="2046">
          <cell r="A2046">
            <v>47440709</v>
          </cell>
          <cell r="B2046" t="str">
            <v>1</v>
          </cell>
          <cell r="C2046" t="str">
            <v/>
          </cell>
          <cell r="D2046" t="str">
            <v>NP</v>
          </cell>
          <cell r="E2046" t="str">
            <v>CLAUDIA PATRICIA</v>
          </cell>
          <cell r="F2046" t="str">
            <v>CACERES ARISMENDY</v>
          </cell>
          <cell r="G2046" t="str">
            <v>CACERES ARISMENDY CLAUDIA PATRICIA</v>
          </cell>
          <cell r="H2046" t="str">
            <v>IMVE</v>
          </cell>
          <cell r="I2046" t="str">
            <v>IMPUESTO SOBRE LAS VENTAS</v>
          </cell>
          <cell r="J2046" t="str">
            <v>VDA VARGUITAS SEC PANTANO DE VARGAS KM 7</v>
          </cell>
          <cell r="K2046" t="str">
            <v>15516</v>
          </cell>
          <cell r="L2046" t="str">
            <v>PAIPA</v>
          </cell>
          <cell r="M2046" t="str">
            <v>3232060380</v>
          </cell>
        </row>
        <row r="2047">
          <cell r="A2047">
            <v>47441361</v>
          </cell>
          <cell r="B2047" t="str">
            <v>7</v>
          </cell>
          <cell r="C2047" t="str">
            <v/>
          </cell>
          <cell r="D2047" t="str">
            <v>NP</v>
          </cell>
          <cell r="E2047" t="str">
            <v>EDITH LILIANA</v>
          </cell>
          <cell r="F2047" t="str">
            <v>HERNANDEZ GUZMAN</v>
          </cell>
          <cell r="G2047" t="str">
            <v>HERNANDEZ GUZMAN EDITH LILIANA</v>
          </cell>
          <cell r="H2047" t="str">
            <v>RESI</v>
          </cell>
          <cell r="I2047" t="str">
            <v>REGIMEN SIMPLIFICADO</v>
          </cell>
          <cell r="J2047" t="str">
            <v>CL 12 20 43</v>
          </cell>
          <cell r="K2047" t="str">
            <v>85001</v>
          </cell>
          <cell r="L2047" t="str">
            <v>YOPAL</v>
          </cell>
          <cell r="M2047" t="str">
            <v>6357556</v>
          </cell>
        </row>
        <row r="2048">
          <cell r="A2048">
            <v>48628620</v>
          </cell>
          <cell r="B2048" t="str">
            <v/>
          </cell>
          <cell r="C2048" t="str">
            <v/>
          </cell>
          <cell r="D2048" t="str">
            <v>CC</v>
          </cell>
          <cell r="E2048" t="str">
            <v>DENNY YOLIMA</v>
          </cell>
          <cell r="F2048" t="str">
            <v>SINISTERRA RUIZ</v>
          </cell>
          <cell r="G2048" t="str">
            <v>SINISTERRA RUIZ DENNY YOLIMA</v>
          </cell>
          <cell r="H2048" t="str">
            <v>FUNC</v>
          </cell>
          <cell r="I2048" t="str">
            <v>FUNCIONARIO</v>
          </cell>
          <cell r="J2048" t="str">
            <v>CL 11 A   2 E   28</v>
          </cell>
          <cell r="K2048" t="str">
            <v>17001</v>
          </cell>
          <cell r="L2048" t="str">
            <v>MANIZALES</v>
          </cell>
          <cell r="M2048" t="str">
            <v>3146692331</v>
          </cell>
        </row>
        <row r="2049">
          <cell r="A2049">
            <v>50899775</v>
          </cell>
          <cell r="B2049" t="str">
            <v>1</v>
          </cell>
          <cell r="C2049" t="str">
            <v/>
          </cell>
          <cell r="D2049" t="str">
            <v>NP</v>
          </cell>
          <cell r="E2049" t="str">
            <v>SANDRA INES</v>
          </cell>
          <cell r="F2049" t="str">
            <v>NAVARRO TABAREZ</v>
          </cell>
          <cell r="G2049" t="str">
            <v>NAVARRO TABAREZ SANDRA INES</v>
          </cell>
          <cell r="H2049" t="str">
            <v>RECO</v>
          </cell>
          <cell r="I2049" t="str">
            <v>REGIMEN COMUN</v>
          </cell>
          <cell r="J2049" t="str">
            <v>CL 51 CR 70 A 28</v>
          </cell>
          <cell r="K2049" t="str">
            <v>05001</v>
          </cell>
          <cell r="L2049" t="str">
            <v>MEDELLÍN</v>
          </cell>
          <cell r="M2049" t="str">
            <v>2301820</v>
          </cell>
        </row>
        <row r="2050">
          <cell r="A2050">
            <v>51590334</v>
          </cell>
          <cell r="B2050" t="str">
            <v>0</v>
          </cell>
          <cell r="C2050" t="str">
            <v/>
          </cell>
          <cell r="D2050" t="str">
            <v>NP</v>
          </cell>
          <cell r="E2050" t="str">
            <v>BERTILDA</v>
          </cell>
          <cell r="F2050" t="str">
            <v>CIFUENTES CAMACHO</v>
          </cell>
          <cell r="G2050" t="str">
            <v>CIFUENTES CAMACHO BERTILDA</v>
          </cell>
          <cell r="H2050" t="str">
            <v>IMVE</v>
          </cell>
          <cell r="I2050" t="str">
            <v>IMPUESTO SOBRE LAS VENTAS</v>
          </cell>
          <cell r="J2050" t="str">
            <v>VRD TOIBITA</v>
          </cell>
          <cell r="K2050" t="str">
            <v>15516</v>
          </cell>
          <cell r="L2050" t="str">
            <v>PAIPA</v>
          </cell>
          <cell r="M2050" t="str">
            <v>3124766942</v>
          </cell>
        </row>
        <row r="2051">
          <cell r="A2051">
            <v>51598368</v>
          </cell>
          <cell r="B2051" t="str">
            <v>7</v>
          </cell>
          <cell r="C2051" t="str">
            <v/>
          </cell>
          <cell r="D2051" t="str">
            <v>NP</v>
          </cell>
          <cell r="E2051" t="str">
            <v>LUZ MELIDA</v>
          </cell>
          <cell r="F2051" t="str">
            <v>CANO HERNANDEZ</v>
          </cell>
          <cell r="G2051" t="str">
            <v>CANO HERNANDEZ LUZ MELIDA</v>
          </cell>
          <cell r="H2051" t="str">
            <v>RECO</v>
          </cell>
          <cell r="I2051" t="str">
            <v>REGIMEN COMUN</v>
          </cell>
          <cell r="J2051" t="str">
            <v>CL 19   13   24</v>
          </cell>
          <cell r="K2051" t="str">
            <v>11001</v>
          </cell>
          <cell r="L2051" t="str">
            <v>BOGOTA DC</v>
          </cell>
          <cell r="M2051" t="str">
            <v>3420611</v>
          </cell>
        </row>
        <row r="2052">
          <cell r="A2052">
            <v>51624741</v>
          </cell>
          <cell r="B2052" t="str">
            <v>3</v>
          </cell>
          <cell r="C2052" t="str">
            <v/>
          </cell>
          <cell r="D2052" t="str">
            <v>NP</v>
          </cell>
          <cell r="E2052" t="str">
            <v>MARTHA LUCIA</v>
          </cell>
          <cell r="F2052" t="str">
            <v>VILLAMIL BARRERA</v>
          </cell>
          <cell r="G2052" t="str">
            <v>VILLAMIL BARRERA MARTHA LUCIA</v>
          </cell>
          <cell r="H2052" t="str">
            <v>RECO</v>
          </cell>
          <cell r="I2052" t="str">
            <v>REGIMEN COMUN</v>
          </cell>
          <cell r="J2052" t="str">
            <v>CL 9   20   45 IN 103</v>
          </cell>
          <cell r="K2052" t="str">
            <v>85001</v>
          </cell>
          <cell r="L2052" t="str">
            <v>YOPAL</v>
          </cell>
          <cell r="M2052" t="str">
            <v>6357749</v>
          </cell>
        </row>
        <row r="2053">
          <cell r="A2053">
            <v>51656197</v>
          </cell>
          <cell r="B2053" t="str">
            <v>3</v>
          </cell>
          <cell r="C2053" t="str">
            <v/>
          </cell>
          <cell r="D2053" t="str">
            <v>NP</v>
          </cell>
          <cell r="E2053" t="str">
            <v>ESTHER JULIA</v>
          </cell>
          <cell r="F2053" t="str">
            <v>ALARCON MEJIA</v>
          </cell>
          <cell r="G2053" t="str">
            <v>ALARCON MEJIA ESTHER JULIA</v>
          </cell>
          <cell r="H2053" t="str">
            <v>RESI</v>
          </cell>
          <cell r="I2053" t="str">
            <v>REGIMEN SIMPLIFICADO</v>
          </cell>
          <cell r="J2053" t="str">
            <v>CON BOSQUES DE ENCENILLO  CA 6</v>
          </cell>
          <cell r="K2053" t="str">
            <v>17001</v>
          </cell>
          <cell r="L2053" t="str">
            <v>MANIZALES</v>
          </cell>
          <cell r="M2053" t="str">
            <v>8762617</v>
          </cell>
        </row>
        <row r="2054">
          <cell r="A2054">
            <v>51671593</v>
          </cell>
          <cell r="B2054" t="str">
            <v>1</v>
          </cell>
          <cell r="C2054" t="str">
            <v/>
          </cell>
          <cell r="D2054" t="str">
            <v>NP</v>
          </cell>
          <cell r="E2054" t="str">
            <v>LUZ MARINA</v>
          </cell>
          <cell r="F2054" t="str">
            <v>VERA</v>
          </cell>
          <cell r="G2054" t="str">
            <v>VERA LUZ MARINA</v>
          </cell>
          <cell r="H2054" t="str">
            <v>RECO</v>
          </cell>
          <cell r="I2054" t="str">
            <v>REGIMEN COMUN</v>
          </cell>
          <cell r="J2054" t="str">
            <v>CL 17   12   23</v>
          </cell>
          <cell r="K2054" t="str">
            <v>11001</v>
          </cell>
          <cell r="L2054" t="str">
            <v>BOGOTA DC</v>
          </cell>
          <cell r="M2054" t="str">
            <v>3417514</v>
          </cell>
        </row>
        <row r="2055">
          <cell r="A2055">
            <v>51673450</v>
          </cell>
          <cell r="B2055" t="str">
            <v>4</v>
          </cell>
          <cell r="C2055" t="str">
            <v/>
          </cell>
          <cell r="D2055" t="str">
            <v>NP</v>
          </cell>
          <cell r="E2055" t="str">
            <v>ESPERANZA</v>
          </cell>
          <cell r="F2055" t="str">
            <v>CALDERON GOMEZ</v>
          </cell>
          <cell r="G2055" t="str">
            <v>ESPERANZA CALDERON GOMEZ/COLOMBIANA RADIADORES</v>
          </cell>
          <cell r="H2055" t="str">
            <v>RECO</v>
          </cell>
          <cell r="I2055" t="str">
            <v>REGIMEN COMUN</v>
          </cell>
          <cell r="J2055" t="str">
            <v>AC 17   53-46</v>
          </cell>
          <cell r="K2055" t="str">
            <v>11001</v>
          </cell>
          <cell r="L2055" t="str">
            <v>BOGOTA DC</v>
          </cell>
          <cell r="M2055" t="str">
            <v>2612949</v>
          </cell>
        </row>
        <row r="2056">
          <cell r="A2056">
            <v>51714135</v>
          </cell>
          <cell r="B2056" t="str">
            <v>6</v>
          </cell>
          <cell r="C2056" t="str">
            <v/>
          </cell>
          <cell r="D2056" t="str">
            <v>NP</v>
          </cell>
          <cell r="E2056" t="str">
            <v>ELSA</v>
          </cell>
          <cell r="F2056" t="str">
            <v>VILLALOBOS SARMIENTO</v>
          </cell>
          <cell r="G2056" t="str">
            <v>VILLALOBOS SARMIENTO ELSA</v>
          </cell>
          <cell r="H2056" t="str">
            <v>RECO</v>
          </cell>
          <cell r="I2056" t="str">
            <v>REGIMEN COMUN</v>
          </cell>
          <cell r="J2056" t="str">
            <v>AV CR 15 N 80 90</v>
          </cell>
          <cell r="K2056" t="str">
            <v>17001</v>
          </cell>
          <cell r="L2056" t="str">
            <v>MANIZALES</v>
          </cell>
          <cell r="M2056" t="str">
            <v>3165265877</v>
          </cell>
        </row>
        <row r="2057">
          <cell r="A2057">
            <v>51770625</v>
          </cell>
          <cell r="B2057" t="str">
            <v/>
          </cell>
          <cell r="C2057" t="str">
            <v/>
          </cell>
          <cell r="D2057" t="str">
            <v>CC</v>
          </cell>
          <cell r="E2057" t="str">
            <v>MARIA YANETH</v>
          </cell>
          <cell r="F2057" t="str">
            <v>CIFUENTES</v>
          </cell>
          <cell r="G2057" t="str">
            <v>CIFUENTES MARIA YANETH</v>
          </cell>
          <cell r="H2057" t="str">
            <v>RESI</v>
          </cell>
          <cell r="I2057" t="str">
            <v>REGIMEN SIMPLIFICADO</v>
          </cell>
          <cell r="J2057" t="str">
            <v>CR 71 58 SUR 50 BL 7 AP 102</v>
          </cell>
          <cell r="K2057" t="str">
            <v>11001</v>
          </cell>
          <cell r="L2057" t="str">
            <v>BOGOTA DC</v>
          </cell>
          <cell r="M2057" t="str">
            <v>4605577</v>
          </cell>
        </row>
        <row r="2058">
          <cell r="A2058">
            <v>51799495</v>
          </cell>
          <cell r="B2058" t="str">
            <v>7</v>
          </cell>
          <cell r="C2058" t="str">
            <v/>
          </cell>
          <cell r="D2058" t="str">
            <v>NP</v>
          </cell>
          <cell r="E2058" t="str">
            <v>VICTORIA</v>
          </cell>
          <cell r="F2058" t="str">
            <v>BERNAL TRUJILLO</v>
          </cell>
          <cell r="G2058" t="str">
            <v>BERNAL TRUJILLO VICTORIA</v>
          </cell>
          <cell r="H2058" t="str">
            <v>RECO</v>
          </cell>
          <cell r="I2058" t="str">
            <v>REGIMEN COMUN</v>
          </cell>
          <cell r="J2058" t="str">
            <v>AV EL DORADO 69 C 03 LC 103</v>
          </cell>
          <cell r="K2058" t="str">
            <v>11001</v>
          </cell>
          <cell r="L2058" t="str">
            <v>BOGOTA DC</v>
          </cell>
          <cell r="M2058" t="str">
            <v>2105146</v>
          </cell>
        </row>
        <row r="2059">
          <cell r="A2059">
            <v>51810703</v>
          </cell>
          <cell r="B2059" t="str">
            <v/>
          </cell>
          <cell r="C2059" t="str">
            <v/>
          </cell>
          <cell r="D2059" t="str">
            <v>CC</v>
          </cell>
          <cell r="E2059" t="str">
            <v>LUZ MARINA</v>
          </cell>
          <cell r="F2059" t="str">
            <v>GUTIERREZ GUTIERREZ</v>
          </cell>
          <cell r="G2059" t="str">
            <v>GUTIERREZ GUTIERREZ LUZ MARINA</v>
          </cell>
          <cell r="H2059" t="str">
            <v>RESI</v>
          </cell>
          <cell r="I2059" t="str">
            <v>REGIMEN SIMPLIFICADO</v>
          </cell>
          <cell r="J2059" t="str">
            <v>CL 16 15 17 BRR LOS LIBERTADORES</v>
          </cell>
          <cell r="K2059" t="str">
            <v>94001</v>
          </cell>
          <cell r="L2059" t="str">
            <v>INÍRIDA</v>
          </cell>
          <cell r="M2059" t="str">
            <v>3108525177</v>
          </cell>
        </row>
        <row r="2060">
          <cell r="A2060">
            <v>51859169</v>
          </cell>
          <cell r="B2060" t="str">
            <v>9</v>
          </cell>
          <cell r="C2060" t="str">
            <v/>
          </cell>
          <cell r="D2060" t="str">
            <v>NP</v>
          </cell>
          <cell r="E2060" t="str">
            <v>NOHEMYD</v>
          </cell>
          <cell r="F2060" t="str">
            <v>ESTUPIÑAN ESTUPIÑAN</v>
          </cell>
          <cell r="G2060" t="str">
            <v>ESTUPIÑAN ESTUPIÑAN NOHEMYD</v>
          </cell>
          <cell r="H2060" t="str">
            <v>RESI</v>
          </cell>
          <cell r="I2060" t="str">
            <v>REGIMEN SIMPLIFICADO</v>
          </cell>
          <cell r="J2060" t="str">
            <v>CR 16 9 31</v>
          </cell>
          <cell r="K2060" t="str">
            <v>15238</v>
          </cell>
          <cell r="L2060" t="str">
            <v>DUITAMA</v>
          </cell>
          <cell r="M2060" t="str">
            <v>3123161670</v>
          </cell>
        </row>
        <row r="2061">
          <cell r="A2061">
            <v>51866268</v>
          </cell>
          <cell r="B2061" t="str">
            <v>9</v>
          </cell>
          <cell r="C2061" t="str">
            <v/>
          </cell>
          <cell r="D2061" t="str">
            <v>NP</v>
          </cell>
          <cell r="E2061" t="str">
            <v>SILVIA CONSTANZA</v>
          </cell>
          <cell r="F2061" t="str">
            <v>SANCHEZ DEL CAMPO</v>
          </cell>
          <cell r="G2061" t="str">
            <v>SANCHEZ DEL CAMPO SILVIA CONSTANZA</v>
          </cell>
          <cell r="H2061" t="str">
            <v>IMVE</v>
          </cell>
          <cell r="I2061" t="str">
            <v>IMPUESTO SOBRE LAS VENTAS</v>
          </cell>
          <cell r="J2061" t="str">
            <v>4 KM VIA COTA-CHIA TARRAGONA CASA 37B</v>
          </cell>
          <cell r="K2061" t="str">
            <v>25214</v>
          </cell>
          <cell r="L2061" t="str">
            <v>COTA</v>
          </cell>
          <cell r="M2061" t="str">
            <v>3008026363</v>
          </cell>
        </row>
        <row r="2062">
          <cell r="A2062">
            <v>51895274</v>
          </cell>
          <cell r="B2062" t="str">
            <v>7</v>
          </cell>
          <cell r="C2062" t="str">
            <v/>
          </cell>
          <cell r="D2062" t="str">
            <v>NP</v>
          </cell>
          <cell r="E2062" t="str">
            <v>ROSA DORIS</v>
          </cell>
          <cell r="F2062" t="str">
            <v>PRIETO AVELLA</v>
          </cell>
          <cell r="G2062" t="str">
            <v>PRIETO AVELLA ROSA DORIS</v>
          </cell>
          <cell r="H2062" t="str">
            <v>RCPN</v>
          </cell>
          <cell r="I2062" t="str">
            <v>RESPONSABLE IVA PERSONA NATURAL</v>
          </cell>
          <cell r="J2062" t="str">
            <v xml:space="preserve"> CR 19  14 35</v>
          </cell>
          <cell r="K2062" t="str">
            <v>15238</v>
          </cell>
          <cell r="L2062" t="str">
            <v>DUITAMA</v>
          </cell>
          <cell r="M2062" t="str">
            <v>7611777</v>
          </cell>
        </row>
        <row r="2063">
          <cell r="A2063">
            <v>51918771</v>
          </cell>
          <cell r="B2063" t="str">
            <v>7</v>
          </cell>
          <cell r="C2063" t="str">
            <v/>
          </cell>
          <cell r="D2063" t="str">
            <v>NP</v>
          </cell>
          <cell r="E2063" t="str">
            <v>SANDRA PATRICIA</v>
          </cell>
          <cell r="F2063" t="str">
            <v>QUINTERO</v>
          </cell>
          <cell r="G2063" t="str">
            <v>QUINTERO SANDRA PATRICIA</v>
          </cell>
          <cell r="H2063" t="str">
            <v>RCPN</v>
          </cell>
          <cell r="I2063" t="str">
            <v>RESPONSABLE IVA PERSONA NATURAL</v>
          </cell>
          <cell r="J2063" t="str">
            <v>CL 19 13 A 45</v>
          </cell>
          <cell r="K2063" t="str">
            <v>11001</v>
          </cell>
          <cell r="L2063" t="str">
            <v>BOGOTA DC</v>
          </cell>
          <cell r="M2063" t="str">
            <v>2355264</v>
          </cell>
        </row>
        <row r="2064">
          <cell r="A2064">
            <v>51921458</v>
          </cell>
          <cell r="B2064" t="str">
            <v/>
          </cell>
          <cell r="C2064" t="str">
            <v/>
          </cell>
          <cell r="D2064" t="str">
            <v>CC</v>
          </cell>
          <cell r="E2064" t="str">
            <v>LUZ YOLANDA</v>
          </cell>
          <cell r="F2064" t="str">
            <v>SISO RODRIGUEZ</v>
          </cell>
          <cell r="G2064" t="str">
            <v>SISO RODRIGUEZ LUZ YOLANDA</v>
          </cell>
          <cell r="H2064" t="str">
            <v>RESI</v>
          </cell>
          <cell r="I2064" t="str">
            <v>REGIMEN SIMPLIFICADO</v>
          </cell>
          <cell r="J2064" t="str">
            <v>MCP SANTA ROSALÍA</v>
          </cell>
          <cell r="K2064" t="str">
            <v>99624</v>
          </cell>
          <cell r="L2064" t="str">
            <v>SANTA ROSALÍA</v>
          </cell>
          <cell r="M2064" t="str">
            <v>8756262</v>
          </cell>
        </row>
        <row r="2065">
          <cell r="A2065">
            <v>51924211</v>
          </cell>
          <cell r="B2065" t="str">
            <v>9</v>
          </cell>
          <cell r="C2065" t="str">
            <v/>
          </cell>
          <cell r="D2065" t="str">
            <v>NP</v>
          </cell>
          <cell r="E2065" t="str">
            <v>MERCEDES</v>
          </cell>
          <cell r="F2065" t="str">
            <v>MORALES SALGADO</v>
          </cell>
          <cell r="G2065" t="str">
            <v>MORALES SALGADO MERCEDES</v>
          </cell>
          <cell r="H2065" t="str">
            <v>RECO</v>
          </cell>
          <cell r="I2065" t="str">
            <v>REGIMEN COMUN</v>
          </cell>
          <cell r="J2065" t="str">
            <v>CL 9 8 89 BRR ESTERO</v>
          </cell>
          <cell r="K2065" t="str">
            <v>99524</v>
          </cell>
          <cell r="L2065" t="str">
            <v>LA PRIMAVERA</v>
          </cell>
          <cell r="M2065" t="str">
            <v>3208873644</v>
          </cell>
        </row>
        <row r="2066">
          <cell r="A2066">
            <v>51925611</v>
          </cell>
          <cell r="B2066" t="str">
            <v>6</v>
          </cell>
          <cell r="C2066" t="str">
            <v/>
          </cell>
          <cell r="D2066" t="str">
            <v>NP</v>
          </cell>
          <cell r="E2066" t="str">
            <v>ALEXANDRA BIBIANA</v>
          </cell>
          <cell r="F2066" t="str">
            <v>CALIXTO CHAQUEA</v>
          </cell>
          <cell r="G2066" t="str">
            <v>CALIXTO CHAQUEA ALEXANDRA BIBIANA</v>
          </cell>
          <cell r="H2066" t="str">
            <v>RECO</v>
          </cell>
          <cell r="I2066" t="str">
            <v>REGIMEN COMUN</v>
          </cell>
          <cell r="J2066" t="str">
            <v>CL 15 16 74 P 2</v>
          </cell>
          <cell r="K2066" t="str">
            <v>15238</v>
          </cell>
          <cell r="L2066" t="str">
            <v>DUITAMA</v>
          </cell>
          <cell r="M2066" t="str">
            <v>7602752</v>
          </cell>
        </row>
        <row r="2067">
          <cell r="A2067">
            <v>51934426</v>
          </cell>
          <cell r="B2067" t="str">
            <v>8</v>
          </cell>
          <cell r="C2067" t="str">
            <v/>
          </cell>
          <cell r="D2067" t="str">
            <v>NP</v>
          </cell>
          <cell r="E2067" t="str">
            <v>CLAUDIA CONSTANZA</v>
          </cell>
          <cell r="F2067" t="str">
            <v>CUBILLOS CRUZ</v>
          </cell>
          <cell r="G2067" t="str">
            <v>CUBILLOS CRUZ CLAUDIA CONSTANZA</v>
          </cell>
          <cell r="H2067" t="str">
            <v>RESI</v>
          </cell>
          <cell r="I2067" t="str">
            <v>REGIMEN SIMPLIFICADO</v>
          </cell>
          <cell r="J2067" t="str">
            <v>CR 69   24 C 23 LC 5</v>
          </cell>
          <cell r="K2067" t="str">
            <v>11001</v>
          </cell>
          <cell r="L2067" t="str">
            <v>BOGOTA DC</v>
          </cell>
          <cell r="M2067" t="str">
            <v>4102863</v>
          </cell>
        </row>
        <row r="2068">
          <cell r="A2068">
            <v>51963852</v>
          </cell>
          <cell r="B2068" t="str">
            <v/>
          </cell>
          <cell r="C2068" t="str">
            <v/>
          </cell>
          <cell r="D2068" t="str">
            <v>CC</v>
          </cell>
          <cell r="E2068" t="str">
            <v>ELSA CRISTINA</v>
          </cell>
          <cell r="F2068" t="str">
            <v>PUENTES KECAN</v>
          </cell>
          <cell r="G2068" t="str">
            <v>PUENTES KECAN ELSA CRISTINA</v>
          </cell>
          <cell r="H2068" t="str">
            <v>RESI</v>
          </cell>
          <cell r="I2068" t="str">
            <v>REGIMEN SIMPLIFICADO</v>
          </cell>
          <cell r="J2068" t="str">
            <v>CR 7 5 51</v>
          </cell>
          <cell r="K2068" t="str">
            <v>11001</v>
          </cell>
          <cell r="L2068" t="str">
            <v>BOGOTA DC</v>
          </cell>
          <cell r="M2068" t="str">
            <v>2460963</v>
          </cell>
        </row>
        <row r="2069">
          <cell r="A2069">
            <v>52029773</v>
          </cell>
          <cell r="B2069" t="str">
            <v/>
          </cell>
          <cell r="C2069" t="str">
            <v/>
          </cell>
          <cell r="D2069" t="str">
            <v>CC</v>
          </cell>
          <cell r="E2069" t="str">
            <v>MONICA AMPARO</v>
          </cell>
          <cell r="F2069" t="str">
            <v>SANTODOMINGO POSADA</v>
          </cell>
          <cell r="G2069" t="str">
            <v>SANTODOMINGO POSADA MONICA AMPARO</v>
          </cell>
          <cell r="H2069" t="str">
            <v>FUNC</v>
          </cell>
          <cell r="I2069" t="str">
            <v>FUNCIONARIO</v>
          </cell>
          <cell r="J2069" t="str">
            <v>CON RESIDENCIAL MAURYS  AP 204</v>
          </cell>
          <cell r="K2069" t="str">
            <v>91001</v>
          </cell>
          <cell r="L2069" t="str">
            <v>LETICIA</v>
          </cell>
          <cell r="M2069" t="str">
            <v>5924019</v>
          </cell>
        </row>
        <row r="2070">
          <cell r="A2070">
            <v>52033779</v>
          </cell>
          <cell r="B2070" t="str">
            <v/>
          </cell>
          <cell r="C2070" t="str">
            <v/>
          </cell>
          <cell r="D2070" t="str">
            <v>CC</v>
          </cell>
          <cell r="E2070" t="str">
            <v>LUZ ANGELICA</v>
          </cell>
          <cell r="F2070" t="str">
            <v>GAITAN CUEVAS</v>
          </cell>
          <cell r="G2070" t="str">
            <v>GAITAN CUEVAS LUZ ANGELICA</v>
          </cell>
          <cell r="H2070" t="str">
            <v>RESI</v>
          </cell>
          <cell r="I2070" t="str">
            <v>REGIMEN SIMPLIFICADO</v>
          </cell>
          <cell r="J2070" t="str">
            <v>MCP SAN LUIS DE PALENQUE VRD GUARACURAS FCA MORELIA</v>
          </cell>
          <cell r="K2070" t="str">
            <v>85325</v>
          </cell>
          <cell r="L2070" t="str">
            <v>SAN LUIS DE PALENQUE</v>
          </cell>
          <cell r="M2070" t="str">
            <v>3213644776</v>
          </cell>
        </row>
        <row r="2071">
          <cell r="A2071">
            <v>52040488</v>
          </cell>
          <cell r="B2071" t="str">
            <v>0</v>
          </cell>
          <cell r="C2071" t="str">
            <v/>
          </cell>
          <cell r="D2071" t="str">
            <v>NP</v>
          </cell>
          <cell r="E2071" t="str">
            <v>RUTH LILIANA</v>
          </cell>
          <cell r="F2071" t="str">
            <v>RINCON GOMEZ</v>
          </cell>
          <cell r="G2071" t="str">
            <v>RINCON GOMEZ RUTH LILIANA</v>
          </cell>
          <cell r="H2071" t="str">
            <v>RECO</v>
          </cell>
          <cell r="I2071" t="str">
            <v>REGIMEN COMUN</v>
          </cell>
          <cell r="J2071" t="str">
            <v>AV DE LAS AMERICAS 18 120 ESQ</v>
          </cell>
          <cell r="K2071" t="str">
            <v>15238</v>
          </cell>
          <cell r="L2071" t="str">
            <v>DUITAMA</v>
          </cell>
          <cell r="M2071" t="str">
            <v>7631838</v>
          </cell>
        </row>
        <row r="2072">
          <cell r="A2072">
            <v>52055094</v>
          </cell>
          <cell r="B2072" t="str">
            <v>8</v>
          </cell>
          <cell r="C2072" t="str">
            <v/>
          </cell>
          <cell r="D2072" t="str">
            <v>NP</v>
          </cell>
          <cell r="E2072" t="str">
            <v>SANDRA MONICA</v>
          </cell>
          <cell r="F2072" t="str">
            <v>TALERO ANTE</v>
          </cell>
          <cell r="G2072" t="str">
            <v>TALERO ANTE SANDRA MONICA</v>
          </cell>
          <cell r="H2072" t="str">
            <v>RESI</v>
          </cell>
          <cell r="I2072" t="str">
            <v>REGIMEN SIMPLIFICADO</v>
          </cell>
          <cell r="J2072" t="str">
            <v>CL  11   14   55</v>
          </cell>
          <cell r="K2072" t="str">
            <v>15238</v>
          </cell>
          <cell r="L2072" t="str">
            <v>DUITAMA</v>
          </cell>
          <cell r="M2072" t="str">
            <v>7650029</v>
          </cell>
        </row>
        <row r="2073">
          <cell r="A2073">
            <v>52084361</v>
          </cell>
          <cell r="B2073" t="str">
            <v>3</v>
          </cell>
          <cell r="C2073" t="str">
            <v/>
          </cell>
          <cell r="D2073" t="str">
            <v>NP</v>
          </cell>
          <cell r="E2073" t="str">
            <v>MARIA ESTHER</v>
          </cell>
          <cell r="F2073" t="str">
            <v>CATIMAY GUACARAPARE</v>
          </cell>
          <cell r="G2073" t="str">
            <v>CATIMAY GUACARAPARE MARIA ESTHER</v>
          </cell>
          <cell r="H2073" t="str">
            <v>RESI</v>
          </cell>
          <cell r="I2073" t="str">
            <v>REGIMEN SIMPLIFICADO</v>
          </cell>
          <cell r="J2073" t="str">
            <v>CL 5   7   62 BRR EL CENTRO SANTA ROSALIA</v>
          </cell>
          <cell r="K2073" t="str">
            <v>99001</v>
          </cell>
          <cell r="L2073" t="str">
            <v>PUERTO CARREÑO</v>
          </cell>
          <cell r="M2073" t="str">
            <v>3138520591</v>
          </cell>
        </row>
        <row r="2074">
          <cell r="A2074">
            <v>52105954</v>
          </cell>
          <cell r="B2074" t="str">
            <v>2</v>
          </cell>
          <cell r="C2074" t="str">
            <v/>
          </cell>
          <cell r="D2074" t="str">
            <v>NP</v>
          </cell>
          <cell r="E2074" t="str">
            <v>BEATRIZ</v>
          </cell>
          <cell r="F2074" t="str">
            <v>ESCOBAR PRIETO</v>
          </cell>
          <cell r="G2074" t="str">
            <v>ESCOBAR PRIETO BEATRIZ</v>
          </cell>
          <cell r="H2074" t="str">
            <v>RESI</v>
          </cell>
          <cell r="I2074" t="str">
            <v>REGIMEN SIMPLIFICADO</v>
          </cell>
          <cell r="J2074" t="str">
            <v>CR 6 29 56 BRR LA PRIMERA II ET</v>
          </cell>
          <cell r="K2074" t="str">
            <v>94001</v>
          </cell>
          <cell r="L2074" t="str">
            <v>INÍRIDA</v>
          </cell>
          <cell r="M2074" t="str">
            <v>3125330632</v>
          </cell>
        </row>
        <row r="2075">
          <cell r="A2075">
            <v>52130621</v>
          </cell>
          <cell r="B2075" t="str">
            <v>0</v>
          </cell>
          <cell r="C2075" t="str">
            <v/>
          </cell>
          <cell r="D2075" t="str">
            <v>NP</v>
          </cell>
          <cell r="E2075" t="str">
            <v>CLAUDIA YASMIN</v>
          </cell>
          <cell r="F2075" t="str">
            <v>DUARTE MATEUS</v>
          </cell>
          <cell r="G2075" t="str">
            <v>DUARTE MATEUS CLAUDIA YASMIN</v>
          </cell>
          <cell r="H2075" t="str">
            <v>RESI</v>
          </cell>
          <cell r="I2075" t="str">
            <v>REGIMEN SIMPLIFICADO</v>
          </cell>
          <cell r="J2075" t="str">
            <v>CR 13   29 A   45 BRR SAN JORGE</v>
          </cell>
          <cell r="K2075" t="str">
            <v>85001</v>
          </cell>
          <cell r="L2075" t="str">
            <v>YOPAL</v>
          </cell>
          <cell r="M2075" t="str">
            <v>3112104889</v>
          </cell>
        </row>
        <row r="2076">
          <cell r="A2076">
            <v>52144880</v>
          </cell>
          <cell r="B2076" t="str">
            <v>2</v>
          </cell>
          <cell r="C2076" t="str">
            <v/>
          </cell>
          <cell r="D2076" t="str">
            <v>NP</v>
          </cell>
          <cell r="E2076" t="str">
            <v>MARYURY TATIHANA</v>
          </cell>
          <cell r="F2076" t="str">
            <v>GUTIERREZ RIVERA</v>
          </cell>
          <cell r="G2076" t="str">
            <v>GUTIERREZ RIVERA MARYURY TATIHANA</v>
          </cell>
          <cell r="H2076" t="str">
            <v>IMVE</v>
          </cell>
          <cell r="I2076" t="str">
            <v>IMPUESTO SOBRE LAS VENTAS</v>
          </cell>
          <cell r="J2076" t="str">
            <v>CL 10 8 42 P 1</v>
          </cell>
          <cell r="K2076" t="str">
            <v>14</v>
          </cell>
          <cell r="L2076" t="str">
            <v>NARIÑO</v>
          </cell>
          <cell r="M2076" t="str">
            <v>8680105</v>
          </cell>
        </row>
        <row r="2077">
          <cell r="A2077">
            <v>52150100</v>
          </cell>
          <cell r="B2077" t="str">
            <v>0</v>
          </cell>
          <cell r="C2077" t="str">
            <v/>
          </cell>
          <cell r="D2077" t="str">
            <v>NP</v>
          </cell>
          <cell r="E2077" t="str">
            <v>SANDRA</v>
          </cell>
          <cell r="F2077" t="str">
            <v>SUA OYUELA</v>
          </cell>
          <cell r="G2077" t="str">
            <v>SUA OYUELA SANDRA</v>
          </cell>
          <cell r="H2077" t="str">
            <v>IMVE</v>
          </cell>
          <cell r="I2077" t="str">
            <v>IMPUESTO SOBRE LAS VENTAS</v>
          </cell>
          <cell r="J2077" t="str">
            <v>CR 31 20 12</v>
          </cell>
          <cell r="K2077" t="str">
            <v>85001</v>
          </cell>
          <cell r="L2077" t="str">
            <v>YOPAL</v>
          </cell>
          <cell r="M2077" t="str">
            <v>3138857745</v>
          </cell>
        </row>
        <row r="2078">
          <cell r="A2078">
            <v>52171753</v>
          </cell>
          <cell r="B2078" t="str">
            <v/>
          </cell>
          <cell r="C2078" t="str">
            <v/>
          </cell>
          <cell r="D2078" t="str">
            <v>CC</v>
          </cell>
          <cell r="E2078" t="str">
            <v>ISABEL</v>
          </cell>
          <cell r="F2078" t="str">
            <v>GOMEZ HERNANDEZ</v>
          </cell>
          <cell r="G2078" t="str">
            <v>GOMEZ HERNANDEZ ISABEL</v>
          </cell>
          <cell r="H2078" t="str">
            <v>FUNC</v>
          </cell>
          <cell r="I2078" t="str">
            <v>FUNCIONARIO</v>
          </cell>
          <cell r="J2078" t="str">
            <v>CLLL 65 B 8 08</v>
          </cell>
          <cell r="K2078" t="str">
            <v>17001</v>
          </cell>
          <cell r="L2078" t="str">
            <v>MANIZALES</v>
          </cell>
          <cell r="M2078" t="str">
            <v>8506345</v>
          </cell>
        </row>
        <row r="2079">
          <cell r="A2079">
            <v>52186495</v>
          </cell>
          <cell r="B2079" t="str">
            <v>1</v>
          </cell>
          <cell r="C2079" t="str">
            <v/>
          </cell>
          <cell r="D2079" t="str">
            <v>NP</v>
          </cell>
          <cell r="E2079" t="str">
            <v>JENNY CONSTANZA</v>
          </cell>
          <cell r="F2079" t="str">
            <v>GUARNIZO TORRES</v>
          </cell>
          <cell r="G2079" t="str">
            <v>GUARNIZO TORRES JENNY CONSTANZA/HOTEL BOUTIQUE CASAQUINTA</v>
          </cell>
          <cell r="H2079" t="str">
            <v>NORE</v>
          </cell>
          <cell r="I2079" t="str">
            <v>NO RESPONSABLE DE IVA</v>
          </cell>
          <cell r="J2079" t="str">
            <v>CR 5 2 65 79 BRR LA ERMITA</v>
          </cell>
          <cell r="K2079" t="str">
            <v>73443</v>
          </cell>
          <cell r="L2079" t="str">
            <v>MARIQUITA</v>
          </cell>
          <cell r="M2079" t="str">
            <v>3202281586</v>
          </cell>
        </row>
        <row r="2080">
          <cell r="A2080">
            <v>52189620</v>
          </cell>
          <cell r="B2080" t="str">
            <v>8</v>
          </cell>
          <cell r="C2080" t="str">
            <v/>
          </cell>
          <cell r="D2080" t="str">
            <v>NP</v>
          </cell>
          <cell r="E2080" t="str">
            <v>EVELIN EMILCE</v>
          </cell>
          <cell r="F2080" t="str">
            <v>NAVARRETE NIÑO</v>
          </cell>
          <cell r="G2080" t="str">
            <v>NAVARRETE NIÑO EVELIN EMILCE</v>
          </cell>
          <cell r="H2080" t="str">
            <v>RESI</v>
          </cell>
          <cell r="I2080" t="str">
            <v>REGIMEN SIMPLIFICADO</v>
          </cell>
          <cell r="J2080" t="str">
            <v>CL 148 99 38 INT 7 AP 602</v>
          </cell>
          <cell r="K2080" t="str">
            <v>11001</v>
          </cell>
          <cell r="L2080" t="str">
            <v>BOGOTA DC</v>
          </cell>
          <cell r="M2080" t="str">
            <v>3163037956</v>
          </cell>
        </row>
        <row r="2081">
          <cell r="A2081">
            <v>52197457</v>
          </cell>
          <cell r="B2081" t="str">
            <v>7</v>
          </cell>
          <cell r="C2081" t="str">
            <v/>
          </cell>
          <cell r="D2081" t="str">
            <v>NP</v>
          </cell>
          <cell r="E2081" t="str">
            <v>DIANA LORENA</v>
          </cell>
          <cell r="F2081" t="str">
            <v>RODRIGUEZ CETINA</v>
          </cell>
          <cell r="G2081" t="str">
            <v>RODRIGUEZ CETINA DIANA LORENA</v>
          </cell>
          <cell r="H2081" t="str">
            <v>RESI</v>
          </cell>
          <cell r="I2081" t="str">
            <v>REGIMEN SIMPLIFICADO</v>
          </cell>
          <cell r="J2081" t="str">
            <v>CL 22 BIS 43 B 05</v>
          </cell>
          <cell r="K2081" t="str">
            <v>11001</v>
          </cell>
          <cell r="L2081" t="str">
            <v>BOGOTA DC</v>
          </cell>
          <cell r="M2081" t="str">
            <v>4646010</v>
          </cell>
        </row>
        <row r="2082">
          <cell r="A2082">
            <v>52200702</v>
          </cell>
          <cell r="B2082" t="str">
            <v>1</v>
          </cell>
          <cell r="C2082" t="str">
            <v/>
          </cell>
          <cell r="D2082" t="str">
            <v>NP</v>
          </cell>
          <cell r="E2082" t="str">
            <v>MARILUZ</v>
          </cell>
          <cell r="F2082" t="str">
            <v>HERRERA LUGO</v>
          </cell>
          <cell r="G2082" t="str">
            <v>HERRERA LUGO  MARILUZ</v>
          </cell>
          <cell r="H2082" t="str">
            <v>RESI</v>
          </cell>
          <cell r="I2082" t="str">
            <v>REGIMEN SIMPLIFICADO</v>
          </cell>
          <cell r="J2082" t="str">
            <v>AV CARACAS 22 53</v>
          </cell>
          <cell r="K2082" t="str">
            <v>11001</v>
          </cell>
          <cell r="L2082" t="str">
            <v>BOGOTA DC</v>
          </cell>
          <cell r="M2082" t="str">
            <v>3425009</v>
          </cell>
        </row>
        <row r="2083">
          <cell r="A2083">
            <v>52212567</v>
          </cell>
          <cell r="B2083" t="str">
            <v>3</v>
          </cell>
          <cell r="C2083" t="str">
            <v/>
          </cell>
          <cell r="D2083" t="str">
            <v>NP</v>
          </cell>
          <cell r="E2083" t="str">
            <v>OLGA LUDIBIA</v>
          </cell>
          <cell r="F2083" t="str">
            <v>CAPACHO TORRES</v>
          </cell>
          <cell r="G2083" t="str">
            <v>CAPACHO TORRES OLGA LUDIBIA</v>
          </cell>
          <cell r="H2083" t="str">
            <v>RECO</v>
          </cell>
          <cell r="I2083" t="str">
            <v>REGIMEN COMUN</v>
          </cell>
          <cell r="J2083" t="str">
            <v>CL 3   25 A 71 BRR SANTA ISABEL</v>
          </cell>
          <cell r="K2083" t="str">
            <v>11001</v>
          </cell>
          <cell r="L2083" t="str">
            <v>BOGOTA DC</v>
          </cell>
          <cell r="M2083" t="str">
            <v>4085070</v>
          </cell>
        </row>
        <row r="2084">
          <cell r="A2084">
            <v>52235512</v>
          </cell>
          <cell r="B2084" t="str">
            <v>8</v>
          </cell>
          <cell r="C2084" t="str">
            <v/>
          </cell>
          <cell r="D2084" t="str">
            <v>NP</v>
          </cell>
          <cell r="E2084" t="str">
            <v>MARIA FERNANDA</v>
          </cell>
          <cell r="F2084" t="str">
            <v>MENDEZ GONZALEZ</v>
          </cell>
          <cell r="G2084" t="str">
            <v>MENDEZ GONZALEZ MARIA FERNANDA</v>
          </cell>
          <cell r="H2084" t="str">
            <v>RECO</v>
          </cell>
          <cell r="I2084" t="str">
            <v>REGIMEN COMUN</v>
          </cell>
          <cell r="J2084" t="str">
            <v>CL 27   21   16</v>
          </cell>
          <cell r="K2084" t="str">
            <v>15516</v>
          </cell>
          <cell r="L2084" t="str">
            <v>PAIPA</v>
          </cell>
          <cell r="M2084" t="str">
            <v>3208551784</v>
          </cell>
        </row>
        <row r="2085">
          <cell r="A2085">
            <v>52268107</v>
          </cell>
          <cell r="B2085" t="str">
            <v>1</v>
          </cell>
          <cell r="C2085" t="str">
            <v/>
          </cell>
          <cell r="D2085" t="str">
            <v>NP</v>
          </cell>
          <cell r="E2085" t="str">
            <v>NANCY PATRICIA</v>
          </cell>
          <cell r="F2085" t="str">
            <v>ACEVEDO RODRIGUEZ</v>
          </cell>
          <cell r="G2085" t="str">
            <v>ACEVEDO RODRIGUEZ NANCY PATRICIA</v>
          </cell>
          <cell r="H2085" t="str">
            <v>RESI</v>
          </cell>
          <cell r="I2085" t="str">
            <v>REGIMEN SIMPLIFICADO</v>
          </cell>
          <cell r="J2085" t="str">
            <v>CR 6 17 03 BRR CENTRO</v>
          </cell>
          <cell r="K2085" t="str">
            <v>94001</v>
          </cell>
          <cell r="L2085" t="str">
            <v>INÍRIDA</v>
          </cell>
          <cell r="M2085" t="str">
            <v>30070074929</v>
          </cell>
        </row>
        <row r="2086">
          <cell r="A2086">
            <v>52303579</v>
          </cell>
          <cell r="B2086" t="str">
            <v>2</v>
          </cell>
          <cell r="C2086" t="str">
            <v/>
          </cell>
          <cell r="D2086" t="str">
            <v>NP</v>
          </cell>
          <cell r="E2086" t="str">
            <v>GLADYS LILIANA</v>
          </cell>
          <cell r="F2086" t="str">
            <v>RUA CESPEDES</v>
          </cell>
          <cell r="G2086" t="str">
            <v>RUA CESPEDES GLADYS LILIANA</v>
          </cell>
          <cell r="H2086" t="str">
            <v>RESI</v>
          </cell>
          <cell r="I2086" t="str">
            <v>REGIMEN SIMPLIFICADO</v>
          </cell>
          <cell r="J2086" t="str">
            <v>AV DEL RIO CL 31 BRR SAN MIGUEL</v>
          </cell>
          <cell r="K2086" t="str">
            <v>05756</v>
          </cell>
          <cell r="L2086" t="str">
            <v>SONSON</v>
          </cell>
          <cell r="M2086" t="str">
            <v>8324005</v>
          </cell>
        </row>
        <row r="2087">
          <cell r="A2087">
            <v>52304431</v>
          </cell>
          <cell r="B2087" t="str">
            <v>6</v>
          </cell>
          <cell r="C2087" t="str">
            <v/>
          </cell>
          <cell r="D2087" t="str">
            <v>NP</v>
          </cell>
          <cell r="E2087" t="str">
            <v>SANDRA PATRICIA</v>
          </cell>
          <cell r="F2087" t="str">
            <v>HASTAMORIR RODRIGUEZ</v>
          </cell>
          <cell r="G2087" t="str">
            <v>HASTAMORIR RODRIGUEZ SANDRA PATRICIA</v>
          </cell>
          <cell r="H2087" t="str">
            <v>RESI</v>
          </cell>
          <cell r="I2087" t="str">
            <v>REGIMEN SIMPLIFICADO</v>
          </cell>
          <cell r="J2087" t="str">
            <v>TV 29  AV CIRCUNVALAR 15   15</v>
          </cell>
          <cell r="K2087" t="str">
            <v>15238</v>
          </cell>
          <cell r="L2087" t="str">
            <v>DUITAMA</v>
          </cell>
          <cell r="M2087" t="str">
            <v>3103025342</v>
          </cell>
        </row>
        <row r="2088">
          <cell r="A2088">
            <v>52320373</v>
          </cell>
          <cell r="B2088" t="str">
            <v>4</v>
          </cell>
          <cell r="C2088" t="str">
            <v/>
          </cell>
          <cell r="D2088" t="str">
            <v>NP</v>
          </cell>
          <cell r="E2088" t="str">
            <v>CLAUDIA ANDREA</v>
          </cell>
          <cell r="F2088" t="str">
            <v>ARTEAGA GOMEZ</v>
          </cell>
          <cell r="G2088" t="str">
            <v>ARTEAGA GOMEZ CLAUDIA ANDREA</v>
          </cell>
          <cell r="H2088" t="str">
            <v>RECO</v>
          </cell>
          <cell r="I2088" t="str">
            <v>REGIMEN COMUN</v>
          </cell>
          <cell r="J2088" t="str">
            <v>CL 66A 68 A 45</v>
          </cell>
          <cell r="K2088" t="str">
            <v>11001</v>
          </cell>
          <cell r="L2088" t="str">
            <v>BOGOTA DC</v>
          </cell>
          <cell r="M2088" t="str">
            <v>3143786227</v>
          </cell>
        </row>
        <row r="2089">
          <cell r="A2089">
            <v>52321781</v>
          </cell>
          <cell r="B2089" t="str">
            <v>0</v>
          </cell>
          <cell r="C2089" t="str">
            <v/>
          </cell>
          <cell r="D2089" t="str">
            <v>NP</v>
          </cell>
          <cell r="E2089" t="str">
            <v>LUZ HELENA</v>
          </cell>
          <cell r="F2089" t="str">
            <v>GONZALEZ MONTOYA</v>
          </cell>
          <cell r="G2089" t="str">
            <v>GONZALEZ MONTOYA LUZ HELENA</v>
          </cell>
          <cell r="H2089" t="str">
            <v>NORE</v>
          </cell>
          <cell r="I2089" t="str">
            <v>NO RESPONSABLE DE IVA</v>
          </cell>
          <cell r="J2089" t="str">
            <v>CL 25 20 46</v>
          </cell>
          <cell r="K2089" t="str">
            <v>15516</v>
          </cell>
          <cell r="L2089" t="str">
            <v>PAIPA</v>
          </cell>
          <cell r="M2089" t="str">
            <v>3105669083</v>
          </cell>
        </row>
        <row r="2090">
          <cell r="A2090">
            <v>52368310</v>
          </cell>
          <cell r="B2090" t="str">
            <v>8</v>
          </cell>
          <cell r="C2090" t="str">
            <v/>
          </cell>
          <cell r="D2090" t="str">
            <v>NP</v>
          </cell>
          <cell r="E2090" t="str">
            <v>LUZ ADRIANA</v>
          </cell>
          <cell r="F2090" t="str">
            <v>DIAZ G</v>
          </cell>
          <cell r="G2090" t="str">
            <v>DIAZ G LUZ ADRIANA</v>
          </cell>
          <cell r="H2090" t="str">
            <v>RESI</v>
          </cell>
          <cell r="I2090" t="str">
            <v>REGIMEN SIMPLIFICADO</v>
          </cell>
          <cell r="J2090" t="str">
            <v>CR 3   17 B   15</v>
          </cell>
          <cell r="K2090" t="str">
            <v>11001</v>
          </cell>
          <cell r="L2090" t="str">
            <v>BOGOTA DC</v>
          </cell>
          <cell r="M2090" t="str">
            <v>8949557</v>
          </cell>
        </row>
        <row r="2091">
          <cell r="A2091">
            <v>52374136</v>
          </cell>
          <cell r="B2091" t="str">
            <v>7</v>
          </cell>
          <cell r="C2091" t="str">
            <v/>
          </cell>
          <cell r="D2091" t="str">
            <v>NP</v>
          </cell>
          <cell r="E2091" t="str">
            <v>DIANA PATRICIA</v>
          </cell>
          <cell r="F2091" t="str">
            <v>JAIME</v>
          </cell>
          <cell r="G2091" t="str">
            <v>JAIME DIANA PATRICIA</v>
          </cell>
          <cell r="H2091" t="str">
            <v>RECO</v>
          </cell>
          <cell r="I2091" t="str">
            <v>REGIMEN COMUN</v>
          </cell>
          <cell r="J2091" t="str">
            <v>Cr 68 12a 81</v>
          </cell>
          <cell r="K2091" t="str">
            <v>11001</v>
          </cell>
          <cell r="L2091" t="str">
            <v>BOGOTA DC</v>
          </cell>
          <cell r="M2091" t="str">
            <v>4137071</v>
          </cell>
        </row>
        <row r="2092">
          <cell r="A2092">
            <v>52392556</v>
          </cell>
          <cell r="B2092" t="str">
            <v/>
          </cell>
          <cell r="C2092" t="str">
            <v/>
          </cell>
          <cell r="D2092" t="str">
            <v>CC</v>
          </cell>
          <cell r="E2092" t="str">
            <v>NATALIA</v>
          </cell>
          <cell r="F2092" t="str">
            <v>ARCILA CUADRADO</v>
          </cell>
          <cell r="G2092" t="str">
            <v>ARCILA CUADRADO NATALIA</v>
          </cell>
          <cell r="H2092" t="str">
            <v>FUNC</v>
          </cell>
          <cell r="I2092" t="str">
            <v>FUNCIONARIO</v>
          </cell>
          <cell r="J2092" t="str">
            <v>CL 27   24   23</v>
          </cell>
          <cell r="K2092" t="str">
            <v>17001</v>
          </cell>
          <cell r="L2092" t="str">
            <v>MANIZALES</v>
          </cell>
          <cell r="M2092" t="str">
            <v>3123039394</v>
          </cell>
        </row>
        <row r="2093">
          <cell r="A2093">
            <v>52429556</v>
          </cell>
          <cell r="B2093" t="str">
            <v/>
          </cell>
          <cell r="C2093" t="str">
            <v/>
          </cell>
          <cell r="D2093" t="str">
            <v>CC</v>
          </cell>
          <cell r="E2093" t="str">
            <v>ASTRID CONSUELO</v>
          </cell>
          <cell r="F2093" t="str">
            <v>SALCEDO SAAVEDRA</v>
          </cell>
          <cell r="G2093" t="str">
            <v>SALCEDO SAAVEDRA ASTRID CONSUELO</v>
          </cell>
          <cell r="H2093" t="str">
            <v>RESI</v>
          </cell>
          <cell r="I2093" t="str">
            <v>REGIMEN SIMPLIFICADO</v>
          </cell>
          <cell r="J2093" t="str">
            <v>CR 8 6 C 38</v>
          </cell>
          <cell r="K2093" t="str">
            <v>11001</v>
          </cell>
          <cell r="L2093" t="str">
            <v>BOGOTA DC</v>
          </cell>
          <cell r="M2093" t="str">
            <v>3811700</v>
          </cell>
        </row>
        <row r="2094">
          <cell r="A2094">
            <v>52517748</v>
          </cell>
          <cell r="B2094" t="str">
            <v/>
          </cell>
          <cell r="C2094" t="str">
            <v/>
          </cell>
          <cell r="D2094" t="str">
            <v>CC</v>
          </cell>
          <cell r="E2094" t="str">
            <v>DIANA MARÍA</v>
          </cell>
          <cell r="F2094" t="str">
            <v>OZUNA GIRALDO</v>
          </cell>
          <cell r="G2094" t="str">
            <v>OZUNA GIRALDO DIANA MARÍA</v>
          </cell>
          <cell r="H2094" t="str">
            <v>FUNC</v>
          </cell>
          <cell r="I2094" t="str">
            <v>FUNCIONARIO</v>
          </cell>
          <cell r="J2094" t="str">
            <v>AV 31 C 52</v>
          </cell>
          <cell r="K2094" t="str">
            <v>17001</v>
          </cell>
          <cell r="L2094" t="str">
            <v>MANIZALES</v>
          </cell>
          <cell r="M2094" t="str">
            <v>304606305</v>
          </cell>
        </row>
        <row r="2095">
          <cell r="A2095">
            <v>52522005</v>
          </cell>
          <cell r="B2095" t="str">
            <v>6</v>
          </cell>
          <cell r="C2095" t="str">
            <v/>
          </cell>
          <cell r="D2095" t="str">
            <v>NP</v>
          </cell>
          <cell r="E2095" t="str">
            <v>JOHANNA BRIGITTE</v>
          </cell>
          <cell r="F2095" t="str">
            <v>RINCON GRANADOS</v>
          </cell>
          <cell r="G2095" t="str">
            <v>RINCON GRANADOS JOHANNA BRIGITTE</v>
          </cell>
          <cell r="H2095" t="str">
            <v>RCPN</v>
          </cell>
          <cell r="I2095" t="str">
            <v>RESPONSABLE IVA PERSONA NATURAL</v>
          </cell>
          <cell r="J2095" t="str">
            <v>CR  21 10 14</v>
          </cell>
          <cell r="K2095" t="str">
            <v>85001</v>
          </cell>
          <cell r="L2095" t="str">
            <v>YOPAL</v>
          </cell>
          <cell r="M2095" t="str">
            <v>6356928</v>
          </cell>
        </row>
        <row r="2096">
          <cell r="A2096">
            <v>52767535</v>
          </cell>
          <cell r="B2096" t="str">
            <v>1</v>
          </cell>
          <cell r="C2096" t="str">
            <v/>
          </cell>
          <cell r="D2096" t="str">
            <v>NP</v>
          </cell>
          <cell r="E2096" t="str">
            <v>LIBRADA</v>
          </cell>
          <cell r="F2096" t="str">
            <v>MORENO GUIZA</v>
          </cell>
          <cell r="G2096" t="str">
            <v>MORENO GUIZA LIBRADA</v>
          </cell>
          <cell r="H2096" t="str">
            <v>RESI</v>
          </cell>
          <cell r="I2096" t="str">
            <v>REGIMEN SIMPLIFICADO</v>
          </cell>
          <cell r="J2096" t="str">
            <v>CL 8   18   50</v>
          </cell>
          <cell r="K2096" t="str">
            <v>85001</v>
          </cell>
          <cell r="L2096" t="str">
            <v>YOPAL</v>
          </cell>
          <cell r="M2096" t="str">
            <v>6359932</v>
          </cell>
        </row>
        <row r="2097">
          <cell r="A2097">
            <v>52775487</v>
          </cell>
          <cell r="B2097" t="str">
            <v/>
          </cell>
          <cell r="C2097" t="str">
            <v/>
          </cell>
          <cell r="D2097" t="str">
            <v>CC</v>
          </cell>
          <cell r="E2097" t="str">
            <v>DORALID</v>
          </cell>
          <cell r="F2097" t="str">
            <v>SANCLEMENTE BELTRAN</v>
          </cell>
          <cell r="G2097" t="str">
            <v>SANCLEMENTE BELTRAN  DORALID</v>
          </cell>
          <cell r="H2097" t="str">
            <v>FUNC</v>
          </cell>
          <cell r="I2097" t="str">
            <v>FUNCIONARIO</v>
          </cell>
          <cell r="J2097" t="str">
            <v>C CUPICA</v>
          </cell>
          <cell r="K2097" t="str">
            <v>27075</v>
          </cell>
          <cell r="L2097" t="str">
            <v>BAHÍA SOLANO</v>
          </cell>
          <cell r="M2097" t="str">
            <v>8756262</v>
          </cell>
        </row>
        <row r="2098">
          <cell r="A2098">
            <v>52780293</v>
          </cell>
          <cell r="B2098" t="str">
            <v/>
          </cell>
          <cell r="C2098" t="str">
            <v/>
          </cell>
          <cell r="D2098" t="str">
            <v>CC</v>
          </cell>
          <cell r="E2098" t="str">
            <v>DIANA JAQUELINE</v>
          </cell>
          <cell r="F2098" t="str">
            <v>PEREZ GUTIERREZ</v>
          </cell>
          <cell r="G2098" t="str">
            <v>PEREZ GUTIERREZ DIANA JAQUELINE</v>
          </cell>
          <cell r="H2098" t="str">
            <v>FUNC</v>
          </cell>
          <cell r="I2098" t="str">
            <v>FUNCIONARIO</v>
          </cell>
          <cell r="J2098" t="str">
            <v>TV 85 G   24 C   56 AP 401</v>
          </cell>
          <cell r="K2098" t="str">
            <v>15516</v>
          </cell>
          <cell r="L2098" t="str">
            <v>PAIPA</v>
          </cell>
          <cell r="M2098" t="str">
            <v>4295019</v>
          </cell>
        </row>
        <row r="2099">
          <cell r="A2099">
            <v>52799730</v>
          </cell>
          <cell r="B2099" t="str">
            <v>7</v>
          </cell>
          <cell r="C2099" t="str">
            <v/>
          </cell>
          <cell r="D2099" t="str">
            <v>NP</v>
          </cell>
          <cell r="E2099" t="str">
            <v>JESSICA</v>
          </cell>
          <cell r="F2099" t="str">
            <v>PULGARIN PEREZ</v>
          </cell>
          <cell r="G2099" t="str">
            <v>PULGARIN PEREZ JESSICA</v>
          </cell>
          <cell r="H2099" t="str">
            <v>RCPN</v>
          </cell>
          <cell r="I2099" t="str">
            <v>RESPONSABLE IVA PERSONA NATURAL</v>
          </cell>
          <cell r="J2099" t="str">
            <v>CR 19   26   30</v>
          </cell>
          <cell r="K2099" t="str">
            <v>11001</v>
          </cell>
          <cell r="L2099" t="str">
            <v>BOGOTA DC</v>
          </cell>
          <cell r="M2099" t="str">
            <v>7850137</v>
          </cell>
        </row>
        <row r="2100">
          <cell r="A2100">
            <v>52853113</v>
          </cell>
          <cell r="B2100" t="str">
            <v>3</v>
          </cell>
          <cell r="C2100" t="str">
            <v/>
          </cell>
          <cell r="D2100" t="str">
            <v>NP</v>
          </cell>
          <cell r="E2100" t="str">
            <v>LILIAN TERESA</v>
          </cell>
          <cell r="F2100" t="str">
            <v>SANCHEZ HERNANDEZ</v>
          </cell>
          <cell r="G2100" t="str">
            <v>SANCHEZ HERNANDEZ LILIAN TERESA</v>
          </cell>
          <cell r="H2100" t="str">
            <v>RESI</v>
          </cell>
          <cell r="I2100" t="str">
            <v>REGIMEN SIMPLIFICADO</v>
          </cell>
          <cell r="J2100" t="str">
            <v>CR 9 3 75 BRR DIVINO NIÑO</v>
          </cell>
          <cell r="K2100" t="str">
            <v>99524</v>
          </cell>
          <cell r="L2100" t="str">
            <v>LA PRIMAVERA</v>
          </cell>
          <cell r="M2100" t="str">
            <v>3138171243</v>
          </cell>
        </row>
        <row r="2101">
          <cell r="A2101">
            <v>52884995</v>
          </cell>
          <cell r="B2101" t="str">
            <v/>
          </cell>
          <cell r="C2101" t="str">
            <v/>
          </cell>
          <cell r="D2101" t="str">
            <v>CC</v>
          </cell>
          <cell r="E2101" t="str">
            <v>YUBEL CECILIA</v>
          </cell>
          <cell r="F2101" t="str">
            <v>LOZANO MORENO</v>
          </cell>
          <cell r="G2101" t="str">
            <v>LOZANO MORENO YUBEL CECILIA</v>
          </cell>
          <cell r="H2101" t="str">
            <v>FUNC</v>
          </cell>
          <cell r="I2101" t="str">
            <v>FUNCIONARIO</v>
          </cell>
          <cell r="J2101" t="str">
            <v>CL 17 NO  13 37</v>
          </cell>
          <cell r="K2101" t="str">
            <v>97001</v>
          </cell>
          <cell r="L2101" t="str">
            <v>MITÚ</v>
          </cell>
          <cell r="M2101" t="str">
            <v>5555555</v>
          </cell>
        </row>
        <row r="2102">
          <cell r="A2102">
            <v>52885401</v>
          </cell>
          <cell r="B2102" t="str">
            <v>7</v>
          </cell>
          <cell r="C2102" t="str">
            <v/>
          </cell>
          <cell r="D2102" t="str">
            <v>NP</v>
          </cell>
          <cell r="E2102" t="str">
            <v>KATERIN</v>
          </cell>
          <cell r="F2102" t="str">
            <v>MORALES ROJAS</v>
          </cell>
          <cell r="G2102" t="str">
            <v>MORALES ROJAS KATERIN</v>
          </cell>
          <cell r="H2102" t="str">
            <v>NORE</v>
          </cell>
          <cell r="I2102" t="str">
            <v>NO RESPONSABLE DE IVA</v>
          </cell>
          <cell r="J2102" t="str">
            <v>CL 19 16 08</v>
          </cell>
          <cell r="K2102" t="str">
            <v>15238</v>
          </cell>
          <cell r="L2102" t="str">
            <v>DUITAMA</v>
          </cell>
          <cell r="M2102" t="str">
            <v>3143356440</v>
          </cell>
        </row>
        <row r="2103">
          <cell r="A2103">
            <v>52887568</v>
          </cell>
          <cell r="B2103" t="str">
            <v>7</v>
          </cell>
          <cell r="C2103" t="str">
            <v/>
          </cell>
          <cell r="D2103" t="str">
            <v>NP</v>
          </cell>
          <cell r="E2103" t="str">
            <v>LADY CAROLINA</v>
          </cell>
          <cell r="F2103" t="str">
            <v>ACHURY RIOS</v>
          </cell>
          <cell r="G2103" t="str">
            <v>ACHURY RIOS LADY CAROLINA</v>
          </cell>
          <cell r="H2103" t="str">
            <v>RESI</v>
          </cell>
          <cell r="I2103" t="str">
            <v>REGIMEN SIMPLIFICADO</v>
          </cell>
          <cell r="J2103" t="str">
            <v>CR 7 B   9   24 SUR IN 2</v>
          </cell>
          <cell r="K2103" t="str">
            <v>11001</v>
          </cell>
          <cell r="L2103" t="str">
            <v>BOGOTA DC</v>
          </cell>
          <cell r="M2103" t="str">
            <v>4855606</v>
          </cell>
        </row>
        <row r="2104">
          <cell r="A2104">
            <v>52953842</v>
          </cell>
          <cell r="B2104" t="str">
            <v/>
          </cell>
          <cell r="C2104" t="str">
            <v/>
          </cell>
          <cell r="D2104" t="str">
            <v>CC</v>
          </cell>
          <cell r="E2104" t="str">
            <v>DIANA MARCELA</v>
          </cell>
          <cell r="F2104" t="str">
            <v>HILARION AVILA</v>
          </cell>
          <cell r="G2104" t="str">
            <v>HILARION AVILA DIANA MARCELA</v>
          </cell>
          <cell r="H2104" t="str">
            <v>RESI</v>
          </cell>
          <cell r="I2104" t="str">
            <v>REGIMEN SIMPLIFICADO</v>
          </cell>
          <cell r="J2104" t="str">
            <v>DG 39 F SUR   35   13 BRR VILLA MAYOR LA NUEVA</v>
          </cell>
          <cell r="K2104" t="str">
            <v>11001</v>
          </cell>
          <cell r="L2104" t="str">
            <v>BOGOTA DC</v>
          </cell>
          <cell r="M2104" t="str">
            <v>3188699120</v>
          </cell>
        </row>
        <row r="2105">
          <cell r="A2105">
            <v>52955799</v>
          </cell>
          <cell r="B2105" t="str">
            <v>3</v>
          </cell>
          <cell r="C2105" t="str">
            <v/>
          </cell>
          <cell r="D2105" t="str">
            <v>NP</v>
          </cell>
          <cell r="E2105" t="str">
            <v>YURY MARCELA</v>
          </cell>
          <cell r="F2105" t="str">
            <v>CONTRERAS GONZALEZ</v>
          </cell>
          <cell r="G2105" t="str">
            <v>CONTRERAS GONZALEZ YURY MARCELA</v>
          </cell>
          <cell r="H2105" t="str">
            <v>RECO</v>
          </cell>
          <cell r="I2105" t="str">
            <v>REGIMEN COMUN</v>
          </cell>
          <cell r="J2105" t="str">
            <v>CL 20   24 F 13 SUR</v>
          </cell>
          <cell r="K2105" t="str">
            <v>11001</v>
          </cell>
          <cell r="L2105" t="str">
            <v>BOGOTA DC</v>
          </cell>
          <cell r="M2105" t="str">
            <v>4083988</v>
          </cell>
        </row>
        <row r="2106">
          <cell r="A2106">
            <v>52965348</v>
          </cell>
          <cell r="B2106" t="str">
            <v>8</v>
          </cell>
          <cell r="C2106" t="str">
            <v/>
          </cell>
          <cell r="D2106" t="str">
            <v>NP</v>
          </cell>
          <cell r="E2106" t="str">
            <v>VIVIANA SHIRLEY</v>
          </cell>
          <cell r="F2106" t="str">
            <v>DULCEY HERNANDEZ</v>
          </cell>
          <cell r="G2106" t="str">
            <v>DULCEY HERNANDEZ VIVIANA SHIRLEY</v>
          </cell>
          <cell r="H2106" t="str">
            <v>RESI</v>
          </cell>
          <cell r="I2106" t="str">
            <v>REGIMEN SIMPLIFICADO</v>
          </cell>
          <cell r="J2106" t="str">
            <v>CL 20 9 69 BRR COMUNEROS</v>
          </cell>
          <cell r="K2106" t="str">
            <v>94001</v>
          </cell>
          <cell r="L2106" t="str">
            <v>INÍRIDA</v>
          </cell>
          <cell r="M2106" t="str">
            <v>3185449023</v>
          </cell>
        </row>
        <row r="2107">
          <cell r="A2107">
            <v>52993640</v>
          </cell>
          <cell r="B2107" t="str">
            <v>3</v>
          </cell>
          <cell r="C2107" t="str">
            <v/>
          </cell>
          <cell r="D2107" t="str">
            <v>NP</v>
          </cell>
          <cell r="E2107" t="str">
            <v>DIANA MARCELA</v>
          </cell>
          <cell r="F2107" t="str">
            <v>RIAÑO DIAZ</v>
          </cell>
          <cell r="G2107" t="str">
            <v>RIAÑO DIAZ DIANA MARCELA</v>
          </cell>
          <cell r="H2107" t="str">
            <v>RESI</v>
          </cell>
          <cell r="I2107" t="str">
            <v>REGIMEN SIMPLIFICADO</v>
          </cell>
          <cell r="J2107" t="str">
            <v>CL 25 69 38 I N 9 AP 201 AK CIUDAD SALITRE</v>
          </cell>
          <cell r="K2107" t="str">
            <v>03</v>
          </cell>
          <cell r="L2107" t="str">
            <v>BOGOTA</v>
          </cell>
          <cell r="M2107" t="str">
            <v>4103367</v>
          </cell>
        </row>
        <row r="2108">
          <cell r="A2108">
            <v>52995427</v>
          </cell>
          <cell r="B2108" t="str">
            <v>1</v>
          </cell>
          <cell r="C2108" t="str">
            <v/>
          </cell>
          <cell r="D2108" t="str">
            <v>NP</v>
          </cell>
          <cell r="E2108" t="str">
            <v>LEIDY</v>
          </cell>
          <cell r="F2108" t="str">
            <v>BENAVIDES GONZALEZ</v>
          </cell>
          <cell r="G2108" t="str">
            <v>BENAVIDES GONZALEZ LEIDY</v>
          </cell>
          <cell r="H2108" t="str">
            <v>RESI</v>
          </cell>
          <cell r="I2108" t="str">
            <v>REGIMEN SIMPLIFICADO</v>
          </cell>
          <cell r="J2108" t="str">
            <v>CR 69   25   LC 16</v>
          </cell>
          <cell r="K2108" t="str">
            <v>11001</v>
          </cell>
          <cell r="L2108" t="str">
            <v>BOGOTA DC</v>
          </cell>
          <cell r="M2108" t="str">
            <v>2950910</v>
          </cell>
        </row>
        <row r="2109">
          <cell r="A2109">
            <v>53060678</v>
          </cell>
          <cell r="B2109" t="str">
            <v>2</v>
          </cell>
          <cell r="C2109" t="str">
            <v/>
          </cell>
          <cell r="D2109" t="str">
            <v>NP</v>
          </cell>
          <cell r="E2109" t="str">
            <v>CARINA</v>
          </cell>
          <cell r="F2109" t="str">
            <v>DAVILA CABRERA</v>
          </cell>
          <cell r="G2109" t="str">
            <v>DAVILA CABRERA CARINA</v>
          </cell>
          <cell r="H2109" t="str">
            <v>RESI</v>
          </cell>
          <cell r="I2109" t="str">
            <v>REGIMEN SIMPLIFICADO</v>
          </cell>
          <cell r="J2109" t="str">
            <v>CR 36 1 B SUR 2 IN 103</v>
          </cell>
          <cell r="K2109" t="str">
            <v>05001</v>
          </cell>
          <cell r="L2109" t="str">
            <v>MEDELLÍN</v>
          </cell>
          <cell r="M2109" t="str">
            <v>3117655</v>
          </cell>
        </row>
        <row r="2110">
          <cell r="A2110">
            <v>53095810</v>
          </cell>
          <cell r="B2110" t="str">
            <v>1</v>
          </cell>
          <cell r="C2110" t="str">
            <v/>
          </cell>
          <cell r="D2110" t="str">
            <v>NP</v>
          </cell>
          <cell r="E2110" t="str">
            <v>JENNY ANDREA</v>
          </cell>
          <cell r="F2110" t="str">
            <v>LAITON LINARES</v>
          </cell>
          <cell r="G2110" t="str">
            <v>LAITON LINARES JENNY ANDREA</v>
          </cell>
          <cell r="H2110" t="str">
            <v>RESI</v>
          </cell>
          <cell r="I2110" t="str">
            <v>REGIMEN SIMPLIFICADO</v>
          </cell>
          <cell r="J2110" t="str">
            <v>CR 69   25   51 LC 11</v>
          </cell>
          <cell r="K2110" t="str">
            <v>11001</v>
          </cell>
          <cell r="L2110" t="str">
            <v>BOGOTA DC</v>
          </cell>
          <cell r="M2110" t="str">
            <v>7818131</v>
          </cell>
        </row>
        <row r="2111">
          <cell r="A2111">
            <v>53176623</v>
          </cell>
          <cell r="B2111" t="str">
            <v>7</v>
          </cell>
          <cell r="C2111" t="str">
            <v/>
          </cell>
          <cell r="D2111" t="str">
            <v>NP</v>
          </cell>
          <cell r="E2111" t="str">
            <v>YENNY MARISOL</v>
          </cell>
          <cell r="F2111" t="str">
            <v>GIL GALINDO</v>
          </cell>
          <cell r="G2111" t="str">
            <v>GIL GALINDO YENNY MARISOL</v>
          </cell>
          <cell r="H2111" t="str">
            <v>IMVE</v>
          </cell>
          <cell r="I2111" t="str">
            <v>IMPUESTO SOBRE LAS VENTAS</v>
          </cell>
          <cell r="J2111" t="str">
            <v>CR 19 15 54</v>
          </cell>
          <cell r="K2111" t="str">
            <v>15238</v>
          </cell>
          <cell r="L2111" t="str">
            <v>DUITAMA</v>
          </cell>
          <cell r="M2111" t="str">
            <v>3202570484</v>
          </cell>
        </row>
        <row r="2112">
          <cell r="A2112">
            <v>54250031</v>
          </cell>
          <cell r="B2112" t="str">
            <v>7</v>
          </cell>
          <cell r="C2112" t="str">
            <v/>
          </cell>
          <cell r="D2112" t="str">
            <v>NP</v>
          </cell>
          <cell r="E2112" t="str">
            <v>MARTA ELENA</v>
          </cell>
          <cell r="F2112" t="str">
            <v>MENA MARTINEZ</v>
          </cell>
          <cell r="G2112" t="str">
            <v>MENA MARTINEZ MARTA ELENA</v>
          </cell>
          <cell r="H2112" t="str">
            <v>NORE</v>
          </cell>
          <cell r="I2112" t="str">
            <v>NO RESPONSABLE DE IVA</v>
          </cell>
          <cell r="J2112" t="str">
            <v>BRR LA FLORESTA</v>
          </cell>
          <cell r="K2112" t="str">
            <v>27075</v>
          </cell>
          <cell r="L2112" t="str">
            <v>BAHÍA SOLANO</v>
          </cell>
          <cell r="M2112" t="str">
            <v>3206802410</v>
          </cell>
        </row>
        <row r="2113">
          <cell r="A2113">
            <v>54256186</v>
          </cell>
          <cell r="B2113" t="str">
            <v>7</v>
          </cell>
          <cell r="C2113" t="str">
            <v/>
          </cell>
          <cell r="D2113" t="str">
            <v>NP</v>
          </cell>
          <cell r="E2113" t="str">
            <v>MARTHA IRMA</v>
          </cell>
          <cell r="F2113" t="str">
            <v>HOLGUIN SERNA</v>
          </cell>
          <cell r="G2113" t="str">
            <v>HOLGUIN SERNA MARTHA IRMA</v>
          </cell>
          <cell r="H2113" t="str">
            <v>RESI</v>
          </cell>
          <cell r="I2113" t="str">
            <v>REGIMEN SIMPLIFICADO</v>
          </cell>
          <cell r="J2113" t="str">
            <v>BRR EL CARMEN</v>
          </cell>
          <cell r="K2113" t="str">
            <v>27075</v>
          </cell>
          <cell r="L2113" t="str">
            <v>BAHÍA SOLANO</v>
          </cell>
          <cell r="M2113" t="str">
            <v>3136950853</v>
          </cell>
        </row>
        <row r="2114">
          <cell r="A2114">
            <v>55144090</v>
          </cell>
          <cell r="B2114" t="str">
            <v>1</v>
          </cell>
          <cell r="C2114" t="str">
            <v/>
          </cell>
          <cell r="D2114" t="str">
            <v>NP</v>
          </cell>
          <cell r="E2114" t="str">
            <v>MARIA DOMITILA</v>
          </cell>
          <cell r="F2114" t="str">
            <v>HERRERA</v>
          </cell>
          <cell r="G2114" t="str">
            <v>HERRERA MARIA DOMITILA</v>
          </cell>
          <cell r="H2114" t="str">
            <v>RESI</v>
          </cell>
          <cell r="I2114" t="str">
            <v>REGIMEN SIMPLIFICADO</v>
          </cell>
          <cell r="J2114" t="str">
            <v>CL 15  13 CASA EN EL CALLEJON BRR CENTRO A</v>
          </cell>
          <cell r="K2114" t="str">
            <v>97001</v>
          </cell>
          <cell r="L2114" t="str">
            <v>MITÚ</v>
          </cell>
          <cell r="M2114" t="str">
            <v>3143079673</v>
          </cell>
        </row>
        <row r="2115">
          <cell r="A2115">
            <v>55189022</v>
          </cell>
          <cell r="B2115" t="str">
            <v/>
          </cell>
          <cell r="C2115" t="str">
            <v/>
          </cell>
          <cell r="D2115" t="str">
            <v>CC</v>
          </cell>
          <cell r="E2115" t="str">
            <v>MAGNOLIA</v>
          </cell>
          <cell r="F2115" t="str">
            <v>PERDOMO ROJAS</v>
          </cell>
          <cell r="G2115" t="str">
            <v>PERDOMO ROJAS MAGNOLIA</v>
          </cell>
          <cell r="H2115" t="str">
            <v>FUNC</v>
          </cell>
          <cell r="I2115" t="str">
            <v>FUNCIONARIO</v>
          </cell>
          <cell r="J2115" t="str">
            <v>CL 70 A 23 50</v>
          </cell>
          <cell r="K2115" t="str">
            <v>17001</v>
          </cell>
          <cell r="L2115" t="str">
            <v>MANIZALES</v>
          </cell>
          <cell r="M2115" t="str">
            <v>3206887216</v>
          </cell>
        </row>
        <row r="2116">
          <cell r="A2116">
            <v>55300017</v>
          </cell>
          <cell r="B2116" t="str">
            <v/>
          </cell>
          <cell r="C2116" t="str">
            <v/>
          </cell>
          <cell r="D2116" t="str">
            <v>CC</v>
          </cell>
          <cell r="E2116" t="str">
            <v>ALYVI</v>
          </cell>
          <cell r="F2116" t="str">
            <v>MUÑOZ ECHEVERRIA</v>
          </cell>
          <cell r="G2116" t="str">
            <v>MUÑOZ ECHEVERRIA ALYVI</v>
          </cell>
          <cell r="H2116" t="str">
            <v>FUNC</v>
          </cell>
          <cell r="I2116" t="str">
            <v>FUNCIONARIO</v>
          </cell>
          <cell r="J2116" t="str">
            <v>CR 34   81</v>
          </cell>
          <cell r="K2116" t="str">
            <v>08001</v>
          </cell>
          <cell r="L2116" t="str">
            <v>BARRANQUILLA</v>
          </cell>
          <cell r="M2116" t="str">
            <v>3128503476</v>
          </cell>
        </row>
        <row r="2117">
          <cell r="A2117">
            <v>55300222</v>
          </cell>
          <cell r="B2117" t="str">
            <v>6</v>
          </cell>
          <cell r="C2117" t="str">
            <v/>
          </cell>
          <cell r="D2117" t="str">
            <v>NP</v>
          </cell>
          <cell r="E2117" t="str">
            <v>DEYIS YANDIRA</v>
          </cell>
          <cell r="F2117" t="str">
            <v>RADA MARTINEZ</v>
          </cell>
          <cell r="G2117" t="str">
            <v>RADA MARTINEZ DEYIS YANDIRA</v>
          </cell>
          <cell r="H2117" t="str">
            <v>RESI</v>
          </cell>
          <cell r="I2117" t="str">
            <v>REGIMEN SIMPLIFICADO</v>
          </cell>
          <cell r="J2117" t="str">
            <v>CL 21 1 BRR LAS PALMERAS</v>
          </cell>
          <cell r="K2117" t="str">
            <v>97001</v>
          </cell>
          <cell r="L2117" t="str">
            <v>MITÚ</v>
          </cell>
          <cell r="M2117" t="str">
            <v>3204108467</v>
          </cell>
        </row>
        <row r="2118">
          <cell r="A2118">
            <v>57439480</v>
          </cell>
          <cell r="B2118" t="str">
            <v>5</v>
          </cell>
          <cell r="C2118" t="str">
            <v/>
          </cell>
          <cell r="D2118" t="str">
            <v>NP</v>
          </cell>
          <cell r="E2118" t="str">
            <v>DIGNA LUZ</v>
          </cell>
          <cell r="F2118" t="str">
            <v>CALA JIMENEZ</v>
          </cell>
          <cell r="G2118" t="str">
            <v>CALA JIMENEZ DIGNA LUZ</v>
          </cell>
          <cell r="H2118" t="str">
            <v>NORE</v>
          </cell>
          <cell r="I2118" t="str">
            <v>NO RESPONSABLE DE IVA</v>
          </cell>
          <cell r="J2118" t="str">
            <v>MZ 20 CA 12 URB LIBANO DOS MIL</v>
          </cell>
          <cell r="K2118" t="str">
            <v>47001</v>
          </cell>
          <cell r="L2118" t="str">
            <v>SANTA MARTA</v>
          </cell>
          <cell r="M2118" t="str">
            <v>3156303205</v>
          </cell>
        </row>
        <row r="2119">
          <cell r="A2119">
            <v>59555466</v>
          </cell>
          <cell r="B2119" t="str">
            <v/>
          </cell>
          <cell r="C2119" t="str">
            <v/>
          </cell>
          <cell r="D2119" t="str">
            <v>NE</v>
          </cell>
          <cell r="E2119" t="str">
            <v/>
          </cell>
          <cell r="F2119" t="str">
            <v/>
          </cell>
          <cell r="G2119" t="str">
            <v>TUV RHEINLAND IBERICA INSPECTION CERTIFICATION &amp; TESTING S.A.</v>
          </cell>
          <cell r="H2119" t="str">
            <v>EXTR</v>
          </cell>
          <cell r="I2119" t="str">
            <v>EXTRANJERO</v>
          </cell>
          <cell r="J2119" t="str">
            <v>CL GARROTXA 10 PARC DE NEGOCIS MAS BLAU</v>
          </cell>
          <cell r="K2119" t="str">
            <v>11001</v>
          </cell>
          <cell r="L2119" t="str">
            <v>BOGOTA DC</v>
          </cell>
          <cell r="M2119" t="str">
            <v>3183534800</v>
          </cell>
        </row>
        <row r="2120">
          <cell r="A2120">
            <v>59820339</v>
          </cell>
          <cell r="B2120" t="str">
            <v>4</v>
          </cell>
          <cell r="C2120" t="str">
            <v/>
          </cell>
          <cell r="D2120" t="str">
            <v>NP</v>
          </cell>
          <cell r="E2120" t="str">
            <v>JANETH</v>
          </cell>
          <cell r="F2120" t="str">
            <v>MARQUEZ ARANGO</v>
          </cell>
          <cell r="G2120" t="str">
            <v>MARQUEZ ARANGO JANETH/HOTEL PALERMO SUITE</v>
          </cell>
          <cell r="H2120" t="str">
            <v>RECO</v>
          </cell>
          <cell r="I2120" t="str">
            <v>REGIMEN COMUN</v>
          </cell>
          <cell r="J2120" t="str">
            <v>CL 19 A 39 10 BRR PALERMO</v>
          </cell>
          <cell r="K2120" t="str">
            <v>52001</v>
          </cell>
          <cell r="L2120" t="str">
            <v xml:space="preserve">PASTO	</v>
          </cell>
          <cell r="M2120" t="str">
            <v>7313104</v>
          </cell>
        </row>
        <row r="2121">
          <cell r="A2121">
            <v>60297213</v>
          </cell>
          <cell r="B2121" t="str">
            <v>5</v>
          </cell>
          <cell r="C2121" t="str">
            <v/>
          </cell>
          <cell r="D2121" t="str">
            <v>NP</v>
          </cell>
          <cell r="E2121" t="str">
            <v>ROSA STELLA</v>
          </cell>
          <cell r="F2121" t="str">
            <v>ANTOLINEZ MUÑOZ</v>
          </cell>
          <cell r="G2121" t="str">
            <v>PARQUEADERO LA GRAN AMISTAD Y/O ROSA STELLA ANTOLINEZ MUÑOZ</v>
          </cell>
          <cell r="H2121" t="str">
            <v>RECO</v>
          </cell>
          <cell r="I2121" t="str">
            <v>REGIMEN COMUN</v>
          </cell>
          <cell r="J2121" t="str">
            <v>CR 8 17 81</v>
          </cell>
          <cell r="K2121" t="str">
            <v>11001</v>
          </cell>
          <cell r="L2121" t="str">
            <v>BOGOTA DC</v>
          </cell>
          <cell r="M2121" t="str">
            <v>2817098</v>
          </cell>
        </row>
        <row r="2122">
          <cell r="A2122">
            <v>60328811</v>
          </cell>
          <cell r="B2122" t="str">
            <v>4</v>
          </cell>
          <cell r="C2122" t="str">
            <v/>
          </cell>
          <cell r="D2122" t="str">
            <v>NP</v>
          </cell>
          <cell r="E2122" t="str">
            <v>GLADIS JOSEFA</v>
          </cell>
          <cell r="F2122" t="str">
            <v>CONTRERAS SANTOS</v>
          </cell>
          <cell r="G2122" t="str">
            <v>CONTRERAS SANTOS GLADIS JOSEFA</v>
          </cell>
          <cell r="H2122" t="str">
            <v>RESI</v>
          </cell>
          <cell r="I2122" t="str">
            <v>REGIMEN SIMPLIFICADO</v>
          </cell>
          <cell r="J2122" t="str">
            <v>CR 42 14 35</v>
          </cell>
          <cell r="K2122" t="str">
            <v>15238</v>
          </cell>
          <cell r="L2122" t="str">
            <v>DUITAMA</v>
          </cell>
          <cell r="M2122" t="str">
            <v>3114481817</v>
          </cell>
        </row>
        <row r="2123">
          <cell r="A2123">
            <v>63393172</v>
          </cell>
          <cell r="B2123" t="str">
            <v/>
          </cell>
          <cell r="C2123" t="str">
            <v/>
          </cell>
          <cell r="D2123" t="str">
            <v>CC</v>
          </cell>
          <cell r="E2123" t="str">
            <v>JENITH OMAIRA</v>
          </cell>
          <cell r="F2123" t="str">
            <v>ARCHILA ADARME</v>
          </cell>
          <cell r="G2123" t="str">
            <v>ARCHILA ADARME JENITH OMAIRA</v>
          </cell>
          <cell r="H2123" t="str">
            <v>FUNC</v>
          </cell>
          <cell r="I2123" t="str">
            <v>FUNCIONARIO</v>
          </cell>
          <cell r="J2123" t="str">
            <v>CARRERA 12 No 36-63 APTO 624</v>
          </cell>
          <cell r="K2123" t="str">
            <v>15001</v>
          </cell>
          <cell r="L2123" t="str">
            <v>TUNJA</v>
          </cell>
          <cell r="M2123" t="str">
            <v>3138857773</v>
          </cell>
        </row>
        <row r="2124">
          <cell r="A2124">
            <v>63500081</v>
          </cell>
          <cell r="B2124" t="str">
            <v>1</v>
          </cell>
          <cell r="C2124" t="str">
            <v/>
          </cell>
          <cell r="D2124" t="str">
            <v>NP</v>
          </cell>
          <cell r="E2124" t="str">
            <v>GLYBYSS YELIZA</v>
          </cell>
          <cell r="F2124" t="str">
            <v>VALENZUELA</v>
          </cell>
          <cell r="G2124" t="str">
            <v>VALENZUELA GLYBYSS YELIZA</v>
          </cell>
          <cell r="H2124" t="str">
            <v>RECO</v>
          </cell>
          <cell r="I2124" t="str">
            <v>REGIMEN COMUN</v>
          </cell>
          <cell r="J2124" t="str">
            <v>CR 15   79   69 LC 115 BRR EL LAGO</v>
          </cell>
          <cell r="K2124" t="str">
            <v>11001</v>
          </cell>
          <cell r="L2124" t="str">
            <v>BOGOTA DC</v>
          </cell>
          <cell r="M2124" t="str">
            <v>2579550</v>
          </cell>
        </row>
        <row r="2125">
          <cell r="A2125">
            <v>63556132</v>
          </cell>
          <cell r="B2125" t="str">
            <v>1</v>
          </cell>
          <cell r="C2125" t="str">
            <v/>
          </cell>
          <cell r="D2125" t="str">
            <v>NP</v>
          </cell>
          <cell r="E2125" t="str">
            <v>MAYRA ALEJANDRA</v>
          </cell>
          <cell r="F2125" t="str">
            <v>CARRILO HERNANDEZ</v>
          </cell>
          <cell r="G2125" t="str">
            <v>CARRILO HERNANDEZ MAYRA ALEJANDRA</v>
          </cell>
          <cell r="H2125" t="str">
            <v>NORE</v>
          </cell>
          <cell r="I2125" t="str">
            <v>NO RESPONSABLE DE IVA</v>
          </cell>
          <cell r="J2125" t="str">
            <v xml:space="preserve"> CR 33  27 50 BRR MAIZARO</v>
          </cell>
          <cell r="K2125" t="str">
            <v>50001</v>
          </cell>
          <cell r="L2125" t="str">
            <v>VILLAVICENCIO</v>
          </cell>
          <cell r="M2125" t="str">
            <v>3102541626</v>
          </cell>
        </row>
        <row r="2126">
          <cell r="A2126">
            <v>64548676</v>
          </cell>
          <cell r="B2126" t="str">
            <v>4</v>
          </cell>
          <cell r="C2126" t="str">
            <v/>
          </cell>
          <cell r="D2126" t="str">
            <v>NP</v>
          </cell>
          <cell r="E2126" t="str">
            <v>TERESITA</v>
          </cell>
          <cell r="F2126" t="str">
            <v>ARANA ZUÑIGA</v>
          </cell>
          <cell r="G2126" t="str">
            <v>ARANA ZUÑIGA TERESITA</v>
          </cell>
          <cell r="H2126" t="str">
            <v>REOR</v>
          </cell>
          <cell r="I2126" t="str">
            <v>RENTA REGIMEN ORDINARIO</v>
          </cell>
          <cell r="J2126" t="str">
            <v>CR 9 17 26 BRR COMUNEROS</v>
          </cell>
          <cell r="K2126" t="str">
            <v>94001</v>
          </cell>
          <cell r="L2126" t="str">
            <v>INÍRIDA</v>
          </cell>
          <cell r="M2126" t="str">
            <v>3016490610</v>
          </cell>
        </row>
        <row r="2127">
          <cell r="A2127">
            <v>65631914</v>
          </cell>
          <cell r="B2127" t="str">
            <v>0</v>
          </cell>
          <cell r="C2127" t="str">
            <v/>
          </cell>
          <cell r="D2127" t="str">
            <v>NP</v>
          </cell>
          <cell r="E2127" t="str">
            <v>JHOANA CATALINA</v>
          </cell>
          <cell r="F2127" t="str">
            <v>ORTIZ TRUJILLO</v>
          </cell>
          <cell r="G2127" t="str">
            <v>ORTIZ TRUJILLO JHOANA CATALINA</v>
          </cell>
          <cell r="H2127" t="str">
            <v>NORE</v>
          </cell>
          <cell r="I2127" t="str">
            <v>NO RESPONSABLE DE IVA</v>
          </cell>
          <cell r="J2127" t="str">
            <v xml:space="preserve"> CR 1  42 200 CONJ NATTURA CA100 URB LA FLORIDA</v>
          </cell>
          <cell r="K2127" t="str">
            <v>17873</v>
          </cell>
          <cell r="L2127" t="str">
            <v>VILLAMARÍA</v>
          </cell>
          <cell r="M2127" t="str">
            <v>3014309100</v>
          </cell>
        </row>
        <row r="2128">
          <cell r="A2128">
            <v>65713078</v>
          </cell>
          <cell r="B2128" t="str">
            <v>0</v>
          </cell>
          <cell r="C2128" t="str">
            <v/>
          </cell>
          <cell r="D2128" t="str">
            <v>NP</v>
          </cell>
          <cell r="E2128" t="str">
            <v>AMPARO</v>
          </cell>
          <cell r="F2128" t="str">
            <v>RODRIGUEZ PALACIO</v>
          </cell>
          <cell r="G2128" t="str">
            <v>RODRIGUEZ PALACIO AMPARO</v>
          </cell>
          <cell r="H2128" t="str">
            <v>RESI</v>
          </cell>
          <cell r="I2128" t="str">
            <v>REGIMEN SIMPLIFICADO</v>
          </cell>
          <cell r="J2128" t="str">
            <v>CL 2   7   41</v>
          </cell>
          <cell r="K2128" t="str">
            <v>85325</v>
          </cell>
          <cell r="L2128" t="str">
            <v>SAN LUIS DE PALENQUE</v>
          </cell>
          <cell r="M2128" t="str">
            <v>3123233182</v>
          </cell>
        </row>
        <row r="2129">
          <cell r="A2129">
            <v>65732301</v>
          </cell>
          <cell r="B2129" t="str">
            <v>1</v>
          </cell>
          <cell r="C2129" t="str">
            <v/>
          </cell>
          <cell r="D2129" t="str">
            <v>NP</v>
          </cell>
          <cell r="E2129" t="str">
            <v>MARISOL</v>
          </cell>
          <cell r="F2129" t="str">
            <v>DIAZ</v>
          </cell>
          <cell r="G2129" t="str">
            <v>AGUA PURA GUAINIA Y/O MARISOL DIAZ</v>
          </cell>
          <cell r="H2129" t="str">
            <v>RESI</v>
          </cell>
          <cell r="I2129" t="str">
            <v>REGIMEN SIMPLIFICADO</v>
          </cell>
          <cell r="J2129" t="str">
            <v>CR 15 14 24 BRR LA ESPERANZA</v>
          </cell>
          <cell r="K2129" t="str">
            <v>94001</v>
          </cell>
          <cell r="L2129" t="str">
            <v>INÍRIDA</v>
          </cell>
          <cell r="M2129" t="str">
            <v>5656146</v>
          </cell>
        </row>
        <row r="2130">
          <cell r="A2130">
            <v>66733420</v>
          </cell>
          <cell r="B2130" t="str">
            <v>6</v>
          </cell>
          <cell r="C2130" t="str">
            <v/>
          </cell>
          <cell r="D2130" t="str">
            <v>NP</v>
          </cell>
          <cell r="E2130" t="str">
            <v>TERESA MARIA</v>
          </cell>
          <cell r="F2130" t="str">
            <v>MINOTTA SAYUT</v>
          </cell>
          <cell r="G2130" t="str">
            <v>MINOTTA SAYUT TERESA MARIA</v>
          </cell>
          <cell r="H2130" t="str">
            <v>RESI</v>
          </cell>
          <cell r="I2130" t="str">
            <v>REGIMEN SIMPLIFICADO</v>
          </cell>
          <cell r="J2130" t="str">
            <v xml:space="preserve"> CR 2  CL 10 B BRR LAS PALMERAS</v>
          </cell>
          <cell r="K2130" t="str">
            <v>19318</v>
          </cell>
          <cell r="L2130" t="str">
            <v>GUAPI</v>
          </cell>
          <cell r="M2130" t="str">
            <v>8401086</v>
          </cell>
        </row>
        <row r="2131">
          <cell r="A2131">
            <v>66738588</v>
          </cell>
          <cell r="B2131" t="str">
            <v>7</v>
          </cell>
          <cell r="C2131" t="str">
            <v/>
          </cell>
          <cell r="D2131" t="str">
            <v>NP</v>
          </cell>
          <cell r="E2131" t="str">
            <v>MARIELA</v>
          </cell>
          <cell r="F2131" t="str">
            <v>RIASCOS RIASCOS</v>
          </cell>
          <cell r="G2131" t="str">
            <v>RIASCOS RIASCOS MARIELA/VARIEDADES MARIELA</v>
          </cell>
          <cell r="H2131" t="str">
            <v>RCPN</v>
          </cell>
          <cell r="I2131" t="str">
            <v>RESPONSABLE IVA PERSONA NATURAL</v>
          </cell>
          <cell r="J2131" t="str">
            <v>BRR FILLO CASTRO</v>
          </cell>
          <cell r="K2131" t="str">
            <v>27075</v>
          </cell>
          <cell r="L2131" t="str">
            <v>BAHÍA SOLANO</v>
          </cell>
          <cell r="M2131" t="str">
            <v>6827202</v>
          </cell>
        </row>
        <row r="2132">
          <cell r="A2132">
            <v>66925706</v>
          </cell>
          <cell r="B2132" t="str">
            <v/>
          </cell>
          <cell r="C2132" t="str">
            <v/>
          </cell>
          <cell r="D2132" t="str">
            <v>CC</v>
          </cell>
          <cell r="E2132" t="str">
            <v>LUZ MARY</v>
          </cell>
          <cell r="F2132" t="str">
            <v>BERNAL MAZO</v>
          </cell>
          <cell r="G2132" t="str">
            <v>BERNAL MAZO LUZ MARY</v>
          </cell>
          <cell r="H2132" t="str">
            <v>RESI</v>
          </cell>
          <cell r="I2132" t="str">
            <v>REGIMEN SIMPLIFICADO</v>
          </cell>
          <cell r="J2132" t="str">
            <v>XX</v>
          </cell>
          <cell r="K2132" t="str">
            <v>17662</v>
          </cell>
          <cell r="L2132" t="str">
            <v>SAMANÁ</v>
          </cell>
          <cell r="M2132" t="str">
            <v>XX</v>
          </cell>
        </row>
        <row r="2133">
          <cell r="A2133">
            <v>66975081</v>
          </cell>
          <cell r="B2133" t="str">
            <v>0</v>
          </cell>
          <cell r="C2133" t="str">
            <v/>
          </cell>
          <cell r="D2133" t="str">
            <v>NP</v>
          </cell>
          <cell r="E2133" t="str">
            <v>JACQUELINE</v>
          </cell>
          <cell r="F2133" t="str">
            <v>OSPINA MUÑOZ</v>
          </cell>
          <cell r="G2133" t="str">
            <v>OSPINA MUÑOZ JACQUELINE</v>
          </cell>
          <cell r="H2133" t="str">
            <v>RCPN</v>
          </cell>
          <cell r="I2133" t="str">
            <v>RESPONSABLE IVA PERSONA NATURAL</v>
          </cell>
          <cell r="J2133" t="str">
            <v>AV 5 A N 23 D N 68 LC 166 CC LA PASARELA</v>
          </cell>
          <cell r="K2133" t="str">
            <v>76001</v>
          </cell>
          <cell r="L2133" t="str">
            <v>CALI</v>
          </cell>
          <cell r="M2133" t="str">
            <v>4850118</v>
          </cell>
        </row>
        <row r="2134">
          <cell r="A2134">
            <v>68289616</v>
          </cell>
          <cell r="B2134" t="str">
            <v/>
          </cell>
          <cell r="C2134" t="str">
            <v/>
          </cell>
          <cell r="D2134" t="str">
            <v>CC</v>
          </cell>
          <cell r="E2134" t="str">
            <v>MARTHA NELSI</v>
          </cell>
          <cell r="F2134" t="str">
            <v>PAN BETANCOURT</v>
          </cell>
          <cell r="G2134" t="str">
            <v>PAN BETANCOURT MARTHA NELSI</v>
          </cell>
          <cell r="H2134" t="str">
            <v>RESI</v>
          </cell>
          <cell r="I2134" t="str">
            <v>REGIMEN SIMPLIFICADO</v>
          </cell>
          <cell r="J2134" t="str">
            <v>CR 13 A   27   17 BRR SANTA FE</v>
          </cell>
          <cell r="K2134" t="str">
            <v>81001</v>
          </cell>
          <cell r="L2134" t="str">
            <v>ARAUCA</v>
          </cell>
          <cell r="M2134" t="str">
            <v>3142364730</v>
          </cell>
        </row>
        <row r="2135">
          <cell r="A2135">
            <v>69022521</v>
          </cell>
          <cell r="B2135" t="str">
            <v>1</v>
          </cell>
          <cell r="C2135" t="str">
            <v/>
          </cell>
          <cell r="D2135" t="str">
            <v>NP</v>
          </cell>
          <cell r="E2135" t="str">
            <v>SUSANA MILENA</v>
          </cell>
          <cell r="F2135" t="str">
            <v>TORRES</v>
          </cell>
          <cell r="G2135" t="str">
            <v>TORRES SUSANA MILENA</v>
          </cell>
          <cell r="H2135" t="str">
            <v>RESI</v>
          </cell>
          <cell r="I2135" t="str">
            <v>REGIMEN SIMPLIFICADO</v>
          </cell>
          <cell r="J2135" t="str">
            <v>BRR LOS PINOS</v>
          </cell>
          <cell r="K2135" t="str">
            <v>86568</v>
          </cell>
          <cell r="L2135" t="str">
            <v>PUERTO ASÍS</v>
          </cell>
          <cell r="M2135" t="str">
            <v>3125749536</v>
          </cell>
        </row>
        <row r="2136">
          <cell r="A2136">
            <v>69800015</v>
          </cell>
          <cell r="B2136" t="str">
            <v>4</v>
          </cell>
          <cell r="C2136" t="str">
            <v/>
          </cell>
          <cell r="D2136" t="str">
            <v>NP</v>
          </cell>
          <cell r="E2136" t="str">
            <v>RUBIELA</v>
          </cell>
          <cell r="F2136" t="str">
            <v>PEREZ GARCIA</v>
          </cell>
          <cell r="G2136" t="str">
            <v>PEREZ GARCIA RUBIELA</v>
          </cell>
          <cell r="H2136" t="str">
            <v>RECO</v>
          </cell>
          <cell r="I2136" t="str">
            <v>REGIMEN COMUN</v>
          </cell>
          <cell r="J2136" t="str">
            <v>CL 15 13 89</v>
          </cell>
          <cell r="K2136" t="str">
            <v>97001</v>
          </cell>
          <cell r="L2136" t="str">
            <v>MITÚ</v>
          </cell>
          <cell r="M2136" t="str">
            <v>5642186</v>
          </cell>
        </row>
        <row r="2137">
          <cell r="A2137">
            <v>69800951</v>
          </cell>
          <cell r="B2137" t="str">
            <v>3</v>
          </cell>
          <cell r="C2137" t="str">
            <v/>
          </cell>
          <cell r="D2137" t="str">
            <v>NP</v>
          </cell>
          <cell r="E2137" t="str">
            <v>BLANCA CECILIA</v>
          </cell>
          <cell r="F2137" t="str">
            <v>HERNANDEZ MORENO</v>
          </cell>
          <cell r="G2137" t="str">
            <v>HERNANDEZ MORENO BLANCA CECILIA</v>
          </cell>
          <cell r="H2137" t="str">
            <v>REOR</v>
          </cell>
          <cell r="I2137" t="str">
            <v>RENTA REGIMEN ORDINARIO</v>
          </cell>
          <cell r="J2137" t="str">
            <v>CR 8 13 140 BRR HUMBERTO SOLANO</v>
          </cell>
          <cell r="K2137" t="str">
            <v>97001</v>
          </cell>
          <cell r="L2137" t="str">
            <v>MITÚ</v>
          </cell>
          <cell r="M2137" t="str">
            <v>3112535274</v>
          </cell>
        </row>
        <row r="2138">
          <cell r="A2138">
            <v>69801482</v>
          </cell>
          <cell r="B2138" t="str">
            <v>5</v>
          </cell>
          <cell r="C2138" t="str">
            <v/>
          </cell>
          <cell r="D2138" t="str">
            <v>NP</v>
          </cell>
          <cell r="E2138" t="str">
            <v>KAREN LORENA</v>
          </cell>
          <cell r="F2138" t="str">
            <v>SASTOQUE RUIZ</v>
          </cell>
          <cell r="G2138" t="str">
            <v>SASTOQUE RUIZ KAREN LORENA</v>
          </cell>
          <cell r="H2138" t="str">
            <v>RESI</v>
          </cell>
          <cell r="I2138" t="str">
            <v>REGIMEN SIMPLIFICADO</v>
          </cell>
          <cell r="J2138" t="str">
            <v>CR 13 A   14   38 BRR CENTRO</v>
          </cell>
          <cell r="K2138" t="str">
            <v>11001</v>
          </cell>
          <cell r="L2138" t="str">
            <v>BOGOTA DC</v>
          </cell>
          <cell r="M2138" t="str">
            <v>5642053</v>
          </cell>
        </row>
        <row r="2139">
          <cell r="A2139">
            <v>69801911</v>
          </cell>
          <cell r="B2139" t="str">
            <v/>
          </cell>
          <cell r="C2139" t="str">
            <v/>
          </cell>
          <cell r="D2139" t="str">
            <v>CC</v>
          </cell>
          <cell r="E2139" t="str">
            <v>INGRID JOHANA</v>
          </cell>
          <cell r="F2139" t="str">
            <v>GUERRERO JARAMILLO</v>
          </cell>
          <cell r="G2139" t="str">
            <v>GUERRERO JARAMILLO INGRID JOHANA</v>
          </cell>
          <cell r="H2139" t="str">
            <v>FUNC</v>
          </cell>
          <cell r="I2139" t="str">
            <v>FUNCIONARIO</v>
          </cell>
          <cell r="J2139" t="str">
            <v>CL 17   7   96 BRR CUERVO ARAOZ</v>
          </cell>
          <cell r="K2139" t="str">
            <v>97001</v>
          </cell>
          <cell r="L2139" t="str">
            <v>MITÚ</v>
          </cell>
          <cell r="M2139" t="str">
            <v>3102509322</v>
          </cell>
        </row>
        <row r="2140">
          <cell r="A2140">
            <v>70049227</v>
          </cell>
          <cell r="B2140" t="str">
            <v>1</v>
          </cell>
          <cell r="C2140" t="str">
            <v/>
          </cell>
          <cell r="D2140" t="str">
            <v>NP</v>
          </cell>
          <cell r="E2140" t="str">
            <v>JAIRO ALBERTO</v>
          </cell>
          <cell r="F2140" t="str">
            <v>ZAPATA LOPEZ</v>
          </cell>
          <cell r="G2140" t="str">
            <v>JAIRO ALBERTO ZAPATA LOPEZ</v>
          </cell>
          <cell r="H2140" t="str">
            <v>RECO</v>
          </cell>
          <cell r="I2140" t="str">
            <v>REGIMEN COMUN</v>
          </cell>
          <cell r="J2140" t="str">
            <v xml:space="preserve"> BRR PANQUIACO</v>
          </cell>
          <cell r="K2140" t="str">
            <v>27075</v>
          </cell>
          <cell r="L2140" t="str">
            <v>BAHÍA SOLANO</v>
          </cell>
          <cell r="M2140" t="str">
            <v>6827706</v>
          </cell>
        </row>
        <row r="2141">
          <cell r="A2141">
            <v>70072060</v>
          </cell>
          <cell r="B2141" t="str">
            <v>5</v>
          </cell>
          <cell r="C2141" t="str">
            <v/>
          </cell>
          <cell r="D2141" t="str">
            <v>NP</v>
          </cell>
          <cell r="E2141" t="str">
            <v>HECTOR HUGO</v>
          </cell>
          <cell r="F2141" t="str">
            <v>CUARTAS  ANGEL</v>
          </cell>
          <cell r="G2141" t="str">
            <v>CUARTAS  ANGEL HECTOR HUGO</v>
          </cell>
          <cell r="H2141" t="str">
            <v>RESI</v>
          </cell>
          <cell r="I2141" t="str">
            <v>REGIMEN SIMPLIFICADO</v>
          </cell>
          <cell r="J2141" t="str">
            <v xml:space="preserve"> CR 23  24 53 AP 406</v>
          </cell>
          <cell r="K2141" t="str">
            <v>17001</v>
          </cell>
          <cell r="L2141" t="str">
            <v>MANIZALES</v>
          </cell>
          <cell r="M2141" t="str">
            <v>3122036192</v>
          </cell>
        </row>
        <row r="2142">
          <cell r="A2142">
            <v>70094166</v>
          </cell>
          <cell r="B2142" t="str">
            <v>1</v>
          </cell>
          <cell r="C2142" t="str">
            <v/>
          </cell>
          <cell r="D2142" t="str">
            <v>NP</v>
          </cell>
          <cell r="E2142" t="str">
            <v>GUILLERMO</v>
          </cell>
          <cell r="F2142" t="str">
            <v>GIRALDO PIEDRAHITA</v>
          </cell>
          <cell r="G2142" t="str">
            <v>GIRALDO PIEDRAHITA GUILLERMO</v>
          </cell>
          <cell r="H2142" t="str">
            <v>IMVE</v>
          </cell>
          <cell r="I2142" t="str">
            <v>IMPUESTO SOBRE LAS VENTAS</v>
          </cell>
          <cell r="J2142" t="str">
            <v>BRR FILLO CASTRO</v>
          </cell>
          <cell r="K2142" t="str">
            <v>27075</v>
          </cell>
          <cell r="L2142" t="str">
            <v>BAHÍA SOLANO</v>
          </cell>
          <cell r="M2142" t="str">
            <v>3138250164</v>
          </cell>
        </row>
        <row r="2143">
          <cell r="A2143">
            <v>70129156</v>
          </cell>
          <cell r="B2143" t="str">
            <v>0</v>
          </cell>
          <cell r="C2143" t="str">
            <v/>
          </cell>
          <cell r="D2143" t="str">
            <v>NP</v>
          </cell>
          <cell r="E2143" t="str">
            <v>JOHN JAIRO</v>
          </cell>
          <cell r="F2143" t="str">
            <v>CORREA GARCES</v>
          </cell>
          <cell r="G2143" t="str">
            <v>CORREA GARCES JOHN JAIRO</v>
          </cell>
          <cell r="H2143" t="str">
            <v>IMVE</v>
          </cell>
          <cell r="I2143" t="str">
            <v>IMPUESTO SOBRE LAS VENTAS</v>
          </cell>
          <cell r="J2143" t="str">
            <v>CR 29 17 59 F 30</v>
          </cell>
          <cell r="K2143" t="str">
            <v>85001</v>
          </cell>
          <cell r="L2143" t="str">
            <v>YOPAL</v>
          </cell>
          <cell r="M2143" t="str">
            <v>6333321</v>
          </cell>
        </row>
        <row r="2144">
          <cell r="A2144">
            <v>70300918</v>
          </cell>
          <cell r="B2144" t="str">
            <v>8</v>
          </cell>
          <cell r="C2144" t="str">
            <v/>
          </cell>
          <cell r="D2144" t="str">
            <v>NP</v>
          </cell>
          <cell r="E2144" t="str">
            <v>HECTOR DE JESUS</v>
          </cell>
          <cell r="F2144" t="str">
            <v>MUÑOZ CORTES</v>
          </cell>
          <cell r="G2144" t="str">
            <v>MUÑOZ CORTES HECTOR DE JESUS</v>
          </cell>
          <cell r="H2144" t="str">
            <v>RESI</v>
          </cell>
          <cell r="I2144" t="str">
            <v>REGIMEN SIMPLIFICADO</v>
          </cell>
          <cell r="J2144" t="str">
            <v>CL 31   29   25</v>
          </cell>
          <cell r="K2144" t="str">
            <v>05055</v>
          </cell>
          <cell r="L2144" t="str">
            <v>ARGELIA</v>
          </cell>
          <cell r="M2144" t="str">
            <v>3136498725</v>
          </cell>
        </row>
        <row r="2145">
          <cell r="A2145">
            <v>70301824</v>
          </cell>
          <cell r="B2145" t="str">
            <v/>
          </cell>
          <cell r="C2145" t="str">
            <v/>
          </cell>
          <cell r="D2145" t="str">
            <v>CC</v>
          </cell>
          <cell r="E2145" t="str">
            <v>JOSE JULIAN</v>
          </cell>
          <cell r="F2145" t="str">
            <v>ARANGO GALLEGO</v>
          </cell>
          <cell r="G2145" t="str">
            <v>ARANGO GALLEGO JOSE JULIAN</v>
          </cell>
          <cell r="H2145" t="str">
            <v>RESI</v>
          </cell>
          <cell r="I2145" t="str">
            <v>REGIMEN SIMPLIFICADO</v>
          </cell>
          <cell r="J2145" t="str">
            <v>XXX</v>
          </cell>
          <cell r="K2145" t="str">
            <v>17001</v>
          </cell>
          <cell r="L2145" t="str">
            <v>MANIZALES</v>
          </cell>
          <cell r="M2145" t="str">
            <v>XXX</v>
          </cell>
        </row>
        <row r="2146">
          <cell r="A2146">
            <v>70301903</v>
          </cell>
          <cell r="B2146" t="str">
            <v>2</v>
          </cell>
          <cell r="C2146" t="str">
            <v/>
          </cell>
          <cell r="D2146" t="str">
            <v>NP</v>
          </cell>
          <cell r="E2146" t="str">
            <v>JOSE WILSON</v>
          </cell>
          <cell r="F2146" t="str">
            <v>VALENCIA CARMONA</v>
          </cell>
          <cell r="G2146" t="str">
            <v>VALENCIA CARMONA JOSE WILSON</v>
          </cell>
          <cell r="H2146" t="str">
            <v>RESI</v>
          </cell>
          <cell r="I2146" t="str">
            <v>REGIMEN SIMPLIFICADO</v>
          </cell>
          <cell r="J2146" t="str">
            <v>CL SALIDA A LA PAJA</v>
          </cell>
          <cell r="K2146" t="str">
            <v>05055</v>
          </cell>
          <cell r="L2146" t="str">
            <v>ARGELIA</v>
          </cell>
          <cell r="M2146" t="str">
            <v>3217954034</v>
          </cell>
        </row>
        <row r="2147">
          <cell r="A2147">
            <v>70301955</v>
          </cell>
          <cell r="B2147" t="str">
            <v/>
          </cell>
          <cell r="C2147" t="str">
            <v/>
          </cell>
          <cell r="D2147" t="str">
            <v>CC</v>
          </cell>
          <cell r="E2147" t="str">
            <v>HUMBERTO</v>
          </cell>
          <cell r="F2147" t="str">
            <v>VALENCIA HENAO</v>
          </cell>
          <cell r="G2147" t="str">
            <v>VALENCIA HENAO HUMBERTO</v>
          </cell>
          <cell r="H2147" t="str">
            <v>RESI</v>
          </cell>
          <cell r="I2147" t="str">
            <v>REGIMEN SIMPLIFICADO</v>
          </cell>
          <cell r="J2147" t="str">
            <v>XX</v>
          </cell>
          <cell r="K2147" t="str">
            <v>17001</v>
          </cell>
          <cell r="L2147" t="str">
            <v>MANIZALES</v>
          </cell>
          <cell r="M2147" t="str">
            <v>XX</v>
          </cell>
        </row>
        <row r="2148">
          <cell r="A2148">
            <v>70302910</v>
          </cell>
          <cell r="B2148" t="str">
            <v/>
          </cell>
          <cell r="C2148" t="str">
            <v/>
          </cell>
          <cell r="D2148" t="str">
            <v>CC</v>
          </cell>
          <cell r="E2148" t="str">
            <v>JUAN FERNANDO</v>
          </cell>
          <cell r="F2148" t="str">
            <v>SERNA RIOS</v>
          </cell>
          <cell r="G2148" t="str">
            <v>SERNA RIOS JUAN FERNANDO</v>
          </cell>
          <cell r="H2148" t="str">
            <v>RESI</v>
          </cell>
          <cell r="I2148" t="str">
            <v>REGIMEN SIMPLIFICADO</v>
          </cell>
          <cell r="J2148" t="str">
            <v>XX</v>
          </cell>
          <cell r="K2148" t="str">
            <v>17001</v>
          </cell>
          <cell r="L2148" t="str">
            <v>MANIZALES</v>
          </cell>
          <cell r="M2148" t="str">
            <v>XX</v>
          </cell>
        </row>
        <row r="2149">
          <cell r="A2149">
            <v>70303489</v>
          </cell>
          <cell r="B2149" t="str">
            <v/>
          </cell>
          <cell r="C2149" t="str">
            <v/>
          </cell>
          <cell r="D2149" t="str">
            <v>CC</v>
          </cell>
          <cell r="E2149" t="str">
            <v>VIDAL DE JESUS</v>
          </cell>
          <cell r="F2149" t="str">
            <v>HOLGUIN HOLGUIN</v>
          </cell>
          <cell r="G2149" t="str">
            <v>HOLGUIN HOLGUIN VIDAL DE JESUS</v>
          </cell>
          <cell r="H2149" t="str">
            <v>RESI</v>
          </cell>
          <cell r="I2149" t="str">
            <v>REGIMEN SIMPLIFICADO</v>
          </cell>
          <cell r="J2149" t="str">
            <v>XXXX</v>
          </cell>
          <cell r="K2149" t="str">
            <v>17001</v>
          </cell>
          <cell r="L2149" t="str">
            <v>MANIZALES</v>
          </cell>
          <cell r="M2149" t="str">
            <v>XXX</v>
          </cell>
        </row>
        <row r="2150">
          <cell r="A2150">
            <v>70381027</v>
          </cell>
          <cell r="B2150" t="str">
            <v>7</v>
          </cell>
          <cell r="C2150" t="str">
            <v/>
          </cell>
          <cell r="D2150" t="str">
            <v>NP</v>
          </cell>
          <cell r="E2150" t="str">
            <v>JAIRO DE JESUS</v>
          </cell>
          <cell r="F2150" t="str">
            <v>GIRALDO ZULUAGA</v>
          </cell>
          <cell r="G2150" t="str">
            <v>GIRALDO ZULUAGA JAIRO DE JESUS</v>
          </cell>
          <cell r="H2150" t="str">
            <v>RECO</v>
          </cell>
          <cell r="I2150" t="str">
            <v>REGIMEN COMUN</v>
          </cell>
          <cell r="J2150" t="str">
            <v>CR 48   10   45 LC 263</v>
          </cell>
          <cell r="K2150" t="str">
            <v>05001</v>
          </cell>
          <cell r="L2150" t="str">
            <v>MEDELLÍN</v>
          </cell>
          <cell r="M2150" t="str">
            <v>2685217</v>
          </cell>
        </row>
        <row r="2151">
          <cell r="A2151">
            <v>70420972</v>
          </cell>
          <cell r="B2151" t="str">
            <v>0</v>
          </cell>
          <cell r="C2151" t="str">
            <v/>
          </cell>
          <cell r="D2151" t="str">
            <v>NP</v>
          </cell>
          <cell r="E2151" t="str">
            <v>JUAN CARLOS</v>
          </cell>
          <cell r="F2151" t="str">
            <v>SANCHEZ URAN</v>
          </cell>
          <cell r="G2151" t="str">
            <v>SANCHEZ URAN JUAN CARLOS</v>
          </cell>
          <cell r="H2151" t="str">
            <v>RESI</v>
          </cell>
          <cell r="I2151" t="str">
            <v>REGIMEN SIMPLIFICADO</v>
          </cell>
          <cell r="J2151" t="str">
            <v>CL CORAZON DE MARIA   6   21</v>
          </cell>
          <cell r="K2151" t="str">
            <v>27245</v>
          </cell>
          <cell r="L2151" t="str">
            <v>EL CARMEN DE ATRATO</v>
          </cell>
          <cell r="M2151" t="str">
            <v>946790147</v>
          </cell>
        </row>
        <row r="2152">
          <cell r="A2152">
            <v>70506737</v>
          </cell>
          <cell r="B2152" t="str">
            <v>7</v>
          </cell>
          <cell r="C2152" t="str">
            <v/>
          </cell>
          <cell r="D2152" t="str">
            <v>NP</v>
          </cell>
          <cell r="E2152" t="str">
            <v>GILDARDO</v>
          </cell>
          <cell r="F2152" t="str">
            <v>GRANADA MARTINEZ</v>
          </cell>
          <cell r="G2152" t="str">
            <v>GRANADA MARTINEZ GILDARDO</v>
          </cell>
          <cell r="H2152" t="str">
            <v>NORE</v>
          </cell>
          <cell r="I2152" t="str">
            <v>NO RESPONSABLE DE IVA</v>
          </cell>
          <cell r="J2152" t="str">
            <v xml:space="preserve"> VRD EL PORVENIR CORREGIMIENTO DE ARBOLEDA</v>
          </cell>
          <cell r="K2152" t="str">
            <v>17541</v>
          </cell>
          <cell r="L2152" t="str">
            <v>PENSILVANIA</v>
          </cell>
          <cell r="M2152" t="str">
            <v>3212122586</v>
          </cell>
        </row>
        <row r="2153">
          <cell r="A2153">
            <v>70546862</v>
          </cell>
          <cell r="B2153" t="str">
            <v>0</v>
          </cell>
          <cell r="C2153" t="str">
            <v/>
          </cell>
          <cell r="D2153" t="str">
            <v>NP</v>
          </cell>
          <cell r="E2153" t="str">
            <v xml:space="preserve">JORGE HUMBERTO </v>
          </cell>
          <cell r="F2153" t="str">
            <v>ARIAS LOPEZ</v>
          </cell>
          <cell r="G2153" t="str">
            <v xml:space="preserve">ARIAS LOPEZ JORGE HUMBERTO </v>
          </cell>
          <cell r="H2153" t="str">
            <v>RECO</v>
          </cell>
          <cell r="I2153" t="str">
            <v>REGIMEN COMUN</v>
          </cell>
          <cell r="J2153" t="str">
            <v>CR 46 A 29 SUR 15 IN 1701</v>
          </cell>
          <cell r="K2153" t="str">
            <v>05266</v>
          </cell>
          <cell r="L2153" t="str">
            <v>ENVIGADO</v>
          </cell>
          <cell r="M2153" t="str">
            <v>8852378</v>
          </cell>
        </row>
        <row r="2154">
          <cell r="A2154">
            <v>70552009</v>
          </cell>
          <cell r="B2154" t="str">
            <v/>
          </cell>
          <cell r="C2154" t="str">
            <v/>
          </cell>
          <cell r="D2154" t="str">
            <v>CC</v>
          </cell>
          <cell r="E2154" t="str">
            <v>JOSE DE JESUS</v>
          </cell>
          <cell r="F2154" t="str">
            <v>VELASQUEZ ANGEL</v>
          </cell>
          <cell r="G2154" t="str">
            <v>VELASQUEZ ANGEL JOSE DE JESUS</v>
          </cell>
          <cell r="H2154" t="str">
            <v>NORE</v>
          </cell>
          <cell r="I2154" t="str">
            <v>NO RESPONSABLE DE IVA</v>
          </cell>
          <cell r="J2154" t="str">
            <v>MCP PUERTO DE LA ESSO</v>
          </cell>
          <cell r="K2154" t="str">
            <v>27075</v>
          </cell>
          <cell r="L2154" t="str">
            <v>BAHÍA SOLANO</v>
          </cell>
          <cell r="M2154" t="str">
            <v>NO PRESENTA</v>
          </cell>
        </row>
        <row r="2155">
          <cell r="A2155">
            <v>70558277</v>
          </cell>
          <cell r="B2155" t="str">
            <v>3</v>
          </cell>
          <cell r="C2155" t="str">
            <v/>
          </cell>
          <cell r="D2155" t="str">
            <v>NP</v>
          </cell>
          <cell r="E2155" t="str">
            <v>JUAN JOSE</v>
          </cell>
          <cell r="F2155" t="str">
            <v>ARANGO GARCIA</v>
          </cell>
          <cell r="G2155" t="str">
            <v>ARANGO GARCIA JUAN JOSE</v>
          </cell>
          <cell r="H2155" t="str">
            <v>RECO</v>
          </cell>
          <cell r="I2155" t="str">
            <v>REGIMEN COMUN</v>
          </cell>
          <cell r="J2155" t="str">
            <v>CR 13 85 39 OF 408 BRR EL LAGO</v>
          </cell>
          <cell r="K2155" t="str">
            <v>11001</v>
          </cell>
          <cell r="L2155" t="str">
            <v>BOGOTA DC</v>
          </cell>
          <cell r="M2155" t="str">
            <v>6358936</v>
          </cell>
        </row>
        <row r="2156">
          <cell r="A2156">
            <v>70568775</v>
          </cell>
          <cell r="B2156" t="str">
            <v>2</v>
          </cell>
          <cell r="C2156" t="str">
            <v/>
          </cell>
          <cell r="D2156" t="str">
            <v>NP</v>
          </cell>
          <cell r="E2156" t="str">
            <v>CESAR AUGUSTO</v>
          </cell>
          <cell r="F2156" t="str">
            <v>TABARES RAMIREZ</v>
          </cell>
          <cell r="G2156" t="str">
            <v>TABARES RAMIREZ CESAR AUGUSTO</v>
          </cell>
          <cell r="H2156" t="str">
            <v>RECO</v>
          </cell>
          <cell r="I2156" t="str">
            <v>REGIMEN COMUN</v>
          </cell>
          <cell r="J2156" t="str">
            <v>CR 1 D   9 A   31 AP 301</v>
          </cell>
          <cell r="K2156" t="str">
            <v>17001</v>
          </cell>
          <cell r="L2156" t="str">
            <v>MANIZALES</v>
          </cell>
          <cell r="M2156" t="str">
            <v>8901496</v>
          </cell>
        </row>
        <row r="2157">
          <cell r="A2157">
            <v>70601787</v>
          </cell>
          <cell r="B2157" t="str">
            <v>1</v>
          </cell>
          <cell r="C2157" t="str">
            <v/>
          </cell>
          <cell r="D2157" t="str">
            <v>NP</v>
          </cell>
          <cell r="E2157" t="str">
            <v>OSCAR ABAD</v>
          </cell>
          <cell r="F2157" t="str">
            <v>ALVAREZ SANCHEZ</v>
          </cell>
          <cell r="G2157" t="str">
            <v>ALVAREZ SANCHEZ OSCAR ABAD</v>
          </cell>
          <cell r="H2157" t="str">
            <v>RECO</v>
          </cell>
          <cell r="I2157" t="str">
            <v>REGIMEN COMUN</v>
          </cell>
          <cell r="J2157" t="str">
            <v>CR  51 C CL 67 33</v>
          </cell>
          <cell r="K2157" t="str">
            <v>05001</v>
          </cell>
          <cell r="L2157" t="str">
            <v>MEDELLÍN</v>
          </cell>
          <cell r="M2157" t="str">
            <v>3137103036</v>
          </cell>
        </row>
        <row r="2158">
          <cell r="A2158">
            <v>70695334</v>
          </cell>
          <cell r="B2158" t="str">
            <v>1</v>
          </cell>
          <cell r="C2158" t="str">
            <v/>
          </cell>
          <cell r="D2158" t="str">
            <v>NP</v>
          </cell>
          <cell r="E2158" t="str">
            <v>JAIRO LUIS</v>
          </cell>
          <cell r="F2158" t="str">
            <v>ZULUAGA QUINTERO</v>
          </cell>
          <cell r="G2158" t="str">
            <v>ZULUAGA QUINTERO JAIRO LUIS</v>
          </cell>
          <cell r="H2158" t="str">
            <v>RECO</v>
          </cell>
          <cell r="I2158" t="str">
            <v>REGIMEN COMUN</v>
          </cell>
          <cell r="J2158" t="str">
            <v>CR 1 A BRR LA PAZ</v>
          </cell>
          <cell r="K2158" t="str">
            <v>19318</v>
          </cell>
          <cell r="L2158" t="str">
            <v>GUAPI</v>
          </cell>
          <cell r="M2158" t="str">
            <v>8400909</v>
          </cell>
        </row>
        <row r="2159">
          <cell r="A2159">
            <v>70722787</v>
          </cell>
          <cell r="B2159" t="str">
            <v/>
          </cell>
          <cell r="C2159" t="str">
            <v/>
          </cell>
          <cell r="D2159" t="str">
            <v>CC</v>
          </cell>
          <cell r="E2159" t="str">
            <v>EDGAR DE JESUS</v>
          </cell>
          <cell r="F2159" t="str">
            <v>HENAO BUITRAGO</v>
          </cell>
          <cell r="G2159" t="str">
            <v>HENAO BUITRAGO EDGAR DE JESUS</v>
          </cell>
          <cell r="H2159" t="str">
            <v>RESI</v>
          </cell>
          <cell r="I2159" t="str">
            <v>REGIMEN SIMPLIFICADO</v>
          </cell>
          <cell r="J2159" t="str">
            <v>CAS BOQUIANO</v>
          </cell>
          <cell r="K2159" t="str">
            <v>05055</v>
          </cell>
          <cell r="L2159" t="str">
            <v>ARGELIA</v>
          </cell>
          <cell r="M2159" t="str">
            <v>3136554118</v>
          </cell>
        </row>
        <row r="2160">
          <cell r="A2160">
            <v>70755956</v>
          </cell>
          <cell r="B2160" t="str">
            <v>0</v>
          </cell>
          <cell r="C2160" t="str">
            <v/>
          </cell>
          <cell r="D2160" t="str">
            <v>NP</v>
          </cell>
          <cell r="E2160" t="str">
            <v>LUIS ALFONSO</v>
          </cell>
          <cell r="F2160" t="str">
            <v>LOAIZA HURTADO</v>
          </cell>
          <cell r="G2160" t="str">
            <v>LOAIZA HURTADO LUIS ALFONSO</v>
          </cell>
          <cell r="H2160" t="str">
            <v>RECO</v>
          </cell>
          <cell r="I2160" t="str">
            <v>REGIMEN COMUN</v>
          </cell>
          <cell r="J2160" t="str">
            <v>CARR 9 20 10 BRR LOS COMUNEROS</v>
          </cell>
          <cell r="K2160" t="str">
            <v>94001</v>
          </cell>
          <cell r="L2160" t="str">
            <v>INÍRIDA</v>
          </cell>
          <cell r="M2160" t="str">
            <v>3167406349</v>
          </cell>
        </row>
        <row r="2161">
          <cell r="A2161">
            <v>70826993</v>
          </cell>
          <cell r="B2161" t="str">
            <v>9</v>
          </cell>
          <cell r="C2161" t="str">
            <v/>
          </cell>
          <cell r="D2161" t="str">
            <v>NP</v>
          </cell>
          <cell r="E2161" t="str">
            <v>RAMON ONOFRE</v>
          </cell>
          <cell r="F2161" t="str">
            <v>YEPES OSSA</v>
          </cell>
          <cell r="G2161" t="str">
            <v>YEPES OSSA RAMON ONOFRE</v>
          </cell>
          <cell r="H2161" t="str">
            <v>RECO</v>
          </cell>
          <cell r="I2161" t="str">
            <v>REGIMEN COMUN</v>
          </cell>
          <cell r="J2161" t="str">
            <v>CR 54 46 37 LC 134</v>
          </cell>
          <cell r="K2161" t="str">
            <v>05001</v>
          </cell>
          <cell r="L2161" t="str">
            <v>MEDELLÍN</v>
          </cell>
          <cell r="M2161" t="str">
            <v>2318018</v>
          </cell>
        </row>
        <row r="2162">
          <cell r="A2162">
            <v>70850613</v>
          </cell>
          <cell r="B2162" t="str">
            <v>6</v>
          </cell>
          <cell r="C2162" t="str">
            <v/>
          </cell>
          <cell r="D2162" t="str">
            <v>NP</v>
          </cell>
          <cell r="E2162" t="str">
            <v>CARLOS ENRIQUE</v>
          </cell>
          <cell r="F2162" t="str">
            <v>PEREZ GIRALDO</v>
          </cell>
          <cell r="G2162" t="str">
            <v>PEREZ GIRALDO CARLOS ENRIQUE</v>
          </cell>
          <cell r="H2162" t="str">
            <v>RCPN</v>
          </cell>
          <cell r="I2162" t="str">
            <v>RESPONSABLE IVA PERSONA NATURAL</v>
          </cell>
          <cell r="J2162" t="str">
            <v>CR 9 19 18 BRR LOS COMUNEROS</v>
          </cell>
          <cell r="K2162" t="str">
            <v>94001</v>
          </cell>
          <cell r="L2162" t="str">
            <v>INÍRIDA</v>
          </cell>
          <cell r="M2162" t="str">
            <v>5656959</v>
          </cell>
        </row>
        <row r="2163">
          <cell r="A2163">
            <v>70852156</v>
          </cell>
          <cell r="B2163" t="str">
            <v>0</v>
          </cell>
          <cell r="C2163" t="str">
            <v/>
          </cell>
          <cell r="D2163" t="str">
            <v>NP</v>
          </cell>
          <cell r="E2163" t="str">
            <v>NOLBERTO DE JESUS</v>
          </cell>
          <cell r="F2163" t="str">
            <v>FIGUEROA PESCADOR</v>
          </cell>
          <cell r="G2163" t="str">
            <v>FIGUEROA PESCADOR NOLBERTO DE JESUS</v>
          </cell>
          <cell r="H2163" t="str">
            <v>RESI</v>
          </cell>
          <cell r="I2163" t="str">
            <v>REGIMEN SIMPLIFICADO</v>
          </cell>
          <cell r="J2163" t="str">
            <v>VRD COMUNIDAD RESGUARDO EL PORVENIR</v>
          </cell>
          <cell r="K2163" t="str">
            <v>94001</v>
          </cell>
          <cell r="L2163" t="str">
            <v>INÍRIDA</v>
          </cell>
          <cell r="M2163" t="str">
            <v>3186758753</v>
          </cell>
        </row>
        <row r="2164">
          <cell r="A2164">
            <v>70875772</v>
          </cell>
          <cell r="B2164" t="str">
            <v>7</v>
          </cell>
          <cell r="C2164" t="str">
            <v/>
          </cell>
          <cell r="D2164" t="str">
            <v>NP</v>
          </cell>
          <cell r="E2164" t="str">
            <v xml:space="preserve">ALONSO </v>
          </cell>
          <cell r="F2164" t="str">
            <v>VELASQUEZ BEDOYA</v>
          </cell>
          <cell r="G2164" t="str">
            <v>ALONSO VELASQUEZ BEDOYA</v>
          </cell>
          <cell r="H2164" t="str">
            <v>RESI</v>
          </cell>
          <cell r="I2164" t="str">
            <v>REGIMEN SIMPLIFICADO</v>
          </cell>
          <cell r="J2164" t="str">
            <v>CL 10 N 36 41 BRR L A ESPERANZA</v>
          </cell>
          <cell r="K2164" t="str">
            <v>15238</v>
          </cell>
          <cell r="L2164" t="str">
            <v>DUITAMA</v>
          </cell>
          <cell r="M2164" t="str">
            <v>312 4 75 71 12</v>
          </cell>
        </row>
        <row r="2165">
          <cell r="A2165">
            <v>70905761</v>
          </cell>
          <cell r="B2165" t="str">
            <v/>
          </cell>
          <cell r="C2165" t="str">
            <v/>
          </cell>
          <cell r="D2165" t="str">
            <v>CC</v>
          </cell>
          <cell r="E2165" t="str">
            <v>LINO ALBERTO</v>
          </cell>
          <cell r="F2165" t="str">
            <v>ZULUAGA</v>
          </cell>
          <cell r="G2165" t="str">
            <v>ZULUAGA LINO ALBERTO</v>
          </cell>
          <cell r="H2165" t="str">
            <v>RECO</v>
          </cell>
          <cell r="I2165" t="str">
            <v>REGIMEN COMUN</v>
          </cell>
          <cell r="J2165" t="str">
            <v>CR 22   11   06</v>
          </cell>
          <cell r="K2165" t="str">
            <v>85001</v>
          </cell>
          <cell r="L2165" t="str">
            <v>YOPAL</v>
          </cell>
          <cell r="M2165" t="str">
            <v>6323000</v>
          </cell>
        </row>
        <row r="2166">
          <cell r="A2166">
            <v>71002768</v>
          </cell>
          <cell r="B2166" t="str">
            <v>5</v>
          </cell>
          <cell r="C2166" t="str">
            <v/>
          </cell>
          <cell r="D2166" t="str">
            <v>NP</v>
          </cell>
          <cell r="E2166" t="str">
            <v>EDGAR ELIECER</v>
          </cell>
          <cell r="F2166" t="str">
            <v>AMAYA GIL</v>
          </cell>
          <cell r="G2166" t="str">
            <v>AMAYA GIL EDGAR ELIECER</v>
          </cell>
          <cell r="H2166" t="str">
            <v>RECO</v>
          </cell>
          <cell r="I2166" t="str">
            <v>REGIMEN COMUN</v>
          </cell>
          <cell r="J2166" t="str">
            <v>CR 13 A 15 47 BRR CENTRO</v>
          </cell>
          <cell r="K2166" t="str">
            <v>97001</v>
          </cell>
          <cell r="L2166" t="str">
            <v>MITÚ</v>
          </cell>
          <cell r="M2166" t="str">
            <v>3103755901</v>
          </cell>
        </row>
        <row r="2167">
          <cell r="A2167">
            <v>71003002</v>
          </cell>
          <cell r="B2167" t="str">
            <v>7</v>
          </cell>
          <cell r="C2167" t="str">
            <v/>
          </cell>
          <cell r="D2167" t="str">
            <v>NP</v>
          </cell>
          <cell r="E2167" t="str">
            <v>WILLIAM DE JESUS</v>
          </cell>
          <cell r="F2167" t="str">
            <v>AMAYA GIL</v>
          </cell>
          <cell r="G2167" t="str">
            <v>WILLIAM DE JESUS AMAYA GIL/CACHARRERIA Y FERRETERIA EL GANGAZO</v>
          </cell>
          <cell r="H2167" t="str">
            <v>RECO</v>
          </cell>
          <cell r="I2167" t="str">
            <v>REGIMEN COMUN</v>
          </cell>
          <cell r="J2167" t="str">
            <v>CR 13  14   45 BRR CENTRO B EL GANGAZO</v>
          </cell>
          <cell r="K2167" t="str">
            <v>97001</v>
          </cell>
          <cell r="L2167" t="str">
            <v>MITÚ</v>
          </cell>
          <cell r="M2167" t="str">
            <v>5642249</v>
          </cell>
        </row>
        <row r="2168">
          <cell r="A2168">
            <v>71003320</v>
          </cell>
          <cell r="B2168" t="str">
            <v/>
          </cell>
          <cell r="C2168" t="str">
            <v/>
          </cell>
          <cell r="D2168" t="str">
            <v>CC</v>
          </cell>
          <cell r="E2168" t="str">
            <v>MANUEL FERNANDO</v>
          </cell>
          <cell r="F2168" t="str">
            <v>ZAPATA LONDOÑO</v>
          </cell>
          <cell r="G2168" t="str">
            <v>ZAPATA LONDOÑO MANUEL FERNANDO</v>
          </cell>
          <cell r="H2168" t="str">
            <v>FUNC</v>
          </cell>
          <cell r="I2168" t="str">
            <v>FUNCIONARIO</v>
          </cell>
          <cell r="J2168" t="str">
            <v>CR 13   10  29 VILLA ALIX MITU</v>
          </cell>
          <cell r="K2168" t="str">
            <v>97001</v>
          </cell>
          <cell r="L2168" t="str">
            <v>MITÚ</v>
          </cell>
          <cell r="M2168" t="str">
            <v>3144244683</v>
          </cell>
        </row>
        <row r="2169">
          <cell r="A2169">
            <v>71117871</v>
          </cell>
          <cell r="B2169" t="str">
            <v>0</v>
          </cell>
          <cell r="C2169" t="str">
            <v/>
          </cell>
          <cell r="D2169" t="str">
            <v>NP</v>
          </cell>
          <cell r="E2169" t="str">
            <v>NICOLAS ALBERTO</v>
          </cell>
          <cell r="F2169" t="str">
            <v>JIMENEZ ALZATE</v>
          </cell>
          <cell r="G2169" t="str">
            <v>JIMENEZ ALZATE NICOLAS ALBERTO</v>
          </cell>
          <cell r="H2169" t="str">
            <v>RECO</v>
          </cell>
          <cell r="I2169" t="str">
            <v>REGIMEN COMUN</v>
          </cell>
          <cell r="J2169" t="str">
            <v>CL 17 53 79 A P 301</v>
          </cell>
          <cell r="K2169" t="str">
            <v>27075</v>
          </cell>
          <cell r="L2169" t="str">
            <v>BAHÍA SOLANO</v>
          </cell>
          <cell r="M2169" t="str">
            <v>3183231155</v>
          </cell>
        </row>
        <row r="2170">
          <cell r="A2170">
            <v>71214630</v>
          </cell>
          <cell r="B2170" t="str">
            <v>8</v>
          </cell>
          <cell r="C2170" t="str">
            <v/>
          </cell>
          <cell r="D2170" t="str">
            <v>NP</v>
          </cell>
          <cell r="E2170" t="str">
            <v>ORLEY</v>
          </cell>
          <cell r="F2170" t="str">
            <v>BUITRAGI HENAO</v>
          </cell>
          <cell r="G2170" t="str">
            <v>BUITRAGI HENAO ORLEY</v>
          </cell>
          <cell r="H2170" t="str">
            <v>RESI</v>
          </cell>
          <cell r="I2170" t="str">
            <v>REGIMEN SIMPLIFICADO</v>
          </cell>
          <cell r="J2170" t="str">
            <v>VEREDA QUEBRADA DEL ROQUE</v>
          </cell>
          <cell r="K2170" t="str">
            <v>17495</v>
          </cell>
          <cell r="L2170" t="str">
            <v>NORCASIA</v>
          </cell>
          <cell r="M2170" t="str">
            <v>3227689498</v>
          </cell>
        </row>
        <row r="2171">
          <cell r="A2171">
            <v>71316207</v>
          </cell>
          <cell r="B2171" t="str">
            <v>3</v>
          </cell>
          <cell r="C2171" t="str">
            <v/>
          </cell>
          <cell r="D2171" t="str">
            <v>NP</v>
          </cell>
          <cell r="E2171" t="str">
            <v>ANDRES FELIPE</v>
          </cell>
          <cell r="F2171" t="str">
            <v>ECHEVERRY AGUDELO</v>
          </cell>
          <cell r="G2171" t="str">
            <v>ECHEVERRY AGUDELO ANDRES FELIPE</v>
          </cell>
          <cell r="H2171" t="str">
            <v>RECO</v>
          </cell>
          <cell r="I2171" t="str">
            <v>REGIMEN COMUN</v>
          </cell>
          <cell r="J2171" t="str">
            <v>AV 37   55   26</v>
          </cell>
          <cell r="K2171" t="str">
            <v>05088</v>
          </cell>
          <cell r="L2171" t="str">
            <v>BELLO</v>
          </cell>
          <cell r="M2171" t="str">
            <v>4536868</v>
          </cell>
        </row>
        <row r="2172">
          <cell r="A2172">
            <v>71339509</v>
          </cell>
          <cell r="B2172" t="str">
            <v/>
          </cell>
          <cell r="C2172" t="str">
            <v/>
          </cell>
          <cell r="D2172" t="str">
            <v>CC</v>
          </cell>
          <cell r="E2172" t="str">
            <v>JAIRO ARTURO</v>
          </cell>
          <cell r="F2172" t="str">
            <v>CASTRO LEON</v>
          </cell>
          <cell r="G2172" t="str">
            <v>CASTRO LEON JAIRO ARTURO</v>
          </cell>
          <cell r="H2172" t="str">
            <v>FUNC</v>
          </cell>
          <cell r="I2172" t="str">
            <v>FUNCIONARIO</v>
          </cell>
          <cell r="J2172" t="str">
            <v>CL 24  28 65 VILLA DEL SOL</v>
          </cell>
          <cell r="K2172" t="str">
            <v>85001</v>
          </cell>
          <cell r="L2172" t="str">
            <v>YOPAL</v>
          </cell>
          <cell r="M2172" t="str">
            <v>3125479812</v>
          </cell>
        </row>
        <row r="2173">
          <cell r="A2173">
            <v>71369461</v>
          </cell>
          <cell r="B2173" t="str">
            <v/>
          </cell>
          <cell r="C2173" t="str">
            <v/>
          </cell>
          <cell r="D2173" t="str">
            <v>CC</v>
          </cell>
          <cell r="E2173" t="str">
            <v>MAURICIO ANDRES</v>
          </cell>
          <cell r="F2173" t="str">
            <v>CRUZ LADINO</v>
          </cell>
          <cell r="G2173" t="str">
            <v>CRUZ LADINO MAURICIO ANDRES</v>
          </cell>
          <cell r="H2173" t="str">
            <v>FUNC</v>
          </cell>
          <cell r="I2173" t="str">
            <v>FUNCIONARIO</v>
          </cell>
          <cell r="J2173" t="str">
            <v>CR 18   2 AP 802</v>
          </cell>
          <cell r="K2173" t="str">
            <v>17001</v>
          </cell>
          <cell r="L2173" t="str">
            <v>MANIZALES</v>
          </cell>
          <cell r="M2173" t="str">
            <v>8734773</v>
          </cell>
        </row>
        <row r="2174">
          <cell r="A2174">
            <v>71371423</v>
          </cell>
          <cell r="B2174" t="str">
            <v/>
          </cell>
          <cell r="C2174" t="str">
            <v/>
          </cell>
          <cell r="D2174" t="str">
            <v>CC</v>
          </cell>
          <cell r="E2174" t="str">
            <v>ARGEMIRO</v>
          </cell>
          <cell r="F2174" t="str">
            <v>ZAPATA FLOREZ</v>
          </cell>
          <cell r="G2174" t="str">
            <v>ZAPATA FLOREZ ARGEMIRO</v>
          </cell>
          <cell r="H2174" t="str">
            <v>FUNC</v>
          </cell>
          <cell r="I2174" t="str">
            <v>FUNCIONARIO</v>
          </cell>
          <cell r="J2174" t="str">
            <v>BARRIO LA FLORESTA</v>
          </cell>
          <cell r="K2174" t="str">
            <v>27075</v>
          </cell>
          <cell r="L2174" t="str">
            <v>BAHÍA SOLANO</v>
          </cell>
          <cell r="M2174" t="str">
            <v>3213743807</v>
          </cell>
        </row>
        <row r="2175">
          <cell r="A2175">
            <v>71387914</v>
          </cell>
          <cell r="B2175" t="str">
            <v>6</v>
          </cell>
          <cell r="C2175" t="str">
            <v/>
          </cell>
          <cell r="D2175" t="str">
            <v>NP</v>
          </cell>
          <cell r="E2175" t="str">
            <v>DAVID JULIAN</v>
          </cell>
          <cell r="F2175" t="str">
            <v>ROJAS RUA</v>
          </cell>
          <cell r="G2175" t="str">
            <v>ROJAS RUA DAVID JULIAN</v>
          </cell>
          <cell r="H2175" t="str">
            <v>RESI</v>
          </cell>
          <cell r="I2175" t="str">
            <v>REGIMEN SIMPLIFICADO</v>
          </cell>
          <cell r="J2175" t="str">
            <v>CR 34   47   34 BRR EL CAUDAL ED COSTA BELLA AP 103</v>
          </cell>
          <cell r="K2175" t="str">
            <v>50001</v>
          </cell>
          <cell r="L2175" t="str">
            <v>VILLAVICENCIO</v>
          </cell>
          <cell r="M2175" t="str">
            <v>3107943896</v>
          </cell>
        </row>
        <row r="2176">
          <cell r="A2176">
            <v>71398558</v>
          </cell>
          <cell r="B2176" t="str">
            <v>4</v>
          </cell>
          <cell r="C2176" t="str">
            <v/>
          </cell>
          <cell r="D2176" t="str">
            <v>NP</v>
          </cell>
          <cell r="E2176" t="str">
            <v>NELSON DAVID</v>
          </cell>
          <cell r="F2176" t="str">
            <v>LONDOÑO VELEZ</v>
          </cell>
          <cell r="G2176" t="str">
            <v>LONDOÑO VELEZ NELSON DAVID</v>
          </cell>
          <cell r="H2176" t="str">
            <v>RESI</v>
          </cell>
          <cell r="I2176" t="str">
            <v>REGIMEN SIMPLIFICADO</v>
          </cell>
          <cell r="J2176" t="str">
            <v>CR 3 C   32 A 12</v>
          </cell>
          <cell r="K2176" t="str">
            <v>17001</v>
          </cell>
          <cell r="L2176" t="str">
            <v>MANIZALES</v>
          </cell>
          <cell r="M2176" t="str">
            <v>3176612093</v>
          </cell>
        </row>
        <row r="2177">
          <cell r="A2177">
            <v>71411572</v>
          </cell>
          <cell r="B2177" t="str">
            <v/>
          </cell>
          <cell r="C2177" t="str">
            <v/>
          </cell>
          <cell r="D2177" t="str">
            <v>CC</v>
          </cell>
          <cell r="E2177" t="str">
            <v>ARGIRO DE JESUS</v>
          </cell>
          <cell r="F2177" t="str">
            <v>JARAMILLO TABORDA</v>
          </cell>
          <cell r="G2177" t="str">
            <v>JARAMILLO TABORDA ARGIRO DE JESUS</v>
          </cell>
          <cell r="H2177" t="str">
            <v>RESI</v>
          </cell>
          <cell r="I2177" t="str">
            <v>REGIMEN SIMPLIFICADO</v>
          </cell>
          <cell r="J2177" t="str">
            <v>VDA CRISTALES</v>
          </cell>
          <cell r="K2177" t="str">
            <v>17662</v>
          </cell>
          <cell r="L2177" t="str">
            <v>SAMANÁ</v>
          </cell>
          <cell r="M2177" t="str">
            <v>3135027243</v>
          </cell>
        </row>
        <row r="2178">
          <cell r="A2178">
            <v>71481741</v>
          </cell>
          <cell r="B2178" t="str">
            <v>0</v>
          </cell>
          <cell r="C2178" t="str">
            <v/>
          </cell>
          <cell r="D2178" t="str">
            <v>NP</v>
          </cell>
          <cell r="E2178" t="str">
            <v>JOSE ALEXANDER</v>
          </cell>
          <cell r="F2178" t="str">
            <v>MARTINEZ FIGUEROA</v>
          </cell>
          <cell r="G2178" t="str">
            <v>MARTINEZ FIGUEROA JOSE ALEXANDER</v>
          </cell>
          <cell r="H2178" t="str">
            <v>RESI</v>
          </cell>
          <cell r="I2178" t="str">
            <v>REGIMEN SIMPLIFICADO</v>
          </cell>
          <cell r="J2178" t="str">
            <v>CL 33 CR 2 2 17 CORR SAN MIGUEL</v>
          </cell>
          <cell r="K2178" t="str">
            <v>05756</v>
          </cell>
          <cell r="L2178" t="str">
            <v>SONSON</v>
          </cell>
          <cell r="M2178" t="str">
            <v>8324217</v>
          </cell>
        </row>
        <row r="2179">
          <cell r="A2179">
            <v>71588058</v>
          </cell>
          <cell r="B2179" t="str">
            <v>9</v>
          </cell>
          <cell r="C2179" t="str">
            <v/>
          </cell>
          <cell r="D2179" t="str">
            <v>NP</v>
          </cell>
          <cell r="E2179" t="str">
            <v>CARLOS MARIO</v>
          </cell>
          <cell r="F2179" t="str">
            <v>FLOREZ ORREGO</v>
          </cell>
          <cell r="G2179" t="str">
            <v>FLOREZ ORREGO CARLOS MARIO</v>
          </cell>
          <cell r="H2179" t="str">
            <v>RESI</v>
          </cell>
          <cell r="I2179" t="str">
            <v>REGIMEN SIMPLIFICADO</v>
          </cell>
          <cell r="J2179" t="str">
            <v>CR 18 22 30 LC</v>
          </cell>
          <cell r="K2179" t="str">
            <v>17001</v>
          </cell>
          <cell r="L2179" t="str">
            <v>MANIZALES</v>
          </cell>
          <cell r="M2179" t="str">
            <v>8803701</v>
          </cell>
        </row>
        <row r="2180">
          <cell r="A2180">
            <v>71606487</v>
          </cell>
          <cell r="B2180" t="str">
            <v/>
          </cell>
          <cell r="C2180" t="str">
            <v/>
          </cell>
          <cell r="D2180" t="str">
            <v>CC</v>
          </cell>
          <cell r="E2180" t="str">
            <v>ADAN NOE</v>
          </cell>
          <cell r="F2180" t="str">
            <v>ARIAS CESPEDES</v>
          </cell>
          <cell r="G2180" t="str">
            <v>ARIAS CESPEDES ADAN NOE</v>
          </cell>
          <cell r="H2180" t="str">
            <v>RESI</v>
          </cell>
          <cell r="I2180" t="str">
            <v>REGIMEN SIMPLIFICADO</v>
          </cell>
          <cell r="J2180" t="str">
            <v>CL 102   77   84</v>
          </cell>
          <cell r="K2180" t="str">
            <v>05411</v>
          </cell>
          <cell r="L2180" t="str">
            <v>LIBORINA</v>
          </cell>
          <cell r="M2180" t="str">
            <v>3004453508</v>
          </cell>
        </row>
        <row r="2181">
          <cell r="A2181">
            <v>71659239</v>
          </cell>
          <cell r="B2181" t="str">
            <v/>
          </cell>
          <cell r="C2181" t="str">
            <v/>
          </cell>
          <cell r="D2181" t="str">
            <v>CC</v>
          </cell>
          <cell r="E2181" t="str">
            <v>JAIME ALBERTO</v>
          </cell>
          <cell r="F2181" t="str">
            <v>RODRIGUEZ LOPERA</v>
          </cell>
          <cell r="G2181" t="str">
            <v>RODRIGUEZ LOPERA JAIME ALBERTO</v>
          </cell>
          <cell r="H2181" t="str">
            <v>FUNC</v>
          </cell>
          <cell r="I2181" t="str">
            <v>FUNCIONARIO</v>
          </cell>
          <cell r="J2181" t="str">
            <v>CL 105    28   36 CA 15</v>
          </cell>
          <cell r="K2181" t="str">
            <v>17001</v>
          </cell>
          <cell r="L2181" t="str">
            <v>MANIZALES</v>
          </cell>
          <cell r="M2181" t="str">
            <v>3113119114</v>
          </cell>
        </row>
        <row r="2182">
          <cell r="A2182">
            <v>71711484</v>
          </cell>
          <cell r="B2182" t="str">
            <v>0</v>
          </cell>
          <cell r="C2182" t="str">
            <v/>
          </cell>
          <cell r="D2182" t="str">
            <v>NP</v>
          </cell>
          <cell r="E2182" t="str">
            <v>MARIO D EJESUS</v>
          </cell>
          <cell r="F2182" t="str">
            <v>YEPES GRAJALES</v>
          </cell>
          <cell r="G2182" t="str">
            <v>YEPES GRAJALES MARIO D EJESUS</v>
          </cell>
          <cell r="H2182" t="str">
            <v>RESI</v>
          </cell>
          <cell r="I2182" t="str">
            <v>REGIMEN SIMPLIFICADO</v>
          </cell>
          <cell r="J2182" t="str">
            <v>CR 53   50   51 LC 303</v>
          </cell>
          <cell r="K2182" t="str">
            <v>05001</v>
          </cell>
          <cell r="L2182" t="str">
            <v>MEDELLÍN</v>
          </cell>
          <cell r="M2182" t="str">
            <v>3136025413</v>
          </cell>
        </row>
        <row r="2183">
          <cell r="A2183">
            <v>71716480</v>
          </cell>
          <cell r="B2183" t="str">
            <v>4</v>
          </cell>
          <cell r="C2183" t="str">
            <v/>
          </cell>
          <cell r="D2183" t="str">
            <v>NP</v>
          </cell>
          <cell r="E2183" t="str">
            <v>WILLIAM ARLEY</v>
          </cell>
          <cell r="F2183" t="str">
            <v>TABORDA FRANCO</v>
          </cell>
          <cell r="G2183" t="str">
            <v>TABORDA FRANCO WILLIAM ARLEY</v>
          </cell>
          <cell r="H2183" t="str">
            <v>RESI</v>
          </cell>
          <cell r="I2183" t="str">
            <v>REGIMEN SIMPLIFICADO</v>
          </cell>
          <cell r="J2183" t="str">
            <v>CL 9   9   7 BRR INAYA</v>
          </cell>
          <cell r="K2183" t="str">
            <v>97001</v>
          </cell>
          <cell r="L2183" t="str">
            <v>MITÚ</v>
          </cell>
          <cell r="M2183" t="str">
            <v>3206176607</v>
          </cell>
        </row>
        <row r="2184">
          <cell r="A2184">
            <v>71751037</v>
          </cell>
          <cell r="B2184" t="str">
            <v>2</v>
          </cell>
          <cell r="C2184" t="str">
            <v/>
          </cell>
          <cell r="D2184" t="str">
            <v>NP</v>
          </cell>
          <cell r="E2184" t="str">
            <v xml:space="preserve">MAURICIO </v>
          </cell>
          <cell r="F2184" t="str">
            <v>TRUJILLO MONTOYA</v>
          </cell>
          <cell r="G2184" t="str">
            <v>MAURICIO TRUJILLO MONTOYA</v>
          </cell>
          <cell r="H2184" t="str">
            <v>RECO</v>
          </cell>
          <cell r="I2184" t="str">
            <v>REGIMEN COMUN</v>
          </cell>
          <cell r="J2184" t="str">
            <v xml:space="preserve">CR 23 N 64B 33                     </v>
          </cell>
          <cell r="K2184" t="str">
            <v>17001</v>
          </cell>
          <cell r="L2184" t="str">
            <v>MANIZALES</v>
          </cell>
          <cell r="M2184" t="str">
            <v>8756262</v>
          </cell>
        </row>
        <row r="2185">
          <cell r="A2185">
            <v>71783771</v>
          </cell>
          <cell r="B2185" t="str">
            <v>8</v>
          </cell>
          <cell r="C2185" t="str">
            <v/>
          </cell>
          <cell r="D2185" t="str">
            <v>NP</v>
          </cell>
          <cell r="E2185" t="str">
            <v>WALTER JAVIER</v>
          </cell>
          <cell r="F2185" t="str">
            <v>ARENAS CORREA</v>
          </cell>
          <cell r="G2185" t="str">
            <v>ARENAS CORREA WALTER JAVIER</v>
          </cell>
          <cell r="H2185" t="str">
            <v>RESI</v>
          </cell>
          <cell r="I2185" t="str">
            <v>REGIMEN SIMPLIFICADO</v>
          </cell>
          <cell r="J2185" t="str">
            <v>CR 69 101- 20 AP 301</v>
          </cell>
          <cell r="K2185" t="str">
            <v>05002</v>
          </cell>
          <cell r="L2185" t="str">
            <v>MEDELLIN</v>
          </cell>
          <cell r="M2185" t="str">
            <v>5077474</v>
          </cell>
        </row>
        <row r="2186">
          <cell r="A2186">
            <v>71876698</v>
          </cell>
          <cell r="B2186" t="str">
            <v>8</v>
          </cell>
          <cell r="C2186" t="str">
            <v/>
          </cell>
          <cell r="D2186" t="str">
            <v>NP</v>
          </cell>
          <cell r="E2186" t="str">
            <v>HECTOR AUGUSTO</v>
          </cell>
          <cell r="F2186" t="str">
            <v>ESPINAL RAMIREZ</v>
          </cell>
          <cell r="G2186" t="str">
            <v>ESPINAL RAMIREZ HECTOR AUGUSTO</v>
          </cell>
          <cell r="H2186" t="str">
            <v>NORE</v>
          </cell>
          <cell r="I2186" t="str">
            <v>NO RESPONSABLE DE IVA</v>
          </cell>
          <cell r="J2186" t="str">
            <v>CL 50 33 23 IN 301</v>
          </cell>
          <cell r="K2186" t="str">
            <v>05002</v>
          </cell>
          <cell r="L2186" t="str">
            <v>MEDELLIN</v>
          </cell>
          <cell r="M2186" t="str">
            <v>3218308795</v>
          </cell>
        </row>
        <row r="2187">
          <cell r="A2187">
            <v>71935488</v>
          </cell>
          <cell r="B2187" t="str">
            <v>1</v>
          </cell>
          <cell r="C2187" t="str">
            <v/>
          </cell>
          <cell r="D2187" t="str">
            <v>NP</v>
          </cell>
          <cell r="E2187" t="str">
            <v>NICOLAS ALBERTO</v>
          </cell>
          <cell r="F2187" t="str">
            <v>BETANCUR BETANCUR</v>
          </cell>
          <cell r="G2187" t="str">
            <v>BETANCUR BETANCUR NICOLAS ALBERTO</v>
          </cell>
          <cell r="H2187" t="str">
            <v>RECO</v>
          </cell>
          <cell r="I2187" t="str">
            <v>REGIMEN COMUN</v>
          </cell>
          <cell r="J2187" t="str">
            <v>CLE 98 No 101-A</v>
          </cell>
          <cell r="K2187" t="str">
            <v>05045</v>
          </cell>
          <cell r="L2187" t="str">
            <v>APARTADÓ</v>
          </cell>
          <cell r="M2187" t="str">
            <v>8289424</v>
          </cell>
        </row>
        <row r="2188">
          <cell r="A2188">
            <v>71982658</v>
          </cell>
          <cell r="B2188" t="str">
            <v/>
          </cell>
          <cell r="C2188" t="str">
            <v/>
          </cell>
          <cell r="D2188" t="str">
            <v>CC</v>
          </cell>
          <cell r="E2188" t="str">
            <v>WALTER EMITH</v>
          </cell>
          <cell r="F2188" t="str">
            <v>PALACIOS</v>
          </cell>
          <cell r="G2188" t="str">
            <v>PALACIOS WALTER EMITH</v>
          </cell>
          <cell r="H2188" t="str">
            <v>RESI</v>
          </cell>
          <cell r="I2188" t="str">
            <v>REGIMEN SIMPLIFICADO</v>
          </cell>
          <cell r="J2188" t="str">
            <v>XXX</v>
          </cell>
          <cell r="K2188" t="str">
            <v>17001</v>
          </cell>
          <cell r="L2188" t="str">
            <v>MANIZALES</v>
          </cell>
          <cell r="M2188" t="str">
            <v>XXX</v>
          </cell>
        </row>
        <row r="2189">
          <cell r="A2189">
            <v>71986860</v>
          </cell>
          <cell r="B2189" t="str">
            <v/>
          </cell>
          <cell r="C2189" t="str">
            <v/>
          </cell>
          <cell r="D2189" t="str">
            <v>CC</v>
          </cell>
          <cell r="E2189" t="str">
            <v>JOSE</v>
          </cell>
          <cell r="F2189" t="str">
            <v>MARTINEZ  ARCE</v>
          </cell>
          <cell r="G2189" t="str">
            <v>MARTINEZ  ARCE JOSE</v>
          </cell>
          <cell r="H2189" t="str">
            <v>RESI</v>
          </cell>
          <cell r="I2189" t="str">
            <v>REGIMEN SIMPLIFICADO</v>
          </cell>
          <cell r="J2189" t="str">
            <v>VRD TARENA</v>
          </cell>
          <cell r="K2189" t="str">
            <v>27800</v>
          </cell>
          <cell r="L2189" t="str">
            <v>UNGUÍA</v>
          </cell>
          <cell r="M2189" t="str">
            <v>3195808264</v>
          </cell>
        </row>
        <row r="2190">
          <cell r="A2190">
            <v>72053621</v>
          </cell>
          <cell r="B2190" t="str">
            <v>3</v>
          </cell>
          <cell r="C2190" t="str">
            <v/>
          </cell>
          <cell r="D2190" t="str">
            <v>NP</v>
          </cell>
          <cell r="E2190" t="str">
            <v>SANDRO JAVIER</v>
          </cell>
          <cell r="F2190" t="str">
            <v>ORTIZ BARBOSA</v>
          </cell>
          <cell r="G2190" t="str">
            <v>ORTIZ BARBOSA SANDRO JAVIER</v>
          </cell>
          <cell r="H2190" t="str">
            <v>RESI</v>
          </cell>
          <cell r="I2190" t="str">
            <v>REGIMEN SIMPLIFICADO</v>
          </cell>
          <cell r="J2190" t="str">
            <v>CL 14   11   39</v>
          </cell>
          <cell r="K2190" t="str">
            <v>20013</v>
          </cell>
          <cell r="L2190" t="str">
            <v>AGUSTÍN CODAZZI</v>
          </cell>
          <cell r="M2190" t="str">
            <v>3127548746</v>
          </cell>
        </row>
        <row r="2191">
          <cell r="A2191">
            <v>72218372</v>
          </cell>
          <cell r="B2191" t="str">
            <v/>
          </cell>
          <cell r="C2191" t="str">
            <v/>
          </cell>
          <cell r="D2191" t="str">
            <v>CC</v>
          </cell>
          <cell r="E2191" t="str">
            <v>JHON LUIS</v>
          </cell>
          <cell r="F2191" t="str">
            <v>ACOSTA RAMOS</v>
          </cell>
          <cell r="G2191" t="str">
            <v>ACOSTA RAMOS JHON LUIS</v>
          </cell>
          <cell r="H2191" t="str">
            <v>RESI</v>
          </cell>
          <cell r="I2191" t="str">
            <v>REGIMEN SIMPLIFICADO</v>
          </cell>
          <cell r="J2191" t="str">
            <v>CR 93   46   136</v>
          </cell>
          <cell r="K2191" t="str">
            <v>08001</v>
          </cell>
          <cell r="L2191" t="str">
            <v>BARRANQUILLA</v>
          </cell>
          <cell r="M2191" t="str">
            <v>3126814790</v>
          </cell>
        </row>
        <row r="2192">
          <cell r="A2192">
            <v>72239920</v>
          </cell>
          <cell r="B2192" t="str">
            <v/>
          </cell>
          <cell r="C2192" t="str">
            <v/>
          </cell>
          <cell r="D2192" t="str">
            <v>CC</v>
          </cell>
          <cell r="E2192" t="str">
            <v>TEIRON EFRAIN</v>
          </cell>
          <cell r="F2192" t="str">
            <v>HENRIQUE RODRIGUEZ</v>
          </cell>
          <cell r="G2192" t="str">
            <v>HENRIQUE RODRIGUEZ TEIRON EFRAIN</v>
          </cell>
          <cell r="H2192" t="str">
            <v>RESI</v>
          </cell>
          <cell r="I2192" t="str">
            <v>REGIMEN SIMPLIFICADO</v>
          </cell>
          <cell r="J2192" t="str">
            <v>CL 21 9 A 86</v>
          </cell>
          <cell r="K2192" t="str">
            <v>44847</v>
          </cell>
          <cell r="L2192" t="str">
            <v>URIBIA</v>
          </cell>
          <cell r="M2192" t="str">
            <v>3016247720</v>
          </cell>
        </row>
        <row r="2193">
          <cell r="A2193">
            <v>72265505</v>
          </cell>
          <cell r="B2193" t="str">
            <v>7</v>
          </cell>
          <cell r="C2193" t="str">
            <v/>
          </cell>
          <cell r="D2193" t="str">
            <v>NP</v>
          </cell>
          <cell r="E2193" t="str">
            <v>JHON ALBERTO</v>
          </cell>
          <cell r="F2193" t="str">
            <v>ALBOR ORTEGA</v>
          </cell>
          <cell r="G2193" t="str">
            <v>ALBOR ORTEGA JHON ALBERTO</v>
          </cell>
          <cell r="H2193" t="str">
            <v>RESI</v>
          </cell>
          <cell r="I2193" t="str">
            <v>REGIMEN SIMPLIFICADO</v>
          </cell>
          <cell r="J2193" t="str">
            <v>CL 79 B  42 F  46</v>
          </cell>
          <cell r="K2193" t="str">
            <v>08001</v>
          </cell>
          <cell r="L2193" t="str">
            <v>BARRANQUILLA</v>
          </cell>
          <cell r="M2193" t="str">
            <v>3454195</v>
          </cell>
        </row>
        <row r="2194">
          <cell r="A2194">
            <v>72269279</v>
          </cell>
          <cell r="B2194" t="str">
            <v/>
          </cell>
          <cell r="C2194" t="str">
            <v/>
          </cell>
          <cell r="D2194" t="str">
            <v>CC</v>
          </cell>
          <cell r="E2194" t="str">
            <v>WILSON AMAURY</v>
          </cell>
          <cell r="F2194" t="str">
            <v>OSPINO PEREZ</v>
          </cell>
          <cell r="G2194" t="str">
            <v>OSPINO PEREZ WILSON AMAURY</v>
          </cell>
          <cell r="H2194" t="str">
            <v>IMVE</v>
          </cell>
          <cell r="I2194" t="str">
            <v>IMPUESTO SOBRE LAS VENTAS</v>
          </cell>
          <cell r="J2194" t="str">
            <v>CR 5 67 13</v>
          </cell>
          <cell r="K2194" t="str">
            <v>08758</v>
          </cell>
          <cell r="L2194" t="str">
            <v>SOLEDAD</v>
          </cell>
          <cell r="M2194" t="str">
            <v>3205256401</v>
          </cell>
        </row>
        <row r="2195">
          <cell r="A2195">
            <v>72303958</v>
          </cell>
          <cell r="B2195" t="str">
            <v/>
          </cell>
          <cell r="C2195" t="str">
            <v/>
          </cell>
          <cell r="D2195" t="str">
            <v>CC</v>
          </cell>
          <cell r="E2195" t="str">
            <v>JHON HENRY</v>
          </cell>
          <cell r="F2195" t="str">
            <v>CASTRO</v>
          </cell>
          <cell r="G2195" t="str">
            <v>CASTRO JHON HENRY</v>
          </cell>
          <cell r="H2195" t="str">
            <v>RESI</v>
          </cell>
          <cell r="I2195" t="str">
            <v>REGIMEN SIMPLIFICADO</v>
          </cell>
          <cell r="J2195" t="str">
            <v>Barranquilla</v>
          </cell>
          <cell r="K2195" t="str">
            <v>17001</v>
          </cell>
          <cell r="L2195" t="str">
            <v>MANIZALES</v>
          </cell>
          <cell r="M2195" t="str">
            <v>na</v>
          </cell>
        </row>
        <row r="2196">
          <cell r="A2196">
            <v>72315171</v>
          </cell>
          <cell r="B2196" t="str">
            <v>6</v>
          </cell>
          <cell r="C2196" t="str">
            <v/>
          </cell>
          <cell r="D2196" t="str">
            <v>NP</v>
          </cell>
          <cell r="E2196" t="str">
            <v>JAMIR ANTONIO</v>
          </cell>
          <cell r="F2196" t="str">
            <v>ARTETA PIZARRO</v>
          </cell>
          <cell r="G2196" t="str">
            <v>ARTETA PIZARRO JAMIR ANTONIO</v>
          </cell>
          <cell r="H2196" t="str">
            <v>RESI</v>
          </cell>
          <cell r="I2196" t="str">
            <v>REGIMEN SIMPLIFICADO</v>
          </cell>
          <cell r="J2196" t="str">
            <v>CRA16 12 A 07 BRR LAS PALMERAS</v>
          </cell>
          <cell r="K2196" t="str">
            <v>08685</v>
          </cell>
          <cell r="L2196" t="str">
            <v>SANTO TOMÁS</v>
          </cell>
          <cell r="M2196" t="str">
            <v>3222181930</v>
          </cell>
        </row>
        <row r="2197">
          <cell r="A2197">
            <v>73122093</v>
          </cell>
          <cell r="B2197" t="str">
            <v>4</v>
          </cell>
          <cell r="C2197" t="str">
            <v/>
          </cell>
          <cell r="D2197" t="str">
            <v>NP</v>
          </cell>
          <cell r="E2197" t="str">
            <v>JAIRO</v>
          </cell>
          <cell r="F2197" t="str">
            <v>JIMENEZ SARMIENTO</v>
          </cell>
          <cell r="G2197" t="str">
            <v>JIMENEZ SARMIENTO JAIRO</v>
          </cell>
          <cell r="H2197" t="str">
            <v>RESI</v>
          </cell>
          <cell r="I2197" t="str">
            <v>REGIMEN SIMPLIFICADO</v>
          </cell>
          <cell r="J2197" t="str">
            <v>BRR BLAS DE LEZO  MZ P LT 2 ET 2</v>
          </cell>
          <cell r="K2197" t="str">
            <v>13001</v>
          </cell>
          <cell r="L2197" t="str">
            <v>CARTAGENA</v>
          </cell>
          <cell r="M2197" t="str">
            <v>3222485496</v>
          </cell>
        </row>
        <row r="2198">
          <cell r="A2198">
            <v>73150876</v>
          </cell>
          <cell r="B2198" t="str">
            <v/>
          </cell>
          <cell r="C2198" t="str">
            <v/>
          </cell>
          <cell r="D2198" t="str">
            <v>CC</v>
          </cell>
          <cell r="E2198" t="str">
            <v>HUMBERTO</v>
          </cell>
          <cell r="F2198" t="str">
            <v>CORVIZ RIOS</v>
          </cell>
          <cell r="G2198" t="str">
            <v>CORVIZ RIOS HUMBERTO</v>
          </cell>
          <cell r="H2198" t="str">
            <v>REOR</v>
          </cell>
          <cell r="I2198" t="str">
            <v>RENTA REGIMEN ORDINARIO</v>
          </cell>
          <cell r="J2198" t="str">
            <v>BRR  BOSTON CL 31 A 47 51</v>
          </cell>
          <cell r="K2198" t="str">
            <v>13001</v>
          </cell>
          <cell r="L2198" t="str">
            <v>CARTAGENA</v>
          </cell>
          <cell r="M2198" t="str">
            <v>3168898186</v>
          </cell>
        </row>
        <row r="2199">
          <cell r="A2199">
            <v>73161276</v>
          </cell>
          <cell r="B2199" t="str">
            <v>1</v>
          </cell>
          <cell r="C2199" t="str">
            <v/>
          </cell>
          <cell r="D2199" t="str">
            <v>NP</v>
          </cell>
          <cell r="E2199" t="str">
            <v>HENRY ALEXANDER</v>
          </cell>
          <cell r="F2199" t="str">
            <v>ESTEPA CASTAÑEDA</v>
          </cell>
          <cell r="G2199" t="str">
            <v>HENRY ALEXANDER ESTEPA CASTAÑEDA</v>
          </cell>
          <cell r="H2199" t="str">
            <v>RESI</v>
          </cell>
          <cell r="I2199" t="str">
            <v>REGIMEN SIMPLIFICADO</v>
          </cell>
          <cell r="J2199" t="str">
            <v>VRD REYES PATRIA</v>
          </cell>
          <cell r="K2199" t="str">
            <v>15759</v>
          </cell>
          <cell r="L2199" t="str">
            <v>SOGAMOSO</v>
          </cell>
          <cell r="M2199" t="str">
            <v>3112004274</v>
          </cell>
        </row>
        <row r="2200">
          <cell r="A2200">
            <v>74020025</v>
          </cell>
          <cell r="B2200" t="str">
            <v>9</v>
          </cell>
          <cell r="C2200" t="str">
            <v/>
          </cell>
          <cell r="D2200" t="str">
            <v>NP</v>
          </cell>
          <cell r="E2200" t="str">
            <v>PEDRO IGNACIO</v>
          </cell>
          <cell r="F2200" t="str">
            <v>GONZALEZ CORDERO</v>
          </cell>
          <cell r="G2200" t="str">
            <v>GONZALEZ CORDERO PEDRO IGNACIO</v>
          </cell>
          <cell r="H2200" t="str">
            <v>RESI</v>
          </cell>
          <cell r="I2200" t="str">
            <v>REGIMEN SIMPLIFICADO</v>
          </cell>
          <cell r="J2200" t="str">
            <v>VDA MORAL FCA LA ESPERANZA</v>
          </cell>
          <cell r="K2200" t="str">
            <v>15187</v>
          </cell>
          <cell r="L2200" t="str">
            <v>CHIVATÁ</v>
          </cell>
          <cell r="M2200" t="str">
            <v>3168201784</v>
          </cell>
        </row>
        <row r="2201">
          <cell r="A2201">
            <v>74080710</v>
          </cell>
          <cell r="B2201" t="str">
            <v>2</v>
          </cell>
          <cell r="C2201" t="str">
            <v/>
          </cell>
          <cell r="D2201" t="str">
            <v>NP</v>
          </cell>
          <cell r="E2201" t="str">
            <v>DIEGO ALEJANDRO</v>
          </cell>
          <cell r="F2201" t="str">
            <v>PEÑA MESA</v>
          </cell>
          <cell r="G2201" t="str">
            <v>PEÑA MESA DIEGO ALEJANDRO</v>
          </cell>
          <cell r="H2201" t="str">
            <v>GRAU</v>
          </cell>
          <cell r="I2201" t="str">
            <v>GRAN CONTRIBUYENTE AUTORRETENEDO</v>
          </cell>
          <cell r="J2201" t="str">
            <v>CR 16 14 A 08</v>
          </cell>
          <cell r="K2201" t="str">
            <v>15759</v>
          </cell>
          <cell r="L2201" t="str">
            <v>SOGAMOSO</v>
          </cell>
          <cell r="M2201" t="str">
            <v>3124797732</v>
          </cell>
        </row>
        <row r="2202">
          <cell r="A2202">
            <v>74081424</v>
          </cell>
          <cell r="B2202" t="str">
            <v>5</v>
          </cell>
          <cell r="C2202" t="str">
            <v/>
          </cell>
          <cell r="D2202" t="str">
            <v>NP</v>
          </cell>
          <cell r="E2202" t="str">
            <v>EDWIN AUGUSTO</v>
          </cell>
          <cell r="F2202" t="str">
            <v>PULIDO RINCON</v>
          </cell>
          <cell r="G2202" t="str">
            <v>PULIDO RINCON EDWIN AUGUSTO</v>
          </cell>
          <cell r="H2202" t="str">
            <v>RESI</v>
          </cell>
          <cell r="I2202" t="str">
            <v>REGIMEN SIMPLIFICADO</v>
          </cell>
          <cell r="J2202" t="str">
            <v>CL 48   12   64 BRR SUCRE</v>
          </cell>
          <cell r="K2202" t="str">
            <v>15759</v>
          </cell>
          <cell r="L2202" t="str">
            <v>SOGAMOSO</v>
          </cell>
          <cell r="M2202" t="str">
            <v>3173939185</v>
          </cell>
        </row>
        <row r="2203">
          <cell r="A2203">
            <v>74082483</v>
          </cell>
          <cell r="B2203" t="str">
            <v/>
          </cell>
          <cell r="C2203" t="str">
            <v/>
          </cell>
          <cell r="D2203" t="str">
            <v>CC</v>
          </cell>
          <cell r="E2203" t="str">
            <v>WILLIAM ALEXANDER</v>
          </cell>
          <cell r="F2203" t="str">
            <v>RODRIGUEZ PEREZ</v>
          </cell>
          <cell r="G2203" t="str">
            <v>RODRIGUEZ PEREZ WILLIAM ALEXANDER</v>
          </cell>
          <cell r="H2203" t="str">
            <v>FUNC</v>
          </cell>
          <cell r="I2203" t="str">
            <v>FUNCIONARIO</v>
          </cell>
          <cell r="J2203" t="str">
            <v>CR 06 B   19   06 BRR LOS ALPES</v>
          </cell>
          <cell r="K2203" t="str">
            <v>15516</v>
          </cell>
          <cell r="L2203" t="str">
            <v>PAIPA</v>
          </cell>
          <cell r="M2203" t="str">
            <v>3114972434</v>
          </cell>
        </row>
        <row r="2204">
          <cell r="A2204">
            <v>74083590</v>
          </cell>
          <cell r="B2204" t="str">
            <v/>
          </cell>
          <cell r="C2204" t="str">
            <v/>
          </cell>
          <cell r="D2204" t="str">
            <v>CC</v>
          </cell>
          <cell r="E2204" t="str">
            <v>WILLIAM LEONARDO</v>
          </cell>
          <cell r="F2204" t="str">
            <v>QUESADA RIVERA</v>
          </cell>
          <cell r="G2204" t="str">
            <v>QUESADA RIVERA WILLIAM LEONARDO</v>
          </cell>
          <cell r="H2204" t="str">
            <v>FUNC</v>
          </cell>
          <cell r="I2204" t="str">
            <v>FUNCIONARIO</v>
          </cell>
          <cell r="J2204" t="str">
            <v>CL 43 10 B 36</v>
          </cell>
          <cell r="K2204" t="str">
            <v>15759</v>
          </cell>
          <cell r="L2204" t="str">
            <v>SOGAMOSO</v>
          </cell>
          <cell r="M2204" t="str">
            <v>3118219394</v>
          </cell>
        </row>
        <row r="2205">
          <cell r="A2205">
            <v>74083620</v>
          </cell>
          <cell r="B2205" t="str">
            <v>1</v>
          </cell>
          <cell r="C2205" t="str">
            <v/>
          </cell>
          <cell r="D2205" t="str">
            <v>NP</v>
          </cell>
          <cell r="E2205" t="str">
            <v>LEONARDO FABIO</v>
          </cell>
          <cell r="F2205" t="str">
            <v>PLAZAS LÓPEZ</v>
          </cell>
          <cell r="G2205" t="str">
            <v>PLAZAS LÓPEZ LEONARDO FABIO</v>
          </cell>
          <cell r="H2205" t="str">
            <v>NORE</v>
          </cell>
          <cell r="I2205" t="str">
            <v>NO RESPONSABLE DE IVA</v>
          </cell>
          <cell r="J2205" t="str">
            <v>CL 9 1 60 BRR ORIENTE</v>
          </cell>
          <cell r="K2205" t="str">
            <v>15759</v>
          </cell>
          <cell r="L2205" t="str">
            <v>SOGAMOSO</v>
          </cell>
          <cell r="M2205" t="str">
            <v>3125505609</v>
          </cell>
        </row>
        <row r="2206">
          <cell r="A2206">
            <v>74084095</v>
          </cell>
          <cell r="B2206" t="str">
            <v>9</v>
          </cell>
          <cell r="C2206" t="str">
            <v/>
          </cell>
          <cell r="D2206" t="str">
            <v>NP</v>
          </cell>
          <cell r="E2206" t="str">
            <v>WILLIAM ALEXANDER</v>
          </cell>
          <cell r="F2206" t="str">
            <v>DIAZ RODRIGUEZ</v>
          </cell>
          <cell r="G2206" t="str">
            <v>DIAZ RODRIGUEZ WILLIAM ALEXANDER</v>
          </cell>
          <cell r="H2206" t="str">
            <v>RESI</v>
          </cell>
          <cell r="I2206" t="str">
            <v>REGIMEN SIMPLIFICADO</v>
          </cell>
          <cell r="J2206" t="str">
            <v>CL 48 N 11 46 BRR SUCRE</v>
          </cell>
          <cell r="K2206" t="str">
            <v>15759</v>
          </cell>
          <cell r="L2206" t="str">
            <v>SOGAMOSO</v>
          </cell>
          <cell r="M2206" t="str">
            <v>3103428360</v>
          </cell>
        </row>
        <row r="2207">
          <cell r="A2207">
            <v>74084138</v>
          </cell>
          <cell r="B2207" t="str">
            <v/>
          </cell>
          <cell r="C2207" t="str">
            <v/>
          </cell>
          <cell r="D2207" t="str">
            <v>CC</v>
          </cell>
          <cell r="E2207" t="str">
            <v>MARIO GIOVANNI</v>
          </cell>
          <cell r="F2207" t="str">
            <v>GAVIRIA CÁRDENAS</v>
          </cell>
          <cell r="G2207" t="str">
            <v>GAVIRIA CÁRDENAS MARIO GIOVANNI</v>
          </cell>
          <cell r="H2207" t="str">
            <v>FUNC</v>
          </cell>
          <cell r="I2207" t="str">
            <v>FUNCIONARIO</v>
          </cell>
          <cell r="J2207" t="str">
            <v>CR 19 7 B 37 BRR SANTA INES</v>
          </cell>
          <cell r="K2207" t="str">
            <v>15759</v>
          </cell>
          <cell r="L2207" t="str">
            <v>SOGAMOSO</v>
          </cell>
          <cell r="M2207" t="str">
            <v>3107951537</v>
          </cell>
        </row>
        <row r="2208">
          <cell r="A2208">
            <v>74084730</v>
          </cell>
          <cell r="B2208" t="str">
            <v>8</v>
          </cell>
          <cell r="C2208" t="str">
            <v/>
          </cell>
          <cell r="D2208" t="str">
            <v>NP</v>
          </cell>
          <cell r="E2208" t="str">
            <v>FABIO ARTURO</v>
          </cell>
          <cell r="F2208" t="str">
            <v>MESA RODRIGUEZ</v>
          </cell>
          <cell r="G2208" t="str">
            <v>MESA RODRIGUEZ FABIO ARTURO</v>
          </cell>
          <cell r="H2208" t="str">
            <v>RCPN</v>
          </cell>
          <cell r="I2208" t="str">
            <v>RESPONSABLE IVA PERSONA NATURAL</v>
          </cell>
          <cell r="J2208" t="str">
            <v>TV 29 14 57</v>
          </cell>
          <cell r="K2208" t="str">
            <v>15238</v>
          </cell>
          <cell r="L2208" t="str">
            <v>DUITAMA</v>
          </cell>
          <cell r="M2208" t="str">
            <v>3204952743</v>
          </cell>
        </row>
        <row r="2209">
          <cell r="A2209">
            <v>74085443</v>
          </cell>
          <cell r="B2209" t="str">
            <v>3</v>
          </cell>
          <cell r="C2209" t="str">
            <v/>
          </cell>
          <cell r="D2209" t="str">
            <v>NP</v>
          </cell>
          <cell r="E2209" t="str">
            <v>JHEYSSON MILLER</v>
          </cell>
          <cell r="F2209" t="str">
            <v>PEREZ ANGEL</v>
          </cell>
          <cell r="G2209" t="str">
            <v>PEREZ ANGEL JHEYSSON MILLER</v>
          </cell>
          <cell r="H2209" t="str">
            <v>REOR</v>
          </cell>
          <cell r="I2209" t="str">
            <v>RENTA REGIMEN ORDINARIO</v>
          </cell>
          <cell r="J2209" t="str">
            <v>CL 24 10 36 BRR CHICAMOCHA</v>
          </cell>
          <cell r="K2209" t="str">
            <v>17001</v>
          </cell>
          <cell r="L2209" t="str">
            <v>MANIZALES</v>
          </cell>
          <cell r="M2209" t="str">
            <v>3208858616</v>
          </cell>
        </row>
        <row r="2210">
          <cell r="A2210">
            <v>74130335</v>
          </cell>
          <cell r="B2210" t="str">
            <v>9</v>
          </cell>
          <cell r="C2210" t="str">
            <v/>
          </cell>
          <cell r="D2210" t="str">
            <v>NP</v>
          </cell>
          <cell r="E2210" t="str">
            <v>RICHAR</v>
          </cell>
          <cell r="F2210" t="str">
            <v>FONSECA PATARROYO</v>
          </cell>
          <cell r="G2210" t="str">
            <v>FONSECA PATARROYO RICHAR</v>
          </cell>
          <cell r="H2210" t="str">
            <v>IMVE</v>
          </cell>
          <cell r="I2210" t="str">
            <v>IMPUESTO SOBRE LAS VENTAS</v>
          </cell>
          <cell r="J2210" t="str">
            <v>CL 27 22 70</v>
          </cell>
          <cell r="K2210" t="str">
            <v>15516</v>
          </cell>
          <cell r="L2210" t="str">
            <v>PAIPA</v>
          </cell>
          <cell r="M2210" t="str">
            <v>3208360265</v>
          </cell>
        </row>
        <row r="2211">
          <cell r="A2211">
            <v>74130443</v>
          </cell>
          <cell r="B2211" t="str">
            <v/>
          </cell>
          <cell r="C2211" t="str">
            <v/>
          </cell>
          <cell r="D2211" t="str">
            <v>CC</v>
          </cell>
          <cell r="E2211" t="str">
            <v>OLIBERT</v>
          </cell>
          <cell r="F2211" t="str">
            <v>CORREDOR BOSIGA</v>
          </cell>
          <cell r="G2211" t="str">
            <v>CORREDOR BOSIGA OLIBERT</v>
          </cell>
          <cell r="H2211" t="str">
            <v>FUNC</v>
          </cell>
          <cell r="I2211" t="str">
            <v>FUNCIONARIO</v>
          </cell>
          <cell r="J2211" t="str">
            <v>Manzana 9 casa 3</v>
          </cell>
          <cell r="K2211" t="str">
            <v>15516</v>
          </cell>
          <cell r="L2211" t="str">
            <v>PAIPA</v>
          </cell>
          <cell r="M2211" t="str">
            <v>3143021667</v>
          </cell>
        </row>
        <row r="2212">
          <cell r="A2212">
            <v>74130582</v>
          </cell>
          <cell r="B2212" t="str">
            <v/>
          </cell>
          <cell r="C2212" t="str">
            <v/>
          </cell>
          <cell r="D2212" t="str">
            <v>CC</v>
          </cell>
          <cell r="E2212" t="str">
            <v>YOVANY MILLER</v>
          </cell>
          <cell r="F2212" t="str">
            <v>GUTIERREZ VARGAS</v>
          </cell>
          <cell r="G2212" t="str">
            <v>GUTIERREZ VARGAS YOVANY MILLER</v>
          </cell>
          <cell r="H2212" t="str">
            <v>FUNC</v>
          </cell>
          <cell r="I2212" t="str">
            <v>FUNCIONARIO</v>
          </cell>
          <cell r="J2212" t="str">
            <v>VRD ROMITA</v>
          </cell>
          <cell r="K2212" t="str">
            <v>15516</v>
          </cell>
          <cell r="L2212" t="str">
            <v>PAIPA</v>
          </cell>
          <cell r="M2212" t="str">
            <v>3138539055</v>
          </cell>
        </row>
        <row r="2213">
          <cell r="A2213">
            <v>74130722</v>
          </cell>
          <cell r="B2213" t="str">
            <v/>
          </cell>
          <cell r="C2213" t="str">
            <v/>
          </cell>
          <cell r="D2213" t="str">
            <v>CC</v>
          </cell>
          <cell r="E2213" t="str">
            <v>GERMAN</v>
          </cell>
          <cell r="F2213" t="str">
            <v>MONROY SANCHEZ</v>
          </cell>
          <cell r="G2213" t="str">
            <v>MONROY SANCHEZ GERMAN</v>
          </cell>
          <cell r="H2213" t="str">
            <v>FUNC</v>
          </cell>
          <cell r="I2213" t="str">
            <v>FUNCIONARIO</v>
          </cell>
          <cell r="J2213" t="str">
            <v>CARRERA 27 No 19-02</v>
          </cell>
          <cell r="K2213" t="str">
            <v>15516</v>
          </cell>
          <cell r="L2213" t="str">
            <v>PAIPA</v>
          </cell>
          <cell r="M2213" t="str">
            <v>3118092559</v>
          </cell>
        </row>
        <row r="2214">
          <cell r="A2214">
            <v>74130762</v>
          </cell>
          <cell r="B2214" t="str">
            <v>0</v>
          </cell>
          <cell r="C2214" t="str">
            <v/>
          </cell>
          <cell r="D2214" t="str">
            <v>NP</v>
          </cell>
          <cell r="E2214" t="str">
            <v>JESUS ALEXANDER</v>
          </cell>
          <cell r="F2214" t="str">
            <v>RODRIGUEZ HERNANDEZ</v>
          </cell>
          <cell r="G2214" t="str">
            <v>RODRIGUEZ HERNANDEZ JESUS ALEXANDER</v>
          </cell>
          <cell r="H2214" t="str">
            <v>RESI</v>
          </cell>
          <cell r="I2214" t="str">
            <v>REGIMEN SIMPLIFICADO</v>
          </cell>
          <cell r="J2214" t="str">
            <v>CR  23  22 B 16</v>
          </cell>
          <cell r="K2214" t="str">
            <v>15516</v>
          </cell>
          <cell r="L2214" t="str">
            <v>PAIPA</v>
          </cell>
          <cell r="M2214" t="str">
            <v>3133108238</v>
          </cell>
        </row>
        <row r="2215">
          <cell r="A2215">
            <v>74130854</v>
          </cell>
          <cell r="B2215" t="str">
            <v>1</v>
          </cell>
          <cell r="C2215" t="str">
            <v/>
          </cell>
          <cell r="D2215" t="str">
            <v>NP</v>
          </cell>
          <cell r="E2215" t="str">
            <v>JOSE DEL CARMEN</v>
          </cell>
          <cell r="F2215" t="str">
            <v>FONSECA RODRIGUEZ</v>
          </cell>
          <cell r="G2215" t="str">
            <v>JOSE DEL CARMEN FONSECA RODRIGUEZ</v>
          </cell>
          <cell r="H2215" t="str">
            <v>RECO</v>
          </cell>
          <cell r="I2215" t="str">
            <v>REGIMEN COMUN</v>
          </cell>
          <cell r="J2215" t="str">
            <v xml:space="preserve"> CL 25 19 47 AP 706</v>
          </cell>
          <cell r="K2215" t="str">
            <v>15516</v>
          </cell>
          <cell r="L2215" t="str">
            <v>PAIPA</v>
          </cell>
          <cell r="M2215" t="str">
            <v>7852617</v>
          </cell>
        </row>
        <row r="2216">
          <cell r="A2216">
            <v>74130937</v>
          </cell>
          <cell r="B2216" t="str">
            <v/>
          </cell>
          <cell r="C2216" t="str">
            <v/>
          </cell>
          <cell r="D2216" t="str">
            <v>CC</v>
          </cell>
          <cell r="E2216" t="str">
            <v>HUGO MARIO</v>
          </cell>
          <cell r="F2216" t="str">
            <v>GARZON ZANGUNA</v>
          </cell>
          <cell r="G2216" t="str">
            <v>GARZON ZANGUNA HUGO MARIO</v>
          </cell>
          <cell r="H2216" t="str">
            <v>FUNC</v>
          </cell>
          <cell r="I2216" t="str">
            <v>FUNCIONARIO</v>
          </cell>
          <cell r="J2216" t="str">
            <v>CARRERA 16 No 26B-40 PAIPA</v>
          </cell>
          <cell r="K2216" t="str">
            <v>15516</v>
          </cell>
          <cell r="L2216" t="str">
            <v>PAIPA</v>
          </cell>
          <cell r="M2216" t="str">
            <v>32219230383</v>
          </cell>
        </row>
        <row r="2217">
          <cell r="A2217">
            <v>74130970</v>
          </cell>
          <cell r="B2217" t="str">
            <v/>
          </cell>
          <cell r="C2217" t="str">
            <v/>
          </cell>
          <cell r="D2217" t="str">
            <v>CC</v>
          </cell>
          <cell r="E2217" t="str">
            <v>ARLEY FABIAN</v>
          </cell>
          <cell r="F2217" t="str">
            <v>OCHOA ROJAS</v>
          </cell>
          <cell r="G2217" t="str">
            <v>OCHOA ROJAS ARLEY FABIAN</v>
          </cell>
          <cell r="H2217" t="str">
            <v>FUNC</v>
          </cell>
          <cell r="I2217" t="str">
            <v>FUNCIONARIO</v>
          </cell>
          <cell r="J2217" t="str">
            <v>CR 27 A 11 17</v>
          </cell>
          <cell r="K2217" t="str">
            <v>15516</v>
          </cell>
          <cell r="L2217" t="str">
            <v>PAIPA</v>
          </cell>
          <cell r="M2217" t="str">
            <v>3118988063</v>
          </cell>
        </row>
        <row r="2218">
          <cell r="A2218">
            <v>74150435</v>
          </cell>
          <cell r="B2218" t="str">
            <v/>
          </cell>
          <cell r="C2218" t="str">
            <v/>
          </cell>
          <cell r="D2218" t="str">
            <v>CC</v>
          </cell>
          <cell r="E2218" t="str">
            <v>MIGUEL ANGEL</v>
          </cell>
          <cell r="F2218" t="str">
            <v>MALDONADOPORRAS</v>
          </cell>
          <cell r="G2218" t="str">
            <v>MALDONADOPORRAS MIGUEL ANGEL</v>
          </cell>
          <cell r="H2218" t="str">
            <v>FUNC</v>
          </cell>
          <cell r="I2218" t="str">
            <v>FUNCIONARIO</v>
          </cell>
          <cell r="J2218" t="str">
            <v>CARRERA 8 No 63B-49</v>
          </cell>
          <cell r="K2218" t="str">
            <v>15001</v>
          </cell>
          <cell r="L2218" t="str">
            <v>TUNJA</v>
          </cell>
          <cell r="M2218" t="str">
            <v>3115651134</v>
          </cell>
        </row>
        <row r="2219">
          <cell r="A2219">
            <v>74180432</v>
          </cell>
          <cell r="B2219" t="str">
            <v>9</v>
          </cell>
          <cell r="C2219" t="str">
            <v/>
          </cell>
          <cell r="D2219" t="str">
            <v>NP</v>
          </cell>
          <cell r="E2219" t="str">
            <v>ORLANDO</v>
          </cell>
          <cell r="F2219" t="str">
            <v>CALA PEREZ</v>
          </cell>
          <cell r="G2219" t="str">
            <v>CALA PEREZ ORLANDO</v>
          </cell>
          <cell r="H2219" t="str">
            <v>NORE</v>
          </cell>
          <cell r="I2219" t="str">
            <v>NO RESPONSABLE DE IVA</v>
          </cell>
          <cell r="J2219" t="str">
            <v>CR 29 17 59 BL C CL 9 BRR EL CENTRO</v>
          </cell>
          <cell r="K2219" t="str">
            <v>85001</v>
          </cell>
          <cell r="L2219" t="str">
            <v>YOPAL</v>
          </cell>
          <cell r="M2219" t="str">
            <v>3143312488</v>
          </cell>
        </row>
        <row r="2220">
          <cell r="A2220">
            <v>74180991</v>
          </cell>
          <cell r="B2220" t="str">
            <v>4</v>
          </cell>
          <cell r="C2220" t="str">
            <v/>
          </cell>
          <cell r="D2220" t="str">
            <v>NP</v>
          </cell>
          <cell r="E2220" t="str">
            <v>JUAN FELIPE</v>
          </cell>
          <cell r="F2220" t="str">
            <v>VEGA GUIO</v>
          </cell>
          <cell r="G2220" t="str">
            <v>VEGA GUIO JUAN FELIPE</v>
          </cell>
          <cell r="H2220" t="str">
            <v>RECO</v>
          </cell>
          <cell r="I2220" t="str">
            <v>REGIMEN COMUN</v>
          </cell>
          <cell r="J2220" t="str">
            <v xml:space="preserve"> AC 116 13 A 06 O  F 101</v>
          </cell>
          <cell r="K2220" t="str">
            <v>25214</v>
          </cell>
          <cell r="L2220" t="str">
            <v>COTA</v>
          </cell>
          <cell r="M2220" t="str">
            <v>3017121417</v>
          </cell>
        </row>
        <row r="2221">
          <cell r="A2221">
            <v>74181400</v>
          </cell>
          <cell r="B2221" t="str">
            <v>8</v>
          </cell>
          <cell r="C2221" t="str">
            <v/>
          </cell>
          <cell r="D2221" t="str">
            <v>NP</v>
          </cell>
          <cell r="E2221" t="str">
            <v>FREDDY ALEXANDER</v>
          </cell>
          <cell r="F2221" t="str">
            <v>BECERRA CELY</v>
          </cell>
          <cell r="G2221" t="str">
            <v>BECERRA CELY FREDDY ALEXANDER</v>
          </cell>
          <cell r="H2221" t="str">
            <v>RECO</v>
          </cell>
          <cell r="I2221" t="str">
            <v>REGIMEN COMUN</v>
          </cell>
          <cell r="J2221" t="str">
            <v>CR 24   40   19 OF 101</v>
          </cell>
          <cell r="K2221" t="str">
            <v>11001</v>
          </cell>
          <cell r="L2221" t="str">
            <v>BOGOTA DC</v>
          </cell>
          <cell r="M2221" t="str">
            <v>7520718</v>
          </cell>
        </row>
        <row r="2222">
          <cell r="A2222">
            <v>74181701</v>
          </cell>
          <cell r="B2222" t="str">
            <v>1</v>
          </cell>
          <cell r="C2222" t="str">
            <v/>
          </cell>
          <cell r="D2222" t="str">
            <v>NP</v>
          </cell>
          <cell r="E2222" t="str">
            <v>GERMAN DARIO</v>
          </cell>
          <cell r="F2222" t="str">
            <v>BUITRAGO PUENTES</v>
          </cell>
          <cell r="G2222" t="str">
            <v>BUITRAGO PUENTES GERMAN DARIO</v>
          </cell>
          <cell r="H2222" t="str">
            <v>RCPN</v>
          </cell>
          <cell r="I2222" t="str">
            <v>RESPONSABLE IVA PERSONA NATURAL</v>
          </cell>
          <cell r="J2222" t="str">
            <v>CL 13  14 06 BRR SANTA HELENA</v>
          </cell>
          <cell r="K2222" t="str">
            <v>15759</v>
          </cell>
          <cell r="L2222" t="str">
            <v>SOGAMOSO</v>
          </cell>
          <cell r="M2222" t="str">
            <v>7700492</v>
          </cell>
        </row>
        <row r="2223">
          <cell r="A2223">
            <v>74182533</v>
          </cell>
          <cell r="B2223" t="str">
            <v>3</v>
          </cell>
          <cell r="C2223" t="str">
            <v/>
          </cell>
          <cell r="D2223" t="str">
            <v>NP</v>
          </cell>
          <cell r="E2223" t="str">
            <v>EDWIN JARDIEL RAFAEL</v>
          </cell>
          <cell r="F2223" t="str">
            <v>BENAVIDES BENAVIDES</v>
          </cell>
          <cell r="G2223" t="str">
            <v>BENAVIDES BENAVIDES EDWIN JARDIEL RAFAEL</v>
          </cell>
          <cell r="H2223" t="str">
            <v>RESI</v>
          </cell>
          <cell r="I2223" t="str">
            <v>REGIMEN SIMPLIFICADO</v>
          </cell>
          <cell r="J2223" t="str">
            <v>CL 14  14   14   BRR SANTA HELENA</v>
          </cell>
          <cell r="K2223" t="str">
            <v>15759</v>
          </cell>
          <cell r="L2223" t="str">
            <v>SOGAMOSO</v>
          </cell>
          <cell r="M2223" t="str">
            <v>3108185795</v>
          </cell>
        </row>
        <row r="2224">
          <cell r="A2224">
            <v>74182752</v>
          </cell>
          <cell r="B2224" t="str">
            <v/>
          </cell>
          <cell r="C2224" t="str">
            <v/>
          </cell>
          <cell r="D2224" t="str">
            <v>CC</v>
          </cell>
          <cell r="E2224" t="str">
            <v>JOSE WILDER</v>
          </cell>
          <cell r="F2224" t="str">
            <v>ALBARRACIN ALBARRACIN</v>
          </cell>
          <cell r="G2224" t="str">
            <v>ALBARRACIN ALBARRACIN JOSE WILDER</v>
          </cell>
          <cell r="H2224" t="str">
            <v>FUNC</v>
          </cell>
          <cell r="I2224" t="str">
            <v>FUNCIONARIO</v>
          </cell>
          <cell r="J2224" t="str">
            <v>CR 24 N 7 A 24 BRR</v>
          </cell>
          <cell r="K2224" t="str">
            <v>15759</v>
          </cell>
          <cell r="L2224" t="str">
            <v>SOGAMOSO</v>
          </cell>
          <cell r="M2224" t="str">
            <v>3212584367</v>
          </cell>
        </row>
        <row r="2225">
          <cell r="A2225">
            <v>74182833</v>
          </cell>
          <cell r="B2225" t="str">
            <v/>
          </cell>
          <cell r="C2225" t="str">
            <v/>
          </cell>
          <cell r="D2225" t="str">
            <v>CC</v>
          </cell>
          <cell r="E2225" t="str">
            <v>VIDAL</v>
          </cell>
          <cell r="F2225" t="str">
            <v>ROJAS MACHUCA</v>
          </cell>
          <cell r="G2225" t="str">
            <v>ROJAS MACHUCA VIDAL</v>
          </cell>
          <cell r="H2225" t="str">
            <v>FUNC</v>
          </cell>
          <cell r="I2225" t="str">
            <v>FUNCIONARIO</v>
          </cell>
          <cell r="J2225" t="str">
            <v>PAIPA</v>
          </cell>
          <cell r="K2225" t="str">
            <v>15516</v>
          </cell>
          <cell r="L2225" t="str">
            <v>PAIPA</v>
          </cell>
          <cell r="M2225" t="str">
            <v>3214973043</v>
          </cell>
        </row>
        <row r="2226">
          <cell r="A2226">
            <v>74182858</v>
          </cell>
          <cell r="B2226" t="str">
            <v>1</v>
          </cell>
          <cell r="C2226" t="str">
            <v/>
          </cell>
          <cell r="D2226" t="str">
            <v>NP</v>
          </cell>
          <cell r="E2226" t="str">
            <v>REYNALDO</v>
          </cell>
          <cell r="F2226" t="str">
            <v>ALARCON AMEZQUITA</v>
          </cell>
          <cell r="G2226" t="str">
            <v>ALARCON AMEZQUITA REYNALDO</v>
          </cell>
          <cell r="H2226" t="str">
            <v>REOR</v>
          </cell>
          <cell r="I2226" t="str">
            <v>RENTA REGIMEN ORDINARIO</v>
          </cell>
          <cell r="J2226" t="str">
            <v>VDA ALTO JIMENEZ MORCA</v>
          </cell>
          <cell r="K2226" t="str">
            <v>15759</v>
          </cell>
          <cell r="L2226" t="str">
            <v>SOGAMOSO</v>
          </cell>
          <cell r="M2226" t="str">
            <v>3142999857</v>
          </cell>
        </row>
        <row r="2227">
          <cell r="A2227">
            <v>74183183</v>
          </cell>
          <cell r="B2227" t="str">
            <v>3</v>
          </cell>
          <cell r="C2227" t="str">
            <v/>
          </cell>
          <cell r="D2227" t="str">
            <v>NP</v>
          </cell>
          <cell r="E2227" t="str">
            <v>JUAN CARLOS</v>
          </cell>
          <cell r="F2227" t="str">
            <v>BARRERA ALARCON</v>
          </cell>
          <cell r="G2227" t="str">
            <v>JUAN CARLOS BARRERA ALARCON</v>
          </cell>
          <cell r="H2227" t="str">
            <v>REOR</v>
          </cell>
          <cell r="I2227" t="str">
            <v>RENTA REGIMEN ORDINARIO</v>
          </cell>
          <cell r="J2227" t="str">
            <v xml:space="preserve"> VRD SAN JUAN NEPOMUCENO</v>
          </cell>
          <cell r="K2227" t="str">
            <v>15820</v>
          </cell>
          <cell r="L2227" t="str">
            <v>TÓPAGA</v>
          </cell>
          <cell r="M2227" t="str">
            <v>7738142</v>
          </cell>
        </row>
        <row r="2228">
          <cell r="A2228">
            <v>74187020</v>
          </cell>
          <cell r="B2228" t="str">
            <v/>
          </cell>
          <cell r="C2228" t="str">
            <v/>
          </cell>
          <cell r="D2228" t="str">
            <v>CC</v>
          </cell>
          <cell r="E2228" t="str">
            <v>JAIRO ENRIQUE</v>
          </cell>
          <cell r="F2228" t="str">
            <v>GUAYACAN HURTADO</v>
          </cell>
          <cell r="G2228" t="str">
            <v>GUAYACAN HURTADO JAIRO ENRIQUE</v>
          </cell>
          <cell r="H2228" t="str">
            <v>FUNC</v>
          </cell>
          <cell r="I2228" t="str">
            <v>FUNCIONARIO</v>
          </cell>
          <cell r="J2228" t="str">
            <v>TRANSV. 6-5- 81</v>
          </cell>
          <cell r="K2228" t="str">
            <v>15759</v>
          </cell>
          <cell r="L2228" t="str">
            <v>SOGAMOSO</v>
          </cell>
          <cell r="M2228" t="str">
            <v>3144670311</v>
          </cell>
        </row>
        <row r="2229">
          <cell r="A2229">
            <v>74188555</v>
          </cell>
          <cell r="B2229" t="str">
            <v/>
          </cell>
          <cell r="C2229" t="str">
            <v/>
          </cell>
          <cell r="D2229" t="str">
            <v>CC</v>
          </cell>
          <cell r="E2229" t="str">
            <v>RAMIRO ALEJANDRO</v>
          </cell>
          <cell r="F2229" t="str">
            <v>PLAZAS ROSAS</v>
          </cell>
          <cell r="G2229" t="str">
            <v>PLAZAS ROSAS RAMIRO ALEJANDRO</v>
          </cell>
          <cell r="H2229" t="str">
            <v>FUNC</v>
          </cell>
          <cell r="I2229" t="str">
            <v>FUNCIONARIO</v>
          </cell>
          <cell r="J2229" t="str">
            <v>CL 15   16   63</v>
          </cell>
          <cell r="K2229" t="str">
            <v>17001</v>
          </cell>
          <cell r="L2229" t="str">
            <v>MANIZALES</v>
          </cell>
          <cell r="M2229" t="str">
            <v>3115669747</v>
          </cell>
        </row>
        <row r="2230">
          <cell r="A2230">
            <v>74189383</v>
          </cell>
          <cell r="B2230" t="str">
            <v>7</v>
          </cell>
          <cell r="C2230" t="str">
            <v/>
          </cell>
          <cell r="D2230" t="str">
            <v>NP</v>
          </cell>
          <cell r="E2230" t="str">
            <v>VICTOR ALEJANDRO</v>
          </cell>
          <cell r="F2230" t="str">
            <v>PALACIOS DIAZ</v>
          </cell>
          <cell r="G2230" t="str">
            <v>PALACIOS DIAZ VICTOR ALEJANDRO</v>
          </cell>
          <cell r="H2230" t="str">
            <v>RECO</v>
          </cell>
          <cell r="I2230" t="str">
            <v>REGIMEN COMUN</v>
          </cell>
          <cell r="J2230" t="str">
            <v>CL 50 10 A 62</v>
          </cell>
          <cell r="K2230" t="str">
            <v>15759</v>
          </cell>
          <cell r="L2230" t="str">
            <v>SOGAMOSO</v>
          </cell>
          <cell r="M2230" t="str">
            <v>7730828</v>
          </cell>
        </row>
        <row r="2231">
          <cell r="A2231">
            <v>74210002</v>
          </cell>
          <cell r="B2231" t="str">
            <v>5</v>
          </cell>
          <cell r="C2231" t="str">
            <v/>
          </cell>
          <cell r="D2231" t="str">
            <v>NP</v>
          </cell>
          <cell r="E2231" t="str">
            <v>RAFAEL ANTONIO</v>
          </cell>
          <cell r="F2231" t="str">
            <v>NIETO GAITAN</v>
          </cell>
          <cell r="G2231" t="str">
            <v>NIETO GAITAN RAFAEL ANTONIO</v>
          </cell>
          <cell r="H2231" t="str">
            <v>RECO</v>
          </cell>
          <cell r="I2231" t="str">
            <v>REGIMEN COMUN</v>
          </cell>
          <cell r="J2231" t="str">
            <v>VDA SAN JOSE PORVENIR</v>
          </cell>
          <cell r="K2231" t="str">
            <v>15759</v>
          </cell>
          <cell r="L2231" t="str">
            <v>SOGAMOSO</v>
          </cell>
          <cell r="M2231" t="str">
            <v>3123037163</v>
          </cell>
        </row>
        <row r="2232">
          <cell r="A2232">
            <v>74270064</v>
          </cell>
          <cell r="B2232" t="str">
            <v>8</v>
          </cell>
          <cell r="C2232" t="str">
            <v/>
          </cell>
          <cell r="D2232" t="str">
            <v>NP</v>
          </cell>
          <cell r="E2232" t="str">
            <v xml:space="preserve">VIRGILIO </v>
          </cell>
          <cell r="F2232" t="str">
            <v>ALFONSO</v>
          </cell>
          <cell r="G2232" t="str">
            <v>VIRGILIO ALFONSO</v>
          </cell>
          <cell r="H2232" t="str">
            <v>REOR</v>
          </cell>
          <cell r="I2232" t="str">
            <v>RENTA REGIMEN ORDINARIO</v>
          </cell>
          <cell r="J2232" t="str">
            <v>VRD SAN ANTONIO SEC ZARZAL</v>
          </cell>
          <cell r="K2232" t="str">
            <v>15296</v>
          </cell>
          <cell r="L2232" t="str">
            <v>GAMEZA</v>
          </cell>
          <cell r="M2232" t="str">
            <v>3132200681</v>
          </cell>
        </row>
        <row r="2233">
          <cell r="A2233">
            <v>74270816</v>
          </cell>
          <cell r="B2233" t="str">
            <v>1</v>
          </cell>
          <cell r="C2233" t="str">
            <v/>
          </cell>
          <cell r="D2233" t="str">
            <v>NP</v>
          </cell>
          <cell r="E2233" t="str">
            <v>PAUL RICARDO</v>
          </cell>
          <cell r="F2233" t="str">
            <v>MOJICA TOSCANO</v>
          </cell>
          <cell r="G2233" t="str">
            <v>MOJICA TOSCANO PAUL RICARDO</v>
          </cell>
          <cell r="H2233" t="str">
            <v>RESI</v>
          </cell>
          <cell r="I2233" t="str">
            <v>REGIMEN SIMPLIFICADO</v>
          </cell>
          <cell r="J2233" t="str">
            <v>CR 5  7 52</v>
          </cell>
          <cell r="K2233" t="str">
            <v>15790</v>
          </cell>
          <cell r="L2233" t="str">
            <v>TASCO</v>
          </cell>
          <cell r="M2233" t="str">
            <v>3208185239</v>
          </cell>
        </row>
        <row r="2234">
          <cell r="A2234">
            <v>74270981</v>
          </cell>
          <cell r="B2234" t="str">
            <v/>
          </cell>
          <cell r="C2234" t="str">
            <v/>
          </cell>
          <cell r="D2234" t="str">
            <v>CC</v>
          </cell>
          <cell r="E2234" t="str">
            <v>ARTURO</v>
          </cell>
          <cell r="F2234" t="str">
            <v>AMAYA MÁRQUEZ</v>
          </cell>
          <cell r="G2234" t="str">
            <v>AMAYA MÁRQUEZ ARTURO</v>
          </cell>
          <cell r="H2234" t="str">
            <v>FUNC</v>
          </cell>
          <cell r="I2234" t="str">
            <v>FUNCIONARIO</v>
          </cell>
          <cell r="J2234" t="str">
            <v>CALLE 1 # 11-91</v>
          </cell>
          <cell r="K2234" t="str">
            <v>15759</v>
          </cell>
          <cell r="L2234" t="str">
            <v>SOGAMOSO</v>
          </cell>
          <cell r="M2234" t="str">
            <v>3123449802</v>
          </cell>
        </row>
        <row r="2235">
          <cell r="A2235">
            <v>74302469</v>
          </cell>
          <cell r="B2235" t="str">
            <v/>
          </cell>
          <cell r="C2235" t="str">
            <v/>
          </cell>
          <cell r="D2235" t="str">
            <v>CC</v>
          </cell>
          <cell r="E2235" t="str">
            <v>FABIAN DARIO</v>
          </cell>
          <cell r="F2235" t="str">
            <v>GALVIS CRISTANCHO</v>
          </cell>
          <cell r="G2235" t="str">
            <v>GALVIS CRISTANCHO FABIAN DARIO</v>
          </cell>
          <cell r="H2235" t="str">
            <v>FUNC</v>
          </cell>
          <cell r="I2235" t="str">
            <v>FUNCIONARIO</v>
          </cell>
          <cell r="J2235" t="str">
            <v>CARRERA 16 No 26-10 DUITAMA</v>
          </cell>
          <cell r="K2235" t="str">
            <v>15238</v>
          </cell>
          <cell r="L2235" t="str">
            <v>DUITAMA</v>
          </cell>
          <cell r="M2235" t="str">
            <v>3004904620</v>
          </cell>
        </row>
        <row r="2236">
          <cell r="A2236">
            <v>74320760</v>
          </cell>
          <cell r="B2236" t="str">
            <v>1</v>
          </cell>
          <cell r="C2236" t="str">
            <v/>
          </cell>
          <cell r="D2236" t="str">
            <v>NP</v>
          </cell>
          <cell r="E2236" t="str">
            <v>ARGEMIRO</v>
          </cell>
          <cell r="F2236" t="str">
            <v>PARADA VERGARA</v>
          </cell>
          <cell r="G2236" t="str">
            <v>PARADA VERGARA ARGEMIRO</v>
          </cell>
          <cell r="H2236" t="str">
            <v>RESI</v>
          </cell>
          <cell r="I2236" t="str">
            <v>REGIMEN SIMPLIFICADO</v>
          </cell>
          <cell r="J2236" t="str">
            <v>VRD WVAITA SEC SOCHA VIEJO</v>
          </cell>
          <cell r="K2236" t="str">
            <v>15516</v>
          </cell>
          <cell r="L2236" t="str">
            <v>PAIPA</v>
          </cell>
          <cell r="M2236" t="str">
            <v>3212425799</v>
          </cell>
        </row>
        <row r="2237">
          <cell r="A2237">
            <v>74322006</v>
          </cell>
          <cell r="B2237" t="str">
            <v>5</v>
          </cell>
          <cell r="C2237" t="str">
            <v/>
          </cell>
          <cell r="D2237" t="str">
            <v>NP</v>
          </cell>
          <cell r="E2237" t="str">
            <v>JORGE</v>
          </cell>
          <cell r="F2237" t="str">
            <v>ZANGUÑA FONSECA</v>
          </cell>
          <cell r="G2237" t="str">
            <v>ZANGUÑA FONSECA JORGE</v>
          </cell>
          <cell r="H2237" t="str">
            <v>RECO</v>
          </cell>
          <cell r="I2237" t="str">
            <v>REGIMEN COMUN</v>
          </cell>
          <cell r="J2237" t="str">
            <v>CL 21 23  28</v>
          </cell>
          <cell r="K2237" t="str">
            <v>15516</v>
          </cell>
          <cell r="L2237" t="str">
            <v>PAIPA</v>
          </cell>
          <cell r="M2237" t="str">
            <v>7851151</v>
          </cell>
        </row>
        <row r="2238">
          <cell r="A2238">
            <v>74322090</v>
          </cell>
          <cell r="B2238" t="str">
            <v/>
          </cell>
          <cell r="C2238" t="str">
            <v/>
          </cell>
          <cell r="D2238" t="str">
            <v>CC</v>
          </cell>
          <cell r="E2238" t="str">
            <v>FAUSTINO</v>
          </cell>
          <cell r="F2238" t="str">
            <v>BECERRA</v>
          </cell>
          <cell r="G2238" t="str">
            <v>BECERRA FAUSTINO</v>
          </cell>
          <cell r="H2238" t="str">
            <v>FUNC</v>
          </cell>
          <cell r="I2238" t="str">
            <v>FUNCIONARIO</v>
          </cell>
          <cell r="J2238" t="str">
            <v>CR 27 23 16</v>
          </cell>
          <cell r="K2238" t="str">
            <v>15516</v>
          </cell>
          <cell r="L2238" t="str">
            <v>PAIPA</v>
          </cell>
          <cell r="M2238" t="str">
            <v>3133229026</v>
          </cell>
        </row>
        <row r="2239">
          <cell r="A2239">
            <v>74322100</v>
          </cell>
          <cell r="B2239" t="str">
            <v/>
          </cell>
          <cell r="C2239" t="str">
            <v/>
          </cell>
          <cell r="D2239" t="str">
            <v>CC</v>
          </cell>
          <cell r="E2239" t="str">
            <v>JOSE LUIS</v>
          </cell>
          <cell r="F2239" t="str">
            <v>SUAREZ LOPEZ</v>
          </cell>
          <cell r="G2239" t="str">
            <v>SUAREZ LOPEZ JOSE LUIS</v>
          </cell>
          <cell r="H2239" t="str">
            <v>FUNC</v>
          </cell>
          <cell r="I2239" t="str">
            <v>FUNCIONARIO</v>
          </cell>
          <cell r="J2239" t="str">
            <v>MZ F CASA No BARRIO ALAMOS - DUITAMA</v>
          </cell>
          <cell r="K2239" t="str">
            <v>15516</v>
          </cell>
          <cell r="L2239" t="str">
            <v>PAIPA</v>
          </cell>
          <cell r="M2239" t="str">
            <v>3123775068</v>
          </cell>
        </row>
        <row r="2240">
          <cell r="A2240">
            <v>74322117</v>
          </cell>
          <cell r="B2240" t="str">
            <v>4</v>
          </cell>
          <cell r="C2240" t="str">
            <v/>
          </cell>
          <cell r="D2240" t="str">
            <v>NP</v>
          </cell>
          <cell r="E2240" t="str">
            <v xml:space="preserve">EDUARDO </v>
          </cell>
          <cell r="F2240" t="str">
            <v>OCHOA PATIÑO</v>
          </cell>
          <cell r="G2240" t="str">
            <v>EDUARDO OCHOA PATIÑO</v>
          </cell>
          <cell r="H2240" t="str">
            <v>RESI</v>
          </cell>
          <cell r="I2240" t="str">
            <v>REGIMEN SIMPLIFICADO</v>
          </cell>
          <cell r="J2240" t="str">
            <v>CR 25 29-28</v>
          </cell>
          <cell r="K2240" t="str">
            <v>15516</v>
          </cell>
          <cell r="L2240" t="str">
            <v>PAIPA</v>
          </cell>
          <cell r="M2240" t="str">
            <v>3193970790</v>
          </cell>
        </row>
        <row r="2241">
          <cell r="A2241">
            <v>74322290</v>
          </cell>
          <cell r="B2241" t="str">
            <v>0</v>
          </cell>
          <cell r="C2241" t="str">
            <v/>
          </cell>
          <cell r="D2241" t="str">
            <v>NP</v>
          </cell>
          <cell r="E2241" t="str">
            <v>LUIS EDUARDO</v>
          </cell>
          <cell r="F2241" t="str">
            <v>RODRIGUEZ CUESGUN</v>
          </cell>
          <cell r="G2241" t="str">
            <v>RODRIGUEZ CUESGUN LUIS EDUARDO</v>
          </cell>
          <cell r="H2241" t="str">
            <v>RECO</v>
          </cell>
          <cell r="I2241" t="str">
            <v>REGIMEN COMUN</v>
          </cell>
          <cell r="J2241" t="str">
            <v>CR 20  24 22</v>
          </cell>
          <cell r="K2241" t="str">
            <v>15516</v>
          </cell>
          <cell r="L2241" t="str">
            <v>PAIPA</v>
          </cell>
          <cell r="M2241" t="str">
            <v>3112892905</v>
          </cell>
        </row>
        <row r="2242">
          <cell r="A2242">
            <v>74322502</v>
          </cell>
          <cell r="B2242" t="str">
            <v>7</v>
          </cell>
          <cell r="C2242" t="str">
            <v/>
          </cell>
          <cell r="D2242" t="str">
            <v>NP</v>
          </cell>
          <cell r="E2242" t="str">
            <v xml:space="preserve">ALFONSO   </v>
          </cell>
          <cell r="F2242" t="str">
            <v>PEREZ MEDINA</v>
          </cell>
          <cell r="G2242" t="str">
            <v>ALFONSO   PEREZ MEDINA</v>
          </cell>
          <cell r="H2242" t="str">
            <v>RESI</v>
          </cell>
          <cell r="I2242" t="str">
            <v>REGIMEN SIMPLIFICADO</v>
          </cell>
          <cell r="J2242" t="str">
            <v xml:space="preserve"> CL 27 B  15 71</v>
          </cell>
          <cell r="K2242" t="str">
            <v>15516</v>
          </cell>
          <cell r="L2242" t="str">
            <v>PAIPA</v>
          </cell>
          <cell r="M2242" t="str">
            <v>3204279284</v>
          </cell>
        </row>
        <row r="2243">
          <cell r="A2243">
            <v>74322596</v>
          </cell>
          <cell r="B2243" t="str">
            <v>9</v>
          </cell>
          <cell r="C2243" t="str">
            <v/>
          </cell>
          <cell r="D2243" t="str">
            <v>NP</v>
          </cell>
          <cell r="E2243" t="str">
            <v>NESTOR JOSE</v>
          </cell>
          <cell r="F2243" t="str">
            <v>ZANGUÑA ESPINOSA</v>
          </cell>
          <cell r="G2243" t="str">
            <v>ZANGUÑA ESPINOSA NESTOR JOSE</v>
          </cell>
          <cell r="H2243" t="str">
            <v>REOR</v>
          </cell>
          <cell r="I2243" t="str">
            <v>RENTA REGIMEN ORDINARIO</v>
          </cell>
          <cell r="J2243" t="str">
            <v>CL 22 24 08 P 2 BRR LOS ROSALES</v>
          </cell>
          <cell r="K2243" t="str">
            <v>15516</v>
          </cell>
          <cell r="L2243" t="str">
            <v>PAIPA</v>
          </cell>
          <cell r="M2243" t="str">
            <v>3175115082</v>
          </cell>
        </row>
        <row r="2244">
          <cell r="A2244">
            <v>74322700</v>
          </cell>
          <cell r="B2244" t="str">
            <v>9</v>
          </cell>
          <cell r="C2244" t="str">
            <v/>
          </cell>
          <cell r="D2244" t="str">
            <v>NP</v>
          </cell>
          <cell r="E2244" t="str">
            <v>ALCIBIADES</v>
          </cell>
          <cell r="F2244" t="str">
            <v>CIPAGAUTA MATEUS</v>
          </cell>
          <cell r="G2244" t="str">
            <v>CIPAGAUTA MATEUS ALCIBIADES</v>
          </cell>
          <cell r="H2244" t="str">
            <v>RESI</v>
          </cell>
          <cell r="I2244" t="str">
            <v>REGIMEN SIMPLIFICADO</v>
          </cell>
          <cell r="J2244" t="str">
            <v>CR 16  26 A  46 CA 2</v>
          </cell>
          <cell r="K2244" t="str">
            <v>15516</v>
          </cell>
          <cell r="L2244" t="str">
            <v>PAIPA</v>
          </cell>
          <cell r="M2244" t="str">
            <v>3152955959</v>
          </cell>
        </row>
        <row r="2245">
          <cell r="A2245">
            <v>74322726</v>
          </cell>
          <cell r="B2245" t="str">
            <v>1</v>
          </cell>
          <cell r="C2245" t="str">
            <v/>
          </cell>
          <cell r="D2245" t="str">
            <v>NP</v>
          </cell>
          <cell r="E2245" t="str">
            <v>SIMON YAMITH</v>
          </cell>
          <cell r="F2245" t="str">
            <v>CORREDOR PARRA</v>
          </cell>
          <cell r="G2245" t="str">
            <v>CORREDOR PARRA SIMON YAMITH</v>
          </cell>
          <cell r="H2245" t="str">
            <v>RESI</v>
          </cell>
          <cell r="I2245" t="str">
            <v>REGIMEN SIMPLIFICADO</v>
          </cell>
          <cell r="J2245" t="str">
            <v>CL 25  17 90</v>
          </cell>
          <cell r="K2245" t="str">
            <v>15516</v>
          </cell>
          <cell r="L2245" t="str">
            <v>PAIPA</v>
          </cell>
          <cell r="M2245" t="str">
            <v>7851640</v>
          </cell>
        </row>
        <row r="2246">
          <cell r="A2246">
            <v>74322799</v>
          </cell>
          <cell r="B2246" t="str">
            <v>7</v>
          </cell>
          <cell r="C2246" t="str">
            <v/>
          </cell>
          <cell r="D2246" t="str">
            <v>NP</v>
          </cell>
          <cell r="E2246" t="str">
            <v xml:space="preserve">GONZALO </v>
          </cell>
          <cell r="F2246" t="str">
            <v>FONSECA RODRIGUEZ</v>
          </cell>
          <cell r="G2246" t="str">
            <v>GONZALO FONSECA RODRIGUEZ</v>
          </cell>
          <cell r="H2246" t="str">
            <v>REOR</v>
          </cell>
          <cell r="I2246" t="str">
            <v>RENTA REGIMEN ORDINARIO</v>
          </cell>
          <cell r="J2246" t="str">
            <v>CL 19  22   26</v>
          </cell>
          <cell r="K2246" t="str">
            <v>15516</v>
          </cell>
          <cell r="L2246" t="str">
            <v>PAIPA</v>
          </cell>
          <cell r="M2246" t="str">
            <v>7852586</v>
          </cell>
        </row>
        <row r="2247">
          <cell r="A2247">
            <v>74323050</v>
          </cell>
          <cell r="B2247" t="str">
            <v/>
          </cell>
          <cell r="C2247" t="str">
            <v/>
          </cell>
          <cell r="D2247" t="str">
            <v>CC</v>
          </cell>
          <cell r="E2247" t="str">
            <v>NESTOR ORLANDO</v>
          </cell>
          <cell r="F2247" t="str">
            <v>RODRIGUEZ PUERTO</v>
          </cell>
          <cell r="G2247" t="str">
            <v>RODRIGUEZ PUERTO NESTOR ORLANDO</v>
          </cell>
          <cell r="H2247" t="str">
            <v>FUNC</v>
          </cell>
          <cell r="I2247" t="str">
            <v>FUNCIONARIO</v>
          </cell>
          <cell r="J2247" t="str">
            <v>CALLE 19 No 27-65 PAIPA</v>
          </cell>
          <cell r="K2247" t="str">
            <v>15516</v>
          </cell>
          <cell r="L2247" t="str">
            <v>PAIPA</v>
          </cell>
          <cell r="M2247" t="str">
            <v>3142251151</v>
          </cell>
        </row>
        <row r="2248">
          <cell r="A2248">
            <v>74323150</v>
          </cell>
          <cell r="B2248" t="str">
            <v>2</v>
          </cell>
          <cell r="C2248" t="str">
            <v/>
          </cell>
          <cell r="D2248" t="str">
            <v>NP</v>
          </cell>
          <cell r="E2248" t="str">
            <v>HERLVER OSWALDO</v>
          </cell>
          <cell r="F2248" t="str">
            <v>CHAPARRO QUIJANO</v>
          </cell>
          <cell r="G2248" t="str">
            <v>CHAPARRO QUIJANO HERLVER OSWALDO</v>
          </cell>
          <cell r="H2248" t="str">
            <v>RESI</v>
          </cell>
          <cell r="I2248" t="str">
            <v>REGIMEN SIMPLIFICADO</v>
          </cell>
          <cell r="J2248" t="str">
            <v>VRD EL VOLCAN</v>
          </cell>
          <cell r="K2248" t="str">
            <v>15516</v>
          </cell>
          <cell r="L2248" t="str">
            <v>PAIPA</v>
          </cell>
          <cell r="M2248" t="str">
            <v>5702735</v>
          </cell>
        </row>
        <row r="2249">
          <cell r="A2249">
            <v>74323290</v>
          </cell>
          <cell r="B2249" t="str">
            <v/>
          </cell>
          <cell r="C2249" t="str">
            <v/>
          </cell>
          <cell r="D2249" t="str">
            <v>CC</v>
          </cell>
          <cell r="E2249" t="str">
            <v>GUILLERMO</v>
          </cell>
          <cell r="F2249" t="str">
            <v>TARAZONA GOMEZ</v>
          </cell>
          <cell r="G2249" t="str">
            <v>TARAZONA GOMEZ GUILLERMO</v>
          </cell>
          <cell r="H2249" t="str">
            <v>FUNC</v>
          </cell>
          <cell r="I2249" t="str">
            <v>FUNCIONARIO</v>
          </cell>
          <cell r="J2249" t="str">
            <v>VDA EL VOLCAN SECTOR EL TINTAL FRENTE A PAIPA IV</v>
          </cell>
          <cell r="K2249" t="str">
            <v>15516</v>
          </cell>
          <cell r="L2249" t="str">
            <v>PAIPA</v>
          </cell>
          <cell r="M2249" t="str">
            <v>3123060196</v>
          </cell>
        </row>
        <row r="2250">
          <cell r="A2250">
            <v>74323295</v>
          </cell>
          <cell r="B2250" t="str">
            <v>1</v>
          </cell>
          <cell r="C2250" t="str">
            <v/>
          </cell>
          <cell r="D2250" t="str">
            <v>NP</v>
          </cell>
          <cell r="E2250" t="str">
            <v>JESUS ANTONIO</v>
          </cell>
          <cell r="F2250" t="str">
            <v>VARGAS GUIO</v>
          </cell>
          <cell r="G2250" t="str">
            <v>VARGAS GUIO JESUS ANTONIO</v>
          </cell>
          <cell r="H2250" t="str">
            <v>REOR</v>
          </cell>
          <cell r="I2250" t="str">
            <v>RENTA REGIMEN ORDINARIO</v>
          </cell>
          <cell r="J2250" t="str">
            <v xml:space="preserve"> CR 17 23 A 20 BARRIO LAS QUINTAS</v>
          </cell>
          <cell r="K2250" t="str">
            <v>15104</v>
          </cell>
          <cell r="L2250" t="str">
            <v>BOYACA</v>
          </cell>
          <cell r="M2250" t="str">
            <v>3212195791</v>
          </cell>
        </row>
        <row r="2251">
          <cell r="A2251">
            <v>74323304</v>
          </cell>
          <cell r="B2251" t="str">
            <v>1</v>
          </cell>
          <cell r="C2251" t="str">
            <v/>
          </cell>
          <cell r="D2251" t="str">
            <v>NP</v>
          </cell>
          <cell r="E2251" t="str">
            <v>JOSE MAURICIO</v>
          </cell>
          <cell r="F2251" t="str">
            <v>VALDERRAMA HIGUERA</v>
          </cell>
          <cell r="G2251" t="str">
            <v>VALDERRAMA HIGUERA JOSE MAURICIO</v>
          </cell>
          <cell r="H2251" t="str">
            <v>RESI</v>
          </cell>
          <cell r="I2251" t="str">
            <v>REGIMEN SIMPLIFICADO</v>
          </cell>
          <cell r="J2251" t="str">
            <v>CL 20 B 17 A BIS CA 2 MZ O URB LA ESTACION</v>
          </cell>
          <cell r="K2251" t="str">
            <v>15516</v>
          </cell>
          <cell r="L2251" t="str">
            <v>PAIPA</v>
          </cell>
          <cell r="M2251" t="str">
            <v>3203008215</v>
          </cell>
        </row>
        <row r="2252">
          <cell r="A2252">
            <v>74323466</v>
          </cell>
          <cell r="B2252" t="str">
            <v>4</v>
          </cell>
          <cell r="C2252" t="str">
            <v/>
          </cell>
          <cell r="D2252" t="str">
            <v>NP</v>
          </cell>
          <cell r="E2252" t="str">
            <v>LUIS ALFONSO</v>
          </cell>
          <cell r="F2252" t="str">
            <v>ALBA</v>
          </cell>
          <cell r="G2252" t="str">
            <v>ALBA LUIS ALFONSO</v>
          </cell>
          <cell r="H2252" t="str">
            <v>RESI</v>
          </cell>
          <cell r="I2252" t="str">
            <v>REGIMEN SIMPLIFICADO</v>
          </cell>
          <cell r="J2252" t="str">
            <v>AV LIBERTADORES 26 22</v>
          </cell>
          <cell r="K2252" t="str">
            <v>15516</v>
          </cell>
          <cell r="L2252" t="str">
            <v>PAIPA</v>
          </cell>
          <cell r="M2252" t="str">
            <v>3112753449</v>
          </cell>
        </row>
        <row r="2253">
          <cell r="A2253">
            <v>74323477</v>
          </cell>
          <cell r="B2253" t="str">
            <v>5</v>
          </cell>
          <cell r="C2253" t="str">
            <v/>
          </cell>
          <cell r="D2253" t="str">
            <v>NP</v>
          </cell>
          <cell r="E2253" t="str">
            <v>RONALDO</v>
          </cell>
          <cell r="F2253" t="str">
            <v>MENDIVELSO RODRIGUEZ</v>
          </cell>
          <cell r="G2253" t="str">
            <v>MENDIVELSO RODRIGUEZ RONALDO</v>
          </cell>
          <cell r="H2253" t="str">
            <v>RESI</v>
          </cell>
          <cell r="I2253" t="str">
            <v>REGIMEN SIMPLIFICADO</v>
          </cell>
          <cell r="J2253" t="str">
            <v>CL 5   3   06</v>
          </cell>
          <cell r="K2253" t="str">
            <v>85430</v>
          </cell>
          <cell r="L2253" t="str">
            <v>TRINIDAD</v>
          </cell>
          <cell r="M2253" t="str">
            <v>6331783</v>
          </cell>
        </row>
        <row r="2254">
          <cell r="A2254">
            <v>74323693</v>
          </cell>
          <cell r="B2254" t="str">
            <v>1</v>
          </cell>
          <cell r="C2254" t="str">
            <v/>
          </cell>
          <cell r="D2254" t="str">
            <v>NP</v>
          </cell>
          <cell r="E2254" t="str">
            <v>JIMMY ORLANDO</v>
          </cell>
          <cell r="F2254" t="str">
            <v>AVENDAÑO SUAREZ</v>
          </cell>
          <cell r="G2254" t="str">
            <v>AVENDAÑO SUAREZ JIMMY ORLANDO</v>
          </cell>
          <cell r="H2254" t="str">
            <v>RESI</v>
          </cell>
          <cell r="I2254" t="str">
            <v>REGIMEN SIMPLIFICADO</v>
          </cell>
          <cell r="J2254" t="str">
            <v xml:space="preserve"> CL 25  19 51 OF 405</v>
          </cell>
          <cell r="K2254" t="str">
            <v>15516</v>
          </cell>
          <cell r="L2254" t="str">
            <v>PAIPA</v>
          </cell>
          <cell r="M2254" t="str">
            <v>3157901014</v>
          </cell>
        </row>
        <row r="2255">
          <cell r="A2255">
            <v>74323794</v>
          </cell>
          <cell r="B2255" t="str">
            <v>5</v>
          </cell>
          <cell r="C2255" t="str">
            <v/>
          </cell>
          <cell r="D2255" t="str">
            <v>NP</v>
          </cell>
          <cell r="E2255" t="str">
            <v>JOSE MEDARDO</v>
          </cell>
          <cell r="F2255" t="str">
            <v>LEGUIZAMO DIAZ</v>
          </cell>
          <cell r="G2255" t="str">
            <v>LEGUIZAMO DIAZ JOSE MEDARDO</v>
          </cell>
          <cell r="H2255" t="str">
            <v>RESI</v>
          </cell>
          <cell r="I2255" t="str">
            <v>REGIMEN SIMPLIFICADO</v>
          </cell>
          <cell r="J2255" t="str">
            <v>CR 21 21 51</v>
          </cell>
          <cell r="K2255" t="str">
            <v>15516</v>
          </cell>
          <cell r="L2255" t="str">
            <v>PAIPA</v>
          </cell>
          <cell r="M2255" t="str">
            <v>3102418738</v>
          </cell>
        </row>
        <row r="2256">
          <cell r="A2256">
            <v>74323864</v>
          </cell>
          <cell r="B2256" t="str">
            <v/>
          </cell>
          <cell r="C2256" t="str">
            <v/>
          </cell>
          <cell r="D2256" t="str">
            <v>CC</v>
          </cell>
          <cell r="E2256" t="str">
            <v>CARLOS ENRIQUE</v>
          </cell>
          <cell r="F2256" t="str">
            <v>CUCHA ECHEVERRIA</v>
          </cell>
          <cell r="G2256" t="str">
            <v>CUCHA ECHEVERRIA CARLOS ENRIQUE</v>
          </cell>
          <cell r="H2256" t="str">
            <v>FUNC</v>
          </cell>
          <cell r="I2256" t="str">
            <v>FUNCIONARIO</v>
          </cell>
          <cell r="J2256" t="str">
            <v>VRD MIRABAL</v>
          </cell>
          <cell r="K2256" t="str">
            <v>15516</v>
          </cell>
          <cell r="L2256" t="str">
            <v>PAIPA</v>
          </cell>
          <cell r="M2256" t="str">
            <v>3118587431</v>
          </cell>
        </row>
        <row r="2257">
          <cell r="A2257">
            <v>74323918</v>
          </cell>
          <cell r="B2257" t="str">
            <v>1</v>
          </cell>
          <cell r="C2257" t="str">
            <v/>
          </cell>
          <cell r="D2257" t="str">
            <v>NP</v>
          </cell>
          <cell r="E2257" t="str">
            <v>ALIRIO</v>
          </cell>
          <cell r="F2257" t="str">
            <v>PEREZ MEDINA</v>
          </cell>
          <cell r="G2257" t="str">
            <v>PEREZ MEDINA ALIRIO</v>
          </cell>
          <cell r="H2257" t="str">
            <v>RESI</v>
          </cell>
          <cell r="I2257" t="str">
            <v>REGIMEN SIMPLIFICADO</v>
          </cell>
          <cell r="J2257" t="str">
            <v>CL 27 B  15 71</v>
          </cell>
          <cell r="K2257" t="str">
            <v>15516</v>
          </cell>
          <cell r="L2257" t="str">
            <v>PAIPA</v>
          </cell>
          <cell r="M2257" t="str">
            <v>3144516163</v>
          </cell>
        </row>
        <row r="2258">
          <cell r="A2258">
            <v>74323950</v>
          </cell>
          <cell r="B2258" t="str">
            <v>8</v>
          </cell>
          <cell r="C2258" t="str">
            <v/>
          </cell>
          <cell r="D2258" t="str">
            <v>NP</v>
          </cell>
          <cell r="E2258" t="str">
            <v>JOSE ARISTELIO</v>
          </cell>
          <cell r="F2258" t="str">
            <v>GARZON RODRIGUEZ</v>
          </cell>
          <cell r="G2258" t="str">
            <v>GARZON RODRIGUEZ JOSE ARISTELIO</v>
          </cell>
          <cell r="H2258" t="str">
            <v>IMVE</v>
          </cell>
          <cell r="I2258" t="str">
            <v>IMPUESTO SOBRE LAS VENTAS</v>
          </cell>
          <cell r="J2258" t="str">
            <v>VDA EL TUNAL</v>
          </cell>
          <cell r="K2258" t="str">
            <v>15516</v>
          </cell>
          <cell r="L2258" t="str">
            <v>PAIPA</v>
          </cell>
          <cell r="M2258" t="str">
            <v>3203044564</v>
          </cell>
        </row>
        <row r="2259">
          <cell r="A2259">
            <v>74323966</v>
          </cell>
          <cell r="B2259" t="str">
            <v>5</v>
          </cell>
          <cell r="C2259" t="str">
            <v/>
          </cell>
          <cell r="D2259" t="str">
            <v>NP</v>
          </cell>
          <cell r="E2259" t="str">
            <v>MIGUEL</v>
          </cell>
          <cell r="F2259" t="str">
            <v>PAREDES TATO</v>
          </cell>
          <cell r="G2259" t="str">
            <v>PAREDES TATO MIGUEL</v>
          </cell>
          <cell r="H2259" t="str">
            <v>RESI</v>
          </cell>
          <cell r="I2259" t="str">
            <v>REGIMEN SIMPLIFICADO</v>
          </cell>
          <cell r="J2259" t="str">
            <v>CR 26 25 25</v>
          </cell>
          <cell r="K2259" t="str">
            <v>15516</v>
          </cell>
          <cell r="L2259" t="str">
            <v>PAIPA</v>
          </cell>
          <cell r="M2259" t="str">
            <v>3118057567</v>
          </cell>
        </row>
        <row r="2260">
          <cell r="A2260">
            <v>74324079</v>
          </cell>
          <cell r="B2260" t="str">
            <v>1</v>
          </cell>
          <cell r="C2260" t="str">
            <v/>
          </cell>
          <cell r="D2260" t="str">
            <v>NP</v>
          </cell>
          <cell r="E2260" t="str">
            <v>MIGUEL ANGEL</v>
          </cell>
          <cell r="F2260" t="str">
            <v>RODRIGUEZ RINCON</v>
          </cell>
          <cell r="G2260" t="str">
            <v>RODRIGUEZ RINCON MIGUEL ANGEL</v>
          </cell>
          <cell r="H2260" t="str">
            <v>RESI</v>
          </cell>
          <cell r="I2260" t="str">
            <v>REGIMEN SIMPLIFICADO</v>
          </cell>
          <cell r="J2260" t="str">
            <v>KM 0</v>
          </cell>
          <cell r="K2260" t="str">
            <v>11001</v>
          </cell>
          <cell r="L2260" t="str">
            <v>BOGOTA DC</v>
          </cell>
          <cell r="M2260" t="str">
            <v>3133771272</v>
          </cell>
        </row>
        <row r="2261">
          <cell r="A2261">
            <v>74324099</v>
          </cell>
          <cell r="B2261" t="str">
            <v>9</v>
          </cell>
          <cell r="C2261" t="str">
            <v/>
          </cell>
          <cell r="D2261" t="str">
            <v>NP</v>
          </cell>
          <cell r="E2261" t="str">
            <v>NAIRO</v>
          </cell>
          <cell r="F2261" t="str">
            <v>HERRERA RIVERA</v>
          </cell>
          <cell r="G2261" t="str">
            <v>HERRERA RIVERA NAIRO</v>
          </cell>
          <cell r="H2261" t="str">
            <v>RESI</v>
          </cell>
          <cell r="I2261" t="str">
            <v>REGIMEN SIMPLIFICADO</v>
          </cell>
          <cell r="J2261" t="str">
            <v>CR 22 27 46</v>
          </cell>
          <cell r="K2261" t="str">
            <v>15516</v>
          </cell>
          <cell r="L2261" t="str">
            <v>PAIPA</v>
          </cell>
          <cell r="M2261" t="str">
            <v>3153873353</v>
          </cell>
        </row>
        <row r="2262">
          <cell r="A2262">
            <v>74324125</v>
          </cell>
          <cell r="B2262" t="str">
            <v>2</v>
          </cell>
          <cell r="C2262" t="str">
            <v/>
          </cell>
          <cell r="D2262" t="str">
            <v>NP</v>
          </cell>
          <cell r="E2262" t="str">
            <v>ANASTACIO</v>
          </cell>
          <cell r="F2262" t="str">
            <v>OCHOA RUIZ</v>
          </cell>
          <cell r="G2262" t="str">
            <v>OCHOA RUIZ ANASTACIO</v>
          </cell>
          <cell r="H2262" t="str">
            <v>RESI</v>
          </cell>
          <cell r="I2262" t="str">
            <v>REGIMEN SIMPLIFICADO</v>
          </cell>
          <cell r="J2262" t="str">
            <v>CL 21 23 28</v>
          </cell>
          <cell r="K2262" t="str">
            <v>15516</v>
          </cell>
          <cell r="L2262" t="str">
            <v>PAIPA</v>
          </cell>
          <cell r="M2262" t="str">
            <v>3142727958</v>
          </cell>
        </row>
        <row r="2263">
          <cell r="A2263">
            <v>74324197</v>
          </cell>
          <cell r="B2263" t="str">
            <v/>
          </cell>
          <cell r="C2263" t="str">
            <v/>
          </cell>
          <cell r="D2263" t="str">
            <v>CC</v>
          </cell>
          <cell r="E2263" t="str">
            <v>JOSE ALDEMAR</v>
          </cell>
          <cell r="F2263" t="str">
            <v>MENDIVELSO OSCATEGUI</v>
          </cell>
          <cell r="G2263" t="str">
            <v>MENDIVELSO OSCATEGUI JOSE ALDEMAR</v>
          </cell>
          <cell r="H2263" t="str">
            <v>FUNC</v>
          </cell>
          <cell r="I2263" t="str">
            <v>FUNCIONARIO</v>
          </cell>
          <cell r="J2263" t="str">
            <v>CRA 17 No 17-61 TUTAZA</v>
          </cell>
          <cell r="K2263" t="str">
            <v>15516</v>
          </cell>
          <cell r="L2263" t="str">
            <v>PAIPA</v>
          </cell>
          <cell r="M2263" t="str">
            <v>3123110728</v>
          </cell>
        </row>
        <row r="2264">
          <cell r="A2264">
            <v>74324298</v>
          </cell>
          <cell r="B2264" t="str">
            <v>8</v>
          </cell>
          <cell r="C2264" t="str">
            <v/>
          </cell>
          <cell r="D2264" t="str">
            <v>NP</v>
          </cell>
          <cell r="E2264" t="str">
            <v>MANUEL ALFREDO</v>
          </cell>
          <cell r="F2264" t="str">
            <v>VARGAS SANDOVAL</v>
          </cell>
          <cell r="G2264" t="str">
            <v>VARGAS SANDOVAL MANUEL ALFREDO</v>
          </cell>
          <cell r="H2264" t="str">
            <v>RESI</v>
          </cell>
          <cell r="I2264" t="str">
            <v>REGIMEN SIMPLIFICADO</v>
          </cell>
          <cell r="J2264" t="str">
            <v>CR 21 18 14</v>
          </cell>
          <cell r="K2264" t="str">
            <v>17001</v>
          </cell>
          <cell r="L2264" t="str">
            <v>MANIZALES</v>
          </cell>
          <cell r="M2264" t="str">
            <v>3123531608</v>
          </cell>
        </row>
        <row r="2265">
          <cell r="A2265">
            <v>74326346</v>
          </cell>
          <cell r="B2265" t="str">
            <v>2</v>
          </cell>
          <cell r="C2265" t="str">
            <v/>
          </cell>
          <cell r="D2265" t="str">
            <v>NP</v>
          </cell>
          <cell r="E2265" t="str">
            <v>JEINER</v>
          </cell>
          <cell r="F2265" t="str">
            <v>ESLAVA CUERVO</v>
          </cell>
          <cell r="G2265" t="str">
            <v>ESLAVA CUERVO JEINER</v>
          </cell>
          <cell r="H2265" t="str">
            <v>RESI</v>
          </cell>
          <cell r="I2265" t="str">
            <v>REGIMEN SIMPLIFICADO</v>
          </cell>
          <cell r="J2265" t="str">
            <v>CL 14 40 22</v>
          </cell>
          <cell r="K2265" t="str">
            <v>17001</v>
          </cell>
          <cell r="L2265" t="str">
            <v>MANIZALES</v>
          </cell>
          <cell r="M2265" t="str">
            <v>3112550096</v>
          </cell>
        </row>
        <row r="2266">
          <cell r="A2266">
            <v>74337008</v>
          </cell>
          <cell r="B2266" t="str">
            <v>5</v>
          </cell>
          <cell r="C2266" t="str">
            <v/>
          </cell>
          <cell r="D2266" t="str">
            <v>NP</v>
          </cell>
          <cell r="E2266" t="str">
            <v>JORGE LUIS</v>
          </cell>
          <cell r="F2266" t="str">
            <v>CORREDOR RODRIGEZ</v>
          </cell>
          <cell r="G2266" t="str">
            <v>CORREDOR RODRIGEZ JORGE LUIS</v>
          </cell>
          <cell r="H2266" t="str">
            <v>RECO</v>
          </cell>
          <cell r="I2266" t="str">
            <v>REGIMEN COMUN</v>
          </cell>
          <cell r="J2266" t="str">
            <v xml:space="preserve"> CL 3 3 45</v>
          </cell>
          <cell r="K2266" t="str">
            <v>15464</v>
          </cell>
          <cell r="L2266" t="str">
            <v>MONGUA</v>
          </cell>
          <cell r="M2266" t="str">
            <v>3218372545</v>
          </cell>
        </row>
        <row r="2267">
          <cell r="A2267">
            <v>74337575</v>
          </cell>
          <cell r="B2267" t="str">
            <v>1</v>
          </cell>
          <cell r="C2267" t="str">
            <v/>
          </cell>
          <cell r="D2267" t="str">
            <v>NP</v>
          </cell>
          <cell r="E2267" t="str">
            <v>LUIS GERARDO</v>
          </cell>
          <cell r="F2267" t="str">
            <v>TAPIAZ ALVAREZ</v>
          </cell>
          <cell r="G2267" t="str">
            <v>TAPIAZ ALVAREZ LUIS GERARDO</v>
          </cell>
          <cell r="H2267" t="str">
            <v>RESI</v>
          </cell>
          <cell r="I2267" t="str">
            <v>REGIMEN SIMPLIFICADO</v>
          </cell>
          <cell r="J2267" t="str">
            <v>CR 1 BIS 6 79</v>
          </cell>
          <cell r="K2267" t="str">
            <v>15464</v>
          </cell>
          <cell r="L2267" t="str">
            <v>MONGUA</v>
          </cell>
          <cell r="M2267" t="str">
            <v>3124648898</v>
          </cell>
        </row>
        <row r="2268">
          <cell r="A2268">
            <v>74358787</v>
          </cell>
          <cell r="B2268" t="str">
            <v>4</v>
          </cell>
          <cell r="C2268" t="str">
            <v/>
          </cell>
          <cell r="D2268" t="str">
            <v>NP</v>
          </cell>
          <cell r="E2268" t="str">
            <v>RICARDO SANTOS</v>
          </cell>
          <cell r="F2268" t="str">
            <v>MORALES MOLANO</v>
          </cell>
          <cell r="G2268" t="str">
            <v>MORALES MOLANO RICARDO SANTOS</v>
          </cell>
          <cell r="H2268" t="str">
            <v>RESI</v>
          </cell>
          <cell r="I2268" t="str">
            <v>REGIMEN SIMPLIFICADO</v>
          </cell>
          <cell r="J2268" t="str">
            <v>CL 22 23 A 61</v>
          </cell>
          <cell r="K2268" t="str">
            <v>15516</v>
          </cell>
          <cell r="L2268" t="str">
            <v>PAIPA</v>
          </cell>
          <cell r="M2268" t="str">
            <v>3112592645</v>
          </cell>
        </row>
        <row r="2269">
          <cell r="A2269">
            <v>74358836</v>
          </cell>
          <cell r="B2269" t="str">
            <v/>
          </cell>
          <cell r="C2269" t="str">
            <v/>
          </cell>
          <cell r="D2269" t="str">
            <v>CC</v>
          </cell>
          <cell r="E2269" t="str">
            <v>JESUS HERNANDO</v>
          </cell>
          <cell r="F2269" t="str">
            <v>RUIZ RUIZ</v>
          </cell>
          <cell r="G2269" t="str">
            <v>RUIZ RUIZ JESUS HERNANDO</v>
          </cell>
          <cell r="H2269" t="str">
            <v>FUNC</v>
          </cell>
          <cell r="I2269" t="str">
            <v>FUNCIONARIO</v>
          </cell>
          <cell r="J2269" t="str">
            <v>VEREDA EL VOLCAN PAIPA</v>
          </cell>
          <cell r="K2269" t="str">
            <v>15516</v>
          </cell>
          <cell r="L2269" t="str">
            <v>PAIPA</v>
          </cell>
          <cell r="M2269" t="str">
            <v>3105545997</v>
          </cell>
        </row>
        <row r="2270">
          <cell r="A2270">
            <v>74359011</v>
          </cell>
          <cell r="B2270" t="str">
            <v>2</v>
          </cell>
          <cell r="C2270" t="str">
            <v/>
          </cell>
          <cell r="D2270" t="str">
            <v>NP</v>
          </cell>
          <cell r="E2270" t="str">
            <v>CARLOS ALBERTO</v>
          </cell>
          <cell r="F2270" t="str">
            <v>CARDENAS  LEON</v>
          </cell>
          <cell r="G2270" t="str">
            <v>CARDENAS  LEON CARLOS ALBERTO</v>
          </cell>
          <cell r="H2270" t="str">
            <v>RESI</v>
          </cell>
          <cell r="I2270" t="str">
            <v>REGIMEN SIMPLIFICADO</v>
          </cell>
          <cell r="J2270" t="str">
            <v>VRD EL VOLCAN</v>
          </cell>
          <cell r="K2270" t="str">
            <v>15516</v>
          </cell>
          <cell r="L2270" t="str">
            <v>PAIPA</v>
          </cell>
          <cell r="M2270" t="str">
            <v>3142613448</v>
          </cell>
        </row>
        <row r="2271">
          <cell r="A2271">
            <v>74359164</v>
          </cell>
          <cell r="B2271" t="str">
            <v>0</v>
          </cell>
          <cell r="C2271" t="str">
            <v/>
          </cell>
          <cell r="D2271" t="str">
            <v>NP</v>
          </cell>
          <cell r="E2271" t="str">
            <v>GUILLERMO</v>
          </cell>
          <cell r="F2271" t="str">
            <v>LEGUIZAMO DIAZ</v>
          </cell>
          <cell r="G2271" t="str">
            <v>LEGUIZAMO DIAZ GUILLERMO</v>
          </cell>
          <cell r="H2271" t="str">
            <v>RESI</v>
          </cell>
          <cell r="I2271" t="str">
            <v>REGIMEN SIMPLIFICADO</v>
          </cell>
          <cell r="J2271" t="str">
            <v>AV LIBERTADORES  21 A  46</v>
          </cell>
          <cell r="K2271" t="str">
            <v>15516</v>
          </cell>
          <cell r="L2271" t="str">
            <v>PAIPA</v>
          </cell>
          <cell r="M2271" t="str">
            <v>3124153176</v>
          </cell>
        </row>
        <row r="2272">
          <cell r="A2272">
            <v>74359168</v>
          </cell>
          <cell r="B2272" t="str">
            <v>1</v>
          </cell>
          <cell r="C2272" t="str">
            <v/>
          </cell>
          <cell r="D2272" t="str">
            <v>NP</v>
          </cell>
          <cell r="E2272" t="str">
            <v>JOSE RAUL</v>
          </cell>
          <cell r="F2272" t="str">
            <v>GOMEZ BECERRA</v>
          </cell>
          <cell r="G2272" t="str">
            <v>GOMEZ BECERRA JOSE RAUL</v>
          </cell>
          <cell r="H2272" t="str">
            <v>RESI</v>
          </cell>
          <cell r="I2272" t="str">
            <v>REGIMEN SIMPLIFICADO</v>
          </cell>
          <cell r="J2272" t="str">
            <v>CL 25 21 34 AP 201</v>
          </cell>
          <cell r="K2272" t="str">
            <v>15516</v>
          </cell>
          <cell r="L2272" t="str">
            <v>PAIPA</v>
          </cell>
          <cell r="M2272" t="str">
            <v>3124129032</v>
          </cell>
        </row>
        <row r="2273">
          <cell r="A2273">
            <v>74359458</v>
          </cell>
          <cell r="B2273" t="str">
            <v>0</v>
          </cell>
          <cell r="C2273" t="str">
            <v/>
          </cell>
          <cell r="D2273" t="str">
            <v>NP</v>
          </cell>
          <cell r="E2273" t="str">
            <v>EDDY URBANO</v>
          </cell>
          <cell r="F2273" t="str">
            <v>SANDOVAL FUQUEN</v>
          </cell>
          <cell r="G2273" t="str">
            <v>SANDOVAL FUQUEN EDDY URBANO/SOLUCIONES Y SISTEMAS</v>
          </cell>
          <cell r="H2273" t="str">
            <v>RESI</v>
          </cell>
          <cell r="I2273" t="str">
            <v>REGIMEN SIMPLIFICADO</v>
          </cell>
          <cell r="J2273" t="str">
            <v>CL 12 16 30</v>
          </cell>
          <cell r="K2273" t="str">
            <v>15516</v>
          </cell>
          <cell r="L2273" t="str">
            <v>PAIPA</v>
          </cell>
          <cell r="M2273" t="str">
            <v>7612191</v>
          </cell>
        </row>
        <row r="2274">
          <cell r="A2274">
            <v>74359628</v>
          </cell>
          <cell r="B2274" t="str">
            <v>6</v>
          </cell>
          <cell r="C2274" t="str">
            <v/>
          </cell>
          <cell r="D2274" t="str">
            <v>NP</v>
          </cell>
          <cell r="E2274" t="str">
            <v>OSCAR RAIMUNDO</v>
          </cell>
          <cell r="F2274" t="str">
            <v>LOZANO RAMIREZ</v>
          </cell>
          <cell r="G2274" t="str">
            <v>LOZANO RAMIREZ OSCAR RAIMUNDO</v>
          </cell>
          <cell r="H2274" t="str">
            <v>NORE</v>
          </cell>
          <cell r="I2274" t="str">
            <v>NO RESPONSABLE DE IVA</v>
          </cell>
          <cell r="J2274" t="str">
            <v>VDA ESPERANZA VIA CAÑOS PISCINAS</v>
          </cell>
          <cell r="K2274" t="str">
            <v>17001</v>
          </cell>
          <cell r="L2274" t="str">
            <v>MANIZALES</v>
          </cell>
          <cell r="M2274" t="str">
            <v>3134231295</v>
          </cell>
        </row>
        <row r="2275">
          <cell r="A2275">
            <v>74360181</v>
          </cell>
          <cell r="B2275" t="str">
            <v>8</v>
          </cell>
          <cell r="C2275" t="str">
            <v/>
          </cell>
          <cell r="D2275" t="str">
            <v>NP</v>
          </cell>
          <cell r="E2275" t="str">
            <v>HOLLMAN EDUARDO</v>
          </cell>
          <cell r="F2275" t="str">
            <v>SOLANO PACHECO</v>
          </cell>
          <cell r="G2275" t="str">
            <v>SOLANO PACHECO HOLLMAN EDUARDO</v>
          </cell>
          <cell r="H2275" t="str">
            <v>RECO</v>
          </cell>
          <cell r="I2275" t="str">
            <v>REGIMEN COMUN</v>
          </cell>
          <cell r="J2275" t="str">
            <v>CLL 25  21  18</v>
          </cell>
          <cell r="K2275" t="str">
            <v>15516</v>
          </cell>
          <cell r="L2275" t="str">
            <v>PAIPA</v>
          </cell>
          <cell r="M2275" t="str">
            <v>7850224</v>
          </cell>
        </row>
        <row r="2276">
          <cell r="A2276">
            <v>74360199</v>
          </cell>
          <cell r="B2276" t="str">
            <v>1</v>
          </cell>
          <cell r="C2276" t="str">
            <v/>
          </cell>
          <cell r="D2276" t="str">
            <v>NP</v>
          </cell>
          <cell r="E2276" t="str">
            <v>BAYARDO</v>
          </cell>
          <cell r="F2276" t="str">
            <v>FONSECA HERNANDEZ</v>
          </cell>
          <cell r="G2276" t="str">
            <v>FONSECA HERNANDEZ BAYARDO</v>
          </cell>
          <cell r="H2276" t="str">
            <v>RESI</v>
          </cell>
          <cell r="I2276" t="str">
            <v>REGIMEN SIMPLIFICADO</v>
          </cell>
          <cell r="J2276" t="str">
            <v>CALLE 24 # 24 47</v>
          </cell>
          <cell r="K2276" t="str">
            <v>15516</v>
          </cell>
          <cell r="L2276" t="str">
            <v>PAIPA</v>
          </cell>
          <cell r="M2276" t="str">
            <v>3118980141</v>
          </cell>
        </row>
        <row r="2277">
          <cell r="A2277">
            <v>74360221</v>
          </cell>
          <cell r="B2277" t="str">
            <v/>
          </cell>
          <cell r="C2277" t="str">
            <v/>
          </cell>
          <cell r="D2277" t="str">
            <v>CC</v>
          </cell>
          <cell r="E2277" t="str">
            <v>MIGUEL ANGEL</v>
          </cell>
          <cell r="F2277" t="str">
            <v>PAIPILLA CIPAGAUTA</v>
          </cell>
          <cell r="G2277" t="str">
            <v>PAIPILLA CIPAGAUTA MIGUEL ANGEL</v>
          </cell>
          <cell r="H2277" t="str">
            <v>FUNC</v>
          </cell>
          <cell r="I2277" t="str">
            <v>FUNCIONARIO</v>
          </cell>
          <cell r="J2277" t="str">
            <v>VDA LLANO GRANDE</v>
          </cell>
          <cell r="K2277" t="str">
            <v>15516</v>
          </cell>
          <cell r="L2277" t="str">
            <v>PAIPA</v>
          </cell>
          <cell r="M2277" t="str">
            <v>3123617769</v>
          </cell>
        </row>
        <row r="2278">
          <cell r="A2278">
            <v>74360282</v>
          </cell>
          <cell r="B2278" t="str">
            <v>3</v>
          </cell>
          <cell r="C2278" t="str">
            <v/>
          </cell>
          <cell r="D2278" t="str">
            <v>NP</v>
          </cell>
          <cell r="E2278" t="str">
            <v>WILFREDY</v>
          </cell>
          <cell r="F2278" t="str">
            <v>GARCIA LOPEZ</v>
          </cell>
          <cell r="G2278" t="str">
            <v>GARCIA LOPEZ WILFREDY</v>
          </cell>
          <cell r="H2278" t="str">
            <v>NORE</v>
          </cell>
          <cell r="I2278" t="str">
            <v>NO RESPONSABLE DE IVA</v>
          </cell>
          <cell r="J2278" t="str">
            <v>SEC SIDERURGICA VIA TUNJA-PAIPA</v>
          </cell>
          <cell r="K2278" t="str">
            <v>15516</v>
          </cell>
          <cell r="L2278" t="str">
            <v>PAIPA</v>
          </cell>
          <cell r="M2278" t="str">
            <v>3118143330</v>
          </cell>
        </row>
        <row r="2279">
          <cell r="A2279">
            <v>74360521</v>
          </cell>
          <cell r="B2279" t="str">
            <v>9</v>
          </cell>
          <cell r="C2279" t="str">
            <v/>
          </cell>
          <cell r="D2279" t="str">
            <v>NP</v>
          </cell>
          <cell r="E2279" t="str">
            <v>JORGE ALBERTO</v>
          </cell>
          <cell r="F2279" t="str">
            <v>LEGUIZAMO DIAZ</v>
          </cell>
          <cell r="G2279" t="str">
            <v>LEGUIZAMO DIAZ JORGE ALBERTO</v>
          </cell>
          <cell r="H2279" t="str">
            <v>RESI</v>
          </cell>
          <cell r="I2279" t="str">
            <v>REGIMEN SIMPLIFICADO</v>
          </cell>
          <cell r="J2279" t="str">
            <v>CR 21  21 51</v>
          </cell>
          <cell r="K2279" t="str">
            <v>15516</v>
          </cell>
          <cell r="L2279" t="str">
            <v>PAIPA</v>
          </cell>
          <cell r="M2279" t="str">
            <v>3118698426</v>
          </cell>
        </row>
        <row r="2280">
          <cell r="A2280">
            <v>74360684</v>
          </cell>
          <cell r="B2280" t="str">
            <v>0</v>
          </cell>
          <cell r="C2280" t="str">
            <v/>
          </cell>
          <cell r="D2280" t="str">
            <v>NP</v>
          </cell>
          <cell r="E2280" t="str">
            <v>WILLAM FERNANDO</v>
          </cell>
          <cell r="F2280" t="str">
            <v>MESA ESPINEL</v>
          </cell>
          <cell r="G2280" t="str">
            <v>MESA ESPINEL WILLAM FERNANDO</v>
          </cell>
          <cell r="H2280" t="str">
            <v>RESI</v>
          </cell>
          <cell r="I2280" t="str">
            <v>REGIMEN SIMPLIFICADO</v>
          </cell>
          <cell r="J2280" t="str">
            <v>CL 24 16 17</v>
          </cell>
          <cell r="K2280" t="str">
            <v>15516</v>
          </cell>
          <cell r="L2280" t="str">
            <v>PAIPA</v>
          </cell>
          <cell r="M2280" t="str">
            <v>3143315111</v>
          </cell>
        </row>
        <row r="2281">
          <cell r="A2281">
            <v>74360713</v>
          </cell>
          <cell r="B2281" t="str">
            <v>6</v>
          </cell>
          <cell r="C2281" t="str">
            <v/>
          </cell>
          <cell r="D2281" t="str">
            <v>NP</v>
          </cell>
          <cell r="E2281" t="str">
            <v>SEBASTIAN</v>
          </cell>
          <cell r="F2281" t="str">
            <v>FONSECA RODRIGUEZ</v>
          </cell>
          <cell r="G2281" t="str">
            <v>SEBASTIAN FONSECA RODRIGUEZ</v>
          </cell>
          <cell r="H2281" t="str">
            <v>RESI</v>
          </cell>
          <cell r="I2281" t="str">
            <v>REGIMEN SIMPLIFICADO</v>
          </cell>
          <cell r="J2281" t="str">
            <v>CR 21  16 11</v>
          </cell>
          <cell r="K2281" t="str">
            <v>15516</v>
          </cell>
          <cell r="L2281" t="str">
            <v>PAIPA</v>
          </cell>
          <cell r="M2281" t="str">
            <v>3112155632</v>
          </cell>
        </row>
        <row r="2282">
          <cell r="A2282">
            <v>74362551</v>
          </cell>
          <cell r="B2282" t="str">
            <v/>
          </cell>
          <cell r="C2282" t="str">
            <v/>
          </cell>
          <cell r="D2282" t="str">
            <v>CC</v>
          </cell>
          <cell r="E2282" t="str">
            <v>GIOVANI</v>
          </cell>
          <cell r="F2282" t="str">
            <v>RINCON VIANCHA</v>
          </cell>
          <cell r="G2282" t="str">
            <v>RINCON VIANCHA GIOVANI</v>
          </cell>
          <cell r="H2282" t="str">
            <v>FUNC</v>
          </cell>
          <cell r="I2282" t="str">
            <v>FUNCIONARIO</v>
          </cell>
          <cell r="J2282" t="str">
            <v>CHAMEZA MAYOR NOBSA</v>
          </cell>
          <cell r="K2282" t="str">
            <v>15516</v>
          </cell>
          <cell r="L2282" t="str">
            <v>PAIPA</v>
          </cell>
          <cell r="M2282" t="str">
            <v>3027766718</v>
          </cell>
        </row>
        <row r="2283">
          <cell r="A2283">
            <v>74362738</v>
          </cell>
          <cell r="B2283" t="str">
            <v/>
          </cell>
          <cell r="C2283" t="str">
            <v/>
          </cell>
          <cell r="D2283" t="str">
            <v>CC</v>
          </cell>
          <cell r="E2283" t="str">
            <v>JAIME ENRIQUE</v>
          </cell>
          <cell r="F2283" t="str">
            <v>FONSECA CASTILLO</v>
          </cell>
          <cell r="G2283" t="str">
            <v>FONSECA CASTILLO JAIME ENRIQUE</v>
          </cell>
          <cell r="H2283" t="str">
            <v>FUNC</v>
          </cell>
          <cell r="I2283" t="str">
            <v>FUNCIONARIO</v>
          </cell>
          <cell r="J2283" t="str">
            <v>CR 10 5 14</v>
          </cell>
          <cell r="K2283" t="str">
            <v>15759</v>
          </cell>
          <cell r="L2283" t="str">
            <v>SOGAMOSO</v>
          </cell>
          <cell r="M2283" t="str">
            <v>3223569524</v>
          </cell>
        </row>
        <row r="2284">
          <cell r="A2284">
            <v>74365905</v>
          </cell>
          <cell r="B2284" t="str">
            <v/>
          </cell>
          <cell r="C2284" t="str">
            <v/>
          </cell>
          <cell r="D2284" t="str">
            <v>CC</v>
          </cell>
          <cell r="E2284" t="str">
            <v>JAVIER</v>
          </cell>
          <cell r="F2284" t="str">
            <v>MARTINEZ SOLANO</v>
          </cell>
          <cell r="G2284" t="str">
            <v>MARTINEZ SOLANO JAVIER</v>
          </cell>
          <cell r="H2284" t="str">
            <v>FUNC</v>
          </cell>
          <cell r="I2284" t="str">
            <v>FUNCIONARIO</v>
          </cell>
          <cell r="J2284" t="str">
            <v>CARRERA 12 No 8 -09</v>
          </cell>
          <cell r="K2284" t="str">
            <v>15162</v>
          </cell>
          <cell r="L2284" t="str">
            <v>CERINZA</v>
          </cell>
          <cell r="M2284" t="str">
            <v>3134306219</v>
          </cell>
        </row>
        <row r="2285">
          <cell r="A2285">
            <v>74369268</v>
          </cell>
          <cell r="B2285" t="str">
            <v>0</v>
          </cell>
          <cell r="C2285" t="str">
            <v/>
          </cell>
          <cell r="D2285" t="str">
            <v>NP</v>
          </cell>
          <cell r="E2285" t="str">
            <v>MIGUEL ENRIQUE</v>
          </cell>
          <cell r="F2285" t="str">
            <v>ROBLES ACERO</v>
          </cell>
          <cell r="G2285" t="str">
            <v>ROBLES ACERO MIGUEL ENRIQUE</v>
          </cell>
          <cell r="H2285" t="str">
            <v>RECO</v>
          </cell>
          <cell r="I2285" t="str">
            <v>REGIMEN COMUN</v>
          </cell>
          <cell r="J2285" t="str">
            <v>CL 19 14 32 BRR SOLANO</v>
          </cell>
          <cell r="K2285" t="str">
            <v>15238</v>
          </cell>
          <cell r="L2285" t="str">
            <v>DUITAMA</v>
          </cell>
          <cell r="M2285" t="str">
            <v>3142949425</v>
          </cell>
        </row>
        <row r="2286">
          <cell r="A2286">
            <v>74370044</v>
          </cell>
          <cell r="B2286" t="str">
            <v>1</v>
          </cell>
          <cell r="C2286" t="str">
            <v/>
          </cell>
          <cell r="D2286" t="str">
            <v>NP</v>
          </cell>
          <cell r="E2286" t="str">
            <v>CARLOS ARTURO</v>
          </cell>
          <cell r="F2286" t="str">
            <v>PINZON GALVIS</v>
          </cell>
          <cell r="G2286" t="str">
            <v>CARLOS ARTURO PINZON GALVIS</v>
          </cell>
          <cell r="H2286" t="str">
            <v>RESI</v>
          </cell>
          <cell r="I2286" t="str">
            <v>REGIMEN SIMPLIFICADO</v>
          </cell>
          <cell r="J2286" t="str">
            <v>CL 138 N 54 60 INT 4 APTO 302</v>
          </cell>
          <cell r="K2286" t="str">
            <v>11001</v>
          </cell>
          <cell r="L2286" t="str">
            <v>BOGOTA DC</v>
          </cell>
          <cell r="M2286" t="str">
            <v>3137466103</v>
          </cell>
        </row>
        <row r="2287">
          <cell r="A2287">
            <v>74370674</v>
          </cell>
          <cell r="B2287" t="str">
            <v/>
          </cell>
          <cell r="C2287" t="str">
            <v/>
          </cell>
          <cell r="D2287" t="str">
            <v>CC</v>
          </cell>
          <cell r="E2287" t="str">
            <v>MARIO JAVIER</v>
          </cell>
          <cell r="F2287" t="str">
            <v>SANDOVAL VARGAS</v>
          </cell>
          <cell r="G2287" t="str">
            <v>SANDOVAL VARGAS MARIO JAVIER</v>
          </cell>
          <cell r="H2287" t="str">
            <v>FUNC</v>
          </cell>
          <cell r="I2287" t="str">
            <v>FUNCIONARIO</v>
          </cell>
          <cell r="J2287" t="str">
            <v>CALLE 18 No 4-02 PISO 3 MANZANARES - DUITAMA</v>
          </cell>
          <cell r="K2287" t="str">
            <v>15238</v>
          </cell>
          <cell r="L2287" t="str">
            <v>DUITAMA</v>
          </cell>
          <cell r="M2287" t="str">
            <v>3132855082</v>
          </cell>
        </row>
        <row r="2288">
          <cell r="A2288">
            <v>74371268</v>
          </cell>
          <cell r="B2288" t="str">
            <v/>
          </cell>
          <cell r="C2288" t="str">
            <v/>
          </cell>
          <cell r="D2288" t="str">
            <v>CC</v>
          </cell>
          <cell r="E2288" t="str">
            <v>LOUIS EDWARD</v>
          </cell>
          <cell r="F2288" t="str">
            <v>MELO CORREDOR</v>
          </cell>
          <cell r="G2288" t="str">
            <v>MELO CORREDOR LOUIS EDWARD</v>
          </cell>
          <cell r="H2288" t="str">
            <v>FUNC</v>
          </cell>
          <cell r="I2288" t="str">
            <v>FUNCIONARIO</v>
          </cell>
          <cell r="J2288" t="str">
            <v>CARRERA 16 No 26-21 BARRIO PRIMERO DE MAYO PAIPA</v>
          </cell>
          <cell r="K2288" t="str">
            <v>15516</v>
          </cell>
          <cell r="L2288" t="str">
            <v>PAIPA</v>
          </cell>
          <cell r="M2288" t="str">
            <v>3144477064</v>
          </cell>
        </row>
        <row r="2289">
          <cell r="A2289">
            <v>74371389</v>
          </cell>
          <cell r="B2289" t="str">
            <v/>
          </cell>
          <cell r="C2289" t="str">
            <v/>
          </cell>
          <cell r="D2289" t="str">
            <v>CC</v>
          </cell>
          <cell r="E2289" t="str">
            <v>YOLVER GABRIEL</v>
          </cell>
          <cell r="F2289" t="str">
            <v>REYES RENGIFO</v>
          </cell>
          <cell r="G2289" t="str">
            <v>REYES RENGIFO YOLVER GABRIEL</v>
          </cell>
          <cell r="H2289" t="str">
            <v>FUNC</v>
          </cell>
          <cell r="I2289" t="str">
            <v>FUNCIONARIO</v>
          </cell>
          <cell r="J2289" t="str">
            <v>CR 30 19 36 TO 4 AP 402</v>
          </cell>
          <cell r="K2289" t="str">
            <v>15238</v>
          </cell>
          <cell r="L2289" t="str">
            <v>DUITAMA</v>
          </cell>
          <cell r="M2289" t="str">
            <v>31347891107</v>
          </cell>
        </row>
        <row r="2290">
          <cell r="A2290">
            <v>74371405</v>
          </cell>
          <cell r="B2290" t="str">
            <v/>
          </cell>
          <cell r="C2290" t="str">
            <v/>
          </cell>
          <cell r="D2290" t="str">
            <v>CC</v>
          </cell>
          <cell r="E2290" t="str">
            <v>CESAR</v>
          </cell>
          <cell r="F2290" t="str">
            <v>FLECHAS BECERRA</v>
          </cell>
          <cell r="G2290" t="str">
            <v>FLECHAS BECERRA CESAR</v>
          </cell>
          <cell r="H2290" t="str">
            <v>FUNC</v>
          </cell>
          <cell r="I2290" t="str">
            <v>FUNCIONARIO</v>
          </cell>
          <cell r="J2290" t="str">
            <v>CR 14 A 7 A 26 BRR SANTA INES</v>
          </cell>
          <cell r="K2290" t="str">
            <v>15759</v>
          </cell>
          <cell r="L2290" t="str">
            <v>SOGAMOSO</v>
          </cell>
          <cell r="M2290" t="str">
            <v>3148909502</v>
          </cell>
        </row>
        <row r="2291">
          <cell r="A2291">
            <v>74371463</v>
          </cell>
          <cell r="B2291" t="str">
            <v>7</v>
          </cell>
          <cell r="C2291" t="str">
            <v/>
          </cell>
          <cell r="D2291" t="str">
            <v>NP</v>
          </cell>
          <cell r="E2291" t="str">
            <v>RAUL</v>
          </cell>
          <cell r="F2291" t="str">
            <v>NIÑO RIVERA</v>
          </cell>
          <cell r="G2291" t="str">
            <v>NIÑO RIVERA RAUL</v>
          </cell>
          <cell r="H2291" t="str">
            <v>NORE</v>
          </cell>
          <cell r="I2291" t="str">
            <v>NO RESPONSABLE DE IVA</v>
          </cell>
          <cell r="J2291" t="str">
            <v>CR 17 2 110 TO 2 AP 203</v>
          </cell>
          <cell r="K2291" t="str">
            <v>15238</v>
          </cell>
          <cell r="L2291" t="str">
            <v>DUITAMA</v>
          </cell>
          <cell r="M2291" t="str">
            <v>3212759444</v>
          </cell>
        </row>
        <row r="2292">
          <cell r="A2292">
            <v>74372532</v>
          </cell>
          <cell r="B2292" t="str">
            <v/>
          </cell>
          <cell r="C2292" t="str">
            <v/>
          </cell>
          <cell r="D2292" t="str">
            <v>CC</v>
          </cell>
          <cell r="E2292" t="str">
            <v>EYUHIN ARTURO</v>
          </cell>
          <cell r="F2292" t="str">
            <v>CARDENAS CAMARGO</v>
          </cell>
          <cell r="G2292" t="str">
            <v>CARDENAS CAMARGO EYUHIN ARTURO</v>
          </cell>
          <cell r="H2292" t="str">
            <v>FUNC</v>
          </cell>
          <cell r="I2292" t="str">
            <v>FUNCIONARIO</v>
          </cell>
          <cell r="J2292" t="str">
            <v>CR 7 D 11 34 BRR EL PROGRESO</v>
          </cell>
          <cell r="K2292" t="str">
            <v>15238</v>
          </cell>
          <cell r="L2292" t="str">
            <v>DUITAMA</v>
          </cell>
          <cell r="M2292" t="str">
            <v>3125216140</v>
          </cell>
        </row>
        <row r="2293">
          <cell r="A2293">
            <v>74373164</v>
          </cell>
          <cell r="B2293" t="str">
            <v/>
          </cell>
          <cell r="C2293" t="str">
            <v/>
          </cell>
          <cell r="D2293" t="str">
            <v>CC</v>
          </cell>
          <cell r="E2293" t="str">
            <v>OSCAR JAVIER</v>
          </cell>
          <cell r="F2293" t="str">
            <v>OTERO MURILLO</v>
          </cell>
          <cell r="G2293" t="str">
            <v>OTERO MURILLO OSCAR JAVIER</v>
          </cell>
          <cell r="H2293" t="str">
            <v>FUNC</v>
          </cell>
          <cell r="I2293" t="str">
            <v>FUNCIONARIO</v>
          </cell>
          <cell r="J2293" t="str">
            <v>CL 9 7 79</v>
          </cell>
          <cell r="K2293" t="str">
            <v>15516</v>
          </cell>
          <cell r="L2293" t="str">
            <v>PAIPA</v>
          </cell>
          <cell r="M2293" t="str">
            <v>3148909501</v>
          </cell>
        </row>
        <row r="2294">
          <cell r="A2294">
            <v>74373185</v>
          </cell>
          <cell r="B2294" t="str">
            <v/>
          </cell>
          <cell r="C2294" t="str">
            <v/>
          </cell>
          <cell r="D2294" t="str">
            <v>CC</v>
          </cell>
          <cell r="E2294" t="str">
            <v>JOSE MELENCIO</v>
          </cell>
          <cell r="F2294" t="str">
            <v>ROJAS RODRIGUEZ</v>
          </cell>
          <cell r="G2294" t="str">
            <v>ROJAS RODRIGUEZ JOSE MELENCIO</v>
          </cell>
          <cell r="H2294" t="str">
            <v>FUNC</v>
          </cell>
          <cell r="I2294" t="str">
            <v>FUNCIONARIO</v>
          </cell>
          <cell r="J2294" t="str">
            <v>CARRERA 27 No 3W -100 DUITAMA</v>
          </cell>
          <cell r="K2294" t="str">
            <v>17001</v>
          </cell>
          <cell r="L2294" t="str">
            <v>MANIZALES</v>
          </cell>
          <cell r="M2294" t="str">
            <v>3114650248</v>
          </cell>
        </row>
        <row r="2295">
          <cell r="A2295">
            <v>74373701</v>
          </cell>
          <cell r="B2295" t="str">
            <v>4</v>
          </cell>
          <cell r="C2295" t="str">
            <v/>
          </cell>
          <cell r="D2295" t="str">
            <v>NP</v>
          </cell>
          <cell r="E2295" t="str">
            <v>EDWIN AUGUSTO</v>
          </cell>
          <cell r="F2295" t="str">
            <v>NEIRA ALVAREZ</v>
          </cell>
          <cell r="G2295" t="str">
            <v>NEIRA ALVAREZ EDWIN AUGUSTO</v>
          </cell>
          <cell r="H2295" t="str">
            <v>RESI</v>
          </cell>
          <cell r="I2295" t="str">
            <v>REGIMEN SIMPLIFICADO</v>
          </cell>
          <cell r="J2295" t="str">
            <v>CR 17 10 83</v>
          </cell>
          <cell r="K2295" t="str">
            <v>15238</v>
          </cell>
          <cell r="L2295" t="str">
            <v>DUITAMA</v>
          </cell>
          <cell r="M2295" t="str">
            <v>3175211221</v>
          </cell>
        </row>
        <row r="2296">
          <cell r="A2296">
            <v>74373951</v>
          </cell>
          <cell r="B2296" t="str">
            <v/>
          </cell>
          <cell r="C2296" t="str">
            <v/>
          </cell>
          <cell r="D2296" t="str">
            <v>CC</v>
          </cell>
          <cell r="E2296" t="str">
            <v>YIMI ERIBERTO</v>
          </cell>
          <cell r="F2296" t="str">
            <v>GONZALEZ BECERRA</v>
          </cell>
          <cell r="G2296" t="str">
            <v>GONZALEZ BECERRA YIMI ERIBERTO</v>
          </cell>
          <cell r="H2296" t="str">
            <v>FUNC</v>
          </cell>
          <cell r="I2296" t="str">
            <v>FUNCIONARIO</v>
          </cell>
          <cell r="J2296" t="str">
            <v>CALLE 5 No 1-34 DUITAMA</v>
          </cell>
          <cell r="K2296" t="str">
            <v>15238</v>
          </cell>
          <cell r="L2296" t="str">
            <v>DUITAMA</v>
          </cell>
          <cell r="M2296" t="str">
            <v>3144818828</v>
          </cell>
        </row>
        <row r="2297">
          <cell r="A2297">
            <v>74374030</v>
          </cell>
          <cell r="B2297" t="str">
            <v>5</v>
          </cell>
          <cell r="C2297" t="str">
            <v/>
          </cell>
          <cell r="D2297" t="str">
            <v>NP</v>
          </cell>
          <cell r="E2297" t="str">
            <v>MIGUEL ANGEL</v>
          </cell>
          <cell r="F2297" t="str">
            <v>SALAZAR SEPULVEDA</v>
          </cell>
          <cell r="G2297" t="str">
            <v>SALAZAR SEPULVEDA MIGUEL ANGEL</v>
          </cell>
          <cell r="H2297" t="str">
            <v>RESI</v>
          </cell>
          <cell r="I2297" t="str">
            <v>REGIMEN SIMPLIFICADO</v>
          </cell>
          <cell r="J2297" t="str">
            <v>CR 15  10 25 P 1</v>
          </cell>
          <cell r="K2297" t="str">
            <v>15238</v>
          </cell>
          <cell r="L2297" t="str">
            <v>DUITAMA</v>
          </cell>
          <cell r="M2297" t="str">
            <v>6089231</v>
          </cell>
        </row>
        <row r="2298">
          <cell r="A2298">
            <v>74374142</v>
          </cell>
          <cell r="B2298" t="str">
            <v/>
          </cell>
          <cell r="C2298" t="str">
            <v/>
          </cell>
          <cell r="D2298" t="str">
            <v>CC</v>
          </cell>
          <cell r="E2298" t="str">
            <v>MIGUEL ANGEL</v>
          </cell>
          <cell r="F2298" t="str">
            <v>PINTO CELY</v>
          </cell>
          <cell r="G2298" t="str">
            <v>PINTO CELY MIGUEL ANGEL</v>
          </cell>
          <cell r="H2298" t="str">
            <v>FUNC</v>
          </cell>
          <cell r="I2298" t="str">
            <v>FUNCIONARIO</v>
          </cell>
          <cell r="J2298" t="str">
            <v>CARRERA 18 No 3-27 TORRE 3 APTO 403</v>
          </cell>
          <cell r="K2298" t="str">
            <v>15238</v>
          </cell>
          <cell r="L2298" t="str">
            <v>DUITAMA</v>
          </cell>
          <cell r="M2298" t="str">
            <v>3123032667</v>
          </cell>
        </row>
        <row r="2299">
          <cell r="A2299">
            <v>74374363</v>
          </cell>
          <cell r="B2299" t="str">
            <v>2</v>
          </cell>
          <cell r="C2299" t="str">
            <v/>
          </cell>
          <cell r="D2299" t="str">
            <v>NP</v>
          </cell>
          <cell r="E2299" t="str">
            <v>HOLMAN JAVIER</v>
          </cell>
          <cell r="F2299" t="str">
            <v>TIRIA MARTINEZ</v>
          </cell>
          <cell r="G2299" t="str">
            <v>TIRIA MARTINEZ HOLMAN JAVIER</v>
          </cell>
          <cell r="H2299" t="str">
            <v>RESI</v>
          </cell>
          <cell r="I2299" t="str">
            <v>REGIMEN SIMPLIFICADO</v>
          </cell>
          <cell r="J2299" t="str">
            <v>CL 19 16 20</v>
          </cell>
          <cell r="K2299" t="str">
            <v>15516</v>
          </cell>
          <cell r="L2299" t="str">
            <v>PAIPA</v>
          </cell>
          <cell r="M2299" t="str">
            <v>3134576701</v>
          </cell>
        </row>
        <row r="2300">
          <cell r="A2300">
            <v>74374424</v>
          </cell>
          <cell r="B2300" t="str">
            <v/>
          </cell>
          <cell r="C2300" t="str">
            <v/>
          </cell>
          <cell r="D2300" t="str">
            <v>CC</v>
          </cell>
          <cell r="E2300" t="str">
            <v>MIGUEL ANGEL</v>
          </cell>
          <cell r="F2300" t="str">
            <v>BARRAGAN BARRAGAN</v>
          </cell>
          <cell r="G2300" t="str">
            <v>BARRAGAN BARRAGAN MIGUEL ANGEL</v>
          </cell>
          <cell r="H2300" t="str">
            <v>FUNC</v>
          </cell>
          <cell r="I2300" t="str">
            <v>FUNCIONARIO</v>
          </cell>
          <cell r="J2300" t="str">
            <v>CL 19 44 46 BRR JUAN GRANDE</v>
          </cell>
          <cell r="K2300" t="str">
            <v>15238</v>
          </cell>
          <cell r="L2300" t="str">
            <v>DUITAMA</v>
          </cell>
          <cell r="M2300" t="str">
            <v>3107826327</v>
          </cell>
        </row>
        <row r="2301">
          <cell r="A2301">
            <v>74374638</v>
          </cell>
          <cell r="B2301" t="str">
            <v/>
          </cell>
          <cell r="C2301" t="str">
            <v/>
          </cell>
          <cell r="D2301" t="str">
            <v>CC</v>
          </cell>
          <cell r="E2301" t="str">
            <v>EDGAR FRANCISCO</v>
          </cell>
          <cell r="F2301" t="str">
            <v>RIOS TORRES</v>
          </cell>
          <cell r="G2301" t="str">
            <v>RIOS TORRES EDGAR FRANCISCO</v>
          </cell>
          <cell r="H2301" t="str">
            <v>FUNC</v>
          </cell>
          <cell r="I2301" t="str">
            <v>FUNCIONARIO</v>
          </cell>
          <cell r="J2301" t="str">
            <v>CL 17 A 5 104 APTDO 301</v>
          </cell>
          <cell r="K2301" t="str">
            <v>15238</v>
          </cell>
          <cell r="L2301" t="str">
            <v>DUITAMA</v>
          </cell>
          <cell r="M2301" t="str">
            <v>3108589312</v>
          </cell>
        </row>
        <row r="2302">
          <cell r="A2302">
            <v>74374870</v>
          </cell>
          <cell r="B2302" t="str">
            <v/>
          </cell>
          <cell r="C2302" t="str">
            <v/>
          </cell>
          <cell r="D2302" t="str">
            <v>CC</v>
          </cell>
          <cell r="E2302" t="str">
            <v>JUAN FERNANDO</v>
          </cell>
          <cell r="F2302" t="str">
            <v>AUZAQUE CUCHIVAGUE</v>
          </cell>
          <cell r="G2302" t="str">
            <v>AUZAQUE CUCHIVAGUE JUAN FERNANDO</v>
          </cell>
          <cell r="H2302" t="str">
            <v>FUNC</v>
          </cell>
          <cell r="I2302" t="str">
            <v>FUNCIONARIO</v>
          </cell>
          <cell r="J2302" t="str">
            <v>CL 9 A 13 39</v>
          </cell>
          <cell r="K2302" t="str">
            <v>97001</v>
          </cell>
          <cell r="L2302" t="str">
            <v>MITÚ</v>
          </cell>
          <cell r="M2302" t="str">
            <v>3215083733</v>
          </cell>
        </row>
        <row r="2303">
          <cell r="A2303">
            <v>74376644</v>
          </cell>
          <cell r="B2303" t="str">
            <v/>
          </cell>
          <cell r="C2303" t="str">
            <v/>
          </cell>
          <cell r="D2303" t="str">
            <v>CC</v>
          </cell>
          <cell r="E2303" t="str">
            <v>BREYLI JOSE</v>
          </cell>
          <cell r="F2303" t="str">
            <v>LAVACUDE ACERO</v>
          </cell>
          <cell r="G2303" t="str">
            <v>LAVACUDE ACERO BREYLI JOSE</v>
          </cell>
          <cell r="H2303" t="str">
            <v>FUNC</v>
          </cell>
          <cell r="I2303" t="str">
            <v>FUNCIONARIO</v>
          </cell>
          <cell r="J2303" t="str">
            <v>CR 6 19 A 24</v>
          </cell>
          <cell r="K2303" t="str">
            <v>15238</v>
          </cell>
          <cell r="L2303" t="str">
            <v>DUITAMA</v>
          </cell>
          <cell r="M2303" t="str">
            <v>3212342968</v>
          </cell>
        </row>
        <row r="2304">
          <cell r="A2304">
            <v>74376840</v>
          </cell>
          <cell r="B2304" t="str">
            <v>3</v>
          </cell>
          <cell r="C2304" t="str">
            <v/>
          </cell>
          <cell r="D2304" t="str">
            <v>NP</v>
          </cell>
          <cell r="E2304" t="str">
            <v>FERMIN</v>
          </cell>
          <cell r="F2304" t="str">
            <v>CARDENAS VALDERRAMA</v>
          </cell>
          <cell r="G2304" t="str">
            <v>CARDENAS VALDERRAMA FERMIN</v>
          </cell>
          <cell r="H2304" t="str">
            <v>RECO</v>
          </cell>
          <cell r="I2304" t="str">
            <v>REGIMEN COMUN</v>
          </cell>
          <cell r="J2304" t="str">
            <v>CR 18 14 20 LC 27</v>
          </cell>
          <cell r="K2304" t="str">
            <v>15238</v>
          </cell>
          <cell r="L2304" t="str">
            <v>DUITAMA</v>
          </cell>
          <cell r="M2304" t="str">
            <v>3103293466</v>
          </cell>
        </row>
        <row r="2305">
          <cell r="A2305">
            <v>74377644</v>
          </cell>
          <cell r="B2305" t="str">
            <v/>
          </cell>
          <cell r="C2305" t="str">
            <v/>
          </cell>
          <cell r="D2305" t="str">
            <v>CC</v>
          </cell>
          <cell r="E2305" t="str">
            <v>GUSTAVO ANDRES</v>
          </cell>
          <cell r="F2305" t="str">
            <v>ANGEL FLECHAS</v>
          </cell>
          <cell r="G2305" t="str">
            <v>ANGEL FLECHAS GUSTAVO ANDRES</v>
          </cell>
          <cell r="H2305" t="str">
            <v>EXFU</v>
          </cell>
          <cell r="I2305" t="str">
            <v>EX-FUNCIONARIOS</v>
          </cell>
          <cell r="J2305" t="str">
            <v>CL 30 28 10 CA 31 CONJ MIRADOR DE SAN DIEGO</v>
          </cell>
          <cell r="K2305" t="str">
            <v>15516</v>
          </cell>
          <cell r="L2305" t="str">
            <v>PAIPA</v>
          </cell>
          <cell r="M2305" t="str">
            <v>3157655851</v>
          </cell>
        </row>
        <row r="2306">
          <cell r="A2306">
            <v>74378177</v>
          </cell>
          <cell r="B2306" t="str">
            <v>7</v>
          </cell>
          <cell r="C2306" t="str">
            <v/>
          </cell>
          <cell r="D2306" t="str">
            <v>NP</v>
          </cell>
          <cell r="E2306" t="str">
            <v>GERARDO</v>
          </cell>
          <cell r="F2306" t="str">
            <v>RIVERA ROJAS</v>
          </cell>
          <cell r="G2306" t="str">
            <v>RIVERA ROJAS GERARDO</v>
          </cell>
          <cell r="H2306" t="str">
            <v>NORE</v>
          </cell>
          <cell r="I2306" t="str">
            <v>NO RESPONSABLE DE IVA</v>
          </cell>
          <cell r="J2306" t="str">
            <v>CL 19   22 A 29</v>
          </cell>
          <cell r="K2306" t="str">
            <v>15238</v>
          </cell>
          <cell r="L2306" t="str">
            <v>DUITAMA</v>
          </cell>
          <cell r="M2306" t="str">
            <v>3133974680</v>
          </cell>
        </row>
        <row r="2307">
          <cell r="A2307">
            <v>74378433</v>
          </cell>
          <cell r="B2307" t="str">
            <v/>
          </cell>
          <cell r="C2307" t="str">
            <v/>
          </cell>
          <cell r="D2307" t="str">
            <v>CC</v>
          </cell>
          <cell r="E2307" t="str">
            <v>JOSE ANGEL</v>
          </cell>
          <cell r="F2307" t="str">
            <v>LEON VARGAS</v>
          </cell>
          <cell r="G2307" t="str">
            <v>LEON VARGAS JOSE ANGEL</v>
          </cell>
          <cell r="H2307" t="str">
            <v>FUNC</v>
          </cell>
          <cell r="I2307" t="str">
            <v>FUNCIONARIO</v>
          </cell>
          <cell r="J2307" t="str">
            <v>CR 8 11 60</v>
          </cell>
          <cell r="K2307" t="str">
            <v>15238</v>
          </cell>
          <cell r="L2307" t="str">
            <v>DUITAMA</v>
          </cell>
          <cell r="M2307" t="str">
            <v>3105717725</v>
          </cell>
        </row>
        <row r="2308">
          <cell r="A2308">
            <v>74378974</v>
          </cell>
          <cell r="B2308" t="str">
            <v/>
          </cell>
          <cell r="C2308" t="str">
            <v/>
          </cell>
          <cell r="D2308" t="str">
            <v>CC</v>
          </cell>
          <cell r="E2308" t="str">
            <v>HUGO HERNAN</v>
          </cell>
          <cell r="F2308" t="str">
            <v>DUARTE ACOSTA</v>
          </cell>
          <cell r="G2308" t="str">
            <v>DUARTE ACOSTA HUGO HERNAN</v>
          </cell>
          <cell r="H2308" t="str">
            <v>FUNC</v>
          </cell>
          <cell r="I2308" t="str">
            <v>FUNCIONARIO</v>
          </cell>
          <cell r="J2308" t="str">
            <v>CL 6 6 B 28</v>
          </cell>
          <cell r="K2308" t="str">
            <v>15238</v>
          </cell>
          <cell r="L2308" t="str">
            <v>DUITAMA</v>
          </cell>
          <cell r="M2308" t="str">
            <v>3214487577</v>
          </cell>
        </row>
        <row r="2309">
          <cell r="A2309">
            <v>74379098</v>
          </cell>
          <cell r="B2309" t="str">
            <v/>
          </cell>
          <cell r="C2309" t="str">
            <v/>
          </cell>
          <cell r="D2309" t="str">
            <v>CC</v>
          </cell>
          <cell r="E2309" t="str">
            <v>FABIAN GILBERTO</v>
          </cell>
          <cell r="F2309" t="str">
            <v>BURGOS SUESCUN</v>
          </cell>
          <cell r="G2309" t="str">
            <v>BURGOS SUESCUN FABIAN GILBERTO</v>
          </cell>
          <cell r="H2309" t="str">
            <v>FUNC</v>
          </cell>
          <cell r="I2309" t="str">
            <v>FUNCIONARIO</v>
          </cell>
          <cell r="J2309" t="str">
            <v>CR 26 25 56</v>
          </cell>
          <cell r="K2309" t="str">
            <v>15238</v>
          </cell>
          <cell r="L2309" t="str">
            <v>DUITAMA</v>
          </cell>
          <cell r="M2309" t="str">
            <v>3118140524</v>
          </cell>
        </row>
        <row r="2310">
          <cell r="A2310">
            <v>74380149</v>
          </cell>
          <cell r="B2310" t="str">
            <v/>
          </cell>
          <cell r="C2310" t="str">
            <v/>
          </cell>
          <cell r="D2310" t="str">
            <v>CC</v>
          </cell>
          <cell r="E2310" t="str">
            <v>OSCAR ALEJANDRO</v>
          </cell>
          <cell r="F2310" t="str">
            <v>GONZALEZ CAMARGO</v>
          </cell>
          <cell r="G2310" t="str">
            <v>GONZALEZ CAMARGO OSCAR ALEJANDRO</v>
          </cell>
          <cell r="H2310" t="str">
            <v>FUNC</v>
          </cell>
          <cell r="I2310" t="str">
            <v>FUNCIONARIO</v>
          </cell>
          <cell r="J2310" t="str">
            <v>carrera 39 No 21a-51 DUITAMA</v>
          </cell>
          <cell r="K2310" t="str">
            <v>15238</v>
          </cell>
          <cell r="L2310" t="str">
            <v>DUITAMA</v>
          </cell>
          <cell r="M2310" t="str">
            <v>3115287046</v>
          </cell>
        </row>
        <row r="2311">
          <cell r="A2311">
            <v>74380440</v>
          </cell>
          <cell r="B2311" t="str">
            <v/>
          </cell>
          <cell r="C2311" t="str">
            <v/>
          </cell>
          <cell r="D2311" t="str">
            <v>CC</v>
          </cell>
          <cell r="E2311" t="str">
            <v>EDWIN JHONATTAN</v>
          </cell>
          <cell r="F2311" t="str">
            <v>SANDOVAL GONZALEZ</v>
          </cell>
          <cell r="G2311" t="str">
            <v>SANDOVAL GONZALEZ EDWIN JHONATTAN</v>
          </cell>
          <cell r="H2311" t="str">
            <v>FUNC</v>
          </cell>
          <cell r="I2311" t="str">
            <v>FUNCIONARIO</v>
          </cell>
          <cell r="J2311" t="str">
            <v>CARRERA 16B No 9-35 B.</v>
          </cell>
          <cell r="K2311" t="str">
            <v>15238</v>
          </cell>
          <cell r="L2311" t="str">
            <v>DUITAMA</v>
          </cell>
          <cell r="M2311" t="str">
            <v>3133863219</v>
          </cell>
        </row>
        <row r="2312">
          <cell r="A2312">
            <v>74380874</v>
          </cell>
          <cell r="B2312" t="str">
            <v/>
          </cell>
          <cell r="C2312" t="str">
            <v/>
          </cell>
          <cell r="D2312" t="str">
            <v>CC</v>
          </cell>
          <cell r="E2312" t="str">
            <v>JOSE ALEJANDRO</v>
          </cell>
          <cell r="F2312" t="str">
            <v>SAAVEDRA CHIA</v>
          </cell>
          <cell r="G2312" t="str">
            <v>SAAVEDRA CHIA JOSE ALEJANDRO</v>
          </cell>
          <cell r="H2312" t="str">
            <v>FUNC</v>
          </cell>
          <cell r="I2312" t="str">
            <v>FUNCIONARIO</v>
          </cell>
          <cell r="J2312" t="str">
            <v>CR 38 22 53</v>
          </cell>
          <cell r="K2312" t="str">
            <v>15238</v>
          </cell>
          <cell r="L2312" t="str">
            <v>DUITAMA</v>
          </cell>
          <cell r="M2312" t="str">
            <v>3002732117</v>
          </cell>
        </row>
        <row r="2313">
          <cell r="A2313">
            <v>74381023</v>
          </cell>
          <cell r="B2313" t="str">
            <v>2</v>
          </cell>
          <cell r="C2313" t="str">
            <v/>
          </cell>
          <cell r="D2313" t="str">
            <v>NP</v>
          </cell>
          <cell r="E2313" t="str">
            <v>NELSON YAMIT</v>
          </cell>
          <cell r="F2313" t="str">
            <v>SOLEDAD SIZA</v>
          </cell>
          <cell r="G2313" t="str">
            <v>SOLEDAD SIZA NELSON YAMIT</v>
          </cell>
          <cell r="H2313" t="str">
            <v>NORE</v>
          </cell>
          <cell r="I2313" t="str">
            <v>NO RESPONSABLE DE IVA</v>
          </cell>
          <cell r="J2313" t="str">
            <v xml:space="preserve"> CR 5 14 B  82</v>
          </cell>
          <cell r="K2313" t="str">
            <v>17001</v>
          </cell>
          <cell r="L2313" t="str">
            <v>MANIZALES</v>
          </cell>
          <cell r="M2313" t="str">
            <v>7661589</v>
          </cell>
        </row>
        <row r="2314">
          <cell r="A2314">
            <v>74381074</v>
          </cell>
          <cell r="B2314" t="str">
            <v/>
          </cell>
          <cell r="C2314" t="str">
            <v/>
          </cell>
          <cell r="D2314" t="str">
            <v>CC</v>
          </cell>
          <cell r="E2314" t="str">
            <v>HECTOR GERARDO</v>
          </cell>
          <cell r="F2314" t="str">
            <v>SANABRIA VILLATE</v>
          </cell>
          <cell r="G2314" t="str">
            <v>SANABRIA VILLATE HECTOR GERARDO</v>
          </cell>
          <cell r="H2314" t="str">
            <v>FUNC</v>
          </cell>
          <cell r="I2314" t="str">
            <v>FUNCIONARIO</v>
          </cell>
          <cell r="J2314" t="str">
            <v>CL 17 A   5   111 AP 303 A DUITAMA</v>
          </cell>
          <cell r="K2314" t="str">
            <v>15516</v>
          </cell>
          <cell r="L2314" t="str">
            <v>PAIPA</v>
          </cell>
          <cell r="M2314" t="str">
            <v>3105719364</v>
          </cell>
        </row>
        <row r="2315">
          <cell r="A2315">
            <v>74381236</v>
          </cell>
          <cell r="B2315" t="str">
            <v/>
          </cell>
          <cell r="C2315" t="str">
            <v/>
          </cell>
          <cell r="D2315" t="str">
            <v>CC</v>
          </cell>
          <cell r="E2315" t="str">
            <v>RAFAEL ORLANDO</v>
          </cell>
          <cell r="F2315" t="str">
            <v>SALAZAR MONSALVE</v>
          </cell>
          <cell r="G2315" t="str">
            <v>SALAZAR MONSALVE RAFAEL ORLANDO</v>
          </cell>
          <cell r="H2315" t="str">
            <v>FUNC</v>
          </cell>
          <cell r="I2315" t="str">
            <v>FUNCIONARIO</v>
          </cell>
          <cell r="J2315" t="str">
            <v>CL 33   16 ADL 31</v>
          </cell>
          <cell r="K2315" t="str">
            <v>15238</v>
          </cell>
          <cell r="L2315" t="str">
            <v>DUITAMA</v>
          </cell>
          <cell r="M2315" t="str">
            <v>3144027245</v>
          </cell>
        </row>
        <row r="2316">
          <cell r="A2316">
            <v>74381379</v>
          </cell>
          <cell r="B2316" t="str">
            <v/>
          </cell>
          <cell r="C2316" t="str">
            <v/>
          </cell>
          <cell r="D2316" t="str">
            <v>CC</v>
          </cell>
          <cell r="E2316" t="str">
            <v>MARLON DIDIER</v>
          </cell>
          <cell r="F2316" t="str">
            <v>AVENDAÑO CASTELLANOS</v>
          </cell>
          <cell r="G2316" t="str">
            <v>AVENDAÑO CASTELLANOS MARLON DIDIER</v>
          </cell>
          <cell r="H2316" t="str">
            <v>FUNC</v>
          </cell>
          <cell r="I2316" t="str">
            <v>FUNCIONARIO</v>
          </cell>
          <cell r="J2316" t="str">
            <v>CARRERA 32 No 19-41 DUITAMA</v>
          </cell>
          <cell r="K2316" t="str">
            <v>15238</v>
          </cell>
          <cell r="L2316" t="str">
            <v>DUITAMA</v>
          </cell>
          <cell r="M2316" t="str">
            <v>3143307864</v>
          </cell>
        </row>
        <row r="2317">
          <cell r="A2317">
            <v>74381516</v>
          </cell>
          <cell r="B2317" t="str">
            <v/>
          </cell>
          <cell r="C2317" t="str">
            <v/>
          </cell>
          <cell r="D2317" t="str">
            <v>CC</v>
          </cell>
          <cell r="E2317" t="str">
            <v>ALIRIO</v>
          </cell>
          <cell r="F2317" t="str">
            <v>SANABRIA HIGUERA</v>
          </cell>
          <cell r="G2317" t="str">
            <v>SANABRIA HIGUERA ALIRIO</v>
          </cell>
          <cell r="H2317" t="str">
            <v>FUNC</v>
          </cell>
          <cell r="I2317" t="str">
            <v>FUNCIONARIO</v>
          </cell>
          <cell r="J2317" t="str">
            <v>CARRERA .31 No 14-51 CASA 22 DUITAMA</v>
          </cell>
          <cell r="K2317" t="str">
            <v>15238</v>
          </cell>
          <cell r="L2317" t="str">
            <v>DUITAMA</v>
          </cell>
          <cell r="M2317" t="str">
            <v>3114470407</v>
          </cell>
        </row>
        <row r="2318">
          <cell r="A2318">
            <v>74382329</v>
          </cell>
          <cell r="B2318" t="str">
            <v/>
          </cell>
          <cell r="C2318" t="str">
            <v/>
          </cell>
          <cell r="D2318" t="str">
            <v>CC</v>
          </cell>
          <cell r="E2318" t="str">
            <v>JAVIER</v>
          </cell>
          <cell r="F2318" t="str">
            <v>MATEUS MORALES</v>
          </cell>
          <cell r="G2318" t="str">
            <v>MATEUS MORALES JAVIER</v>
          </cell>
          <cell r="H2318" t="str">
            <v>EXFU</v>
          </cell>
          <cell r="I2318" t="str">
            <v>EX-FUNCIONARIOS</v>
          </cell>
          <cell r="J2318" t="str">
            <v>CL 21 9 11</v>
          </cell>
          <cell r="K2318" t="str">
            <v>15238</v>
          </cell>
          <cell r="L2318" t="str">
            <v>DUITAMA</v>
          </cell>
          <cell r="M2318" t="str">
            <v>3104680603</v>
          </cell>
        </row>
        <row r="2319">
          <cell r="A2319">
            <v>74751723</v>
          </cell>
          <cell r="B2319" t="str">
            <v/>
          </cell>
          <cell r="C2319" t="str">
            <v/>
          </cell>
          <cell r="D2319" t="str">
            <v>CC</v>
          </cell>
          <cell r="E2319" t="str">
            <v>TEOFILO</v>
          </cell>
          <cell r="F2319" t="str">
            <v>NIÑO ARIZA</v>
          </cell>
          <cell r="G2319" t="str">
            <v>NIÑO ARIZA TEOFILO</v>
          </cell>
          <cell r="H2319" t="str">
            <v>NORE</v>
          </cell>
          <cell r="I2319" t="str">
            <v>NO RESPONSABLE DE IVA</v>
          </cell>
          <cell r="J2319" t="str">
            <v>PARQUE PRINCIPAL</v>
          </cell>
          <cell r="K2319" t="str">
            <v>85325</v>
          </cell>
          <cell r="L2319" t="str">
            <v>SAN LUIS DE PALENQUE</v>
          </cell>
          <cell r="M2319" t="str">
            <v>0123456</v>
          </cell>
        </row>
        <row r="2320">
          <cell r="A2320">
            <v>74754798</v>
          </cell>
          <cell r="B2320" t="str">
            <v/>
          </cell>
          <cell r="C2320" t="str">
            <v/>
          </cell>
          <cell r="D2320" t="str">
            <v>CC</v>
          </cell>
          <cell r="E2320" t="str">
            <v>JOHN JAIRO</v>
          </cell>
          <cell r="F2320" t="str">
            <v>MANOSALVA RAMIREZ</v>
          </cell>
          <cell r="G2320" t="str">
            <v>MANOSALVA RAMIREZ JOHN JAIRO</v>
          </cell>
          <cell r="H2320" t="str">
            <v>FUNC</v>
          </cell>
          <cell r="I2320" t="str">
            <v>FUNCIONARIO</v>
          </cell>
          <cell r="J2320" t="str">
            <v>CL 16   6 B   09</v>
          </cell>
          <cell r="K2320" t="str">
            <v>17001</v>
          </cell>
          <cell r="L2320" t="str">
            <v>MANIZALES</v>
          </cell>
          <cell r="M2320" t="str">
            <v>3214516628</v>
          </cell>
        </row>
        <row r="2321">
          <cell r="A2321">
            <v>74770184</v>
          </cell>
          <cell r="B2321" t="str">
            <v>9</v>
          </cell>
          <cell r="C2321" t="str">
            <v/>
          </cell>
          <cell r="D2321" t="str">
            <v>NP</v>
          </cell>
          <cell r="E2321" t="str">
            <v>EDWAR WILLIAM</v>
          </cell>
          <cell r="F2321" t="str">
            <v>LEGUIZAMON DIAZ</v>
          </cell>
          <cell r="G2321" t="str">
            <v>LEGUIZAMON DIAZ EDWAR WILLIAM</v>
          </cell>
          <cell r="H2321" t="str">
            <v>RCPN</v>
          </cell>
          <cell r="I2321" t="str">
            <v>RESPONSABLE IVA PERSONA NATURAL</v>
          </cell>
          <cell r="J2321" t="str">
            <v>CR 19   6   54 BRR SAN MARTIN</v>
          </cell>
          <cell r="K2321" t="str">
            <v>85001</v>
          </cell>
          <cell r="L2321" t="str">
            <v>YOPAL</v>
          </cell>
          <cell r="M2321" t="str">
            <v>6359569</v>
          </cell>
        </row>
        <row r="2322">
          <cell r="A2322">
            <v>74795375</v>
          </cell>
          <cell r="B2322" t="str">
            <v>7</v>
          </cell>
          <cell r="C2322" t="str">
            <v/>
          </cell>
          <cell r="D2322" t="str">
            <v>NP</v>
          </cell>
          <cell r="E2322" t="str">
            <v>CARLOS ALBERTO</v>
          </cell>
          <cell r="F2322" t="str">
            <v>BARRERA GARCIA</v>
          </cell>
          <cell r="G2322" t="str">
            <v>BARRERA GARCIA CARLOS ALBERTO</v>
          </cell>
          <cell r="H2322" t="str">
            <v>RESI</v>
          </cell>
          <cell r="I2322" t="str">
            <v>REGIMEN SIMPLIFICADO</v>
          </cell>
          <cell r="J2322" t="str">
            <v>CR 19   19   24</v>
          </cell>
          <cell r="K2322" t="str">
            <v>85001</v>
          </cell>
          <cell r="L2322" t="str">
            <v>YOPAL</v>
          </cell>
          <cell r="M2322" t="str">
            <v>3202348099</v>
          </cell>
        </row>
        <row r="2323">
          <cell r="A2323">
            <v>74812089</v>
          </cell>
          <cell r="B2323" t="str">
            <v/>
          </cell>
          <cell r="C2323" t="str">
            <v/>
          </cell>
          <cell r="D2323" t="str">
            <v>CC</v>
          </cell>
          <cell r="E2323" t="str">
            <v>JOSE ALBEIRO</v>
          </cell>
          <cell r="F2323" t="str">
            <v>RINCON FARFAN</v>
          </cell>
          <cell r="G2323" t="str">
            <v>RINCON FARFAN JOSE ALBEIRO</v>
          </cell>
          <cell r="H2323" t="str">
            <v>RESI</v>
          </cell>
          <cell r="I2323" t="str">
            <v>REGIMEN SIMPLIFICADO</v>
          </cell>
          <cell r="J2323" t="str">
            <v>XXX</v>
          </cell>
          <cell r="K2323" t="str">
            <v>17001</v>
          </cell>
          <cell r="L2323" t="str">
            <v>MANIZALES</v>
          </cell>
          <cell r="M2323" t="str">
            <v>XXX</v>
          </cell>
        </row>
        <row r="2324">
          <cell r="A2324">
            <v>74814402</v>
          </cell>
          <cell r="B2324" t="str">
            <v>0</v>
          </cell>
          <cell r="C2324" t="str">
            <v/>
          </cell>
          <cell r="D2324" t="str">
            <v>NP</v>
          </cell>
          <cell r="E2324" t="str">
            <v>JOSE RAMON</v>
          </cell>
          <cell r="F2324" t="str">
            <v>CEDEÑO GUTIERREZ</v>
          </cell>
          <cell r="G2324" t="str">
            <v>CEDEÑO GUTIERREZ JOSE RAMON</v>
          </cell>
          <cell r="H2324" t="str">
            <v>RESI</v>
          </cell>
          <cell r="I2324" t="str">
            <v>REGIMEN SIMPLIFICADO</v>
          </cell>
          <cell r="J2324" t="str">
            <v>CL 30   14   27 BRR VILLA DEL ROCIO</v>
          </cell>
          <cell r="K2324" t="str">
            <v>85001</v>
          </cell>
          <cell r="L2324" t="str">
            <v>YOPAL</v>
          </cell>
          <cell r="M2324" t="str">
            <v>3103249465</v>
          </cell>
        </row>
        <row r="2325">
          <cell r="A2325">
            <v>74815031</v>
          </cell>
          <cell r="B2325" t="str">
            <v/>
          </cell>
          <cell r="C2325" t="str">
            <v/>
          </cell>
          <cell r="D2325" t="str">
            <v>CC</v>
          </cell>
          <cell r="E2325" t="str">
            <v>OSCAR</v>
          </cell>
          <cell r="F2325" t="str">
            <v>GARCIA SOGAMOSO</v>
          </cell>
          <cell r="G2325" t="str">
            <v>GARCIA SOGAMOSO OSCAR</v>
          </cell>
          <cell r="H2325" t="str">
            <v>RESI</v>
          </cell>
          <cell r="I2325" t="str">
            <v>REGIMEN SIMPLIFICADO</v>
          </cell>
          <cell r="J2325" t="str">
            <v>XXX</v>
          </cell>
          <cell r="K2325" t="str">
            <v>17001</v>
          </cell>
          <cell r="L2325" t="str">
            <v>MANIZALES</v>
          </cell>
          <cell r="M2325" t="str">
            <v>XXX</v>
          </cell>
        </row>
        <row r="2326">
          <cell r="A2326">
            <v>74825190</v>
          </cell>
          <cell r="B2326" t="str">
            <v>1</v>
          </cell>
          <cell r="C2326" t="str">
            <v/>
          </cell>
          <cell r="D2326" t="str">
            <v>NP</v>
          </cell>
          <cell r="E2326" t="str">
            <v>ELIECER</v>
          </cell>
          <cell r="F2326" t="str">
            <v>DIAZ COLINA</v>
          </cell>
          <cell r="G2326" t="str">
            <v>DIAZ COLINA ELIECER</v>
          </cell>
          <cell r="H2326" t="str">
            <v>RESI</v>
          </cell>
          <cell r="I2326" t="str">
            <v>REGIMEN SIMPLIFICADO</v>
          </cell>
          <cell r="J2326" t="str">
            <v>CL 1 B   3 A   28 BRR LAS ACACIAS</v>
          </cell>
          <cell r="K2326" t="str">
            <v>85325</v>
          </cell>
          <cell r="L2326" t="str">
            <v>SAN LUIS DE PALENQUE</v>
          </cell>
          <cell r="M2326" t="str">
            <v>3106973262</v>
          </cell>
        </row>
        <row r="2327">
          <cell r="A2327">
            <v>74825291</v>
          </cell>
          <cell r="B2327" t="str">
            <v/>
          </cell>
          <cell r="C2327" t="str">
            <v/>
          </cell>
          <cell r="D2327" t="str">
            <v>CC</v>
          </cell>
          <cell r="E2327" t="str">
            <v>JOSE FIDEL</v>
          </cell>
          <cell r="F2327" t="str">
            <v>TUMAY POLANCO</v>
          </cell>
          <cell r="G2327" t="str">
            <v>TUMAY POLANCO JOSE FIDEL</v>
          </cell>
          <cell r="H2327" t="str">
            <v>RESI</v>
          </cell>
          <cell r="I2327" t="str">
            <v>REGIMEN SIMPLIFICADO</v>
          </cell>
          <cell r="J2327" t="str">
            <v>SAN LUIS DE PALENQUE</v>
          </cell>
          <cell r="K2327" t="str">
            <v>85325</v>
          </cell>
          <cell r="L2327" t="str">
            <v>SAN LUIS DE PALENQUE</v>
          </cell>
          <cell r="M2327" t="str">
            <v>3115218963</v>
          </cell>
        </row>
        <row r="2328">
          <cell r="A2328">
            <v>74825315</v>
          </cell>
          <cell r="B2328" t="str">
            <v/>
          </cell>
          <cell r="C2328" t="str">
            <v/>
          </cell>
          <cell r="D2328" t="str">
            <v>CC</v>
          </cell>
          <cell r="E2328" t="str">
            <v>CESAR FERNANDO</v>
          </cell>
          <cell r="F2328" t="str">
            <v>LIZARAZO RIOS</v>
          </cell>
          <cell r="G2328" t="str">
            <v>LIZARAZO RIOS CESAR FERNANDO</v>
          </cell>
          <cell r="H2328" t="str">
            <v>RESI</v>
          </cell>
          <cell r="I2328" t="str">
            <v>REGIMEN SIMPLIFICADO</v>
          </cell>
          <cell r="J2328" t="str">
            <v>SAN LUIS DE PALENQUE</v>
          </cell>
          <cell r="K2328" t="str">
            <v>85325</v>
          </cell>
          <cell r="L2328" t="str">
            <v>SAN LUIS DE PALENQUE</v>
          </cell>
          <cell r="M2328" t="str">
            <v>3115218963</v>
          </cell>
        </row>
        <row r="2329">
          <cell r="A2329">
            <v>74825352</v>
          </cell>
          <cell r="B2329" t="str">
            <v/>
          </cell>
          <cell r="C2329" t="str">
            <v/>
          </cell>
          <cell r="D2329" t="str">
            <v>CC</v>
          </cell>
          <cell r="E2329" t="str">
            <v>CARLOS SENEIDER</v>
          </cell>
          <cell r="F2329" t="str">
            <v>LIZARAZO RIOS</v>
          </cell>
          <cell r="G2329" t="str">
            <v>LIZARAZO RIOS CARLOS SENEIDER</v>
          </cell>
          <cell r="H2329" t="str">
            <v>RESI</v>
          </cell>
          <cell r="I2329" t="str">
            <v>REGIMEN SIMPLIFICADO</v>
          </cell>
          <cell r="J2329" t="str">
            <v>TRINIDAD CASANARE</v>
          </cell>
          <cell r="K2329" t="str">
            <v>17001</v>
          </cell>
          <cell r="L2329" t="str">
            <v>MANIZALES</v>
          </cell>
          <cell r="M2329" t="str">
            <v>XXX</v>
          </cell>
        </row>
        <row r="2330">
          <cell r="A2330">
            <v>74825444</v>
          </cell>
          <cell r="B2330" t="str">
            <v/>
          </cell>
          <cell r="C2330" t="str">
            <v/>
          </cell>
          <cell r="D2330" t="str">
            <v>CC</v>
          </cell>
          <cell r="E2330" t="str">
            <v>JORGE</v>
          </cell>
          <cell r="F2330" t="str">
            <v>BARRAGAN SALCEDO</v>
          </cell>
          <cell r="G2330" t="str">
            <v>BARRAGAN SALCEDO JORGE</v>
          </cell>
          <cell r="H2330" t="str">
            <v>RESI</v>
          </cell>
          <cell r="I2330" t="str">
            <v>REGIMEN SIMPLIFICADO</v>
          </cell>
          <cell r="J2330" t="str">
            <v>VRD RIVERITA FCA MATA DE PANTANO</v>
          </cell>
          <cell r="K2330" t="str">
            <v>85325</v>
          </cell>
          <cell r="L2330" t="str">
            <v>SAN LUIS DE PALENQUE</v>
          </cell>
          <cell r="M2330" t="str">
            <v>3143291989</v>
          </cell>
        </row>
        <row r="2331">
          <cell r="A2331">
            <v>74835004</v>
          </cell>
          <cell r="B2331" t="str">
            <v>2</v>
          </cell>
          <cell r="C2331" t="str">
            <v/>
          </cell>
          <cell r="D2331" t="str">
            <v>NP</v>
          </cell>
          <cell r="E2331" t="str">
            <v>FELIBERTO</v>
          </cell>
          <cell r="F2331" t="str">
            <v>CORDOBA</v>
          </cell>
          <cell r="G2331" t="str">
            <v>CORDOBA FELIBERTO</v>
          </cell>
          <cell r="H2331" t="str">
            <v>RESI</v>
          </cell>
          <cell r="I2331" t="str">
            <v>REGIMEN SIMPLIFICADO</v>
          </cell>
          <cell r="J2331" t="str">
            <v>C BOCAS DEL PAUTO</v>
          </cell>
          <cell r="K2331" t="str">
            <v>85430</v>
          </cell>
          <cell r="L2331" t="str">
            <v>TRINIDAD</v>
          </cell>
          <cell r="M2331" t="str">
            <v>3134666996</v>
          </cell>
        </row>
        <row r="2332">
          <cell r="A2332">
            <v>74846134</v>
          </cell>
          <cell r="B2332" t="str">
            <v/>
          </cell>
          <cell r="C2332" t="str">
            <v/>
          </cell>
          <cell r="D2332" t="str">
            <v>CC</v>
          </cell>
          <cell r="E2332" t="str">
            <v>ESAU</v>
          </cell>
          <cell r="F2332" t="str">
            <v>GUALDRON JASPE</v>
          </cell>
          <cell r="G2332" t="str">
            <v>GUALDRON JASPE ESAU</v>
          </cell>
          <cell r="H2332" t="str">
            <v>RESI</v>
          </cell>
          <cell r="I2332" t="str">
            <v>REGIMEN SIMPLIFICADO</v>
          </cell>
          <cell r="J2332" t="str">
            <v>C BOCAS DEL PAUTO</v>
          </cell>
          <cell r="K2332" t="str">
            <v>85430</v>
          </cell>
          <cell r="L2332" t="str">
            <v>TRINIDAD</v>
          </cell>
          <cell r="M2332" t="str">
            <v>6371088</v>
          </cell>
        </row>
        <row r="2333">
          <cell r="A2333">
            <v>74846464</v>
          </cell>
          <cell r="B2333" t="str">
            <v/>
          </cell>
          <cell r="C2333" t="str">
            <v/>
          </cell>
          <cell r="D2333" t="str">
            <v>CC</v>
          </cell>
          <cell r="E2333" t="str">
            <v>TORIBIO</v>
          </cell>
          <cell r="F2333" t="str">
            <v>CASTILLO</v>
          </cell>
          <cell r="G2333" t="str">
            <v>CASTILLO TORIBIO</v>
          </cell>
          <cell r="H2333" t="str">
            <v>RESI</v>
          </cell>
          <cell r="I2333" t="str">
            <v>REGIMEN SIMPLIFICADO</v>
          </cell>
          <cell r="J2333" t="str">
            <v>MCP TRINIDAD DPTO CASANARE</v>
          </cell>
          <cell r="K2333" t="str">
            <v>85430</v>
          </cell>
          <cell r="L2333" t="str">
            <v>TRINIDAD</v>
          </cell>
          <cell r="M2333" t="str">
            <v>8756262</v>
          </cell>
        </row>
        <row r="2334">
          <cell r="A2334">
            <v>74846476</v>
          </cell>
          <cell r="B2334" t="str">
            <v>2</v>
          </cell>
          <cell r="C2334" t="str">
            <v/>
          </cell>
          <cell r="D2334" t="str">
            <v>NP</v>
          </cell>
          <cell r="E2334" t="str">
            <v>JOSE DAVID</v>
          </cell>
          <cell r="F2334" t="str">
            <v>OROPEZA MARTINEZ</v>
          </cell>
          <cell r="G2334" t="str">
            <v>OROPEZA MARTINEZ JOSE DAVID</v>
          </cell>
          <cell r="H2334" t="str">
            <v>RESI</v>
          </cell>
          <cell r="I2334" t="str">
            <v>REGIMEN SIMPLIFICADO</v>
          </cell>
          <cell r="J2334" t="str">
            <v>CL 6 SUR   23 A   10</v>
          </cell>
          <cell r="K2334" t="str">
            <v>50001</v>
          </cell>
          <cell r="L2334" t="str">
            <v>VILLAVICENCIO</v>
          </cell>
          <cell r="M2334" t="str">
            <v>3134297556</v>
          </cell>
        </row>
        <row r="2335">
          <cell r="A2335">
            <v>74846582</v>
          </cell>
          <cell r="B2335" t="str">
            <v>5</v>
          </cell>
          <cell r="C2335" t="str">
            <v/>
          </cell>
          <cell r="D2335" t="str">
            <v>NP</v>
          </cell>
          <cell r="E2335" t="str">
            <v>MONCHY YOBANY</v>
          </cell>
          <cell r="F2335" t="str">
            <v>MORENO GUALDRON</v>
          </cell>
          <cell r="G2335" t="str">
            <v>MORENO GUALDRON MONCHY YOBANY</v>
          </cell>
          <cell r="H2335" t="str">
            <v>RESI</v>
          </cell>
          <cell r="I2335" t="str">
            <v>REGIMEN SIMPLIFICADO</v>
          </cell>
          <cell r="J2335" t="str">
            <v>CR 10   5   21</v>
          </cell>
          <cell r="K2335" t="str">
            <v>85230</v>
          </cell>
          <cell r="L2335" t="str">
            <v>OROCUÉ</v>
          </cell>
          <cell r="M2335" t="str">
            <v>3134415893</v>
          </cell>
        </row>
        <row r="2336">
          <cell r="A2336">
            <v>74846629</v>
          </cell>
          <cell r="B2336" t="str">
            <v>2</v>
          </cell>
          <cell r="C2336" t="str">
            <v/>
          </cell>
          <cell r="D2336" t="str">
            <v>NP</v>
          </cell>
          <cell r="E2336" t="str">
            <v>WILMER</v>
          </cell>
          <cell r="F2336" t="str">
            <v>LOPEZ OROS</v>
          </cell>
          <cell r="G2336" t="str">
            <v>LOPEZ OROS WILMER</v>
          </cell>
          <cell r="H2336" t="str">
            <v>RESI</v>
          </cell>
          <cell r="I2336" t="str">
            <v>REGIMEN SIMPLIFICADO</v>
          </cell>
          <cell r="J2336" t="str">
            <v>CR 11 4 51 BRR VILLA SOLANO</v>
          </cell>
          <cell r="K2336" t="str">
            <v>85430</v>
          </cell>
          <cell r="L2336" t="str">
            <v>TRINIDAD</v>
          </cell>
          <cell r="M2336" t="str">
            <v>3102688145</v>
          </cell>
        </row>
        <row r="2337">
          <cell r="A2337">
            <v>74846775</v>
          </cell>
          <cell r="B2337" t="str">
            <v/>
          </cell>
          <cell r="C2337" t="str">
            <v/>
          </cell>
          <cell r="D2337" t="str">
            <v>CC</v>
          </cell>
          <cell r="E2337" t="str">
            <v>EVER</v>
          </cell>
          <cell r="F2337" t="str">
            <v>MARTA BECERRA</v>
          </cell>
          <cell r="G2337" t="str">
            <v>MARTA BECERRA EVER</v>
          </cell>
          <cell r="H2337" t="str">
            <v>RESI</v>
          </cell>
          <cell r="I2337" t="str">
            <v>REGIMEN SIMPLIFICADO</v>
          </cell>
          <cell r="J2337" t="str">
            <v>CL 20   21 B   04</v>
          </cell>
          <cell r="K2337" t="str">
            <v>85001</v>
          </cell>
          <cell r="L2337" t="str">
            <v>YOPAL</v>
          </cell>
          <cell r="M2337" t="str">
            <v>3114490714</v>
          </cell>
        </row>
        <row r="2338">
          <cell r="A2338">
            <v>74846992</v>
          </cell>
          <cell r="B2338" t="str">
            <v>1</v>
          </cell>
          <cell r="C2338" t="str">
            <v/>
          </cell>
          <cell r="D2338" t="str">
            <v>NP</v>
          </cell>
          <cell r="E2338" t="str">
            <v>EDGAR</v>
          </cell>
          <cell r="F2338" t="str">
            <v>DUARTE MORENO</v>
          </cell>
          <cell r="G2338" t="str">
            <v>DUARTE MORENO EDGAR</v>
          </cell>
          <cell r="H2338" t="str">
            <v>RECO</v>
          </cell>
          <cell r="I2338" t="str">
            <v>REGIMEN COMUN</v>
          </cell>
          <cell r="J2338" t="str">
            <v>CL 2 5 60 BRR  CENTRO</v>
          </cell>
          <cell r="K2338" t="str">
            <v>85325</v>
          </cell>
          <cell r="L2338" t="str">
            <v>SAN LUIS DE PALENQUE</v>
          </cell>
          <cell r="M2338" t="str">
            <v>3208315103</v>
          </cell>
        </row>
        <row r="2339">
          <cell r="A2339">
            <v>74847136</v>
          </cell>
          <cell r="B2339" t="str">
            <v/>
          </cell>
          <cell r="C2339" t="str">
            <v/>
          </cell>
          <cell r="D2339" t="str">
            <v>CC</v>
          </cell>
          <cell r="E2339" t="str">
            <v>JOSE EULOGIO</v>
          </cell>
          <cell r="F2339" t="str">
            <v>ALVAREZ</v>
          </cell>
          <cell r="G2339" t="str">
            <v>ALVAREZ JOSE EULOGIO</v>
          </cell>
          <cell r="H2339" t="str">
            <v>RESI</v>
          </cell>
          <cell r="I2339" t="str">
            <v>REGIMEN SIMPLIFICADO</v>
          </cell>
          <cell r="J2339" t="str">
            <v>MCP SAN LUIS DE PALENQUE VRD LA BENDICION FCA EL DESENGAÑO</v>
          </cell>
          <cell r="K2339" t="str">
            <v>85001</v>
          </cell>
          <cell r="L2339" t="str">
            <v>YOPAL</v>
          </cell>
          <cell r="M2339" t="str">
            <v>3118277296</v>
          </cell>
        </row>
        <row r="2340">
          <cell r="A2340">
            <v>74847245</v>
          </cell>
          <cell r="B2340" t="str">
            <v>2</v>
          </cell>
          <cell r="C2340" t="str">
            <v/>
          </cell>
          <cell r="D2340" t="str">
            <v>NP</v>
          </cell>
          <cell r="E2340" t="str">
            <v>JORGE ANTONIO</v>
          </cell>
          <cell r="F2340" t="str">
            <v>MONROY PEDRAZA</v>
          </cell>
          <cell r="G2340" t="str">
            <v>MONROY PEDRAZA JORGE ANTONIO</v>
          </cell>
          <cell r="H2340" t="str">
            <v>RECO</v>
          </cell>
          <cell r="I2340" t="str">
            <v>REGIMEN COMUN</v>
          </cell>
          <cell r="J2340" t="str">
            <v>CR 13 7 15</v>
          </cell>
          <cell r="K2340" t="str">
            <v>85430</v>
          </cell>
          <cell r="L2340" t="str">
            <v>TRINIDAD</v>
          </cell>
          <cell r="M2340" t="str">
            <v>6331783</v>
          </cell>
        </row>
        <row r="2341">
          <cell r="A2341">
            <v>74847307</v>
          </cell>
          <cell r="B2341" t="str">
            <v/>
          </cell>
          <cell r="C2341" t="str">
            <v/>
          </cell>
          <cell r="D2341" t="str">
            <v>CC</v>
          </cell>
          <cell r="E2341" t="str">
            <v>MANUEL ALBERTO</v>
          </cell>
          <cell r="F2341" t="str">
            <v>CAMEJO ENCINOZA</v>
          </cell>
          <cell r="G2341" t="str">
            <v>CAMEJO ENCINOZA MANUEL ALBERTO</v>
          </cell>
          <cell r="H2341" t="str">
            <v>RESI</v>
          </cell>
          <cell r="I2341" t="str">
            <v>REGIMEN SIMPLIFICADO</v>
          </cell>
          <cell r="J2341" t="str">
            <v>FCA LAS FLORES VRD LAS CAÑAS</v>
          </cell>
          <cell r="K2341" t="str">
            <v>85430</v>
          </cell>
          <cell r="L2341" t="str">
            <v>TRINIDAD</v>
          </cell>
          <cell r="M2341" t="str">
            <v>3142502960</v>
          </cell>
        </row>
        <row r="2342">
          <cell r="A2342">
            <v>74847315</v>
          </cell>
          <cell r="B2342" t="str">
            <v/>
          </cell>
          <cell r="C2342" t="str">
            <v/>
          </cell>
          <cell r="D2342" t="str">
            <v>CC</v>
          </cell>
          <cell r="E2342" t="str">
            <v>HUGO JANIO</v>
          </cell>
          <cell r="F2342" t="str">
            <v>LOPEZ CHAQUEA</v>
          </cell>
          <cell r="G2342" t="str">
            <v>LOPEZ CHAQUEA HUGO JANIO</v>
          </cell>
          <cell r="H2342" t="str">
            <v>RESI</v>
          </cell>
          <cell r="I2342" t="str">
            <v>REGIMEN SIMPLIFICADO</v>
          </cell>
          <cell r="J2342" t="str">
            <v>XXX</v>
          </cell>
          <cell r="K2342" t="str">
            <v>17001</v>
          </cell>
          <cell r="L2342" t="str">
            <v>MANIZALES</v>
          </cell>
          <cell r="M2342" t="str">
            <v>XXX</v>
          </cell>
        </row>
        <row r="2343">
          <cell r="A2343">
            <v>74847474</v>
          </cell>
          <cell r="B2343" t="str">
            <v>2</v>
          </cell>
          <cell r="C2343" t="str">
            <v/>
          </cell>
          <cell r="D2343" t="str">
            <v>NP</v>
          </cell>
          <cell r="E2343" t="str">
            <v>FAUNER YECID</v>
          </cell>
          <cell r="F2343" t="str">
            <v>CABRERA GARCIA</v>
          </cell>
          <cell r="G2343" t="str">
            <v>CABRERA GARCIA FAUNER YECID</v>
          </cell>
          <cell r="H2343" t="str">
            <v>RESI</v>
          </cell>
          <cell r="I2343" t="str">
            <v>REGIMEN SIMPLIFICADO</v>
          </cell>
          <cell r="J2343" t="str">
            <v>CL 9   9 A 63</v>
          </cell>
          <cell r="K2343" t="str">
            <v>85430</v>
          </cell>
          <cell r="L2343" t="str">
            <v>TRINIDAD</v>
          </cell>
          <cell r="M2343" t="str">
            <v>3123089766</v>
          </cell>
        </row>
        <row r="2344">
          <cell r="A2344">
            <v>74847495</v>
          </cell>
          <cell r="B2344" t="str">
            <v/>
          </cell>
          <cell r="C2344" t="str">
            <v/>
          </cell>
          <cell r="D2344" t="str">
            <v>CC</v>
          </cell>
          <cell r="E2344" t="str">
            <v>HILBER</v>
          </cell>
          <cell r="F2344" t="str">
            <v>CHAQUEA BURGOS</v>
          </cell>
          <cell r="G2344" t="str">
            <v>CHAQUEA BURGOS HILBER</v>
          </cell>
          <cell r="H2344" t="str">
            <v>RESI</v>
          </cell>
          <cell r="I2344" t="str">
            <v>REGIMEN SIMPLIFICADO</v>
          </cell>
          <cell r="J2344" t="str">
            <v>CR 3   7   57</v>
          </cell>
          <cell r="K2344" t="str">
            <v>85430</v>
          </cell>
          <cell r="L2344" t="str">
            <v>TRINIDAD</v>
          </cell>
          <cell r="M2344" t="str">
            <v>3134173891</v>
          </cell>
        </row>
        <row r="2345">
          <cell r="A2345">
            <v>74847584</v>
          </cell>
          <cell r="B2345" t="str">
            <v>4</v>
          </cell>
          <cell r="C2345" t="str">
            <v/>
          </cell>
          <cell r="D2345" t="str">
            <v>NP</v>
          </cell>
          <cell r="E2345" t="str">
            <v>JOSE PASCUAL</v>
          </cell>
          <cell r="F2345" t="str">
            <v>CAMEJO ENCINOSA</v>
          </cell>
          <cell r="G2345" t="str">
            <v>CAMEJO ENCINOSA JOSE PASCUAL</v>
          </cell>
          <cell r="H2345" t="str">
            <v>RESI</v>
          </cell>
          <cell r="I2345" t="str">
            <v>REGIMEN SIMPLIFICADO</v>
          </cell>
          <cell r="J2345" t="str">
            <v>FCA ARIZONA VRD LAS CAÑAS</v>
          </cell>
          <cell r="K2345" t="str">
            <v>85325</v>
          </cell>
          <cell r="L2345" t="str">
            <v>SAN LUIS DE PALENQUE</v>
          </cell>
          <cell r="M2345" t="str">
            <v>3118103708</v>
          </cell>
        </row>
        <row r="2346">
          <cell r="A2346">
            <v>74847783</v>
          </cell>
          <cell r="B2346" t="str">
            <v/>
          </cell>
          <cell r="C2346" t="str">
            <v/>
          </cell>
          <cell r="D2346" t="str">
            <v>CC</v>
          </cell>
          <cell r="E2346" t="str">
            <v>MIGUEL</v>
          </cell>
          <cell r="F2346" t="str">
            <v>RODRIGUEZ SOSA</v>
          </cell>
          <cell r="G2346" t="str">
            <v>RODRIGUEZ SOSA MIGUEL</v>
          </cell>
          <cell r="H2346" t="str">
            <v>RESI</v>
          </cell>
          <cell r="I2346" t="str">
            <v>REGIMEN SIMPLIFICADO</v>
          </cell>
          <cell r="J2346" t="str">
            <v>MCP SANTA ROSALIA</v>
          </cell>
          <cell r="K2346" t="str">
            <v>85430</v>
          </cell>
          <cell r="L2346" t="str">
            <v>TRINIDAD</v>
          </cell>
          <cell r="M2346" t="str">
            <v>8874100</v>
          </cell>
        </row>
        <row r="2347">
          <cell r="A2347">
            <v>74847824</v>
          </cell>
          <cell r="B2347" t="str">
            <v/>
          </cell>
          <cell r="C2347" t="str">
            <v/>
          </cell>
          <cell r="D2347" t="str">
            <v>CC</v>
          </cell>
          <cell r="E2347" t="str">
            <v>ALONSO</v>
          </cell>
          <cell r="F2347" t="str">
            <v>MANCIPE AVILA</v>
          </cell>
          <cell r="G2347" t="str">
            <v>MANCIPE AVILA ALONSO</v>
          </cell>
          <cell r="H2347" t="str">
            <v>RESI</v>
          </cell>
          <cell r="I2347" t="str">
            <v>REGIMEN SIMPLIFICADO</v>
          </cell>
          <cell r="J2347" t="str">
            <v>VRD EL MEREY PD PIOR ES NADA</v>
          </cell>
          <cell r="K2347" t="str">
            <v>85325</v>
          </cell>
          <cell r="L2347" t="str">
            <v>SAN LUIS DE PALENQUE</v>
          </cell>
          <cell r="M2347" t="str">
            <v>3112373921</v>
          </cell>
        </row>
        <row r="2348">
          <cell r="A2348">
            <v>74848807</v>
          </cell>
          <cell r="B2348" t="str">
            <v>6</v>
          </cell>
          <cell r="C2348" t="str">
            <v/>
          </cell>
          <cell r="D2348" t="str">
            <v>NP</v>
          </cell>
          <cell r="E2348" t="str">
            <v>WANDER LINDER</v>
          </cell>
          <cell r="F2348" t="str">
            <v>ANGEL AVILA</v>
          </cell>
          <cell r="G2348" t="str">
            <v>ANGEL AVILA WANDER LINDER</v>
          </cell>
          <cell r="H2348" t="str">
            <v>RESI</v>
          </cell>
          <cell r="I2348" t="str">
            <v>REGIMEN SIMPLIFICADO</v>
          </cell>
          <cell r="J2348" t="str">
            <v>VRD EL TIGRE FCA MARBELLA</v>
          </cell>
          <cell r="K2348" t="str">
            <v>85325</v>
          </cell>
          <cell r="L2348" t="str">
            <v>SAN LUIS DE PALENQUE</v>
          </cell>
          <cell r="M2348" t="str">
            <v>3112538714</v>
          </cell>
        </row>
        <row r="2349">
          <cell r="A2349">
            <v>74856612</v>
          </cell>
          <cell r="B2349" t="str">
            <v/>
          </cell>
          <cell r="C2349" t="str">
            <v/>
          </cell>
          <cell r="D2349" t="str">
            <v>CC</v>
          </cell>
          <cell r="E2349" t="str">
            <v>BALERIO</v>
          </cell>
          <cell r="F2349" t="str">
            <v>DIAZ</v>
          </cell>
          <cell r="G2349" t="str">
            <v>DIAZ BALERIO</v>
          </cell>
          <cell r="H2349" t="str">
            <v>RESI</v>
          </cell>
          <cell r="I2349" t="str">
            <v>REGIMEN SIMPLIFICADO</v>
          </cell>
          <cell r="J2349" t="str">
            <v>VRD EL SOCORRO</v>
          </cell>
          <cell r="K2349" t="str">
            <v>85325</v>
          </cell>
          <cell r="L2349" t="str">
            <v>SAN LUIS DE PALENQUE</v>
          </cell>
          <cell r="M2349" t="str">
            <v>3143458801</v>
          </cell>
        </row>
        <row r="2350">
          <cell r="A2350">
            <v>74859708</v>
          </cell>
          <cell r="B2350" t="str">
            <v>2</v>
          </cell>
          <cell r="C2350" t="str">
            <v/>
          </cell>
          <cell r="D2350" t="str">
            <v>NP</v>
          </cell>
          <cell r="E2350" t="str">
            <v>EYESID</v>
          </cell>
          <cell r="F2350" t="str">
            <v>CERON AGUIRRE</v>
          </cell>
          <cell r="G2350" t="str">
            <v>CERON AGUIRRE EYESID</v>
          </cell>
          <cell r="H2350" t="str">
            <v>NORE</v>
          </cell>
          <cell r="I2350" t="str">
            <v>NO RESPONSABLE DE IVA</v>
          </cell>
          <cell r="J2350" t="str">
            <v>CL 18 21 84</v>
          </cell>
          <cell r="K2350" t="str">
            <v>85001</v>
          </cell>
          <cell r="L2350" t="str">
            <v>YOPAL</v>
          </cell>
          <cell r="M2350" t="str">
            <v>3213033781</v>
          </cell>
        </row>
        <row r="2351">
          <cell r="A2351">
            <v>74860538</v>
          </cell>
          <cell r="B2351" t="str">
            <v>9</v>
          </cell>
          <cell r="C2351" t="str">
            <v/>
          </cell>
          <cell r="D2351" t="str">
            <v>NP</v>
          </cell>
          <cell r="E2351" t="str">
            <v>NELSON JAVIER</v>
          </cell>
          <cell r="F2351" t="str">
            <v>BAYONA MARTINEZ</v>
          </cell>
          <cell r="G2351" t="str">
            <v>BAYONA MARTINEZ NELSON JAVIER</v>
          </cell>
          <cell r="H2351" t="str">
            <v>RESI</v>
          </cell>
          <cell r="I2351" t="str">
            <v>REGIMEN SIMPLIFICADO</v>
          </cell>
          <cell r="J2351" t="str">
            <v>CR 18  30 51 BRR 20 DE JULIO</v>
          </cell>
          <cell r="K2351" t="str">
            <v>85001</v>
          </cell>
          <cell r="L2351" t="str">
            <v>YOPAL</v>
          </cell>
          <cell r="M2351" t="str">
            <v>6359026</v>
          </cell>
        </row>
        <row r="2352">
          <cell r="A2352">
            <v>74860851</v>
          </cell>
          <cell r="B2352" t="str">
            <v>1</v>
          </cell>
          <cell r="C2352" t="str">
            <v/>
          </cell>
          <cell r="D2352" t="str">
            <v>NP</v>
          </cell>
          <cell r="E2352" t="str">
            <v>JULIO</v>
          </cell>
          <cell r="F2352" t="str">
            <v>CACHAY</v>
          </cell>
          <cell r="G2352" t="str">
            <v>CACHAY JULIO</v>
          </cell>
          <cell r="H2352" t="str">
            <v>RESI</v>
          </cell>
          <cell r="I2352" t="str">
            <v>REGIMEN SIMPLIFICADO</v>
          </cell>
          <cell r="J2352" t="str">
            <v>VRD LA YOPALOSA</v>
          </cell>
          <cell r="K2352" t="str">
            <v>85225</v>
          </cell>
          <cell r="L2352" t="str">
            <v>NUNCHÍA</v>
          </cell>
          <cell r="M2352" t="str">
            <v>3203078219</v>
          </cell>
        </row>
        <row r="2353">
          <cell r="A2353">
            <v>74865404</v>
          </cell>
          <cell r="B2353" t="str">
            <v>3</v>
          </cell>
          <cell r="C2353" t="str">
            <v/>
          </cell>
          <cell r="D2353" t="str">
            <v>NP</v>
          </cell>
          <cell r="E2353" t="str">
            <v>PEDRO EMILIO</v>
          </cell>
          <cell r="F2353" t="str">
            <v>CHAQUEA BURGOS</v>
          </cell>
          <cell r="G2353" t="str">
            <v>CHAQUEA BURGOS PEDRO EMILIO</v>
          </cell>
          <cell r="H2353" t="str">
            <v>RESI</v>
          </cell>
          <cell r="I2353" t="str">
            <v>REGIMEN SIMPLIFICADO</v>
          </cell>
          <cell r="J2353" t="str">
            <v>CR 8 A   9   19 BRR SAN JORGE</v>
          </cell>
          <cell r="K2353" t="str">
            <v>85430</v>
          </cell>
          <cell r="L2353" t="str">
            <v>TRINIDAD</v>
          </cell>
          <cell r="M2353" t="str">
            <v>3123514095</v>
          </cell>
        </row>
        <row r="2354">
          <cell r="A2354">
            <v>74865414</v>
          </cell>
          <cell r="B2354" t="str">
            <v/>
          </cell>
          <cell r="C2354" t="str">
            <v/>
          </cell>
          <cell r="D2354" t="str">
            <v>CC</v>
          </cell>
          <cell r="E2354" t="str">
            <v>DENERY LIBARDO</v>
          </cell>
          <cell r="F2354" t="str">
            <v>CHAQUEA CASTRO</v>
          </cell>
          <cell r="G2354" t="str">
            <v>CHAQUEA CASTRO DENERY LIBARDO</v>
          </cell>
          <cell r="H2354" t="str">
            <v>RESI</v>
          </cell>
          <cell r="I2354" t="str">
            <v>REGIMEN SIMPLIFICADO</v>
          </cell>
          <cell r="J2354" t="str">
            <v>URB CONSUELO I I</v>
          </cell>
          <cell r="K2354" t="str">
            <v>99624</v>
          </cell>
          <cell r="L2354" t="str">
            <v>SANTA ROSALÍA</v>
          </cell>
          <cell r="M2354" t="str">
            <v>32120487790</v>
          </cell>
        </row>
        <row r="2355">
          <cell r="A2355">
            <v>74865420</v>
          </cell>
          <cell r="B2355" t="str">
            <v>1</v>
          </cell>
          <cell r="C2355" t="str">
            <v/>
          </cell>
          <cell r="D2355" t="str">
            <v>NP</v>
          </cell>
          <cell r="E2355" t="str">
            <v>RONALDO</v>
          </cell>
          <cell r="F2355" t="str">
            <v>ALVAREZ ROMERO</v>
          </cell>
          <cell r="G2355" t="str">
            <v>ALVAREZ ROMERO RONALDO</v>
          </cell>
          <cell r="H2355" t="str">
            <v>RESI</v>
          </cell>
          <cell r="I2355" t="str">
            <v>REGIMEN SIMPLIFICADO</v>
          </cell>
          <cell r="J2355" t="str">
            <v>FCA MARACAIBO VDA EL TIGRE</v>
          </cell>
          <cell r="K2355" t="str">
            <v>85325</v>
          </cell>
          <cell r="L2355" t="str">
            <v>SAN LUIS DE PALENQUE</v>
          </cell>
          <cell r="M2355" t="str">
            <v>3112885610</v>
          </cell>
        </row>
        <row r="2356">
          <cell r="A2356">
            <v>74865451</v>
          </cell>
          <cell r="B2356" t="str">
            <v/>
          </cell>
          <cell r="C2356" t="str">
            <v/>
          </cell>
          <cell r="D2356" t="str">
            <v>CC</v>
          </cell>
          <cell r="E2356" t="str">
            <v>DANI ALEXANDER</v>
          </cell>
          <cell r="F2356" t="str">
            <v>CASTAÑEDA BARRERA</v>
          </cell>
          <cell r="G2356" t="str">
            <v>CASTAÑEDA BARRERA DANI ALEXANDER</v>
          </cell>
          <cell r="H2356" t="str">
            <v>RESI</v>
          </cell>
          <cell r="I2356" t="str">
            <v>REGIMEN SIMPLIFICADO</v>
          </cell>
          <cell r="J2356" t="str">
            <v>VRD PLATANALES LT TERRENO</v>
          </cell>
          <cell r="K2356" t="str">
            <v>85325</v>
          </cell>
          <cell r="L2356" t="str">
            <v>SAN LUIS DE PALENQUE</v>
          </cell>
          <cell r="M2356" t="str">
            <v>3209509072</v>
          </cell>
        </row>
        <row r="2357">
          <cell r="A2357">
            <v>74866239</v>
          </cell>
          <cell r="B2357" t="str">
            <v>9</v>
          </cell>
          <cell r="C2357" t="str">
            <v/>
          </cell>
          <cell r="D2357" t="str">
            <v>NP</v>
          </cell>
          <cell r="E2357" t="str">
            <v>JOSE WOLMAR</v>
          </cell>
          <cell r="F2357" t="str">
            <v>PARRA JAIMES</v>
          </cell>
          <cell r="G2357" t="str">
            <v>PARRA JAIMES JOSE WOLMAR</v>
          </cell>
          <cell r="H2357" t="str">
            <v>RECO</v>
          </cell>
          <cell r="I2357" t="str">
            <v>REGIMEN COMUN</v>
          </cell>
          <cell r="J2357" t="str">
            <v>CL 6   1   09</v>
          </cell>
          <cell r="K2357" t="str">
            <v>85430</v>
          </cell>
          <cell r="L2357" t="str">
            <v>TRINIDAD</v>
          </cell>
          <cell r="M2357" t="str">
            <v>3112404612</v>
          </cell>
        </row>
        <row r="2358">
          <cell r="A2358">
            <v>74866261</v>
          </cell>
          <cell r="B2358" t="str">
            <v/>
          </cell>
          <cell r="C2358" t="str">
            <v/>
          </cell>
          <cell r="D2358" t="str">
            <v>CC</v>
          </cell>
          <cell r="E2358" t="str">
            <v>MANUEL</v>
          </cell>
          <cell r="F2358" t="str">
            <v>PINZON RIAÑO</v>
          </cell>
          <cell r="G2358" t="str">
            <v>PINZON RIAÑO MANUEL</v>
          </cell>
          <cell r="H2358" t="str">
            <v>RESI</v>
          </cell>
          <cell r="I2358" t="str">
            <v>REGIMEN SIMPLIFICADO</v>
          </cell>
          <cell r="J2358" t="str">
            <v>VRD EL TIGRE PD 61 A</v>
          </cell>
          <cell r="K2358" t="str">
            <v>85325</v>
          </cell>
          <cell r="L2358" t="str">
            <v>SAN LUIS DE PALENQUE</v>
          </cell>
          <cell r="M2358" t="str">
            <v>3223779635</v>
          </cell>
        </row>
        <row r="2359">
          <cell r="A2359">
            <v>74866387</v>
          </cell>
          <cell r="B2359" t="str">
            <v>0</v>
          </cell>
          <cell r="C2359" t="str">
            <v/>
          </cell>
          <cell r="D2359" t="str">
            <v>NP</v>
          </cell>
          <cell r="E2359" t="str">
            <v>ONEXIMO</v>
          </cell>
          <cell r="F2359" t="str">
            <v>IBICA GARCÍA</v>
          </cell>
          <cell r="G2359" t="str">
            <v>IBICA GARCÍA ONEXIMO</v>
          </cell>
          <cell r="H2359" t="str">
            <v>RECO</v>
          </cell>
          <cell r="I2359" t="str">
            <v>REGIMEN COMUN</v>
          </cell>
          <cell r="J2359" t="str">
            <v>CR 5   6   09</v>
          </cell>
          <cell r="K2359" t="str">
            <v>85430</v>
          </cell>
          <cell r="L2359" t="str">
            <v>TRINIDAD</v>
          </cell>
          <cell r="M2359" t="str">
            <v>3124313651</v>
          </cell>
        </row>
        <row r="2360">
          <cell r="A2360">
            <v>74866411</v>
          </cell>
          <cell r="B2360" t="str">
            <v/>
          </cell>
          <cell r="C2360" t="str">
            <v/>
          </cell>
          <cell r="D2360" t="str">
            <v>CC</v>
          </cell>
          <cell r="E2360" t="str">
            <v>HOLVIN ARMANDO</v>
          </cell>
          <cell r="F2360" t="str">
            <v>BETANCOURT LEAL</v>
          </cell>
          <cell r="G2360" t="str">
            <v>BETANCOURT LEAL HOLVIN ARMANDO</v>
          </cell>
          <cell r="H2360" t="str">
            <v>FUNC</v>
          </cell>
          <cell r="I2360" t="str">
            <v>FUNCIONARIO</v>
          </cell>
          <cell r="J2360" t="str">
            <v>FINCA SAN JOAQUIN VEREDA LOS CHOCHOS</v>
          </cell>
          <cell r="K2360" t="str">
            <v>85001</v>
          </cell>
          <cell r="L2360" t="str">
            <v>YOPAL</v>
          </cell>
          <cell r="M2360" t="str">
            <v>3123958801</v>
          </cell>
        </row>
        <row r="2361">
          <cell r="A2361">
            <v>75003373</v>
          </cell>
          <cell r="B2361" t="str">
            <v/>
          </cell>
          <cell r="C2361" t="str">
            <v/>
          </cell>
          <cell r="D2361" t="str">
            <v>CC</v>
          </cell>
          <cell r="E2361" t="str">
            <v>LUIS ALBERTO</v>
          </cell>
          <cell r="F2361" t="str">
            <v>GIRALDO FERNANDEZ</v>
          </cell>
          <cell r="G2361" t="str">
            <v>GIRALDO FERNANDEZ LUIS ALBERTO</v>
          </cell>
          <cell r="H2361" t="str">
            <v>FUNC</v>
          </cell>
          <cell r="I2361" t="str">
            <v>FUNCIONARIO</v>
          </cell>
          <cell r="J2361" t="str">
            <v>CR 20   58 A   01 BRR PRADOS DE LA COLINA CA 13</v>
          </cell>
          <cell r="K2361" t="str">
            <v>17001</v>
          </cell>
          <cell r="L2361" t="str">
            <v>MANIZALES</v>
          </cell>
          <cell r="M2361" t="str">
            <v>8909854</v>
          </cell>
        </row>
        <row r="2362">
          <cell r="A2362">
            <v>75004669</v>
          </cell>
          <cell r="B2362" t="str">
            <v/>
          </cell>
          <cell r="C2362" t="str">
            <v/>
          </cell>
          <cell r="D2362" t="str">
            <v>CC</v>
          </cell>
          <cell r="E2362" t="str">
            <v>JULIAN RENE</v>
          </cell>
          <cell r="F2362" t="str">
            <v>CUERVO VELEZ</v>
          </cell>
          <cell r="G2362" t="str">
            <v>CUERVO VELEZ JULIAN RENE</v>
          </cell>
          <cell r="H2362" t="str">
            <v>FUNC</v>
          </cell>
          <cell r="I2362" t="str">
            <v>FUNCIONARIO</v>
          </cell>
          <cell r="J2362" t="str">
            <v>CL LA ALDEA MCP MARQUETALIA</v>
          </cell>
          <cell r="K2362" t="str">
            <v>17001</v>
          </cell>
          <cell r="L2362" t="str">
            <v>MANIZALES</v>
          </cell>
          <cell r="M2362" t="str">
            <v>3206638935</v>
          </cell>
        </row>
        <row r="2363">
          <cell r="A2363">
            <v>75031449</v>
          </cell>
          <cell r="B2363" t="str">
            <v>9</v>
          </cell>
          <cell r="C2363" t="str">
            <v/>
          </cell>
          <cell r="D2363" t="str">
            <v>NP</v>
          </cell>
          <cell r="E2363" t="str">
            <v>JOSE DAIRO</v>
          </cell>
          <cell r="F2363" t="str">
            <v>ROMAN SALAZAR</v>
          </cell>
          <cell r="G2363" t="str">
            <v>ROMAN SALAZAR JOSE DAIRO</v>
          </cell>
          <cell r="H2363" t="str">
            <v>RECO</v>
          </cell>
          <cell r="I2363" t="str">
            <v>REGIMEN COMUN</v>
          </cell>
          <cell r="J2363" t="str">
            <v xml:space="preserve"> CL 25  23 51 AP 402</v>
          </cell>
          <cell r="K2363" t="str">
            <v>17001</v>
          </cell>
          <cell r="L2363" t="str">
            <v>MANIZALES</v>
          </cell>
          <cell r="M2363" t="str">
            <v>8824634</v>
          </cell>
        </row>
        <row r="2364">
          <cell r="A2364">
            <v>75032278</v>
          </cell>
          <cell r="B2364" t="str">
            <v>0</v>
          </cell>
          <cell r="C2364" t="str">
            <v/>
          </cell>
          <cell r="D2364" t="str">
            <v>NP</v>
          </cell>
          <cell r="E2364" t="str">
            <v>JORGE AUGUSTO</v>
          </cell>
          <cell r="F2364" t="str">
            <v>RESTREPO GARCIA</v>
          </cell>
          <cell r="G2364" t="str">
            <v>RESTREPO GARCIA JORGE AUGUSTO</v>
          </cell>
          <cell r="H2364" t="str">
            <v>RESI</v>
          </cell>
          <cell r="I2364" t="str">
            <v>REGIMEN SIMPLIFICADO</v>
          </cell>
          <cell r="J2364" t="str">
            <v>CR 9 8 43</v>
          </cell>
          <cell r="K2364" t="str">
            <v>17486</v>
          </cell>
          <cell r="L2364" t="str">
            <v>NEIRA</v>
          </cell>
          <cell r="M2364" t="str">
            <v>3218119360</v>
          </cell>
        </row>
        <row r="2365">
          <cell r="A2365">
            <v>75033703</v>
          </cell>
          <cell r="B2365" t="str">
            <v>4</v>
          </cell>
          <cell r="C2365" t="str">
            <v/>
          </cell>
          <cell r="D2365" t="str">
            <v>NP</v>
          </cell>
          <cell r="E2365" t="str">
            <v>JOHN JAIRO</v>
          </cell>
          <cell r="F2365" t="str">
            <v>SALAZAR MUÑOZ</v>
          </cell>
          <cell r="G2365" t="str">
            <v>SALAZAR MUÑOZ JOHN JAIRO</v>
          </cell>
          <cell r="H2365" t="str">
            <v>RESI</v>
          </cell>
          <cell r="I2365" t="str">
            <v>REGIMEN SIMPLIFICADO</v>
          </cell>
          <cell r="J2365" t="str">
            <v>KM 1 VIA NEIRA ARANZAZU BRR LA ISABELA</v>
          </cell>
          <cell r="K2365" t="str">
            <v>17486</v>
          </cell>
          <cell r="L2365" t="str">
            <v>NEIRA</v>
          </cell>
          <cell r="M2365" t="str">
            <v>3218584402</v>
          </cell>
        </row>
        <row r="2366">
          <cell r="A2366">
            <v>75049898</v>
          </cell>
          <cell r="B2366" t="str">
            <v>1</v>
          </cell>
          <cell r="C2366" t="str">
            <v/>
          </cell>
          <cell r="D2366" t="str">
            <v>NP</v>
          </cell>
          <cell r="E2366" t="str">
            <v>FENIBAL</v>
          </cell>
          <cell r="F2366" t="str">
            <v>MONSALVE GARCES</v>
          </cell>
          <cell r="G2366" t="str">
            <v>MONSALVE GARCES FENIBAL</v>
          </cell>
          <cell r="H2366" t="str">
            <v>RECO</v>
          </cell>
          <cell r="I2366" t="str">
            <v>REGIMEN COMUN</v>
          </cell>
          <cell r="J2366" t="str">
            <v>CR 27 69 A 12</v>
          </cell>
          <cell r="K2366" t="str">
            <v>17001</v>
          </cell>
          <cell r="L2366" t="str">
            <v>MANIZALES</v>
          </cell>
          <cell r="M2366" t="str">
            <v>8872071</v>
          </cell>
        </row>
        <row r="2367">
          <cell r="A2367">
            <v>75050328</v>
          </cell>
          <cell r="B2367" t="str">
            <v/>
          </cell>
          <cell r="C2367" t="str">
            <v/>
          </cell>
          <cell r="D2367" t="str">
            <v>CC</v>
          </cell>
          <cell r="E2367" t="str">
            <v>RAUL EDUARDO</v>
          </cell>
          <cell r="F2367" t="str">
            <v>VARGAS MORALES</v>
          </cell>
          <cell r="G2367" t="str">
            <v>VARGAS MORALES RAUL EDUARDO</v>
          </cell>
          <cell r="H2367" t="str">
            <v>FUNC</v>
          </cell>
          <cell r="I2367" t="str">
            <v>FUNCIONARIO</v>
          </cell>
          <cell r="J2367" t="str">
            <v>CR 22 N 67 A 169 AP 501</v>
          </cell>
          <cell r="K2367" t="str">
            <v>17001</v>
          </cell>
          <cell r="L2367" t="str">
            <v>MANIZALES</v>
          </cell>
          <cell r="M2367" t="str">
            <v>3148927637</v>
          </cell>
        </row>
        <row r="2368">
          <cell r="A2368">
            <v>75056710</v>
          </cell>
          <cell r="B2368" t="str">
            <v>5</v>
          </cell>
          <cell r="C2368" t="str">
            <v/>
          </cell>
          <cell r="D2368" t="str">
            <v>NP</v>
          </cell>
          <cell r="E2368" t="str">
            <v>PARQUEADERO TAMANACO</v>
          </cell>
          <cell r="F2368" t="str">
            <v>PARQUEADERO TAMANACO</v>
          </cell>
          <cell r="G2368" t="str">
            <v>PARQUEADERO TAMANACO PARQUEADERO TAMANACO</v>
          </cell>
          <cell r="H2368" t="str">
            <v>RESI</v>
          </cell>
          <cell r="I2368" t="str">
            <v>REGIMEN SIMPLIFICADO</v>
          </cell>
          <cell r="J2368" t="str">
            <v>CR 21 N</v>
          </cell>
          <cell r="K2368" t="str">
            <v>17001</v>
          </cell>
          <cell r="L2368" t="str">
            <v>MANIZALES</v>
          </cell>
          <cell r="M2368" t="str">
            <v>3106454402</v>
          </cell>
        </row>
        <row r="2369">
          <cell r="A2369">
            <v>75056782</v>
          </cell>
          <cell r="B2369" t="str">
            <v/>
          </cell>
          <cell r="C2369" t="str">
            <v/>
          </cell>
          <cell r="D2369" t="str">
            <v>CC</v>
          </cell>
          <cell r="E2369" t="str">
            <v>ANDRES MAURICIO</v>
          </cell>
          <cell r="F2369" t="str">
            <v>ALZATE BENJUMEA</v>
          </cell>
          <cell r="G2369" t="str">
            <v>ALZATE BENJUMEA ANDRES MAURICIO</v>
          </cell>
          <cell r="H2369" t="str">
            <v>NORE</v>
          </cell>
          <cell r="I2369" t="str">
            <v>NO RESPONSABLE DE IVA</v>
          </cell>
          <cell r="J2369" t="str">
            <v>MCP MANIZALES</v>
          </cell>
          <cell r="K2369" t="str">
            <v>17001</v>
          </cell>
          <cell r="L2369" t="str">
            <v>MANIZALES</v>
          </cell>
          <cell r="M2369" t="str">
            <v>NO TIENE</v>
          </cell>
        </row>
        <row r="2370">
          <cell r="A2370">
            <v>75063220</v>
          </cell>
          <cell r="B2370" t="str">
            <v>7</v>
          </cell>
          <cell r="C2370" t="str">
            <v/>
          </cell>
          <cell r="D2370" t="str">
            <v>NP</v>
          </cell>
          <cell r="E2370" t="str">
            <v>ALEJANDRO ENRIQUE</v>
          </cell>
          <cell r="F2370" t="str">
            <v>TABORDA SEPULVEDA</v>
          </cell>
          <cell r="G2370" t="str">
            <v>TABORDA SEPULVEDA ALEJANDRO ENRIQUE</v>
          </cell>
          <cell r="H2370" t="str">
            <v>RESI</v>
          </cell>
          <cell r="I2370" t="str">
            <v>REGIMEN SIMPLIFICADO</v>
          </cell>
          <cell r="J2370" t="str">
            <v>CL 26 15 24 BR SAN JOSE</v>
          </cell>
          <cell r="K2370" t="str">
            <v>17001</v>
          </cell>
          <cell r="L2370" t="str">
            <v>MANIZALES</v>
          </cell>
          <cell r="M2370" t="str">
            <v>8823632</v>
          </cell>
        </row>
        <row r="2371">
          <cell r="A2371">
            <v>75063341</v>
          </cell>
          <cell r="B2371" t="str">
            <v>1</v>
          </cell>
          <cell r="C2371" t="str">
            <v/>
          </cell>
          <cell r="D2371" t="str">
            <v>NP</v>
          </cell>
          <cell r="E2371" t="str">
            <v>HECTOR WILLIAM</v>
          </cell>
          <cell r="F2371" t="str">
            <v>REINOSA RODRIGUEZ</v>
          </cell>
          <cell r="G2371" t="str">
            <v>REINOSA RODRIGUEZ HECTOR WILLIAM</v>
          </cell>
          <cell r="H2371" t="str">
            <v>RECO</v>
          </cell>
          <cell r="I2371" t="str">
            <v>REGIMEN COMUN</v>
          </cell>
          <cell r="J2371" t="str">
            <v>cr 26 84 41 ca 55c cdo sierra bonita</v>
          </cell>
          <cell r="K2371" t="str">
            <v>17001</v>
          </cell>
          <cell r="L2371" t="str">
            <v>MANIZALES</v>
          </cell>
          <cell r="M2371" t="str">
            <v>8912627</v>
          </cell>
        </row>
        <row r="2372">
          <cell r="A2372">
            <v>75063388</v>
          </cell>
          <cell r="B2372" t="str">
            <v>5</v>
          </cell>
          <cell r="C2372" t="str">
            <v/>
          </cell>
          <cell r="D2372" t="str">
            <v>NP</v>
          </cell>
          <cell r="E2372" t="str">
            <v>ANDRES</v>
          </cell>
          <cell r="F2372" t="str">
            <v>MARIN MARMOLEJO</v>
          </cell>
          <cell r="G2372" t="str">
            <v>MARIN MARMOLEJO ANDRES</v>
          </cell>
          <cell r="H2372" t="str">
            <v>RECO</v>
          </cell>
          <cell r="I2372" t="str">
            <v>REGIMEN COMUN</v>
          </cell>
          <cell r="J2372" t="str">
            <v xml:space="preserve">CR 24 2 36 MANIZALES               </v>
          </cell>
          <cell r="K2372" t="str">
            <v>17001</v>
          </cell>
          <cell r="L2372" t="str">
            <v>MANIZALES</v>
          </cell>
          <cell r="M2372" t="str">
            <v>8844780</v>
          </cell>
        </row>
        <row r="2373">
          <cell r="A2373">
            <v>75063902</v>
          </cell>
          <cell r="B2373" t="str">
            <v>1</v>
          </cell>
          <cell r="C2373" t="str">
            <v/>
          </cell>
          <cell r="D2373" t="str">
            <v>NP</v>
          </cell>
          <cell r="E2373" t="str">
            <v>JHON HEBERTH</v>
          </cell>
          <cell r="F2373" t="str">
            <v>VALENCIA OSORIO</v>
          </cell>
          <cell r="G2373" t="str">
            <v>VALENCIA OSORIO JHON HEBERTH</v>
          </cell>
          <cell r="H2373" t="str">
            <v>RESI</v>
          </cell>
          <cell r="I2373" t="str">
            <v>REGIMEN SIMPLIFICADO</v>
          </cell>
          <cell r="J2373" t="str">
            <v>CL 23 22  11 OF 204</v>
          </cell>
          <cell r="K2373" t="str">
            <v>17001</v>
          </cell>
          <cell r="L2373" t="str">
            <v>MANIZALES</v>
          </cell>
          <cell r="M2373" t="str">
            <v>3103885907</v>
          </cell>
        </row>
        <row r="2374">
          <cell r="A2374">
            <v>75063954</v>
          </cell>
          <cell r="B2374" t="str">
            <v>4</v>
          </cell>
          <cell r="C2374" t="str">
            <v/>
          </cell>
          <cell r="D2374" t="str">
            <v>NP</v>
          </cell>
          <cell r="E2374" t="str">
            <v>GERMAN AUGUSTO</v>
          </cell>
          <cell r="F2374" t="str">
            <v>ARIAS SALAZAR</v>
          </cell>
          <cell r="G2374" t="str">
            <v>ARIAS SALAZAR GERMAN AUGUSTO</v>
          </cell>
          <cell r="H2374" t="str">
            <v>RCPN</v>
          </cell>
          <cell r="I2374" t="str">
            <v>RESPONSABLE IVA PERSONA NATURAL</v>
          </cell>
          <cell r="J2374" t="str">
            <v>CL 67 F  42 A  36</v>
          </cell>
          <cell r="K2374" t="str">
            <v>17001</v>
          </cell>
          <cell r="L2374" t="str">
            <v>MANIZALES</v>
          </cell>
          <cell r="M2374" t="str">
            <v>8784158</v>
          </cell>
        </row>
        <row r="2375">
          <cell r="A2375">
            <v>75064133</v>
          </cell>
          <cell r="B2375" t="str">
            <v/>
          </cell>
          <cell r="C2375" t="str">
            <v/>
          </cell>
          <cell r="D2375" t="str">
            <v>CC</v>
          </cell>
          <cell r="E2375" t="str">
            <v>MAURICIO</v>
          </cell>
          <cell r="F2375" t="str">
            <v>HENAO OROZCO</v>
          </cell>
          <cell r="G2375" t="str">
            <v>HENAO OROZCO MAURICIO</v>
          </cell>
          <cell r="H2375" t="str">
            <v>NORE</v>
          </cell>
          <cell r="I2375" t="str">
            <v>NO RESPONSABLE DE IVA</v>
          </cell>
          <cell r="J2375" t="str">
            <v>CL 43 N 1 348</v>
          </cell>
          <cell r="K2375" t="str">
            <v>17001</v>
          </cell>
          <cell r="L2375" t="str">
            <v>MANIZALES</v>
          </cell>
          <cell r="M2375" t="str">
            <v>8729207</v>
          </cell>
        </row>
        <row r="2376">
          <cell r="A2376">
            <v>75064359</v>
          </cell>
          <cell r="B2376" t="str">
            <v>6</v>
          </cell>
          <cell r="C2376" t="str">
            <v/>
          </cell>
          <cell r="D2376" t="str">
            <v>NP</v>
          </cell>
          <cell r="E2376" t="str">
            <v>OSCAR FELIPE</v>
          </cell>
          <cell r="F2376" t="str">
            <v>TORRES JURADO</v>
          </cell>
          <cell r="G2376" t="str">
            <v>TORRES JURADO OSCAR FELIPE/PUBLICINTAS</v>
          </cell>
          <cell r="H2376" t="str">
            <v>RECO</v>
          </cell>
          <cell r="I2376" t="str">
            <v>REGIMEN COMUN</v>
          </cell>
          <cell r="J2376" t="str">
            <v>CR 24 A   59   13</v>
          </cell>
          <cell r="K2376" t="str">
            <v>17001</v>
          </cell>
          <cell r="L2376" t="str">
            <v>MANIZALES</v>
          </cell>
          <cell r="M2376" t="str">
            <v>8860055</v>
          </cell>
        </row>
        <row r="2377">
          <cell r="A2377">
            <v>75064633</v>
          </cell>
          <cell r="B2377" t="str">
            <v/>
          </cell>
          <cell r="C2377" t="str">
            <v/>
          </cell>
          <cell r="D2377" t="str">
            <v>CC</v>
          </cell>
          <cell r="E2377" t="str">
            <v>CARLOS ALBERTO</v>
          </cell>
          <cell r="F2377" t="str">
            <v>MONTES HURTADO</v>
          </cell>
          <cell r="G2377" t="str">
            <v>MONTES HURTADO CARLOS ALBERTO</v>
          </cell>
          <cell r="H2377" t="str">
            <v>FUNC</v>
          </cell>
          <cell r="I2377" t="str">
            <v>FUNCIONARIO</v>
          </cell>
          <cell r="J2377" t="str">
            <v>CRA 28D 67-30</v>
          </cell>
          <cell r="K2377" t="str">
            <v>17001</v>
          </cell>
          <cell r="L2377" t="str">
            <v>MANIZALES</v>
          </cell>
          <cell r="M2377" t="str">
            <v>3008933453</v>
          </cell>
        </row>
        <row r="2378">
          <cell r="A2378">
            <v>75064928</v>
          </cell>
          <cell r="B2378" t="str">
            <v>7</v>
          </cell>
          <cell r="C2378" t="str">
            <v/>
          </cell>
          <cell r="D2378" t="str">
            <v>NP</v>
          </cell>
          <cell r="E2378" t="str">
            <v>JORGE HERNAN</v>
          </cell>
          <cell r="F2378" t="str">
            <v>LOTERO ECHEVERRY</v>
          </cell>
          <cell r="G2378" t="str">
            <v>LOTERO ECHEVERRY JORGE HERNAN</v>
          </cell>
          <cell r="H2378" t="str">
            <v>RESI</v>
          </cell>
          <cell r="I2378" t="str">
            <v>REGIMEN SIMPLIFICADO</v>
          </cell>
          <cell r="J2378" t="str">
            <v>DG 40 A 8 38 AP 903</v>
          </cell>
          <cell r="K2378" t="str">
            <v>17001</v>
          </cell>
          <cell r="L2378" t="str">
            <v>MANIZALES</v>
          </cell>
          <cell r="M2378" t="str">
            <v>3137322247</v>
          </cell>
        </row>
        <row r="2379">
          <cell r="A2379">
            <v>75065116</v>
          </cell>
          <cell r="B2379" t="str">
            <v/>
          </cell>
          <cell r="C2379" t="str">
            <v/>
          </cell>
          <cell r="D2379" t="str">
            <v>CC</v>
          </cell>
          <cell r="E2379" t="str">
            <v>EDWIN</v>
          </cell>
          <cell r="F2379" t="str">
            <v>SANCHEZ JIMENEZ</v>
          </cell>
          <cell r="G2379" t="str">
            <v>SANCHEZ JIMENEZ EDWIN</v>
          </cell>
          <cell r="H2379" t="str">
            <v>RESI</v>
          </cell>
          <cell r="I2379" t="str">
            <v>REGIMEN SIMPLIFICADO</v>
          </cell>
          <cell r="J2379" t="str">
            <v>KM 5 NOMBRE VIA TERMALES EL OTOÑO</v>
          </cell>
          <cell r="K2379" t="str">
            <v>17001</v>
          </cell>
          <cell r="L2379" t="str">
            <v>MANIZALES</v>
          </cell>
          <cell r="M2379" t="str">
            <v>3122985473</v>
          </cell>
        </row>
        <row r="2380">
          <cell r="A2380">
            <v>75065315</v>
          </cell>
          <cell r="B2380" t="str">
            <v>7</v>
          </cell>
          <cell r="C2380" t="str">
            <v/>
          </cell>
          <cell r="D2380" t="str">
            <v>NP</v>
          </cell>
          <cell r="E2380" t="str">
            <v>JHON JAIRO</v>
          </cell>
          <cell r="F2380" t="str">
            <v>HERRERA SANCHEZ</v>
          </cell>
          <cell r="G2380" t="str">
            <v>HERRERA SANCHEZ JHON JAIRO</v>
          </cell>
          <cell r="H2380" t="str">
            <v>NORE</v>
          </cell>
          <cell r="I2380" t="str">
            <v>NO RESPONSABLE DE IVA</v>
          </cell>
          <cell r="J2380" t="str">
            <v xml:space="preserve"> CR 23  73 39 BRR MILAN</v>
          </cell>
          <cell r="K2380" t="str">
            <v>17001</v>
          </cell>
          <cell r="L2380" t="str">
            <v>MANIZALES</v>
          </cell>
          <cell r="M2380" t="str">
            <v>3108391095</v>
          </cell>
        </row>
        <row r="2381">
          <cell r="A2381">
            <v>75065479</v>
          </cell>
          <cell r="B2381" t="str">
            <v>6</v>
          </cell>
          <cell r="C2381" t="str">
            <v/>
          </cell>
          <cell r="D2381" t="str">
            <v>NP</v>
          </cell>
          <cell r="E2381" t="str">
            <v>JORGE WILLIAM</v>
          </cell>
          <cell r="F2381" t="str">
            <v>FRANCO MARIN</v>
          </cell>
          <cell r="G2381" t="str">
            <v>FRANCO MARIN JORGE WILLIAM</v>
          </cell>
          <cell r="H2381" t="str">
            <v>RESI</v>
          </cell>
          <cell r="I2381" t="str">
            <v>REGIMEN SIMPLIFICADO</v>
          </cell>
          <cell r="J2381" t="str">
            <v>DG 60  C  TV 10A  04 MZ B  CA 18</v>
          </cell>
          <cell r="K2381" t="str">
            <v>17001</v>
          </cell>
          <cell r="L2381" t="str">
            <v>MANIZALES</v>
          </cell>
          <cell r="M2381" t="str">
            <v>8755296</v>
          </cell>
        </row>
        <row r="2382">
          <cell r="A2382">
            <v>75065486</v>
          </cell>
          <cell r="B2382" t="str">
            <v/>
          </cell>
          <cell r="C2382" t="str">
            <v/>
          </cell>
          <cell r="D2382" t="str">
            <v>CC</v>
          </cell>
          <cell r="E2382" t="str">
            <v>JUAN CARLOS</v>
          </cell>
          <cell r="F2382" t="str">
            <v>PINEDA SUAREZ</v>
          </cell>
          <cell r="G2382" t="str">
            <v>PINEDA SUAREZ JUAN CARLOS</v>
          </cell>
          <cell r="H2382" t="str">
            <v>FUNC</v>
          </cell>
          <cell r="I2382" t="str">
            <v>FUNCIONARIO</v>
          </cell>
          <cell r="J2382" t="str">
            <v>MZ 5 CA  20 URB LA SULTANA</v>
          </cell>
          <cell r="K2382" t="str">
            <v>17001</v>
          </cell>
          <cell r="L2382" t="str">
            <v>MANIZALES</v>
          </cell>
          <cell r="M2382" t="str">
            <v>3108311473</v>
          </cell>
        </row>
        <row r="2383">
          <cell r="A2383">
            <v>75065493</v>
          </cell>
          <cell r="B2383" t="str">
            <v/>
          </cell>
          <cell r="C2383" t="str">
            <v/>
          </cell>
          <cell r="D2383" t="str">
            <v>CC</v>
          </cell>
          <cell r="E2383" t="str">
            <v>DORYNEL</v>
          </cell>
          <cell r="F2383" t="str">
            <v>FLOREZ VALENCIA</v>
          </cell>
          <cell r="G2383" t="str">
            <v>FLOREZ VALENCIA DORYNEL</v>
          </cell>
          <cell r="H2383" t="str">
            <v>FUNC</v>
          </cell>
          <cell r="I2383" t="str">
            <v>FUNCIONARIO</v>
          </cell>
          <cell r="J2383" t="str">
            <v>CLL 48 N 37 69 T8 B3</v>
          </cell>
          <cell r="K2383" t="str">
            <v>17001</v>
          </cell>
          <cell r="L2383" t="str">
            <v>MANIZALES</v>
          </cell>
          <cell r="M2383" t="str">
            <v>3125850246</v>
          </cell>
        </row>
        <row r="2384">
          <cell r="A2384">
            <v>75065498</v>
          </cell>
          <cell r="B2384" t="str">
            <v>6</v>
          </cell>
          <cell r="C2384" t="str">
            <v/>
          </cell>
          <cell r="D2384" t="str">
            <v>NP</v>
          </cell>
          <cell r="E2384" t="str">
            <v>JONH JAIRO</v>
          </cell>
          <cell r="F2384" t="str">
            <v>CASTAÑO MARIN</v>
          </cell>
          <cell r="G2384" t="str">
            <v>CASTAÑO MARIN JONH JAIRO</v>
          </cell>
          <cell r="H2384" t="str">
            <v>RECO</v>
          </cell>
          <cell r="I2384" t="str">
            <v>REGIMEN COMUN</v>
          </cell>
          <cell r="J2384" t="str">
            <v>CR 20 22 29</v>
          </cell>
          <cell r="K2384" t="str">
            <v>17001</v>
          </cell>
          <cell r="L2384" t="str">
            <v>MANIZALES</v>
          </cell>
          <cell r="M2384" t="str">
            <v>8846562</v>
          </cell>
        </row>
        <row r="2385">
          <cell r="A2385">
            <v>75066085</v>
          </cell>
          <cell r="B2385" t="str">
            <v>2</v>
          </cell>
          <cell r="C2385" t="str">
            <v/>
          </cell>
          <cell r="D2385" t="str">
            <v>NP</v>
          </cell>
          <cell r="E2385" t="str">
            <v>LUIS ALBERTO</v>
          </cell>
          <cell r="F2385" t="str">
            <v>RENDON ARIAS</v>
          </cell>
          <cell r="G2385" t="str">
            <v>RENDON ARIAS LUIS ALBERTO</v>
          </cell>
          <cell r="H2385" t="str">
            <v>RESI</v>
          </cell>
          <cell r="I2385" t="str">
            <v>REGIMEN SIMPLIFICADO</v>
          </cell>
          <cell r="J2385" t="str">
            <v>CR   19   73  51</v>
          </cell>
          <cell r="K2385" t="str">
            <v>17001</v>
          </cell>
          <cell r="L2385" t="str">
            <v>MANIZALES</v>
          </cell>
          <cell r="M2385" t="str">
            <v>3006919038</v>
          </cell>
        </row>
        <row r="2386">
          <cell r="A2386">
            <v>75066457</v>
          </cell>
          <cell r="B2386" t="str">
            <v>9</v>
          </cell>
          <cell r="C2386" t="str">
            <v/>
          </cell>
          <cell r="D2386" t="str">
            <v>NP</v>
          </cell>
          <cell r="E2386" t="str">
            <v>CARLOS MAURICIO</v>
          </cell>
          <cell r="F2386" t="str">
            <v>OROZCO TABARES</v>
          </cell>
          <cell r="G2386" t="str">
            <v>OROZCO TABARES CARLOS MAURICIO</v>
          </cell>
          <cell r="H2386" t="str">
            <v>RESI</v>
          </cell>
          <cell r="I2386" t="str">
            <v>REGIMEN SIMPLIFICADO</v>
          </cell>
          <cell r="J2386" t="str">
            <v>CR  17 2 39</v>
          </cell>
          <cell r="K2386" t="str">
            <v>17873</v>
          </cell>
          <cell r="L2386" t="str">
            <v>VILLAMARÍA</v>
          </cell>
          <cell r="M2386" t="str">
            <v>8777339</v>
          </cell>
        </row>
        <row r="2387">
          <cell r="A2387">
            <v>75066711</v>
          </cell>
          <cell r="B2387" t="str">
            <v>5</v>
          </cell>
          <cell r="C2387" t="str">
            <v/>
          </cell>
          <cell r="D2387" t="str">
            <v>NP</v>
          </cell>
          <cell r="E2387" t="str">
            <v>JOHN JAIRO</v>
          </cell>
          <cell r="F2387" t="str">
            <v>OSPINA BOTERO</v>
          </cell>
          <cell r="G2387" t="str">
            <v>OSPINA BOTERO JOHN JAIRO</v>
          </cell>
          <cell r="H2387" t="str">
            <v>RESI</v>
          </cell>
          <cell r="I2387" t="str">
            <v>REGIMEN SIMPLIFICADO</v>
          </cell>
          <cell r="J2387" t="str">
            <v>CL 66 9 B 42</v>
          </cell>
          <cell r="K2387" t="str">
            <v>17001</v>
          </cell>
          <cell r="L2387" t="str">
            <v>MANIZALES</v>
          </cell>
          <cell r="M2387" t="str">
            <v>8751776</v>
          </cell>
        </row>
        <row r="2388">
          <cell r="A2388">
            <v>75066784</v>
          </cell>
          <cell r="B2388" t="str">
            <v>2</v>
          </cell>
          <cell r="C2388" t="str">
            <v/>
          </cell>
          <cell r="D2388" t="str">
            <v>NP</v>
          </cell>
          <cell r="E2388" t="str">
            <v>OXFARO ALBERTO</v>
          </cell>
          <cell r="F2388" t="str">
            <v>BUSTAMANTE VILLA</v>
          </cell>
          <cell r="G2388" t="str">
            <v>BUSTAMANTE VILLA OXFARO ALBERTO</v>
          </cell>
          <cell r="H2388" t="str">
            <v>RECO</v>
          </cell>
          <cell r="I2388" t="str">
            <v>REGIMEN COMUN</v>
          </cell>
          <cell r="J2388" t="str">
            <v>CL 56   24 A 30</v>
          </cell>
          <cell r="K2388" t="str">
            <v>17001</v>
          </cell>
          <cell r="L2388" t="str">
            <v>MANIZALES</v>
          </cell>
          <cell r="M2388" t="str">
            <v>8852988</v>
          </cell>
        </row>
        <row r="2389">
          <cell r="A2389">
            <v>75067229</v>
          </cell>
          <cell r="B2389" t="str">
            <v>0</v>
          </cell>
          <cell r="C2389" t="str">
            <v/>
          </cell>
          <cell r="D2389" t="str">
            <v>NP</v>
          </cell>
          <cell r="E2389" t="str">
            <v>JOSE FERNANDO</v>
          </cell>
          <cell r="F2389" t="str">
            <v>SANCHEZ ROURE</v>
          </cell>
          <cell r="G2389" t="str">
            <v xml:space="preserve">PLOTTERACTIVE                                               </v>
          </cell>
          <cell r="H2389" t="str">
            <v>RESI</v>
          </cell>
          <cell r="I2389" t="str">
            <v>REGIMEN SIMPLIFICADO</v>
          </cell>
          <cell r="J2389" t="str">
            <v xml:space="preserve">CARRERA 23 65 79 MANIZALES              </v>
          </cell>
          <cell r="K2389" t="str">
            <v>17001</v>
          </cell>
          <cell r="L2389" t="str">
            <v>MANIZALES</v>
          </cell>
          <cell r="M2389" t="str">
            <v>8904218</v>
          </cell>
        </row>
        <row r="2390">
          <cell r="A2390">
            <v>75068147</v>
          </cell>
          <cell r="B2390" t="str">
            <v/>
          </cell>
          <cell r="C2390" t="str">
            <v/>
          </cell>
          <cell r="D2390" t="str">
            <v>CC</v>
          </cell>
          <cell r="E2390" t="str">
            <v>OSCAR ALBERTO</v>
          </cell>
          <cell r="F2390" t="str">
            <v>ARCE CARDONA</v>
          </cell>
          <cell r="G2390" t="str">
            <v>ARCE CARDONA OSCAR ALBERTO</v>
          </cell>
          <cell r="H2390" t="str">
            <v>FUNC</v>
          </cell>
          <cell r="I2390" t="str">
            <v>FUNCIONARIO</v>
          </cell>
          <cell r="J2390" t="str">
            <v>CL 62   22   58  AP 102</v>
          </cell>
          <cell r="K2390" t="str">
            <v>17001</v>
          </cell>
          <cell r="L2390" t="str">
            <v>MANIZALES</v>
          </cell>
          <cell r="M2390" t="str">
            <v>3122885913</v>
          </cell>
        </row>
        <row r="2391">
          <cell r="A2391">
            <v>75068202</v>
          </cell>
          <cell r="B2391" t="str">
            <v/>
          </cell>
          <cell r="C2391" t="str">
            <v/>
          </cell>
          <cell r="D2391" t="str">
            <v>CC</v>
          </cell>
          <cell r="E2391" t="str">
            <v>OSCAR JAIME</v>
          </cell>
          <cell r="F2391" t="str">
            <v>DUQUE GIRALDO</v>
          </cell>
          <cell r="G2391" t="str">
            <v>DUQUE GIRALDO OSCAR JAIME</v>
          </cell>
          <cell r="H2391" t="str">
            <v>FUNC</v>
          </cell>
          <cell r="I2391" t="str">
            <v>FUNCIONARIO</v>
          </cell>
          <cell r="J2391" t="str">
            <v>MIRADOR DE LA SIERRA  AP 401 A</v>
          </cell>
          <cell r="K2391" t="str">
            <v>17001</v>
          </cell>
          <cell r="L2391" t="str">
            <v>MANIZALES</v>
          </cell>
          <cell r="M2391" t="str">
            <v>8868746</v>
          </cell>
        </row>
        <row r="2392">
          <cell r="A2392">
            <v>75068434</v>
          </cell>
          <cell r="B2392" t="str">
            <v>9</v>
          </cell>
          <cell r="C2392" t="str">
            <v/>
          </cell>
          <cell r="D2392" t="str">
            <v>NP</v>
          </cell>
          <cell r="E2392" t="str">
            <v>LUIS ALBERTO</v>
          </cell>
          <cell r="F2392" t="str">
            <v>MARTINEZ NIETO</v>
          </cell>
          <cell r="G2392" t="str">
            <v>MARTINEZ NIETO LUIS ALBERTO</v>
          </cell>
          <cell r="H2392" t="str">
            <v>RESI</v>
          </cell>
          <cell r="I2392" t="str">
            <v>REGIMEN SIMPLIFICADO</v>
          </cell>
          <cell r="J2392" t="str">
            <v>CR 87 B 53 B 22 SUR</v>
          </cell>
          <cell r="K2392" t="str">
            <v>11001</v>
          </cell>
          <cell r="L2392" t="str">
            <v>BOGOTA DC</v>
          </cell>
          <cell r="M2392" t="str">
            <v>3142247296</v>
          </cell>
        </row>
        <row r="2393">
          <cell r="A2393">
            <v>75068672</v>
          </cell>
          <cell r="B2393" t="str">
            <v>5</v>
          </cell>
          <cell r="C2393" t="str">
            <v/>
          </cell>
          <cell r="D2393" t="str">
            <v>NP</v>
          </cell>
          <cell r="E2393" t="str">
            <v>EMILIANO</v>
          </cell>
          <cell r="F2393" t="str">
            <v>GALLEGO MUÑOZ</v>
          </cell>
          <cell r="G2393" t="str">
            <v>GALLEGO MUÑOZ EMILIANO</v>
          </cell>
          <cell r="H2393" t="str">
            <v>RESI</v>
          </cell>
          <cell r="I2393" t="str">
            <v>REGIMEN SIMPLIFICADO</v>
          </cell>
          <cell r="J2393" t="str">
            <v>CL 68   32 A 96</v>
          </cell>
          <cell r="K2393" t="str">
            <v>17001</v>
          </cell>
          <cell r="L2393" t="str">
            <v>MANIZALES</v>
          </cell>
          <cell r="M2393" t="str">
            <v>3137339155</v>
          </cell>
        </row>
        <row r="2394">
          <cell r="A2394">
            <v>75069054</v>
          </cell>
          <cell r="B2394" t="str">
            <v/>
          </cell>
          <cell r="C2394" t="str">
            <v/>
          </cell>
          <cell r="D2394" t="str">
            <v>CC</v>
          </cell>
          <cell r="E2394" t="str">
            <v>FERNAN ALONSO</v>
          </cell>
          <cell r="F2394" t="str">
            <v>VALLEJO GAVIRIA</v>
          </cell>
          <cell r="G2394" t="str">
            <v>VALLEJO GAVIRIA FERNAN ALONSO</v>
          </cell>
          <cell r="H2394" t="str">
            <v>FUNC</v>
          </cell>
          <cell r="I2394" t="str">
            <v>FUNCIONARIO</v>
          </cell>
          <cell r="J2394" t="str">
            <v>CL 66 E   40   40 BRR LAS COLINAS</v>
          </cell>
          <cell r="K2394" t="str">
            <v>17001</v>
          </cell>
          <cell r="L2394" t="str">
            <v>MANIZALES</v>
          </cell>
          <cell r="M2394" t="str">
            <v>8785812</v>
          </cell>
        </row>
        <row r="2395">
          <cell r="A2395">
            <v>75069109</v>
          </cell>
          <cell r="B2395" t="str">
            <v/>
          </cell>
          <cell r="C2395" t="str">
            <v/>
          </cell>
          <cell r="D2395" t="str">
            <v>CC</v>
          </cell>
          <cell r="E2395" t="str">
            <v>JESUS ANTONIO</v>
          </cell>
          <cell r="F2395" t="str">
            <v>OCAMPO GARCIA</v>
          </cell>
          <cell r="G2395" t="str">
            <v>OCAMPO GARCIA JESUS ANTONIO</v>
          </cell>
          <cell r="H2395" t="str">
            <v>NORE</v>
          </cell>
          <cell r="I2395" t="str">
            <v>NO RESPONSABLE DE IVA</v>
          </cell>
          <cell r="J2395" t="str">
            <v>MCP MANZANARES</v>
          </cell>
          <cell r="K2395" t="str">
            <v>17433</v>
          </cell>
          <cell r="L2395" t="str">
            <v>MANZANARES</v>
          </cell>
          <cell r="M2395" t="str">
            <v>NO REGISTRA</v>
          </cell>
        </row>
        <row r="2396">
          <cell r="A2396">
            <v>75069427</v>
          </cell>
          <cell r="B2396" t="str">
            <v>1</v>
          </cell>
          <cell r="C2396" t="str">
            <v/>
          </cell>
          <cell r="D2396" t="str">
            <v>NP</v>
          </cell>
          <cell r="E2396" t="str">
            <v>JUAN PABLO</v>
          </cell>
          <cell r="F2396" t="str">
            <v>PELAEZ VILLEGAS</v>
          </cell>
          <cell r="G2396" t="str">
            <v>PELAEZ VILLEGAS JUAN PABLO</v>
          </cell>
          <cell r="H2396" t="str">
            <v>RECO</v>
          </cell>
          <cell r="I2396" t="str">
            <v>REGIMEN COMUN</v>
          </cell>
          <cell r="J2396" t="str">
            <v>CR 23 A 74 238 AP 301</v>
          </cell>
          <cell r="K2396" t="str">
            <v>17001</v>
          </cell>
          <cell r="L2396" t="str">
            <v>MANIZALES</v>
          </cell>
          <cell r="M2396" t="str">
            <v>8866270</v>
          </cell>
        </row>
        <row r="2397">
          <cell r="A2397">
            <v>75069484</v>
          </cell>
          <cell r="B2397" t="str">
            <v>1</v>
          </cell>
          <cell r="C2397" t="str">
            <v/>
          </cell>
          <cell r="D2397" t="str">
            <v>NP</v>
          </cell>
          <cell r="E2397" t="str">
            <v>JUAN GUILLERMO</v>
          </cell>
          <cell r="F2397" t="str">
            <v>VILLA HOYOS</v>
          </cell>
          <cell r="G2397" t="str">
            <v>VILLA HOYOS JUAN GUILLERMO</v>
          </cell>
          <cell r="H2397" t="str">
            <v>RECO</v>
          </cell>
          <cell r="I2397" t="str">
            <v>REGIMEN COMUN</v>
          </cell>
          <cell r="J2397" t="str">
            <v>CR 22   20   43 LC 2 A</v>
          </cell>
          <cell r="K2397" t="str">
            <v>17001</v>
          </cell>
          <cell r="L2397" t="str">
            <v>MANIZALES</v>
          </cell>
          <cell r="M2397" t="str">
            <v>8848762</v>
          </cell>
        </row>
        <row r="2398">
          <cell r="A2398">
            <v>75069712</v>
          </cell>
          <cell r="B2398" t="str">
            <v/>
          </cell>
          <cell r="C2398" t="str">
            <v/>
          </cell>
          <cell r="D2398" t="str">
            <v>CC</v>
          </cell>
          <cell r="E2398" t="str">
            <v>JOHN FREDY</v>
          </cell>
          <cell r="F2398" t="str">
            <v>OCAMPO MEJIA</v>
          </cell>
          <cell r="G2398" t="str">
            <v>OCAMPO MEJIA JOHN FREDY</v>
          </cell>
          <cell r="H2398" t="str">
            <v>RESI</v>
          </cell>
          <cell r="I2398" t="str">
            <v>REGIMEN SIMPLIFICADO</v>
          </cell>
          <cell r="J2398" t="str">
            <v>CL 11 A N 30-33</v>
          </cell>
          <cell r="K2398" t="str">
            <v>17001</v>
          </cell>
          <cell r="L2398" t="str">
            <v>MANIZALES</v>
          </cell>
          <cell r="M2398" t="str">
            <v>3122790860</v>
          </cell>
        </row>
        <row r="2399">
          <cell r="A2399">
            <v>75069777</v>
          </cell>
          <cell r="B2399" t="str">
            <v/>
          </cell>
          <cell r="C2399" t="str">
            <v/>
          </cell>
          <cell r="D2399" t="str">
            <v>CC</v>
          </cell>
          <cell r="E2399" t="str">
            <v>CARLOS FELIPE</v>
          </cell>
          <cell r="F2399" t="str">
            <v>VARGAS RESTREPO</v>
          </cell>
          <cell r="G2399" t="str">
            <v>VARGAS RESTREPO CARLOS FELIPE</v>
          </cell>
          <cell r="H2399" t="str">
            <v>FUNC</v>
          </cell>
          <cell r="I2399" t="str">
            <v>FUNCIONARIO</v>
          </cell>
          <cell r="J2399" t="str">
            <v>CR 9 A   68 A 50 CA 25 BALCONES DE LA PALMA</v>
          </cell>
          <cell r="K2399" t="str">
            <v>17001</v>
          </cell>
          <cell r="L2399" t="str">
            <v>MANIZALES</v>
          </cell>
          <cell r="M2399" t="str">
            <v>8864587</v>
          </cell>
        </row>
        <row r="2400">
          <cell r="A2400">
            <v>75069863</v>
          </cell>
          <cell r="B2400" t="str">
            <v>1</v>
          </cell>
          <cell r="C2400" t="str">
            <v/>
          </cell>
          <cell r="D2400" t="str">
            <v>NP</v>
          </cell>
          <cell r="E2400" t="str">
            <v>VICTOR ALBERTO</v>
          </cell>
          <cell r="F2400" t="str">
            <v>MARTINEZ GARCIA</v>
          </cell>
          <cell r="G2400" t="str">
            <v>MARTINEZ GARCIA VICTOR ALBERTO</v>
          </cell>
          <cell r="H2400" t="str">
            <v>RESI</v>
          </cell>
          <cell r="I2400" t="str">
            <v>REGIMEN SIMPLIFICADO</v>
          </cell>
          <cell r="J2400" t="str">
            <v>CL 29 32 A 11 BRR CERVANTES</v>
          </cell>
          <cell r="K2400" t="str">
            <v>17001</v>
          </cell>
          <cell r="L2400" t="str">
            <v>MANIZALES</v>
          </cell>
          <cell r="M2400" t="str">
            <v>8805183</v>
          </cell>
        </row>
        <row r="2401">
          <cell r="A2401">
            <v>75071082</v>
          </cell>
          <cell r="B2401" t="str">
            <v>0</v>
          </cell>
          <cell r="C2401" t="str">
            <v/>
          </cell>
          <cell r="D2401" t="str">
            <v>NP</v>
          </cell>
          <cell r="E2401" t="str">
            <v>JULIO CESAR</v>
          </cell>
          <cell r="F2401" t="str">
            <v>SALGADO GALEANO</v>
          </cell>
          <cell r="G2401" t="str">
            <v>SALGADO GALEANO JULIO CESAR</v>
          </cell>
          <cell r="H2401" t="str">
            <v>RECO</v>
          </cell>
          <cell r="I2401" t="str">
            <v>REGIMEN COMUN</v>
          </cell>
          <cell r="J2401" t="str">
            <v>CR 24 20 08 OF 302</v>
          </cell>
          <cell r="K2401" t="str">
            <v>17001</v>
          </cell>
          <cell r="L2401" t="str">
            <v>MANIZALES</v>
          </cell>
          <cell r="M2401" t="str">
            <v>8849345</v>
          </cell>
        </row>
        <row r="2402">
          <cell r="A2402">
            <v>75071279</v>
          </cell>
          <cell r="B2402" t="str">
            <v/>
          </cell>
          <cell r="C2402" t="str">
            <v/>
          </cell>
          <cell r="D2402" t="str">
            <v>CC</v>
          </cell>
          <cell r="E2402" t="str">
            <v>FIDIES HELY</v>
          </cell>
          <cell r="F2402" t="str">
            <v>CEBALLOS GIRALDO</v>
          </cell>
          <cell r="G2402" t="str">
            <v>CEBALLOS GIRALDO FIDIES HELY</v>
          </cell>
          <cell r="H2402" t="str">
            <v>FUNC</v>
          </cell>
          <cell r="I2402" t="str">
            <v>FUNCIONARIO</v>
          </cell>
          <cell r="J2402" t="str">
            <v>CL 19 A   39   08</v>
          </cell>
          <cell r="K2402" t="str">
            <v>17001</v>
          </cell>
          <cell r="L2402" t="str">
            <v>MANIZALES</v>
          </cell>
          <cell r="M2402" t="str">
            <v>8800943</v>
          </cell>
        </row>
        <row r="2403">
          <cell r="A2403">
            <v>75071541</v>
          </cell>
          <cell r="B2403" t="str">
            <v/>
          </cell>
          <cell r="C2403" t="str">
            <v/>
          </cell>
          <cell r="D2403" t="str">
            <v>CC</v>
          </cell>
          <cell r="E2403" t="str">
            <v>CARLOS MARCELO</v>
          </cell>
          <cell r="F2403" t="str">
            <v>JARAMILLO ECHEVERRY</v>
          </cell>
          <cell r="G2403" t="str">
            <v>JARAMILLO ECHEVERRY CARLOS MARCELO</v>
          </cell>
          <cell r="H2403" t="str">
            <v>FUNC</v>
          </cell>
          <cell r="I2403" t="str">
            <v>FUNCIONARIO</v>
          </cell>
          <cell r="J2403" t="str">
            <v>CN CR 1 A N 43 33</v>
          </cell>
          <cell r="K2403" t="str">
            <v>17873</v>
          </cell>
          <cell r="L2403" t="str">
            <v>VILLAMARÍA</v>
          </cell>
          <cell r="M2403" t="str">
            <v>3207450013</v>
          </cell>
        </row>
        <row r="2404">
          <cell r="A2404">
            <v>75071575</v>
          </cell>
          <cell r="B2404" t="str">
            <v>1</v>
          </cell>
          <cell r="C2404" t="str">
            <v/>
          </cell>
          <cell r="D2404" t="str">
            <v>NP</v>
          </cell>
          <cell r="E2404" t="str">
            <v>JHON GILBERTO</v>
          </cell>
          <cell r="F2404" t="str">
            <v>GARCIA BURITICA</v>
          </cell>
          <cell r="G2404" t="str">
            <v>GARCIA BURITICA JHON GILBERTO</v>
          </cell>
          <cell r="H2404" t="str">
            <v>RECO</v>
          </cell>
          <cell r="I2404" t="str">
            <v>REGIMEN COMUN</v>
          </cell>
          <cell r="J2404" t="str">
            <v>CR 35 39 10</v>
          </cell>
          <cell r="K2404" t="str">
            <v>17001</v>
          </cell>
          <cell r="L2404" t="str">
            <v>MANIZALES</v>
          </cell>
          <cell r="M2404" t="str">
            <v>3127827248</v>
          </cell>
        </row>
        <row r="2405">
          <cell r="A2405">
            <v>75071667</v>
          </cell>
          <cell r="B2405" t="str">
            <v>9</v>
          </cell>
          <cell r="C2405" t="str">
            <v/>
          </cell>
          <cell r="D2405" t="str">
            <v>NP</v>
          </cell>
          <cell r="E2405" t="str">
            <v>MOISES</v>
          </cell>
          <cell r="F2405" t="str">
            <v>CARDENAS VALENCIA</v>
          </cell>
          <cell r="G2405" t="str">
            <v>CARDENAS VALENCIA MOISES</v>
          </cell>
          <cell r="H2405" t="str">
            <v>NORE</v>
          </cell>
          <cell r="I2405" t="str">
            <v>NO RESPONSABLE DE IVA</v>
          </cell>
          <cell r="J2405" t="str">
            <v>CR 24 26 18 BRR SAN JOAQUIN</v>
          </cell>
          <cell r="K2405" t="str">
            <v>17001</v>
          </cell>
          <cell r="L2405" t="str">
            <v>MANIZALES</v>
          </cell>
          <cell r="M2405" t="str">
            <v>3117382137</v>
          </cell>
        </row>
        <row r="2406">
          <cell r="A2406">
            <v>75071964</v>
          </cell>
          <cell r="B2406" t="str">
            <v/>
          </cell>
          <cell r="C2406" t="str">
            <v/>
          </cell>
          <cell r="D2406" t="str">
            <v>CC</v>
          </cell>
          <cell r="E2406" t="str">
            <v>JHON JAIRO</v>
          </cell>
          <cell r="F2406" t="str">
            <v>GAVIRIA BALLESTEROS</v>
          </cell>
          <cell r="G2406" t="str">
            <v>GAVIRIA BALLESTEROS JHON JAIRO</v>
          </cell>
          <cell r="H2406" t="str">
            <v>FUNC</v>
          </cell>
          <cell r="I2406" t="str">
            <v>FUNCIONARIO</v>
          </cell>
          <cell r="J2406" t="str">
            <v>CR 43  12 A 09</v>
          </cell>
          <cell r="K2406" t="str">
            <v>17001</v>
          </cell>
          <cell r="L2406" t="str">
            <v>MANIZALES</v>
          </cell>
          <cell r="M2406" t="str">
            <v>8738714</v>
          </cell>
        </row>
        <row r="2407">
          <cell r="A2407">
            <v>75072050</v>
          </cell>
          <cell r="B2407" t="str">
            <v/>
          </cell>
          <cell r="C2407" t="str">
            <v/>
          </cell>
          <cell r="D2407" t="str">
            <v>CC</v>
          </cell>
          <cell r="E2407" t="str">
            <v>JORGE ALEXANDER</v>
          </cell>
          <cell r="F2407" t="str">
            <v>NIÑO CASTAÑO</v>
          </cell>
          <cell r="G2407" t="str">
            <v>NIÑO CASTAÑO JORGE ALEXANDER</v>
          </cell>
          <cell r="H2407" t="str">
            <v>FUNC</v>
          </cell>
          <cell r="I2407" t="str">
            <v>FUNCIONARIO</v>
          </cell>
          <cell r="J2407" t="str">
            <v>CL 51   26   19 AP A 1</v>
          </cell>
          <cell r="K2407" t="str">
            <v>17001</v>
          </cell>
          <cell r="L2407" t="str">
            <v>MANIZALES</v>
          </cell>
          <cell r="M2407" t="str">
            <v>8865448</v>
          </cell>
        </row>
        <row r="2408">
          <cell r="A2408">
            <v>75072216</v>
          </cell>
          <cell r="B2408" t="str">
            <v>5</v>
          </cell>
          <cell r="C2408" t="str">
            <v/>
          </cell>
          <cell r="D2408" t="str">
            <v>NP</v>
          </cell>
          <cell r="E2408" t="str">
            <v>EDWARD ANDRES</v>
          </cell>
          <cell r="F2408" t="str">
            <v>COTRINO TRIANA</v>
          </cell>
          <cell r="G2408" t="str">
            <v>COTRINO TRIANA EDWARD ANDRES</v>
          </cell>
          <cell r="H2408" t="str">
            <v>RESI</v>
          </cell>
          <cell r="I2408" t="str">
            <v>REGIMEN SIMPLIFICADO</v>
          </cell>
          <cell r="J2408" t="str">
            <v xml:space="preserve"> CL 73 A 40 A 90</v>
          </cell>
          <cell r="K2408" t="str">
            <v>17001</v>
          </cell>
          <cell r="L2408" t="str">
            <v>MANIZALES</v>
          </cell>
          <cell r="M2408" t="str">
            <v>8914679</v>
          </cell>
        </row>
        <row r="2409">
          <cell r="A2409">
            <v>75072294</v>
          </cell>
          <cell r="B2409" t="str">
            <v/>
          </cell>
          <cell r="C2409" t="str">
            <v/>
          </cell>
          <cell r="D2409" t="str">
            <v>CC</v>
          </cell>
          <cell r="E2409" t="str">
            <v>PABLO ANDRES</v>
          </cell>
          <cell r="F2409" t="str">
            <v>HURTADO MEJIA</v>
          </cell>
          <cell r="G2409" t="str">
            <v>HURTADO MEJIA PABLO ANDRES</v>
          </cell>
          <cell r="H2409" t="str">
            <v>RESI</v>
          </cell>
          <cell r="I2409" t="str">
            <v>REGIMEN SIMPLIFICADO</v>
          </cell>
          <cell r="J2409" t="str">
            <v>CR 21</v>
          </cell>
          <cell r="K2409" t="str">
            <v>17001</v>
          </cell>
          <cell r="L2409" t="str">
            <v>MANIZALES</v>
          </cell>
          <cell r="M2409" t="str">
            <v>8847891</v>
          </cell>
        </row>
        <row r="2410">
          <cell r="A2410">
            <v>75072351</v>
          </cell>
          <cell r="B2410" t="str">
            <v>1</v>
          </cell>
          <cell r="C2410" t="str">
            <v/>
          </cell>
          <cell r="D2410" t="str">
            <v>NP</v>
          </cell>
          <cell r="E2410" t="str">
            <v>PAULO CESAR</v>
          </cell>
          <cell r="F2410" t="str">
            <v>POSADA SALGADO</v>
          </cell>
          <cell r="G2410" t="str">
            <v>POSADA SALGADO PAULO CESAR</v>
          </cell>
          <cell r="H2410" t="str">
            <v>RESI</v>
          </cell>
          <cell r="I2410" t="str">
            <v>REGIMEN SIMPLIFICADO</v>
          </cell>
          <cell r="J2410" t="str">
            <v>CR  18 8 03</v>
          </cell>
          <cell r="K2410" t="str">
            <v>17174</v>
          </cell>
          <cell r="L2410" t="str">
            <v>CHINCHINÁ</v>
          </cell>
          <cell r="M2410" t="str">
            <v>8508018</v>
          </cell>
        </row>
        <row r="2411">
          <cell r="A2411">
            <v>75072459</v>
          </cell>
          <cell r="B2411" t="str">
            <v/>
          </cell>
          <cell r="C2411" t="str">
            <v/>
          </cell>
          <cell r="D2411" t="str">
            <v>CC</v>
          </cell>
          <cell r="E2411" t="str">
            <v>MAURICIO</v>
          </cell>
          <cell r="F2411" t="str">
            <v>GALLEGO CARDENAS</v>
          </cell>
          <cell r="G2411" t="str">
            <v>GALLEGO CARDENAS MAURICIO</v>
          </cell>
          <cell r="H2411" t="str">
            <v>FUNC</v>
          </cell>
          <cell r="I2411" t="str">
            <v>FUNCIONARIO</v>
          </cell>
          <cell r="J2411" t="str">
            <v>CR 21 57 28</v>
          </cell>
          <cell r="K2411" t="str">
            <v>17001</v>
          </cell>
          <cell r="L2411" t="str">
            <v>MANIZALES</v>
          </cell>
          <cell r="M2411" t="str">
            <v>8803216</v>
          </cell>
        </row>
        <row r="2412">
          <cell r="A2412">
            <v>75072742</v>
          </cell>
          <cell r="B2412" t="str">
            <v>8</v>
          </cell>
          <cell r="C2412" t="str">
            <v/>
          </cell>
          <cell r="D2412" t="str">
            <v>NP</v>
          </cell>
          <cell r="E2412" t="str">
            <v>JORGE HERNAN</v>
          </cell>
          <cell r="F2412" t="str">
            <v>HOYOS URREA</v>
          </cell>
          <cell r="G2412" t="str">
            <v>HOYOS URREA JORGE HERNAN</v>
          </cell>
          <cell r="H2412" t="str">
            <v>RESI</v>
          </cell>
          <cell r="I2412" t="str">
            <v>REGIMEN SIMPLIFICADO</v>
          </cell>
          <cell r="J2412" t="str">
            <v>CR 19  40 35</v>
          </cell>
          <cell r="K2412" t="str">
            <v>17001</v>
          </cell>
          <cell r="L2412" t="str">
            <v>MANIZALES</v>
          </cell>
          <cell r="M2412" t="str">
            <v>8727489</v>
          </cell>
        </row>
        <row r="2413">
          <cell r="A2413">
            <v>75073167</v>
          </cell>
          <cell r="B2413" t="str">
            <v/>
          </cell>
          <cell r="C2413" t="str">
            <v/>
          </cell>
          <cell r="D2413" t="str">
            <v>CC</v>
          </cell>
          <cell r="E2413" t="str">
            <v>GUSTAVO ADOLFO</v>
          </cell>
          <cell r="F2413" t="str">
            <v>RODRIGUEZ URIBE</v>
          </cell>
          <cell r="G2413" t="str">
            <v>RODRIGUEZ URIBE GUSTAVO ADOLFO</v>
          </cell>
          <cell r="H2413" t="str">
            <v>FUNC</v>
          </cell>
          <cell r="I2413" t="str">
            <v>FUNCIONARIO</v>
          </cell>
          <cell r="J2413" t="str">
            <v>CL 71 27 18</v>
          </cell>
          <cell r="K2413" t="str">
            <v>00</v>
          </cell>
          <cell r="L2413" t="str">
            <v>EXTERIOR</v>
          </cell>
          <cell r="M2413" t="str">
            <v>3042457751</v>
          </cell>
        </row>
        <row r="2414">
          <cell r="A2414">
            <v>75073222</v>
          </cell>
          <cell r="B2414" t="str">
            <v/>
          </cell>
          <cell r="C2414" t="str">
            <v/>
          </cell>
          <cell r="D2414" t="str">
            <v>CC</v>
          </cell>
          <cell r="E2414" t="str">
            <v>YILMY EDISSON</v>
          </cell>
          <cell r="F2414" t="str">
            <v>RIOS ORTIZ</v>
          </cell>
          <cell r="G2414" t="str">
            <v>RIOS ORTIZ YILMY EDISSON</v>
          </cell>
          <cell r="H2414" t="str">
            <v>FUNC</v>
          </cell>
          <cell r="I2414" t="str">
            <v>FUNCIONARIO</v>
          </cell>
          <cell r="J2414" t="str">
            <v>CLLE 3B # 22-34</v>
          </cell>
          <cell r="K2414" t="str">
            <v>17001</v>
          </cell>
          <cell r="L2414" t="str">
            <v>MANIZALES</v>
          </cell>
          <cell r="M2414" t="str">
            <v>3105967881</v>
          </cell>
        </row>
        <row r="2415">
          <cell r="A2415">
            <v>75073336</v>
          </cell>
          <cell r="B2415" t="str">
            <v/>
          </cell>
          <cell r="C2415" t="str">
            <v/>
          </cell>
          <cell r="D2415" t="str">
            <v>CC</v>
          </cell>
          <cell r="E2415" t="str">
            <v>LUIS MIGUEL</v>
          </cell>
          <cell r="F2415" t="str">
            <v>HENAO GIRALDO</v>
          </cell>
          <cell r="G2415" t="str">
            <v>HENAO GIRALDO LUIS MIGUEL</v>
          </cell>
          <cell r="H2415" t="str">
            <v>FUNC</v>
          </cell>
          <cell r="I2415" t="str">
            <v>FUNCIONARIO</v>
          </cell>
          <cell r="J2415" t="str">
            <v>CALLE 70B 23B-205</v>
          </cell>
          <cell r="K2415" t="str">
            <v>17001</v>
          </cell>
          <cell r="L2415" t="str">
            <v>MANIZALES</v>
          </cell>
          <cell r="M2415" t="str">
            <v>3148583788</v>
          </cell>
        </row>
        <row r="2416">
          <cell r="A2416">
            <v>75073387</v>
          </cell>
          <cell r="B2416" t="str">
            <v/>
          </cell>
          <cell r="C2416" t="str">
            <v/>
          </cell>
          <cell r="D2416" t="str">
            <v>CC</v>
          </cell>
          <cell r="E2416" t="str">
            <v>CARLOS ALBERTO</v>
          </cell>
          <cell r="F2416" t="str">
            <v>RIOS PATIÑO</v>
          </cell>
          <cell r="G2416" t="str">
            <v>RIOS PATIÑO CARLOS ALBERTO</v>
          </cell>
          <cell r="H2416" t="str">
            <v>EXFU</v>
          </cell>
          <cell r="I2416" t="str">
            <v>EX-FUNCIONARIOS</v>
          </cell>
          <cell r="J2416" t="str">
            <v>CALLE 66 NO. 27-03 EDF. GUAYACÁN 66</v>
          </cell>
          <cell r="K2416" t="str">
            <v>17001</v>
          </cell>
          <cell r="L2416" t="str">
            <v>MANIZALES</v>
          </cell>
          <cell r="M2416" t="str">
            <v>8916250</v>
          </cell>
        </row>
        <row r="2417">
          <cell r="A2417">
            <v>75073463</v>
          </cell>
          <cell r="B2417" t="str">
            <v/>
          </cell>
          <cell r="C2417" t="str">
            <v/>
          </cell>
          <cell r="D2417" t="str">
            <v>CC</v>
          </cell>
          <cell r="E2417" t="str">
            <v>CAMILO JOSE</v>
          </cell>
          <cell r="F2417" t="str">
            <v>GALVEZ HENAO</v>
          </cell>
          <cell r="G2417" t="str">
            <v>GALVEZ HENAO CAMILO JOSE</v>
          </cell>
          <cell r="H2417" t="str">
            <v>FUNC</v>
          </cell>
          <cell r="I2417" t="str">
            <v>FUNCIONARIO</v>
          </cell>
          <cell r="J2417" t="str">
            <v>CL 68 C   39 B 27</v>
          </cell>
          <cell r="K2417" t="str">
            <v>17001</v>
          </cell>
          <cell r="L2417" t="str">
            <v>MANIZALES</v>
          </cell>
          <cell r="M2417" t="str">
            <v>3103700399</v>
          </cell>
        </row>
        <row r="2418">
          <cell r="A2418">
            <v>75073594</v>
          </cell>
          <cell r="B2418" t="str">
            <v/>
          </cell>
          <cell r="C2418" t="str">
            <v/>
          </cell>
          <cell r="D2418" t="str">
            <v>CC</v>
          </cell>
          <cell r="E2418" t="str">
            <v>NICOLAS</v>
          </cell>
          <cell r="F2418" t="str">
            <v>JARAMILLO ARANGO</v>
          </cell>
          <cell r="G2418" t="str">
            <v>JARAMILLO ARANGO NICOLAS</v>
          </cell>
          <cell r="H2418" t="str">
            <v>FUNC</v>
          </cell>
          <cell r="I2418" t="str">
            <v>FUNCIONARIO</v>
          </cell>
          <cell r="J2418" t="str">
            <v>CL 67 A   22   38 ED PARANA AP 304</v>
          </cell>
          <cell r="K2418" t="str">
            <v>17001</v>
          </cell>
          <cell r="L2418" t="str">
            <v>MANIZALES</v>
          </cell>
          <cell r="M2418" t="str">
            <v>8862187</v>
          </cell>
        </row>
        <row r="2419">
          <cell r="A2419">
            <v>75073824</v>
          </cell>
          <cell r="B2419" t="str">
            <v>8</v>
          </cell>
          <cell r="C2419" t="str">
            <v/>
          </cell>
          <cell r="D2419" t="str">
            <v>NP</v>
          </cell>
          <cell r="E2419" t="str">
            <v>JULIAN</v>
          </cell>
          <cell r="F2419" t="str">
            <v>VALENCIA GONZALEZ</v>
          </cell>
          <cell r="G2419" t="str">
            <v>VALENCIA GONZALEZ JULIAN</v>
          </cell>
          <cell r="H2419" t="str">
            <v>NORE</v>
          </cell>
          <cell r="I2419" t="str">
            <v>NO RESPONSABLE DE IVA</v>
          </cell>
          <cell r="J2419" t="str">
            <v>CR  20 73 56 AP 302  ED MANANTIAL</v>
          </cell>
          <cell r="K2419" t="str">
            <v>17001</v>
          </cell>
          <cell r="L2419" t="str">
            <v>MANIZALES</v>
          </cell>
          <cell r="M2419" t="str">
            <v>3122384556</v>
          </cell>
        </row>
        <row r="2420">
          <cell r="A2420">
            <v>75074379</v>
          </cell>
          <cell r="B2420" t="str">
            <v/>
          </cell>
          <cell r="C2420" t="str">
            <v/>
          </cell>
          <cell r="D2420" t="str">
            <v>CC</v>
          </cell>
          <cell r="E2420" t="str">
            <v>CARLOS ANDRES</v>
          </cell>
          <cell r="F2420" t="str">
            <v>GOMEZ ZULUAGA</v>
          </cell>
          <cell r="G2420" t="str">
            <v>GOMEZ ZULUAGA CARLOS ANDRES</v>
          </cell>
          <cell r="H2420" t="str">
            <v>FUNC</v>
          </cell>
          <cell r="I2420" t="str">
            <v>FUNCIONARIO</v>
          </cell>
          <cell r="J2420" t="str">
            <v>CR 20 64 A 80</v>
          </cell>
          <cell r="K2420" t="str">
            <v>17001</v>
          </cell>
          <cell r="L2420" t="str">
            <v>MANIZALES</v>
          </cell>
          <cell r="M2420" t="str">
            <v>8856898</v>
          </cell>
        </row>
        <row r="2421">
          <cell r="A2421">
            <v>75074458</v>
          </cell>
          <cell r="B2421" t="str">
            <v>1</v>
          </cell>
          <cell r="C2421" t="str">
            <v/>
          </cell>
          <cell r="D2421" t="str">
            <v>NP</v>
          </cell>
          <cell r="E2421" t="str">
            <v>JUAN DAVID</v>
          </cell>
          <cell r="F2421" t="str">
            <v>MARULANDAARISTIZABAL</v>
          </cell>
          <cell r="G2421" t="str">
            <v>MARULANDAARISTIZABAL JUAN DAVID</v>
          </cell>
          <cell r="H2421" t="str">
            <v>NORE</v>
          </cell>
          <cell r="I2421" t="str">
            <v>NO RESPONSABLE DE IVA</v>
          </cell>
          <cell r="J2421" t="str">
            <v>CR 27 A 67  12</v>
          </cell>
          <cell r="K2421" t="str">
            <v>17001</v>
          </cell>
          <cell r="L2421" t="str">
            <v>MANIZALES</v>
          </cell>
          <cell r="M2421" t="str">
            <v>3116053229</v>
          </cell>
        </row>
        <row r="2422">
          <cell r="A2422">
            <v>75074931</v>
          </cell>
          <cell r="B2422" t="str">
            <v/>
          </cell>
          <cell r="C2422" t="str">
            <v/>
          </cell>
          <cell r="D2422" t="str">
            <v>CC</v>
          </cell>
          <cell r="E2422" t="str">
            <v>JUAN PABLO</v>
          </cell>
          <cell r="F2422" t="str">
            <v>VALENCIA COTRINI</v>
          </cell>
          <cell r="G2422" t="str">
            <v>VALENCIA COTRINI JUAN PABLO</v>
          </cell>
          <cell r="H2422" t="str">
            <v>FUNC</v>
          </cell>
          <cell r="I2422" t="str">
            <v>FUNCIONARIO</v>
          </cell>
          <cell r="J2422" t="str">
            <v>CRA 9 NORTE #9.60</v>
          </cell>
          <cell r="K2422" t="str">
            <v>17001</v>
          </cell>
          <cell r="L2422" t="str">
            <v>MANIZALES</v>
          </cell>
          <cell r="M2422" t="str">
            <v>3016709556</v>
          </cell>
        </row>
        <row r="2423">
          <cell r="A2423">
            <v>75075185</v>
          </cell>
          <cell r="B2423" t="str">
            <v/>
          </cell>
          <cell r="C2423" t="str">
            <v/>
          </cell>
          <cell r="D2423" t="str">
            <v>CC</v>
          </cell>
          <cell r="E2423" t="str">
            <v>LUIS GERMAN</v>
          </cell>
          <cell r="F2423" t="str">
            <v>CARDENAS HENAO</v>
          </cell>
          <cell r="G2423" t="str">
            <v>CARDENAS HENAO LUIS GERMAN</v>
          </cell>
          <cell r="H2423" t="str">
            <v>FUNC</v>
          </cell>
          <cell r="I2423" t="str">
            <v>FUNCIONARIO</v>
          </cell>
          <cell r="J2423" t="str">
            <v>CRA 1A No 35-186 CASA 10</v>
          </cell>
          <cell r="K2423" t="str">
            <v>17001</v>
          </cell>
          <cell r="L2423" t="str">
            <v>MANIZALES</v>
          </cell>
          <cell r="M2423" t="str">
            <v>3116351221</v>
          </cell>
        </row>
        <row r="2424">
          <cell r="A2424">
            <v>75075303</v>
          </cell>
          <cell r="B2424" t="str">
            <v/>
          </cell>
          <cell r="C2424" t="str">
            <v/>
          </cell>
          <cell r="D2424" t="str">
            <v>CC</v>
          </cell>
          <cell r="E2424" t="str">
            <v>JUAN MANUEL</v>
          </cell>
          <cell r="F2424" t="str">
            <v>LOAIZA NARANJO</v>
          </cell>
          <cell r="G2424" t="str">
            <v>LOAIZA NARANJO JUAN MANUEL</v>
          </cell>
          <cell r="H2424" t="str">
            <v>RECO</v>
          </cell>
          <cell r="I2424" t="str">
            <v>REGIMEN COMUN</v>
          </cell>
          <cell r="J2424" t="str">
            <v>CR 21 N 16-49</v>
          </cell>
          <cell r="K2424" t="str">
            <v>17001</v>
          </cell>
          <cell r="L2424" t="str">
            <v>MANIZALES</v>
          </cell>
          <cell r="M2424" t="str">
            <v>8847094</v>
          </cell>
        </row>
        <row r="2425">
          <cell r="A2425">
            <v>75075559</v>
          </cell>
          <cell r="B2425" t="str">
            <v/>
          </cell>
          <cell r="C2425" t="str">
            <v/>
          </cell>
          <cell r="D2425" t="str">
            <v>CC</v>
          </cell>
          <cell r="E2425" t="str">
            <v>JHON FREDY</v>
          </cell>
          <cell r="F2425" t="str">
            <v>GIRALDO LOPEZ</v>
          </cell>
          <cell r="G2425" t="str">
            <v>GIRALDO LOPEZ JHON FREDY</v>
          </cell>
          <cell r="H2425" t="str">
            <v>FUNC</v>
          </cell>
          <cell r="I2425" t="str">
            <v>FUNCIONARIO</v>
          </cell>
          <cell r="J2425" t="str">
            <v>CR 03 ESTE   101   29 IN 27</v>
          </cell>
          <cell r="K2425" t="str">
            <v>17001</v>
          </cell>
          <cell r="L2425" t="str">
            <v>MANIZALES</v>
          </cell>
          <cell r="M2425" t="str">
            <v>3132672050</v>
          </cell>
        </row>
        <row r="2426">
          <cell r="A2426">
            <v>75075575</v>
          </cell>
          <cell r="B2426" t="str">
            <v>8</v>
          </cell>
          <cell r="C2426" t="str">
            <v/>
          </cell>
          <cell r="D2426" t="str">
            <v>NP</v>
          </cell>
          <cell r="E2426" t="str">
            <v>JORGE ELIECER</v>
          </cell>
          <cell r="F2426" t="str">
            <v>HERNANDEZ CARO</v>
          </cell>
          <cell r="G2426" t="str">
            <v>HERNANDEZ CARO JORGE ELIECER</v>
          </cell>
          <cell r="H2426" t="str">
            <v>RECO</v>
          </cell>
          <cell r="I2426" t="str">
            <v>REGIMEN COMUN</v>
          </cell>
          <cell r="J2426" t="str">
            <v>CL 55  24 07 BRR BELEN</v>
          </cell>
          <cell r="K2426" t="str">
            <v>17001</v>
          </cell>
          <cell r="L2426" t="str">
            <v>MANIZALES</v>
          </cell>
          <cell r="M2426" t="str">
            <v>8852533</v>
          </cell>
        </row>
        <row r="2427">
          <cell r="A2427">
            <v>75075916</v>
          </cell>
          <cell r="B2427" t="str">
            <v>6</v>
          </cell>
          <cell r="C2427" t="str">
            <v/>
          </cell>
          <cell r="D2427" t="str">
            <v>NP</v>
          </cell>
          <cell r="E2427" t="str">
            <v>CARLOS EDUARDO</v>
          </cell>
          <cell r="F2427" t="str">
            <v>NEIRA ESTRADA</v>
          </cell>
          <cell r="G2427" t="str">
            <v>CARLOS EDUARDO NEIRA ESTRADA</v>
          </cell>
          <cell r="H2427" t="str">
            <v>RECO</v>
          </cell>
          <cell r="I2427" t="str">
            <v>REGIMEN COMUN</v>
          </cell>
          <cell r="J2427" t="str">
            <v xml:space="preserve">CR  22 N 52 A 42 CEL 5405500 8807842  </v>
          </cell>
          <cell r="K2427" t="str">
            <v>17001</v>
          </cell>
          <cell r="L2427" t="str">
            <v>MANIZALES</v>
          </cell>
          <cell r="M2427" t="str">
            <v>8857898</v>
          </cell>
        </row>
        <row r="2428">
          <cell r="A2428">
            <v>75076275</v>
          </cell>
          <cell r="B2428" t="str">
            <v/>
          </cell>
          <cell r="C2428" t="str">
            <v/>
          </cell>
          <cell r="D2428" t="str">
            <v>CC</v>
          </cell>
          <cell r="E2428" t="str">
            <v>JOSÉ ANIBAL</v>
          </cell>
          <cell r="F2428" t="str">
            <v>ACEVEDO</v>
          </cell>
          <cell r="G2428" t="str">
            <v>ACEVEDO JOSÉ ANIBAL</v>
          </cell>
          <cell r="H2428" t="str">
            <v>NORE</v>
          </cell>
          <cell r="I2428" t="str">
            <v>NO RESPONSABLE DE IVA</v>
          </cell>
          <cell r="J2428" t="str">
            <v>MCP MANIZALES</v>
          </cell>
          <cell r="K2428" t="str">
            <v>17001</v>
          </cell>
          <cell r="L2428" t="str">
            <v>MANIZALES</v>
          </cell>
          <cell r="M2428" t="str">
            <v>NO TIENE</v>
          </cell>
        </row>
        <row r="2429">
          <cell r="A2429">
            <v>75076406</v>
          </cell>
          <cell r="B2429" t="str">
            <v/>
          </cell>
          <cell r="C2429" t="str">
            <v/>
          </cell>
          <cell r="D2429" t="str">
            <v>CC</v>
          </cell>
          <cell r="E2429" t="str">
            <v>RICARDO</v>
          </cell>
          <cell r="F2429" t="str">
            <v>TABARES GONZALEZ</v>
          </cell>
          <cell r="G2429" t="str">
            <v>TABARES GONZALEZ RICARDO</v>
          </cell>
          <cell r="H2429" t="str">
            <v>FUNC</v>
          </cell>
          <cell r="I2429" t="str">
            <v>FUNCIONARIO</v>
          </cell>
          <cell r="J2429" t="str">
            <v xml:space="preserve">CL 72 A NO  19A   21                 </v>
          </cell>
          <cell r="K2429" t="str">
            <v>17001</v>
          </cell>
          <cell r="L2429" t="str">
            <v>MANIZALES</v>
          </cell>
          <cell r="M2429" t="str">
            <v>8868845</v>
          </cell>
        </row>
        <row r="2430">
          <cell r="A2430">
            <v>75076457</v>
          </cell>
          <cell r="B2430" t="str">
            <v/>
          </cell>
          <cell r="C2430" t="str">
            <v/>
          </cell>
          <cell r="D2430" t="str">
            <v>CC</v>
          </cell>
          <cell r="E2430" t="str">
            <v>OSCAR MAURICIO</v>
          </cell>
          <cell r="F2430" t="str">
            <v>RIVERA GIRALDO</v>
          </cell>
          <cell r="G2430" t="str">
            <v>RIVERA GIRALDO OSCAR MAURICIO</v>
          </cell>
          <cell r="H2430" t="str">
            <v>FUNC</v>
          </cell>
          <cell r="I2430" t="str">
            <v>FUNCIONARIO</v>
          </cell>
          <cell r="J2430" t="str">
            <v>CL 81 B   25   41</v>
          </cell>
          <cell r="K2430" t="str">
            <v>17001</v>
          </cell>
          <cell r="L2430" t="str">
            <v>MANIZALES</v>
          </cell>
          <cell r="M2430" t="str">
            <v>8744136</v>
          </cell>
        </row>
        <row r="2431">
          <cell r="A2431">
            <v>75076613</v>
          </cell>
          <cell r="B2431" t="str">
            <v>4</v>
          </cell>
          <cell r="C2431" t="str">
            <v/>
          </cell>
          <cell r="D2431" t="str">
            <v>NP</v>
          </cell>
          <cell r="E2431" t="str">
            <v>YOLMAN ARMANDO</v>
          </cell>
          <cell r="F2431" t="str">
            <v>HINESTROZA GUTIERREZ</v>
          </cell>
          <cell r="G2431" t="str">
            <v>HINESTROZA GUTIERREZ YOLMAN ARMANDO</v>
          </cell>
          <cell r="H2431" t="str">
            <v>RESI</v>
          </cell>
          <cell r="I2431" t="str">
            <v>REGIMEN SIMPLIFICADO</v>
          </cell>
          <cell r="J2431" t="str">
            <v>CENTRO VDA SANTA HERCILIA FCA LOS CEBALLOS</v>
          </cell>
          <cell r="K2431" t="str">
            <v>85325</v>
          </cell>
          <cell r="L2431" t="str">
            <v>SAN LUIS DE PALENQUE</v>
          </cell>
          <cell r="M2431" t="str">
            <v>3132972145</v>
          </cell>
        </row>
        <row r="2432">
          <cell r="A2432">
            <v>75076895</v>
          </cell>
          <cell r="B2432" t="str">
            <v/>
          </cell>
          <cell r="C2432" t="str">
            <v/>
          </cell>
          <cell r="D2432" t="str">
            <v>CC</v>
          </cell>
          <cell r="E2432" t="str">
            <v>FABIO ANDRES</v>
          </cell>
          <cell r="F2432" t="str">
            <v>GARCIA BEDOYA</v>
          </cell>
          <cell r="G2432" t="str">
            <v>GARCIA BEDOYA FABIO ANDRES</v>
          </cell>
          <cell r="H2432" t="str">
            <v>FUNC</v>
          </cell>
          <cell r="I2432" t="str">
            <v>FUNCIONARIO</v>
          </cell>
          <cell r="J2432" t="str">
            <v>CL 50 20 64</v>
          </cell>
          <cell r="K2432" t="str">
            <v>17001</v>
          </cell>
          <cell r="L2432" t="str">
            <v>MANIZALES</v>
          </cell>
          <cell r="M2432" t="str">
            <v>3108264020</v>
          </cell>
        </row>
        <row r="2433">
          <cell r="A2433">
            <v>75076931</v>
          </cell>
          <cell r="B2433" t="str">
            <v>1</v>
          </cell>
          <cell r="C2433" t="str">
            <v/>
          </cell>
          <cell r="D2433" t="str">
            <v>NP</v>
          </cell>
          <cell r="E2433" t="str">
            <v>JORGE IVAN</v>
          </cell>
          <cell r="F2433" t="str">
            <v>LOPEZ DIAZ</v>
          </cell>
          <cell r="G2433" t="str">
            <v>LOPEZ DIAZ JORGE IVAN</v>
          </cell>
          <cell r="H2433" t="str">
            <v>RESI</v>
          </cell>
          <cell r="I2433" t="str">
            <v>REGIMEN SIMPLIFICADO</v>
          </cell>
          <cell r="J2433" t="str">
            <v>CR 23 63 15</v>
          </cell>
          <cell r="K2433" t="str">
            <v>17001</v>
          </cell>
          <cell r="L2433" t="str">
            <v>MANIZALES</v>
          </cell>
          <cell r="M2433" t="str">
            <v>8858706</v>
          </cell>
        </row>
        <row r="2434">
          <cell r="A2434">
            <v>75077555</v>
          </cell>
          <cell r="B2434" t="str">
            <v/>
          </cell>
          <cell r="C2434" t="str">
            <v/>
          </cell>
          <cell r="D2434" t="str">
            <v>CC</v>
          </cell>
          <cell r="E2434" t="str">
            <v>BERNANRDO</v>
          </cell>
          <cell r="F2434" t="str">
            <v>PINEDA CORREA</v>
          </cell>
          <cell r="G2434" t="str">
            <v>PINEDA CORREA BERNANRDO</v>
          </cell>
          <cell r="H2434" t="str">
            <v>FUNC</v>
          </cell>
          <cell r="I2434" t="str">
            <v>FUNCIONARIO</v>
          </cell>
          <cell r="J2434" t="str">
            <v>CR 32 B   100 A 27</v>
          </cell>
          <cell r="K2434" t="str">
            <v>17001</v>
          </cell>
          <cell r="L2434" t="str">
            <v>MANIZALES</v>
          </cell>
          <cell r="M2434" t="str">
            <v>8749411</v>
          </cell>
        </row>
        <row r="2435">
          <cell r="A2435">
            <v>75078165</v>
          </cell>
          <cell r="B2435" t="str">
            <v/>
          </cell>
          <cell r="C2435" t="str">
            <v/>
          </cell>
          <cell r="D2435" t="str">
            <v>CC</v>
          </cell>
          <cell r="E2435" t="str">
            <v>JUAN PABLO</v>
          </cell>
          <cell r="F2435" t="str">
            <v>FRANCO OSORIO</v>
          </cell>
          <cell r="G2435" t="str">
            <v>FRANCO OSORIO JUAN PABLO</v>
          </cell>
          <cell r="H2435" t="str">
            <v>FUNC</v>
          </cell>
          <cell r="I2435" t="str">
            <v>FUNCIONARIO</v>
          </cell>
          <cell r="J2435" t="str">
            <v>CR 18   71   96</v>
          </cell>
          <cell r="K2435" t="str">
            <v>17001</v>
          </cell>
          <cell r="L2435" t="str">
            <v>MANIZALES</v>
          </cell>
          <cell r="M2435" t="str">
            <v>8864531</v>
          </cell>
        </row>
        <row r="2436">
          <cell r="A2436">
            <v>75078301</v>
          </cell>
          <cell r="B2436" t="str">
            <v>0</v>
          </cell>
          <cell r="C2436" t="str">
            <v/>
          </cell>
          <cell r="D2436" t="str">
            <v>NP</v>
          </cell>
          <cell r="E2436" t="str">
            <v>WALTER</v>
          </cell>
          <cell r="F2436" t="str">
            <v>ARISTIZABAL SANCHEZ</v>
          </cell>
          <cell r="G2436" t="str">
            <v>ARISTIZABAL SANCHEZ WALTER</v>
          </cell>
          <cell r="H2436" t="str">
            <v>RESI</v>
          </cell>
          <cell r="I2436" t="str">
            <v>REGIMEN SIMPLIFICADO</v>
          </cell>
          <cell r="J2436" t="str">
            <v>CL 93 34  20</v>
          </cell>
          <cell r="K2436" t="str">
            <v>17001</v>
          </cell>
          <cell r="L2436" t="str">
            <v>MANIZALES</v>
          </cell>
          <cell r="M2436" t="str">
            <v>3104632130</v>
          </cell>
        </row>
        <row r="2437">
          <cell r="A2437">
            <v>75078418</v>
          </cell>
          <cell r="B2437" t="str">
            <v>3</v>
          </cell>
          <cell r="C2437" t="str">
            <v/>
          </cell>
          <cell r="D2437" t="str">
            <v>NP</v>
          </cell>
          <cell r="E2437" t="str">
            <v>JUAN CARLOS</v>
          </cell>
          <cell r="F2437" t="str">
            <v>GALLEGO CARDENAS</v>
          </cell>
          <cell r="G2437" t="str">
            <v>GALLEGO CARDENAS JUAN CARLOS</v>
          </cell>
          <cell r="H2437" t="str">
            <v>RESI</v>
          </cell>
          <cell r="I2437" t="str">
            <v>REGIMEN SIMPLIFICADO</v>
          </cell>
          <cell r="J2437" t="str">
            <v>CL 51  25  26</v>
          </cell>
          <cell r="K2437" t="str">
            <v>17001</v>
          </cell>
          <cell r="L2437" t="str">
            <v>MANIZALES</v>
          </cell>
          <cell r="M2437" t="str">
            <v>3136614749</v>
          </cell>
        </row>
        <row r="2438">
          <cell r="A2438">
            <v>75078618</v>
          </cell>
          <cell r="B2438" t="str">
            <v/>
          </cell>
          <cell r="C2438" t="str">
            <v/>
          </cell>
          <cell r="D2438" t="str">
            <v>CC</v>
          </cell>
          <cell r="E2438" t="str">
            <v>JORGE IVAN</v>
          </cell>
          <cell r="F2438" t="str">
            <v>OSORIO MEJIA</v>
          </cell>
          <cell r="G2438" t="str">
            <v>OSORIO MEJIA JORGE IVAN</v>
          </cell>
          <cell r="H2438" t="str">
            <v>FUNC</v>
          </cell>
          <cell r="I2438" t="str">
            <v>FUNCIONARIO</v>
          </cell>
          <cell r="J2438" t="str">
            <v>CL 67   25   71 AP 101</v>
          </cell>
          <cell r="K2438" t="str">
            <v>17001</v>
          </cell>
          <cell r="L2438" t="str">
            <v>MANIZALES</v>
          </cell>
          <cell r="M2438" t="str">
            <v>8871477</v>
          </cell>
        </row>
        <row r="2439">
          <cell r="A2439">
            <v>75078979</v>
          </cell>
          <cell r="B2439" t="str">
            <v/>
          </cell>
          <cell r="C2439" t="str">
            <v/>
          </cell>
          <cell r="D2439" t="str">
            <v>CC</v>
          </cell>
          <cell r="E2439" t="str">
            <v>HERMAN ELIAS</v>
          </cell>
          <cell r="F2439" t="str">
            <v>QUINTERO GUTIERREZ</v>
          </cell>
          <cell r="G2439" t="str">
            <v>QUINTERO GUTIERREZ HERMAN ELIAS</v>
          </cell>
          <cell r="H2439" t="str">
            <v>FUNC</v>
          </cell>
          <cell r="I2439" t="str">
            <v>FUNCIONARIO</v>
          </cell>
          <cell r="J2439" t="str">
            <v>CR 23 75 A 140</v>
          </cell>
          <cell r="K2439" t="str">
            <v>17001</v>
          </cell>
          <cell r="L2439" t="str">
            <v>MANIZALES</v>
          </cell>
          <cell r="M2439" t="str">
            <v>3004842299</v>
          </cell>
        </row>
        <row r="2440">
          <cell r="A2440">
            <v>75079188</v>
          </cell>
          <cell r="B2440" t="str">
            <v/>
          </cell>
          <cell r="C2440" t="str">
            <v/>
          </cell>
          <cell r="D2440" t="str">
            <v>CC</v>
          </cell>
          <cell r="E2440" t="str">
            <v>ANWAR GALETH</v>
          </cell>
          <cell r="F2440" t="str">
            <v>MUSTAFA MURIEL</v>
          </cell>
          <cell r="G2440" t="str">
            <v>MUSTAFA MURIEL ANWAR GALETH</v>
          </cell>
          <cell r="H2440" t="str">
            <v>FUNC</v>
          </cell>
          <cell r="I2440" t="str">
            <v>FUNCIONARIO</v>
          </cell>
          <cell r="J2440" t="str">
            <v>CALLE 68A No 9-65 TORRE 3 APTO 2A</v>
          </cell>
          <cell r="K2440" t="str">
            <v>17001</v>
          </cell>
          <cell r="L2440" t="str">
            <v>MANIZALES</v>
          </cell>
          <cell r="M2440" t="str">
            <v>3113108635</v>
          </cell>
        </row>
        <row r="2441">
          <cell r="A2441">
            <v>75079251</v>
          </cell>
          <cell r="B2441" t="str">
            <v>5</v>
          </cell>
          <cell r="C2441" t="str">
            <v/>
          </cell>
          <cell r="D2441" t="str">
            <v>NP</v>
          </cell>
          <cell r="E2441" t="str">
            <v>LUIS ALEJANDRO</v>
          </cell>
          <cell r="F2441" t="str">
            <v>TREJOS RUIZ</v>
          </cell>
          <cell r="G2441" t="str">
            <v>TREJOS RUIZ LUIS ALEJANDRO</v>
          </cell>
          <cell r="H2441" t="str">
            <v>RECO</v>
          </cell>
          <cell r="I2441" t="str">
            <v>REGIMEN COMUN</v>
          </cell>
          <cell r="J2441" t="str">
            <v>CR 27 A   16   34</v>
          </cell>
          <cell r="K2441" t="str">
            <v>17001</v>
          </cell>
          <cell r="L2441" t="str">
            <v>MANIZALES</v>
          </cell>
          <cell r="M2441" t="str">
            <v>8800197</v>
          </cell>
        </row>
        <row r="2442">
          <cell r="A2442">
            <v>75079425</v>
          </cell>
          <cell r="B2442" t="str">
            <v>1</v>
          </cell>
          <cell r="C2442" t="str">
            <v/>
          </cell>
          <cell r="D2442" t="str">
            <v>NP</v>
          </cell>
          <cell r="E2442" t="str">
            <v>CARLOS ANDRES</v>
          </cell>
          <cell r="F2442" t="str">
            <v>CASTAÑO GIRALDO</v>
          </cell>
          <cell r="G2442" t="str">
            <v>CASTAÑO GIRALDO CARLOS ANDRES</v>
          </cell>
          <cell r="H2442" t="str">
            <v>NORE</v>
          </cell>
          <cell r="I2442" t="str">
            <v>NO RESPONSABLE DE IVA</v>
          </cell>
          <cell r="J2442" t="str">
            <v>PAR CASTILLA BL A 2 AP 301 CL 41 CR 21</v>
          </cell>
          <cell r="K2442" t="str">
            <v>17001</v>
          </cell>
          <cell r="L2442" t="str">
            <v>MANIZALES</v>
          </cell>
          <cell r="M2442" t="str">
            <v>3017956234</v>
          </cell>
        </row>
        <row r="2443">
          <cell r="A2443">
            <v>75079529</v>
          </cell>
          <cell r="B2443" t="str">
            <v/>
          </cell>
          <cell r="C2443" t="str">
            <v/>
          </cell>
          <cell r="D2443" t="str">
            <v>CC</v>
          </cell>
          <cell r="E2443" t="str">
            <v>JULIAN ANDRES</v>
          </cell>
          <cell r="F2443" t="str">
            <v>VASCO LOAIZA</v>
          </cell>
          <cell r="G2443" t="str">
            <v>VASCO LOAIZA JULIAN ANDRES</v>
          </cell>
          <cell r="H2443" t="str">
            <v>FUNC</v>
          </cell>
          <cell r="I2443" t="str">
            <v>FUNCIONARIO</v>
          </cell>
          <cell r="J2443" t="str">
            <v>CLLE 69 9A-85-55 APTO 367</v>
          </cell>
          <cell r="K2443" t="str">
            <v>17001</v>
          </cell>
          <cell r="L2443" t="str">
            <v>MANIZALES</v>
          </cell>
          <cell r="M2443" t="str">
            <v>3194252136</v>
          </cell>
        </row>
        <row r="2444">
          <cell r="A2444">
            <v>75079709</v>
          </cell>
          <cell r="B2444" t="str">
            <v/>
          </cell>
          <cell r="C2444" t="str">
            <v/>
          </cell>
          <cell r="D2444" t="str">
            <v>CC</v>
          </cell>
          <cell r="E2444" t="str">
            <v>JHON FREDY</v>
          </cell>
          <cell r="F2444" t="str">
            <v>GARCIA CASTRO</v>
          </cell>
          <cell r="G2444" t="str">
            <v>GARCIA CASTRO JHON FREDY</v>
          </cell>
          <cell r="H2444" t="str">
            <v>FUNC</v>
          </cell>
          <cell r="I2444" t="str">
            <v>FUNCIONARIO</v>
          </cell>
          <cell r="J2444" t="str">
            <v>CR 27   18   50</v>
          </cell>
          <cell r="K2444" t="str">
            <v>17001</v>
          </cell>
          <cell r="L2444" t="str">
            <v>MANIZALES</v>
          </cell>
          <cell r="M2444" t="str">
            <v>3206903648</v>
          </cell>
        </row>
        <row r="2445">
          <cell r="A2445">
            <v>75079931</v>
          </cell>
          <cell r="B2445" t="str">
            <v/>
          </cell>
          <cell r="C2445" t="str">
            <v/>
          </cell>
          <cell r="D2445" t="str">
            <v>CC</v>
          </cell>
          <cell r="E2445" t="str">
            <v>JUAN PABLO</v>
          </cell>
          <cell r="F2445" t="str">
            <v>VALENCIA COTRINI</v>
          </cell>
          <cell r="G2445" t="str">
            <v>VALENCIA COTRINI JUAN PABLO</v>
          </cell>
          <cell r="H2445" t="str">
            <v>FUNC</v>
          </cell>
          <cell r="I2445" t="str">
            <v>FUNCIONARIO</v>
          </cell>
          <cell r="J2445" t="str">
            <v>CRA 9 NORTE #9.60</v>
          </cell>
          <cell r="K2445" t="str">
            <v>17001</v>
          </cell>
          <cell r="L2445" t="str">
            <v>MANIZALES</v>
          </cell>
          <cell r="M2445" t="str">
            <v>3016709556</v>
          </cell>
        </row>
        <row r="2446">
          <cell r="A2446">
            <v>75079963</v>
          </cell>
          <cell r="B2446" t="str">
            <v/>
          </cell>
          <cell r="C2446" t="str">
            <v/>
          </cell>
          <cell r="D2446" t="str">
            <v>CC</v>
          </cell>
          <cell r="E2446" t="str">
            <v>JOSE ROBINSON</v>
          </cell>
          <cell r="F2446" t="str">
            <v>GIRALDO CARDENAS</v>
          </cell>
          <cell r="G2446" t="str">
            <v>GIRALDO CARDENAS JOSE ROBINSON</v>
          </cell>
          <cell r="H2446" t="str">
            <v>FUNC</v>
          </cell>
          <cell r="I2446" t="str">
            <v>FUNCIONARIO</v>
          </cell>
          <cell r="J2446" t="str">
            <v>CL 61 9 A 17</v>
          </cell>
          <cell r="K2446" t="str">
            <v>17001</v>
          </cell>
          <cell r="L2446" t="str">
            <v>MANIZALES</v>
          </cell>
          <cell r="M2446" t="str">
            <v>3022853386</v>
          </cell>
        </row>
        <row r="2447">
          <cell r="A2447">
            <v>75080278</v>
          </cell>
          <cell r="B2447" t="str">
            <v/>
          </cell>
          <cell r="C2447" t="str">
            <v/>
          </cell>
          <cell r="D2447" t="str">
            <v>CC</v>
          </cell>
          <cell r="E2447" t="str">
            <v>RICARDO ANDRES</v>
          </cell>
          <cell r="F2447" t="str">
            <v>GOMEZ DE LA ROCHE</v>
          </cell>
          <cell r="G2447" t="str">
            <v>RICARDO ANDRÉS GÓMEZ DE LA ROCHE</v>
          </cell>
          <cell r="H2447" t="str">
            <v>RESI</v>
          </cell>
          <cell r="I2447" t="str">
            <v>REGIMEN SIMPLIFICADO</v>
          </cell>
          <cell r="J2447" t="str">
            <v>CL 71 1  516  CA 47 CONJ VALLES DELA FLORIDA</v>
          </cell>
          <cell r="K2447" t="str">
            <v>17001</v>
          </cell>
          <cell r="L2447" t="str">
            <v>MANIZALES</v>
          </cell>
          <cell r="M2447" t="str">
            <v>3116283477</v>
          </cell>
        </row>
        <row r="2448">
          <cell r="A2448">
            <v>75080379</v>
          </cell>
          <cell r="B2448" t="str">
            <v/>
          </cell>
          <cell r="C2448" t="str">
            <v/>
          </cell>
          <cell r="D2448" t="str">
            <v>CC</v>
          </cell>
          <cell r="E2448" t="str">
            <v>JUAN CARLOS</v>
          </cell>
          <cell r="F2448" t="str">
            <v>OROZCO GAVIRIA</v>
          </cell>
          <cell r="G2448" t="str">
            <v>OROZCO GAVIRIA JUAN CARLOS</v>
          </cell>
          <cell r="H2448" t="str">
            <v>FUNC</v>
          </cell>
          <cell r="I2448" t="str">
            <v>FUNCIONARIO</v>
          </cell>
          <cell r="J2448" t="str">
            <v>CR 28 BIS   16   55</v>
          </cell>
          <cell r="K2448" t="str">
            <v>17001</v>
          </cell>
          <cell r="L2448" t="str">
            <v>MANIZALES</v>
          </cell>
          <cell r="M2448" t="str">
            <v>8836405</v>
          </cell>
        </row>
        <row r="2449">
          <cell r="A2449">
            <v>75080466</v>
          </cell>
          <cell r="B2449" t="str">
            <v>3</v>
          </cell>
          <cell r="C2449" t="str">
            <v/>
          </cell>
          <cell r="D2449" t="str">
            <v>NP</v>
          </cell>
          <cell r="E2449" t="str">
            <v>LUIS GONZALO</v>
          </cell>
          <cell r="F2449" t="str">
            <v>OROZCO MONTOYA</v>
          </cell>
          <cell r="G2449" t="str">
            <v>OROZCO MONTOYA LUIS GONZALO</v>
          </cell>
          <cell r="H2449" t="str">
            <v>RECO</v>
          </cell>
          <cell r="I2449" t="str">
            <v>REGIMEN COMUN</v>
          </cell>
          <cell r="J2449" t="str">
            <v>CR 19   72   49</v>
          </cell>
          <cell r="K2449" t="str">
            <v>17001</v>
          </cell>
          <cell r="L2449" t="str">
            <v>MANIZALES</v>
          </cell>
          <cell r="M2449" t="str">
            <v>8891850</v>
          </cell>
        </row>
        <row r="2450">
          <cell r="A2450">
            <v>75080688</v>
          </cell>
          <cell r="B2450" t="str">
            <v/>
          </cell>
          <cell r="C2450" t="str">
            <v/>
          </cell>
          <cell r="D2450" t="str">
            <v>CC</v>
          </cell>
          <cell r="E2450" t="str">
            <v>EDWIN</v>
          </cell>
          <cell r="F2450" t="str">
            <v>MEJIA MORALES</v>
          </cell>
          <cell r="G2450" t="str">
            <v>MEJIA MORALES EDWIN</v>
          </cell>
          <cell r="H2450" t="str">
            <v>FUNC</v>
          </cell>
          <cell r="I2450" t="str">
            <v>FUNCIONARIO</v>
          </cell>
          <cell r="J2450" t="str">
            <v>CL 50   26   69 ED PS VERSALLES AP 603 B</v>
          </cell>
          <cell r="K2450" t="str">
            <v>17001</v>
          </cell>
          <cell r="L2450" t="str">
            <v>MANIZALES</v>
          </cell>
          <cell r="M2450" t="str">
            <v>8865377</v>
          </cell>
        </row>
        <row r="2451">
          <cell r="A2451">
            <v>75080852</v>
          </cell>
          <cell r="B2451" t="str">
            <v>3</v>
          </cell>
          <cell r="C2451" t="str">
            <v/>
          </cell>
          <cell r="D2451" t="str">
            <v>NP</v>
          </cell>
          <cell r="E2451" t="str">
            <v>JUAN PABLO</v>
          </cell>
          <cell r="F2451" t="str">
            <v>RIVERA ESTRADA</v>
          </cell>
          <cell r="G2451" t="str">
            <v>JUAN PABLO RIVERA ESTRADA</v>
          </cell>
          <cell r="H2451" t="str">
            <v>RECO</v>
          </cell>
          <cell r="I2451" t="str">
            <v>REGIMEN COMUN</v>
          </cell>
          <cell r="J2451" t="str">
            <v xml:space="preserve">CL 66D N 41 15 CEL4226794            </v>
          </cell>
          <cell r="K2451" t="str">
            <v>17001</v>
          </cell>
          <cell r="L2451" t="str">
            <v>MANIZALES</v>
          </cell>
          <cell r="M2451" t="str">
            <v>8786949</v>
          </cell>
        </row>
        <row r="2452">
          <cell r="A2452">
            <v>75081724</v>
          </cell>
          <cell r="B2452" t="str">
            <v>3</v>
          </cell>
          <cell r="C2452" t="str">
            <v/>
          </cell>
          <cell r="D2452" t="str">
            <v>NP</v>
          </cell>
          <cell r="E2452" t="str">
            <v>JULIAN ANDRES</v>
          </cell>
          <cell r="F2452" t="str">
            <v>MARULANDA JIMENEZ</v>
          </cell>
          <cell r="G2452" t="str">
            <v>MARULANDA JIMENEZ JULIAN ANDRES</v>
          </cell>
          <cell r="H2452" t="str">
            <v>NORE</v>
          </cell>
          <cell r="I2452" t="str">
            <v>NO RESPONSABLE DE IVA</v>
          </cell>
          <cell r="J2452" t="str">
            <v>CR 23 55 70 LC 10</v>
          </cell>
          <cell r="K2452" t="str">
            <v>17001</v>
          </cell>
          <cell r="L2452" t="str">
            <v>MANIZALES</v>
          </cell>
          <cell r="M2452" t="str">
            <v>3148919807</v>
          </cell>
        </row>
        <row r="2453">
          <cell r="A2453">
            <v>75081867</v>
          </cell>
          <cell r="B2453" t="str">
            <v>8</v>
          </cell>
          <cell r="C2453" t="str">
            <v/>
          </cell>
          <cell r="D2453" t="str">
            <v>NP</v>
          </cell>
          <cell r="E2453" t="str">
            <v>JOHN ALEXANDER</v>
          </cell>
          <cell r="F2453" t="str">
            <v>HENRIQUEZ OBANDO</v>
          </cell>
          <cell r="G2453" t="str">
            <v>HENRIQUEZ OBANDO JOHN ALEXANDER</v>
          </cell>
          <cell r="H2453" t="str">
            <v>NORE</v>
          </cell>
          <cell r="I2453" t="str">
            <v>NO RESPONSABLE DE IVA</v>
          </cell>
          <cell r="J2453" t="str">
            <v>CR 28 14 58</v>
          </cell>
          <cell r="K2453" t="str">
            <v>17001</v>
          </cell>
          <cell r="L2453" t="str">
            <v>MANIZALES</v>
          </cell>
          <cell r="M2453" t="str">
            <v>8733627</v>
          </cell>
        </row>
        <row r="2454">
          <cell r="A2454">
            <v>75081970</v>
          </cell>
          <cell r="B2454" t="str">
            <v>9</v>
          </cell>
          <cell r="C2454" t="str">
            <v/>
          </cell>
          <cell r="D2454" t="str">
            <v>NP</v>
          </cell>
          <cell r="E2454" t="str">
            <v>CARLOS ANDRES</v>
          </cell>
          <cell r="F2454" t="str">
            <v>FRANCO VALENCIA</v>
          </cell>
          <cell r="G2454" t="str">
            <v>FRANCO VALENCIA CARLOS ANDRES</v>
          </cell>
          <cell r="H2454" t="str">
            <v>RESI</v>
          </cell>
          <cell r="I2454" t="str">
            <v>REGIMEN SIMPLIFICADO</v>
          </cell>
          <cell r="J2454" t="str">
            <v>CR 22   20   43</v>
          </cell>
          <cell r="K2454" t="str">
            <v>17001</v>
          </cell>
          <cell r="L2454" t="str">
            <v>MANIZALES</v>
          </cell>
          <cell r="M2454" t="str">
            <v>8832010</v>
          </cell>
        </row>
        <row r="2455">
          <cell r="A2455">
            <v>75082027</v>
          </cell>
          <cell r="B2455" t="str">
            <v>2</v>
          </cell>
          <cell r="C2455" t="str">
            <v/>
          </cell>
          <cell r="D2455" t="str">
            <v>NP</v>
          </cell>
          <cell r="E2455" t="str">
            <v>JUAN MIGUEL</v>
          </cell>
          <cell r="F2455" t="str">
            <v>ALVAREZ JIMENEZ</v>
          </cell>
          <cell r="G2455" t="str">
            <v>ALVAREZ JIMENEZ JUAN MIGUEL</v>
          </cell>
          <cell r="H2455" t="str">
            <v>NORE</v>
          </cell>
          <cell r="I2455" t="str">
            <v>NO RESPONSABLE DE IVA</v>
          </cell>
          <cell r="J2455" t="str">
            <v>CL 70 A   23 B  33 AP 502 BRR LA CAMELIA</v>
          </cell>
          <cell r="K2455" t="str">
            <v>17001</v>
          </cell>
          <cell r="L2455" t="str">
            <v>MANIZALES</v>
          </cell>
          <cell r="M2455" t="str">
            <v>3108960992</v>
          </cell>
        </row>
        <row r="2456">
          <cell r="A2456">
            <v>75082226</v>
          </cell>
          <cell r="B2456" t="str">
            <v>1</v>
          </cell>
          <cell r="C2456" t="str">
            <v/>
          </cell>
          <cell r="D2456" t="str">
            <v>NP</v>
          </cell>
          <cell r="E2456" t="str">
            <v>WILMAR</v>
          </cell>
          <cell r="F2456" t="str">
            <v>CAÑON ARIAS</v>
          </cell>
          <cell r="G2456" t="str">
            <v>CAÑON ARIAS WILMAR</v>
          </cell>
          <cell r="H2456" t="str">
            <v>RESI</v>
          </cell>
          <cell r="I2456" t="str">
            <v>REGIMEN SIMPLIFICADO</v>
          </cell>
          <cell r="J2456" t="str">
            <v>CLL 6  4  46  VILLAMARIA</v>
          </cell>
          <cell r="K2456" t="str">
            <v>17873</v>
          </cell>
          <cell r="L2456" t="str">
            <v>VILLAMARÍA</v>
          </cell>
          <cell r="M2456" t="str">
            <v>3117428928</v>
          </cell>
        </row>
        <row r="2457">
          <cell r="A2457">
            <v>75082357</v>
          </cell>
          <cell r="B2457" t="str">
            <v/>
          </cell>
          <cell r="C2457" t="str">
            <v/>
          </cell>
          <cell r="D2457" t="str">
            <v>CC</v>
          </cell>
          <cell r="E2457" t="str">
            <v>PAULO CESAR</v>
          </cell>
          <cell r="F2457" t="str">
            <v>CASTAÑEDA ARBOLEDA</v>
          </cell>
          <cell r="G2457" t="str">
            <v>CASTAÑEDA ARBOLEDA PAULO CESAR</v>
          </cell>
          <cell r="H2457" t="str">
            <v>FUNC</v>
          </cell>
          <cell r="I2457" t="str">
            <v>FUNCIONARIO</v>
          </cell>
          <cell r="J2457" t="str">
            <v>CL 17 8 05</v>
          </cell>
          <cell r="K2457" t="str">
            <v>17001</v>
          </cell>
          <cell r="L2457" t="str">
            <v>MANIZALES</v>
          </cell>
          <cell r="M2457" t="str">
            <v>3146307222</v>
          </cell>
        </row>
        <row r="2458">
          <cell r="A2458">
            <v>75082373</v>
          </cell>
          <cell r="B2458" t="str">
            <v/>
          </cell>
          <cell r="C2458" t="str">
            <v/>
          </cell>
          <cell r="D2458" t="str">
            <v>CC</v>
          </cell>
          <cell r="E2458" t="str">
            <v>ABSALON</v>
          </cell>
          <cell r="F2458" t="str">
            <v>VALENCIA HERNANDEZ</v>
          </cell>
          <cell r="G2458" t="str">
            <v>VALENCIA HERNANDEZ ABSALON</v>
          </cell>
          <cell r="H2458" t="str">
            <v>FUNC</v>
          </cell>
          <cell r="I2458" t="str">
            <v>FUNCIONARIO</v>
          </cell>
          <cell r="J2458" t="str">
            <v>CR 10   15   146 AP 101 BL 6 A</v>
          </cell>
          <cell r="K2458" t="str">
            <v>17001</v>
          </cell>
          <cell r="L2458" t="str">
            <v>MANIZALES</v>
          </cell>
          <cell r="M2458" t="str">
            <v>8842884</v>
          </cell>
        </row>
        <row r="2459">
          <cell r="A2459">
            <v>75082523</v>
          </cell>
          <cell r="B2459" t="str">
            <v/>
          </cell>
          <cell r="C2459" t="str">
            <v/>
          </cell>
          <cell r="D2459" t="str">
            <v>CC</v>
          </cell>
          <cell r="E2459" t="str">
            <v>PABLO ANDRES</v>
          </cell>
          <cell r="F2459" t="str">
            <v>GARCIA ARANGO</v>
          </cell>
          <cell r="G2459" t="str">
            <v>GARCIA ARANGO PABLO ANDRES</v>
          </cell>
          <cell r="H2459" t="str">
            <v>FUNC</v>
          </cell>
          <cell r="I2459" t="str">
            <v>FUNCIONARIO</v>
          </cell>
          <cell r="J2459" t="str">
            <v>CR 33 B   99 A 57</v>
          </cell>
          <cell r="K2459" t="str">
            <v>17001</v>
          </cell>
          <cell r="L2459" t="str">
            <v>MANIZALES</v>
          </cell>
          <cell r="M2459" t="str">
            <v>8811761</v>
          </cell>
        </row>
        <row r="2460">
          <cell r="A2460">
            <v>75082574</v>
          </cell>
          <cell r="B2460" t="str">
            <v/>
          </cell>
          <cell r="C2460" t="str">
            <v/>
          </cell>
          <cell r="D2460" t="str">
            <v>CC</v>
          </cell>
          <cell r="E2460" t="str">
            <v>WILLIAM</v>
          </cell>
          <cell r="F2460" t="str">
            <v>PEREZ GIRALDO</v>
          </cell>
          <cell r="G2460" t="str">
            <v>PEREZ GIRALDO WILLIAM</v>
          </cell>
          <cell r="H2460" t="str">
            <v>FUNC</v>
          </cell>
          <cell r="I2460" t="str">
            <v>FUNCIONARIO</v>
          </cell>
          <cell r="J2460" t="str">
            <v>CR 20   75 A 38 AP 303 BRR ALTA SUIZA</v>
          </cell>
          <cell r="K2460" t="str">
            <v>17001</v>
          </cell>
          <cell r="L2460" t="str">
            <v>MANIZALES</v>
          </cell>
          <cell r="M2460" t="str">
            <v>8867845</v>
          </cell>
        </row>
        <row r="2461">
          <cell r="A2461">
            <v>75082944</v>
          </cell>
          <cell r="B2461" t="str">
            <v>1</v>
          </cell>
          <cell r="C2461" t="str">
            <v/>
          </cell>
          <cell r="D2461" t="str">
            <v>NP</v>
          </cell>
          <cell r="E2461" t="str">
            <v>JORGE HERNANDO</v>
          </cell>
          <cell r="F2461" t="str">
            <v>MOTOA GOMEZ</v>
          </cell>
          <cell r="G2461" t="str">
            <v>MOTOA GOMEZ JORGE HERNANDO</v>
          </cell>
          <cell r="H2461" t="str">
            <v>REOR</v>
          </cell>
          <cell r="I2461" t="str">
            <v>RENTA REGIMEN ORDINARIO</v>
          </cell>
          <cell r="J2461" t="str">
            <v>CL 7  13 A   10 BRR LA PRADERA</v>
          </cell>
          <cell r="K2461" t="str">
            <v>17001</v>
          </cell>
          <cell r="L2461" t="str">
            <v>MANIZALES</v>
          </cell>
          <cell r="M2461" t="str">
            <v>8773994</v>
          </cell>
        </row>
        <row r="2462">
          <cell r="A2462">
            <v>75084196</v>
          </cell>
          <cell r="B2462" t="str">
            <v/>
          </cell>
          <cell r="C2462" t="str">
            <v/>
          </cell>
          <cell r="D2462" t="str">
            <v>CC</v>
          </cell>
          <cell r="E2462" t="str">
            <v>JUAN CARLOS</v>
          </cell>
          <cell r="F2462" t="str">
            <v>COTRINI VALENCIA</v>
          </cell>
          <cell r="G2462" t="str">
            <v>COTRINI VALENCIA JUAN CARLOS</v>
          </cell>
          <cell r="H2462" t="str">
            <v>FUNC</v>
          </cell>
          <cell r="I2462" t="str">
            <v>FUNCIONARIO</v>
          </cell>
          <cell r="J2462" t="str">
            <v>CR 11 49 C 05</v>
          </cell>
          <cell r="K2462" t="str">
            <v>17001</v>
          </cell>
          <cell r="L2462" t="str">
            <v>MANIZALES</v>
          </cell>
          <cell r="M2462" t="str">
            <v>3136595691</v>
          </cell>
        </row>
        <row r="2463">
          <cell r="A2463">
            <v>75084311</v>
          </cell>
          <cell r="B2463" t="str">
            <v>9</v>
          </cell>
          <cell r="C2463" t="str">
            <v/>
          </cell>
          <cell r="D2463" t="str">
            <v>NP</v>
          </cell>
          <cell r="E2463" t="str">
            <v>MIGUEL ANGEL</v>
          </cell>
          <cell r="F2463" t="str">
            <v>RINCON GRAJALES</v>
          </cell>
          <cell r="G2463" t="str">
            <v>RINCON GRAJALES MIGUEL ANGEL</v>
          </cell>
          <cell r="H2463" t="str">
            <v>RECO</v>
          </cell>
          <cell r="I2463" t="str">
            <v>REGIMEN COMUN</v>
          </cell>
          <cell r="J2463" t="str">
            <v xml:space="preserve"> CR 29 70 34 AP 5011</v>
          </cell>
          <cell r="K2463" t="str">
            <v>17001</v>
          </cell>
          <cell r="L2463" t="str">
            <v>MANIZALES</v>
          </cell>
          <cell r="M2463" t="str">
            <v>8874828</v>
          </cell>
        </row>
        <row r="2464">
          <cell r="A2464">
            <v>75084440</v>
          </cell>
          <cell r="B2464" t="str">
            <v/>
          </cell>
          <cell r="C2464" t="str">
            <v/>
          </cell>
          <cell r="D2464" t="str">
            <v>CC</v>
          </cell>
          <cell r="E2464" t="str">
            <v>JOHN JAIRO</v>
          </cell>
          <cell r="F2464" t="str">
            <v>ALARCON SERNA</v>
          </cell>
          <cell r="G2464" t="str">
            <v>ALARCON SERNA JOHN JAIRO</v>
          </cell>
          <cell r="H2464" t="str">
            <v>FUNC</v>
          </cell>
          <cell r="I2464" t="str">
            <v>FUNCIONARIO</v>
          </cell>
          <cell r="J2464" t="str">
            <v>CRA 35 No 102A-30</v>
          </cell>
          <cell r="K2464" t="str">
            <v>17001</v>
          </cell>
          <cell r="L2464" t="str">
            <v>MANIZALES</v>
          </cell>
          <cell r="M2464" t="str">
            <v>3192658095</v>
          </cell>
        </row>
        <row r="2465">
          <cell r="A2465">
            <v>75086051</v>
          </cell>
          <cell r="B2465" t="str">
            <v/>
          </cell>
          <cell r="C2465" t="str">
            <v/>
          </cell>
          <cell r="D2465" t="str">
            <v>CC</v>
          </cell>
          <cell r="E2465" t="str">
            <v>JUAN GERMAN</v>
          </cell>
          <cell r="F2465" t="str">
            <v>BONILLA CARDONA</v>
          </cell>
          <cell r="G2465" t="str">
            <v>BONILLA CARDONA JUAN GERMAN</v>
          </cell>
          <cell r="H2465" t="str">
            <v>FUNC</v>
          </cell>
          <cell r="I2465" t="str">
            <v>FUNCIONARIO</v>
          </cell>
          <cell r="J2465" t="str">
            <v>CR 15 4 B 63 AP 704</v>
          </cell>
          <cell r="K2465" t="str">
            <v>17001</v>
          </cell>
          <cell r="L2465" t="str">
            <v>MANIZALES</v>
          </cell>
          <cell r="M2465" t="str">
            <v>3117164809</v>
          </cell>
        </row>
        <row r="2466">
          <cell r="A2466">
            <v>75086657</v>
          </cell>
          <cell r="B2466" t="str">
            <v/>
          </cell>
          <cell r="C2466" t="str">
            <v/>
          </cell>
          <cell r="D2466" t="str">
            <v>CC</v>
          </cell>
          <cell r="E2466" t="str">
            <v>CARLOS ANDRES</v>
          </cell>
          <cell r="F2466" t="str">
            <v>IGLESIAS RENDON</v>
          </cell>
          <cell r="G2466" t="str">
            <v>IGLESIAS RENDON CARLOS ANDRES</v>
          </cell>
          <cell r="H2466" t="str">
            <v>FUNC</v>
          </cell>
          <cell r="I2466" t="str">
            <v>FUNCIONARIO</v>
          </cell>
          <cell r="J2466" t="str">
            <v>CL 67 A N 22 38</v>
          </cell>
          <cell r="K2466" t="str">
            <v>17001</v>
          </cell>
          <cell r="L2466" t="str">
            <v>MANIZALES</v>
          </cell>
          <cell r="M2466" t="str">
            <v>3104537117</v>
          </cell>
        </row>
        <row r="2467">
          <cell r="A2467">
            <v>75086821</v>
          </cell>
          <cell r="B2467" t="str">
            <v>2</v>
          </cell>
          <cell r="C2467" t="str">
            <v/>
          </cell>
          <cell r="D2467" t="str">
            <v>NP</v>
          </cell>
          <cell r="E2467" t="str">
            <v>HUGO GIOBANNY</v>
          </cell>
          <cell r="F2467" t="str">
            <v>CALLE ARIAS</v>
          </cell>
          <cell r="G2467" t="str">
            <v>CALLE ARIAS HUGO GIOBANNY</v>
          </cell>
          <cell r="H2467" t="str">
            <v>NORE</v>
          </cell>
          <cell r="I2467" t="str">
            <v>NO RESPONSABLE DE IVA</v>
          </cell>
          <cell r="J2467" t="str">
            <v>CL 13 15 35 P2</v>
          </cell>
          <cell r="K2467" t="str">
            <v>17001</v>
          </cell>
          <cell r="L2467" t="str">
            <v>MANIZALES</v>
          </cell>
          <cell r="M2467" t="str">
            <v>3133877716</v>
          </cell>
        </row>
        <row r="2468">
          <cell r="A2468">
            <v>75087025</v>
          </cell>
          <cell r="B2468" t="str">
            <v>0</v>
          </cell>
          <cell r="C2468" t="str">
            <v/>
          </cell>
          <cell r="D2468" t="str">
            <v>NP</v>
          </cell>
          <cell r="E2468" t="str">
            <v>JUAN CARLOS</v>
          </cell>
          <cell r="F2468" t="str">
            <v>RAMIREZ OSORIO</v>
          </cell>
          <cell r="G2468" t="str">
            <v>RAMIREZ OSORIO JUAN CARLOS</v>
          </cell>
          <cell r="H2468" t="str">
            <v>RESI</v>
          </cell>
          <cell r="I2468" t="str">
            <v>REGIMEN SIMPLIFICADO</v>
          </cell>
          <cell r="J2468" t="str">
            <v>CL 68 A 9 65 AP 7 A TO 3</v>
          </cell>
          <cell r="K2468" t="str">
            <v>17001</v>
          </cell>
          <cell r="L2468" t="str">
            <v>MANIZALES</v>
          </cell>
          <cell r="M2468" t="str">
            <v>3147711103</v>
          </cell>
        </row>
        <row r="2469">
          <cell r="A2469">
            <v>75087131</v>
          </cell>
          <cell r="B2469" t="str">
            <v>3</v>
          </cell>
          <cell r="C2469" t="str">
            <v/>
          </cell>
          <cell r="D2469" t="str">
            <v>NP</v>
          </cell>
          <cell r="E2469" t="str">
            <v xml:space="preserve">FABIAN </v>
          </cell>
          <cell r="F2469" t="str">
            <v>CARDONA MUÑOZ</v>
          </cell>
          <cell r="G2469" t="str">
            <v>FABIAN CARDONA MUÑOZ</v>
          </cell>
          <cell r="H2469" t="str">
            <v>RECO</v>
          </cell>
          <cell r="I2469" t="str">
            <v>REGIMEN COMUN</v>
          </cell>
          <cell r="J2469" t="str">
            <v xml:space="preserve">MANIZALES                               </v>
          </cell>
          <cell r="K2469" t="str">
            <v>17001</v>
          </cell>
          <cell r="L2469" t="str">
            <v>MANIZALES</v>
          </cell>
          <cell r="M2469" t="str">
            <v>PND.</v>
          </cell>
        </row>
        <row r="2470">
          <cell r="A2470">
            <v>75087230</v>
          </cell>
          <cell r="B2470" t="str">
            <v>4</v>
          </cell>
          <cell r="C2470" t="str">
            <v/>
          </cell>
          <cell r="D2470" t="str">
            <v>NP</v>
          </cell>
          <cell r="E2470" t="str">
            <v>JHON FREDY</v>
          </cell>
          <cell r="F2470" t="str">
            <v>FRANCO GIRALDO</v>
          </cell>
          <cell r="G2470" t="str">
            <v>FRANCO GIRALDO JHON FREDY</v>
          </cell>
          <cell r="H2470" t="str">
            <v>RCPN</v>
          </cell>
          <cell r="I2470" t="str">
            <v>RESPONSABLE IVA PERSONA NATURAL</v>
          </cell>
          <cell r="J2470" t="str">
            <v>CR 28 C 72 23</v>
          </cell>
          <cell r="K2470" t="str">
            <v>17001</v>
          </cell>
          <cell r="L2470" t="str">
            <v>MANIZALES</v>
          </cell>
          <cell r="M2470" t="str">
            <v>3148939343</v>
          </cell>
        </row>
        <row r="2471">
          <cell r="A2471">
            <v>75087268</v>
          </cell>
          <cell r="B2471" t="str">
            <v>3</v>
          </cell>
          <cell r="C2471" t="str">
            <v/>
          </cell>
          <cell r="D2471" t="str">
            <v>NP</v>
          </cell>
          <cell r="E2471" t="str">
            <v>JHON EDWIN</v>
          </cell>
          <cell r="F2471" t="str">
            <v>OSORIO GONZALEZ</v>
          </cell>
          <cell r="G2471" t="str">
            <v>OSORIO GONZALEZ JHON EDWIN</v>
          </cell>
          <cell r="H2471" t="str">
            <v>RESI</v>
          </cell>
          <cell r="I2471" t="str">
            <v>REGIMEN SIMPLIFICADO</v>
          </cell>
          <cell r="J2471" t="str">
            <v>CL 39 A 24 93</v>
          </cell>
          <cell r="K2471" t="str">
            <v>17001</v>
          </cell>
          <cell r="L2471" t="str">
            <v>MANIZALES</v>
          </cell>
          <cell r="M2471" t="str">
            <v>8837854</v>
          </cell>
        </row>
        <row r="2472">
          <cell r="A2472">
            <v>75087996</v>
          </cell>
          <cell r="B2472" t="str">
            <v/>
          </cell>
          <cell r="C2472" t="str">
            <v/>
          </cell>
          <cell r="D2472" t="str">
            <v>CC</v>
          </cell>
          <cell r="E2472" t="str">
            <v>ALEJANDRO</v>
          </cell>
          <cell r="F2472" t="str">
            <v>MAYA MARTINEZ</v>
          </cell>
          <cell r="G2472" t="str">
            <v>MAYA MARTINEZ ALEJANDRO</v>
          </cell>
          <cell r="H2472" t="str">
            <v>FUNC</v>
          </cell>
          <cell r="I2472" t="str">
            <v>FUNCIONARIO</v>
          </cell>
          <cell r="J2472" t="str">
            <v>CL 97 16 50 AP 402</v>
          </cell>
          <cell r="K2472" t="str">
            <v>11001</v>
          </cell>
          <cell r="L2472" t="str">
            <v>BOGOTA DC</v>
          </cell>
          <cell r="M2472" t="str">
            <v>3102073791</v>
          </cell>
        </row>
        <row r="2473">
          <cell r="A2473">
            <v>75088471</v>
          </cell>
          <cell r="B2473" t="str">
            <v/>
          </cell>
          <cell r="C2473" t="str">
            <v/>
          </cell>
          <cell r="D2473" t="str">
            <v>CC</v>
          </cell>
          <cell r="E2473" t="str">
            <v>MAURICIO</v>
          </cell>
          <cell r="F2473" t="str">
            <v>FONSECA SANCHEZ</v>
          </cell>
          <cell r="G2473" t="str">
            <v>FONSECA SANCHEZ MAURICIO</v>
          </cell>
          <cell r="H2473" t="str">
            <v>FUNC</v>
          </cell>
          <cell r="I2473" t="str">
            <v>FUNCIONARIO</v>
          </cell>
          <cell r="J2473" t="str">
            <v>CL 38   26   36 BRR VILLA NUEVA</v>
          </cell>
          <cell r="K2473" t="str">
            <v>17001</v>
          </cell>
          <cell r="L2473" t="str">
            <v>MANIZALES</v>
          </cell>
          <cell r="M2473" t="str">
            <v>8846080</v>
          </cell>
        </row>
        <row r="2474">
          <cell r="A2474">
            <v>75088804</v>
          </cell>
          <cell r="B2474" t="str">
            <v/>
          </cell>
          <cell r="C2474" t="str">
            <v/>
          </cell>
          <cell r="D2474" t="str">
            <v>CC</v>
          </cell>
          <cell r="E2474" t="str">
            <v>JORGE ALBERTO</v>
          </cell>
          <cell r="F2474" t="str">
            <v>HINCAPIE GOMEZ</v>
          </cell>
          <cell r="G2474" t="str">
            <v>HINCAPIE GOMEZ JORGE ALBERTO</v>
          </cell>
          <cell r="H2474" t="str">
            <v>FUNC</v>
          </cell>
          <cell r="I2474" t="str">
            <v>FUNCIONARIO</v>
          </cell>
          <cell r="J2474" t="str">
            <v>CL 44 G SUR   72 B 85 BRR NUEVAS DELICIAS</v>
          </cell>
          <cell r="K2474" t="str">
            <v>17001</v>
          </cell>
          <cell r="L2474" t="str">
            <v>MANIZALES</v>
          </cell>
          <cell r="M2474" t="str">
            <v>7424828</v>
          </cell>
        </row>
        <row r="2475">
          <cell r="A2475">
            <v>75089203</v>
          </cell>
          <cell r="B2475" t="str">
            <v/>
          </cell>
          <cell r="C2475" t="str">
            <v/>
          </cell>
          <cell r="D2475" t="str">
            <v>CC</v>
          </cell>
          <cell r="E2475" t="str">
            <v>JUAN ANDRES</v>
          </cell>
          <cell r="F2475" t="str">
            <v>ARANGO VALENCIA</v>
          </cell>
          <cell r="G2475" t="str">
            <v>ARANGO VALENCIA JUAN ANDRES</v>
          </cell>
          <cell r="H2475" t="str">
            <v>FUNC</v>
          </cell>
          <cell r="I2475" t="str">
            <v>FUNCIONARIO</v>
          </cell>
          <cell r="J2475" t="str">
            <v>CR 23 70b 27 APTO 501</v>
          </cell>
          <cell r="K2475" t="str">
            <v>17001</v>
          </cell>
          <cell r="L2475" t="str">
            <v>MANIZALES</v>
          </cell>
          <cell r="M2475" t="str">
            <v>3113643421</v>
          </cell>
        </row>
        <row r="2476">
          <cell r="A2476">
            <v>75089956</v>
          </cell>
          <cell r="B2476" t="str">
            <v>1</v>
          </cell>
          <cell r="C2476" t="str">
            <v/>
          </cell>
          <cell r="D2476" t="str">
            <v>NP</v>
          </cell>
          <cell r="E2476" t="str">
            <v>ORLANDO LEON</v>
          </cell>
          <cell r="F2476" t="str">
            <v>QUINTERO</v>
          </cell>
          <cell r="G2476" t="str">
            <v>QUINTERO ORLANDO LEON</v>
          </cell>
          <cell r="H2476" t="str">
            <v>RESI</v>
          </cell>
          <cell r="I2476" t="str">
            <v>REGIMEN SIMPLIFICADO</v>
          </cell>
          <cell r="J2476" t="str">
            <v>CR 23   65 67</v>
          </cell>
          <cell r="K2476" t="str">
            <v>17001</v>
          </cell>
          <cell r="L2476" t="str">
            <v>MANIZALES</v>
          </cell>
          <cell r="M2476" t="str">
            <v>8900157</v>
          </cell>
        </row>
        <row r="2477">
          <cell r="A2477">
            <v>75090198</v>
          </cell>
          <cell r="B2477" t="str">
            <v>7</v>
          </cell>
          <cell r="C2477" t="str">
            <v/>
          </cell>
          <cell r="D2477" t="str">
            <v>NP</v>
          </cell>
          <cell r="E2477" t="str">
            <v>FRANCISCO JAVIER</v>
          </cell>
          <cell r="F2477" t="str">
            <v>RIVERA GIRALDO</v>
          </cell>
          <cell r="G2477" t="str">
            <v>RIVERA GIRALDO FRANCISCO JAVIER</v>
          </cell>
          <cell r="H2477" t="str">
            <v>IMVE</v>
          </cell>
          <cell r="I2477" t="str">
            <v>IMPUESTO SOBRE LAS VENTAS</v>
          </cell>
          <cell r="J2477" t="str">
            <v>CR  25 A 81 B 30 BL D AP D 01 BRR MILAN - EL TREBOL</v>
          </cell>
          <cell r="K2477" t="str">
            <v>17001</v>
          </cell>
          <cell r="L2477" t="str">
            <v>MANIZALES</v>
          </cell>
          <cell r="M2477" t="str">
            <v>3002088890</v>
          </cell>
        </row>
        <row r="2478">
          <cell r="A2478">
            <v>75090490</v>
          </cell>
          <cell r="B2478" t="str">
            <v/>
          </cell>
          <cell r="C2478" t="str">
            <v/>
          </cell>
          <cell r="D2478" t="str">
            <v>CC</v>
          </cell>
          <cell r="E2478" t="str">
            <v>ALEXANDER</v>
          </cell>
          <cell r="F2478" t="str">
            <v>GONZALEZ MONTOYA</v>
          </cell>
          <cell r="G2478" t="str">
            <v>GONZALEZ MONTOYA ALEXANDER</v>
          </cell>
          <cell r="H2478" t="str">
            <v>FUNC</v>
          </cell>
          <cell r="I2478" t="str">
            <v>FUNCIONARIO</v>
          </cell>
          <cell r="J2478" t="str">
            <v>CR 33 4 B 04</v>
          </cell>
          <cell r="K2478" t="str">
            <v>17001</v>
          </cell>
          <cell r="L2478" t="str">
            <v>MANIZALES</v>
          </cell>
          <cell r="M2478" t="str">
            <v>3183886974</v>
          </cell>
        </row>
        <row r="2479">
          <cell r="A2479">
            <v>75090699</v>
          </cell>
          <cell r="B2479" t="str">
            <v>5</v>
          </cell>
          <cell r="C2479" t="str">
            <v/>
          </cell>
          <cell r="D2479" t="str">
            <v>NP</v>
          </cell>
          <cell r="E2479" t="str">
            <v>MANUEL ANTONIO</v>
          </cell>
          <cell r="F2479" t="str">
            <v>RAMIREZ RAMIREZ</v>
          </cell>
          <cell r="G2479" t="str">
            <v>RAMIREZ RAMIREZ MANUEL ANTONIO</v>
          </cell>
          <cell r="H2479" t="str">
            <v>NORE</v>
          </cell>
          <cell r="I2479" t="str">
            <v>NO RESPONSABLE DE IVA</v>
          </cell>
          <cell r="J2479" t="str">
            <v>CR 9 B 59 B 17</v>
          </cell>
          <cell r="K2479" t="str">
            <v>17001</v>
          </cell>
          <cell r="L2479" t="str">
            <v>MANIZALES</v>
          </cell>
          <cell r="M2479" t="str">
            <v>3154614514</v>
          </cell>
        </row>
        <row r="2480">
          <cell r="A2480">
            <v>75091597</v>
          </cell>
          <cell r="B2480" t="str">
            <v/>
          </cell>
          <cell r="C2480" t="str">
            <v/>
          </cell>
          <cell r="D2480" t="str">
            <v>CC</v>
          </cell>
          <cell r="E2480" t="str">
            <v>JOSE EDUARDO</v>
          </cell>
          <cell r="F2480" t="str">
            <v>NOREÑA CASTRO</v>
          </cell>
          <cell r="G2480" t="str">
            <v>NOREÑA CASTRO JOSE EDUARDO</v>
          </cell>
          <cell r="H2480" t="str">
            <v>FUNC</v>
          </cell>
          <cell r="I2480" t="str">
            <v>FUNCIONARIO</v>
          </cell>
          <cell r="J2480" t="str">
            <v>CALLE 6 14 A 42</v>
          </cell>
          <cell r="K2480" t="str">
            <v>17001</v>
          </cell>
          <cell r="L2480" t="str">
            <v>MANIZALES</v>
          </cell>
          <cell r="M2480" t="str">
            <v>3218169402</v>
          </cell>
        </row>
        <row r="2481">
          <cell r="A2481">
            <v>75092156</v>
          </cell>
          <cell r="B2481" t="str">
            <v/>
          </cell>
          <cell r="C2481" t="str">
            <v/>
          </cell>
          <cell r="D2481" t="str">
            <v>CC</v>
          </cell>
          <cell r="E2481" t="str">
            <v>JULIAN ALBERTO</v>
          </cell>
          <cell r="F2481" t="str">
            <v>RAMIREZ LOPEZ</v>
          </cell>
          <cell r="G2481" t="str">
            <v>RAMIREZ LOPEZ JULIAN ALBERTO</v>
          </cell>
          <cell r="H2481" t="str">
            <v>FUNC</v>
          </cell>
          <cell r="I2481" t="str">
            <v>FUNCIONARIO</v>
          </cell>
          <cell r="J2481" t="str">
            <v>CL 56 10 04</v>
          </cell>
          <cell r="K2481" t="str">
            <v>17001</v>
          </cell>
          <cell r="L2481" t="str">
            <v>MANIZALES</v>
          </cell>
          <cell r="M2481" t="str">
            <v>3212163477</v>
          </cell>
        </row>
        <row r="2482">
          <cell r="A2482">
            <v>75092265</v>
          </cell>
          <cell r="B2482" t="str">
            <v>1</v>
          </cell>
          <cell r="C2482" t="str">
            <v/>
          </cell>
          <cell r="D2482" t="str">
            <v>NP</v>
          </cell>
          <cell r="E2482" t="str">
            <v>FELIPE</v>
          </cell>
          <cell r="F2482" t="str">
            <v>MEJIA MORENO</v>
          </cell>
          <cell r="G2482" t="str">
            <v>MEJIA MORENO FELIPE</v>
          </cell>
          <cell r="H2482" t="str">
            <v>NORE</v>
          </cell>
          <cell r="I2482" t="str">
            <v>NO RESPONSABLE DE IVA</v>
          </cell>
          <cell r="J2482" t="str">
            <v>CR 27 81 C 04 CA 69 CONJ RINCON DEL TREBOL</v>
          </cell>
          <cell r="K2482" t="str">
            <v>17001</v>
          </cell>
          <cell r="L2482" t="str">
            <v>MANIZALES</v>
          </cell>
          <cell r="M2482" t="str">
            <v>8744088</v>
          </cell>
        </row>
        <row r="2483">
          <cell r="A2483">
            <v>75092538</v>
          </cell>
          <cell r="B2483" t="str">
            <v>7</v>
          </cell>
          <cell r="C2483" t="str">
            <v/>
          </cell>
          <cell r="D2483" t="str">
            <v>NP</v>
          </cell>
          <cell r="E2483" t="str">
            <v>CRISTIAN CAMILO</v>
          </cell>
          <cell r="F2483" t="str">
            <v>CEBALLOS SANCHEZ</v>
          </cell>
          <cell r="G2483" t="str">
            <v>CEBALLOS SANCHEZ CRISTIAN CAMILO</v>
          </cell>
          <cell r="H2483" t="str">
            <v>RESI</v>
          </cell>
          <cell r="I2483" t="str">
            <v>REGIMEN SIMPLIFICADO</v>
          </cell>
          <cell r="J2483" t="str">
            <v>CR 22 N 48 C 06 BRR SAN JORGE</v>
          </cell>
          <cell r="K2483" t="str">
            <v>17001</v>
          </cell>
          <cell r="L2483" t="str">
            <v>MANIZALES</v>
          </cell>
          <cell r="M2483" t="str">
            <v>8853219</v>
          </cell>
        </row>
        <row r="2484">
          <cell r="A2484">
            <v>75092790</v>
          </cell>
          <cell r="B2484" t="str">
            <v/>
          </cell>
          <cell r="C2484" t="str">
            <v/>
          </cell>
          <cell r="D2484" t="str">
            <v>CC</v>
          </cell>
          <cell r="E2484" t="str">
            <v>JUAN CARLOS</v>
          </cell>
          <cell r="F2484" t="str">
            <v>VILLADA SALAZAR</v>
          </cell>
          <cell r="G2484" t="str">
            <v>VILLADA SALAZAR JUAN CARLOS</v>
          </cell>
          <cell r="H2484" t="str">
            <v>FUNC</v>
          </cell>
          <cell r="I2484" t="str">
            <v>FUNCIONARIO</v>
          </cell>
          <cell r="J2484" t="str">
            <v>CARRERA 11 # 69-30 CONJUNTO MIRADOR</v>
          </cell>
          <cell r="K2484" t="str">
            <v>17001</v>
          </cell>
          <cell r="L2484" t="str">
            <v>MANIZALES</v>
          </cell>
          <cell r="M2484" t="str">
            <v>8752247</v>
          </cell>
        </row>
        <row r="2485">
          <cell r="A2485">
            <v>75092889</v>
          </cell>
          <cell r="B2485" t="str">
            <v/>
          </cell>
          <cell r="C2485" t="str">
            <v/>
          </cell>
          <cell r="D2485" t="str">
            <v>CC</v>
          </cell>
          <cell r="E2485" t="str">
            <v>GERMAN ALBERTO</v>
          </cell>
          <cell r="F2485" t="str">
            <v>VALENCIA SANCHEZ</v>
          </cell>
          <cell r="G2485" t="str">
            <v>VALENCIA SANCHEZ GERMAN ALBERTO</v>
          </cell>
          <cell r="H2485" t="str">
            <v>FUNC</v>
          </cell>
          <cell r="I2485" t="str">
            <v>FUNCIONARIO</v>
          </cell>
          <cell r="J2485" t="str">
            <v>AV KEVIN ANGEL N 64 A 80</v>
          </cell>
          <cell r="K2485" t="str">
            <v>17001</v>
          </cell>
          <cell r="L2485" t="str">
            <v>MANIZALES</v>
          </cell>
          <cell r="M2485" t="str">
            <v>8827283</v>
          </cell>
        </row>
        <row r="2486">
          <cell r="A2486">
            <v>75094231</v>
          </cell>
          <cell r="B2486" t="str">
            <v/>
          </cell>
          <cell r="C2486" t="str">
            <v/>
          </cell>
          <cell r="D2486" t="str">
            <v>CC</v>
          </cell>
          <cell r="E2486" t="str">
            <v>CARLOS ALBERTO</v>
          </cell>
          <cell r="F2486" t="str">
            <v>OROZCO GOMEZ</v>
          </cell>
          <cell r="G2486" t="str">
            <v xml:space="preserve">OROZCO GOMEZ CARLOS ALBERTO                                 </v>
          </cell>
          <cell r="H2486" t="str">
            <v>FUNC</v>
          </cell>
          <cell r="I2486" t="str">
            <v>FUNCIONARIO</v>
          </cell>
          <cell r="J2486" t="str">
            <v>CR 25   25   18 AP 4 A</v>
          </cell>
          <cell r="K2486" t="str">
            <v>94001</v>
          </cell>
          <cell r="L2486" t="str">
            <v>INÍRIDA</v>
          </cell>
          <cell r="M2486" t="str">
            <v>8823905</v>
          </cell>
        </row>
        <row r="2487">
          <cell r="A2487">
            <v>75095081</v>
          </cell>
          <cell r="B2487" t="str">
            <v/>
          </cell>
          <cell r="C2487" t="str">
            <v/>
          </cell>
          <cell r="D2487" t="str">
            <v>CC</v>
          </cell>
          <cell r="E2487" t="str">
            <v>LEONARDO JAIRO</v>
          </cell>
          <cell r="F2487" t="str">
            <v>GIRALDO ORJUELA</v>
          </cell>
          <cell r="G2487" t="str">
            <v>GIRALDO ORJUELA LEONARDO JAIRO</v>
          </cell>
          <cell r="H2487" t="str">
            <v>FUNC</v>
          </cell>
          <cell r="I2487" t="str">
            <v>FUNCIONARIO</v>
          </cell>
          <cell r="J2487" t="str">
            <v>CR 10 E   57 F 45 BL 08 D 1 AP 20 A</v>
          </cell>
          <cell r="K2487" t="str">
            <v>17001</v>
          </cell>
          <cell r="L2487" t="str">
            <v>MANIZALES</v>
          </cell>
          <cell r="M2487" t="str">
            <v>3137974897</v>
          </cell>
        </row>
        <row r="2488">
          <cell r="A2488">
            <v>75095162</v>
          </cell>
          <cell r="B2488" t="str">
            <v/>
          </cell>
          <cell r="C2488" t="str">
            <v/>
          </cell>
          <cell r="D2488" t="str">
            <v>CC</v>
          </cell>
          <cell r="E2488" t="str">
            <v>ALEJANDRO</v>
          </cell>
          <cell r="F2488" t="str">
            <v>DELGADO CASTANO</v>
          </cell>
          <cell r="G2488" t="str">
            <v>DELGADO CASTANO ALEJANDRO</v>
          </cell>
          <cell r="H2488" t="str">
            <v>FUNC</v>
          </cell>
          <cell r="I2488" t="str">
            <v>FUNCIONARIO</v>
          </cell>
          <cell r="J2488" t="str">
            <v>CALLE 70 No 27-42 MANIZALES</v>
          </cell>
          <cell r="K2488" t="str">
            <v>17001</v>
          </cell>
          <cell r="L2488" t="str">
            <v>MANIZALES</v>
          </cell>
          <cell r="M2488" t="str">
            <v>3148882836</v>
          </cell>
        </row>
        <row r="2489">
          <cell r="A2489">
            <v>75095238</v>
          </cell>
          <cell r="B2489" t="str">
            <v>6</v>
          </cell>
          <cell r="C2489" t="str">
            <v/>
          </cell>
          <cell r="D2489" t="str">
            <v>NP</v>
          </cell>
          <cell r="E2489" t="str">
            <v>JUAN SEBASTIAN</v>
          </cell>
          <cell r="F2489" t="str">
            <v>JARAMILLO LIZARRALDE</v>
          </cell>
          <cell r="G2489" t="str">
            <v>JARAMILLO LIZARRALDE JUAN SEBASTIAN</v>
          </cell>
          <cell r="H2489" t="str">
            <v>RESI</v>
          </cell>
          <cell r="I2489" t="str">
            <v>REGIMEN SIMPLIFICADO</v>
          </cell>
          <cell r="J2489" t="str">
            <v>VRD LA FLORIDA VIA AL TRONIO CASA 8</v>
          </cell>
          <cell r="K2489" t="str">
            <v>17001</v>
          </cell>
          <cell r="L2489" t="str">
            <v>MANIZALES</v>
          </cell>
          <cell r="M2489" t="str">
            <v>8748806</v>
          </cell>
        </row>
        <row r="2490">
          <cell r="A2490">
            <v>75095288</v>
          </cell>
          <cell r="B2490" t="str">
            <v/>
          </cell>
          <cell r="C2490" t="str">
            <v/>
          </cell>
          <cell r="D2490" t="str">
            <v>CC</v>
          </cell>
          <cell r="E2490" t="str">
            <v>JOSE WILLIAM</v>
          </cell>
          <cell r="F2490" t="str">
            <v>SEPULVEDA MEJIA</v>
          </cell>
          <cell r="G2490" t="str">
            <v>SEPULVEDA MEJIA JOSE WILLIAM</v>
          </cell>
          <cell r="H2490" t="str">
            <v>FUNC</v>
          </cell>
          <cell r="I2490" t="str">
            <v>FUNCIONARIO</v>
          </cell>
          <cell r="J2490" t="str">
            <v>CR 20   62 A 19</v>
          </cell>
          <cell r="K2490" t="str">
            <v>17001</v>
          </cell>
          <cell r="L2490" t="str">
            <v>MANIZALES</v>
          </cell>
          <cell r="M2490" t="str">
            <v>3122597959</v>
          </cell>
        </row>
        <row r="2491">
          <cell r="A2491">
            <v>75095418</v>
          </cell>
          <cell r="B2491" t="str">
            <v>5</v>
          </cell>
          <cell r="C2491" t="str">
            <v/>
          </cell>
          <cell r="D2491" t="str">
            <v>NP</v>
          </cell>
          <cell r="E2491" t="str">
            <v>DAVID</v>
          </cell>
          <cell r="F2491" t="str">
            <v>AVILA GIRALDO</v>
          </cell>
          <cell r="G2491" t="str">
            <v>AVILA GIRALDO DAVID</v>
          </cell>
          <cell r="H2491" t="str">
            <v>RECO</v>
          </cell>
          <cell r="I2491" t="str">
            <v>REGIMEN COMUN</v>
          </cell>
          <cell r="J2491" t="str">
            <v xml:space="preserve"> CL 50  26 24</v>
          </cell>
          <cell r="K2491" t="str">
            <v>17001</v>
          </cell>
          <cell r="L2491" t="str">
            <v>MANIZALES</v>
          </cell>
          <cell r="M2491" t="str">
            <v>8855389</v>
          </cell>
        </row>
        <row r="2492">
          <cell r="A2492">
            <v>75095441</v>
          </cell>
          <cell r="B2492" t="str">
            <v/>
          </cell>
          <cell r="C2492" t="str">
            <v/>
          </cell>
          <cell r="D2492" t="str">
            <v>CC</v>
          </cell>
          <cell r="E2492" t="str">
            <v>FERNANDO</v>
          </cell>
          <cell r="F2492" t="str">
            <v>GOMEZ ECHEVERRY</v>
          </cell>
          <cell r="G2492" t="str">
            <v>GOMEZ ECHEVERRY FERNANDO</v>
          </cell>
          <cell r="H2492" t="str">
            <v>FUNC</v>
          </cell>
          <cell r="I2492" t="str">
            <v>FUNCIONARIO</v>
          </cell>
          <cell r="J2492" t="str">
            <v>CR 22 A 75 20 APTO 502 BL 7</v>
          </cell>
          <cell r="K2492" t="str">
            <v>17001</v>
          </cell>
          <cell r="L2492" t="str">
            <v>MANIZALES</v>
          </cell>
          <cell r="M2492" t="str">
            <v>3128043944</v>
          </cell>
        </row>
        <row r="2493">
          <cell r="A2493">
            <v>75095465</v>
          </cell>
          <cell r="B2493" t="str">
            <v/>
          </cell>
          <cell r="C2493" t="str">
            <v/>
          </cell>
          <cell r="D2493" t="str">
            <v>CC</v>
          </cell>
          <cell r="E2493" t="str">
            <v>DIEGO FERNANDO</v>
          </cell>
          <cell r="F2493" t="str">
            <v>RODRIGUEZ VARON</v>
          </cell>
          <cell r="G2493" t="str">
            <v>RODRIGUEZ VARON DIEGO FERNANDO</v>
          </cell>
          <cell r="H2493" t="str">
            <v>RESI</v>
          </cell>
          <cell r="I2493" t="str">
            <v>REGIMEN SIMPLIFICADO</v>
          </cell>
          <cell r="J2493" t="str">
            <v>CR 33 N 65 A 10</v>
          </cell>
          <cell r="K2493" t="str">
            <v>17001</v>
          </cell>
          <cell r="L2493" t="str">
            <v>MANIZALES</v>
          </cell>
          <cell r="M2493" t="str">
            <v>8874181</v>
          </cell>
        </row>
        <row r="2494">
          <cell r="A2494">
            <v>75095488</v>
          </cell>
          <cell r="B2494" t="str">
            <v/>
          </cell>
          <cell r="C2494" t="str">
            <v/>
          </cell>
          <cell r="D2494" t="str">
            <v>CC</v>
          </cell>
          <cell r="E2494" t="str">
            <v>OSCAR MAURICIO</v>
          </cell>
          <cell r="F2494" t="str">
            <v>GONZALEZ VALENCIA</v>
          </cell>
          <cell r="G2494" t="str">
            <v>GONZALEZ VALENCIA OSCAR MAURICIO</v>
          </cell>
          <cell r="H2494" t="str">
            <v>FUNC</v>
          </cell>
          <cell r="I2494" t="str">
            <v>FUNCIONARIO</v>
          </cell>
          <cell r="J2494" t="str">
            <v>CL 69 9 A 85 AP 337</v>
          </cell>
          <cell r="K2494" t="str">
            <v>17001</v>
          </cell>
          <cell r="L2494" t="str">
            <v>MANIZALES</v>
          </cell>
          <cell r="M2494" t="str">
            <v>3122594894</v>
          </cell>
        </row>
        <row r="2495">
          <cell r="A2495">
            <v>75095877</v>
          </cell>
          <cell r="B2495" t="str">
            <v/>
          </cell>
          <cell r="C2495" t="str">
            <v/>
          </cell>
          <cell r="D2495" t="str">
            <v>CC</v>
          </cell>
          <cell r="E2495" t="str">
            <v>JHON JAIRO</v>
          </cell>
          <cell r="F2495" t="str">
            <v>RIVERA DUQUE</v>
          </cell>
          <cell r="G2495" t="str">
            <v>RIVERA DUQUE JHON JAIRO</v>
          </cell>
          <cell r="H2495" t="str">
            <v>RESI</v>
          </cell>
          <cell r="I2495" t="str">
            <v>REGIMEN SIMPLIFICADO</v>
          </cell>
          <cell r="J2495" t="str">
            <v>CL 48C 48 18</v>
          </cell>
          <cell r="K2495" t="str">
            <v>17001</v>
          </cell>
          <cell r="L2495" t="str">
            <v>MANIZALES</v>
          </cell>
          <cell r="M2495" t="str">
            <v>3117171328</v>
          </cell>
        </row>
        <row r="2496">
          <cell r="A2496">
            <v>75095883</v>
          </cell>
          <cell r="B2496" t="str">
            <v>7</v>
          </cell>
          <cell r="C2496" t="str">
            <v/>
          </cell>
          <cell r="D2496" t="str">
            <v>NP</v>
          </cell>
          <cell r="E2496" t="str">
            <v>ANDERSON</v>
          </cell>
          <cell r="F2496" t="str">
            <v>GARCIA DIAZ</v>
          </cell>
          <cell r="G2496" t="str">
            <v>GARCIA DIAZ ANDERSON</v>
          </cell>
          <cell r="H2496" t="str">
            <v>RESI</v>
          </cell>
          <cell r="I2496" t="str">
            <v>REGIMEN SIMPLIFICADO</v>
          </cell>
          <cell r="J2496" t="str">
            <v>CR 25 65 110</v>
          </cell>
          <cell r="K2496" t="str">
            <v>17001</v>
          </cell>
          <cell r="L2496" t="str">
            <v>MANIZALES</v>
          </cell>
          <cell r="M2496" t="str">
            <v>3217187605</v>
          </cell>
        </row>
        <row r="2497">
          <cell r="A2497">
            <v>75096162</v>
          </cell>
          <cell r="B2497" t="str">
            <v/>
          </cell>
          <cell r="C2497" t="str">
            <v/>
          </cell>
          <cell r="D2497" t="str">
            <v>CC</v>
          </cell>
          <cell r="E2497" t="str">
            <v>JHON FABIAN</v>
          </cell>
          <cell r="F2497" t="str">
            <v>OROZCO GARCÍA</v>
          </cell>
          <cell r="G2497" t="str">
            <v>OROZCO GARCÍA JHON FABIAN</v>
          </cell>
          <cell r="H2497" t="str">
            <v>EXFU</v>
          </cell>
          <cell r="I2497" t="str">
            <v>EX-FUNCIONARIOS</v>
          </cell>
          <cell r="J2497" t="str">
            <v>CRA 16A # 49-10</v>
          </cell>
          <cell r="K2497" t="str">
            <v>17001</v>
          </cell>
          <cell r="L2497" t="str">
            <v>MANIZALES</v>
          </cell>
          <cell r="M2497" t="str">
            <v>8810658</v>
          </cell>
        </row>
        <row r="2498">
          <cell r="A2498">
            <v>75096308</v>
          </cell>
          <cell r="B2498" t="str">
            <v>8</v>
          </cell>
          <cell r="C2498" t="str">
            <v/>
          </cell>
          <cell r="D2498" t="str">
            <v>NP</v>
          </cell>
          <cell r="E2498" t="str">
            <v>JORGE ANDRÉS</v>
          </cell>
          <cell r="F2498" t="str">
            <v>RINCÓN LARGO</v>
          </cell>
          <cell r="G2498" t="str">
            <v>RINCÓN LARGO JORGE ANDRÉS</v>
          </cell>
          <cell r="H2498" t="str">
            <v>RESI</v>
          </cell>
          <cell r="I2498" t="str">
            <v>REGIMEN SIMPLIFICADO</v>
          </cell>
          <cell r="J2498" t="str">
            <v>CL 105  29 30 BL C  AP 202 C</v>
          </cell>
          <cell r="K2498" t="str">
            <v>17001</v>
          </cell>
          <cell r="L2498" t="str">
            <v>MANIZALES</v>
          </cell>
          <cell r="M2498" t="str">
            <v>3174392362</v>
          </cell>
        </row>
        <row r="2499">
          <cell r="A2499">
            <v>75096687</v>
          </cell>
          <cell r="B2499" t="str">
            <v/>
          </cell>
          <cell r="C2499" t="str">
            <v/>
          </cell>
          <cell r="D2499" t="str">
            <v>CC</v>
          </cell>
          <cell r="E2499" t="str">
            <v>JAVIER MAURICIO</v>
          </cell>
          <cell r="F2499" t="str">
            <v>VANEGAS VANEGAS</v>
          </cell>
          <cell r="G2499" t="str">
            <v>VANEGAS VANEGAS JAVIER MAURICIO</v>
          </cell>
          <cell r="H2499" t="str">
            <v>FUNC</v>
          </cell>
          <cell r="I2499" t="str">
            <v>FUNCIONARIO</v>
          </cell>
          <cell r="J2499" t="str">
            <v>CR 28   48  100  ED CERROS DEL CAMPIN</v>
          </cell>
          <cell r="K2499" t="str">
            <v>17001</v>
          </cell>
          <cell r="L2499" t="str">
            <v>MANIZALES</v>
          </cell>
          <cell r="M2499" t="str">
            <v>8851890</v>
          </cell>
        </row>
        <row r="2500">
          <cell r="A2500">
            <v>75096879</v>
          </cell>
          <cell r="B2500" t="str">
            <v/>
          </cell>
          <cell r="C2500" t="str">
            <v/>
          </cell>
          <cell r="D2500" t="str">
            <v>CC</v>
          </cell>
          <cell r="E2500" t="str">
            <v>FABIO ANDRES</v>
          </cell>
          <cell r="F2500" t="str">
            <v>LLANO CASTAÑO</v>
          </cell>
          <cell r="G2500" t="str">
            <v>LLANO CASTAÑO FABIO ANDRES</v>
          </cell>
          <cell r="H2500" t="str">
            <v>FUNC</v>
          </cell>
          <cell r="I2500" t="str">
            <v>FUNCIONARIO</v>
          </cell>
          <cell r="J2500" t="str">
            <v>CL 65 A   32 C 74</v>
          </cell>
          <cell r="K2500" t="str">
            <v>17001</v>
          </cell>
          <cell r="L2500" t="str">
            <v>MANIZALES</v>
          </cell>
          <cell r="M2500" t="str">
            <v>8875066</v>
          </cell>
        </row>
        <row r="2501">
          <cell r="A2501">
            <v>75097425</v>
          </cell>
          <cell r="B2501" t="str">
            <v/>
          </cell>
          <cell r="C2501" t="str">
            <v/>
          </cell>
          <cell r="D2501" t="str">
            <v>CC</v>
          </cell>
          <cell r="E2501" t="str">
            <v>HUGO ARMANDO</v>
          </cell>
          <cell r="F2501" t="str">
            <v>LOPEZ GARCIA</v>
          </cell>
          <cell r="G2501" t="str">
            <v>LOPEZ GARCIA HUGO ARMANDO</v>
          </cell>
          <cell r="H2501" t="str">
            <v>FUNC</v>
          </cell>
          <cell r="I2501" t="str">
            <v>FUNCIONARIO</v>
          </cell>
          <cell r="J2501" t="str">
            <v>CL 50   34   15 TO 9 AP A 1 CONJ SANTA MARIA</v>
          </cell>
          <cell r="K2501" t="str">
            <v>17001</v>
          </cell>
          <cell r="L2501" t="str">
            <v>MANIZALES</v>
          </cell>
          <cell r="M2501" t="str">
            <v>8875066</v>
          </cell>
        </row>
        <row r="2502">
          <cell r="A2502">
            <v>75097477</v>
          </cell>
          <cell r="B2502" t="str">
            <v/>
          </cell>
          <cell r="C2502" t="str">
            <v/>
          </cell>
          <cell r="D2502" t="str">
            <v>CC</v>
          </cell>
          <cell r="E2502" t="str">
            <v>ALEJANDRO</v>
          </cell>
          <cell r="F2502" t="str">
            <v>USMA CUERVO</v>
          </cell>
          <cell r="G2502" t="str">
            <v>USMA CUERVO ALEJANDRO</v>
          </cell>
          <cell r="H2502" t="str">
            <v>FUNC</v>
          </cell>
          <cell r="I2502" t="str">
            <v>FUNCIONARIO</v>
          </cell>
          <cell r="J2502" t="str">
            <v>CALLE 105C NO 27-27</v>
          </cell>
          <cell r="K2502" t="str">
            <v>17001</v>
          </cell>
          <cell r="L2502" t="str">
            <v>MANIZALES</v>
          </cell>
          <cell r="M2502" t="str">
            <v>8741754</v>
          </cell>
        </row>
        <row r="2503">
          <cell r="A2503">
            <v>75097495</v>
          </cell>
          <cell r="B2503" t="str">
            <v/>
          </cell>
          <cell r="C2503" t="str">
            <v/>
          </cell>
          <cell r="D2503" t="str">
            <v>CC</v>
          </cell>
          <cell r="E2503" t="str">
            <v>SANTIAGO</v>
          </cell>
          <cell r="F2503" t="str">
            <v>HERNANDEZ RENDON</v>
          </cell>
          <cell r="G2503" t="str">
            <v>HERNANDEZ RENDON SANTIAGO</v>
          </cell>
          <cell r="H2503" t="str">
            <v>FUNC</v>
          </cell>
          <cell r="I2503" t="str">
            <v>FUNCIONARIO</v>
          </cell>
          <cell r="J2503" t="str">
            <v>CL 51 19 36 BRR LA ARGENTINA</v>
          </cell>
          <cell r="K2503" t="str">
            <v>17001</v>
          </cell>
          <cell r="L2503" t="str">
            <v>MANIZALES</v>
          </cell>
          <cell r="M2503" t="str">
            <v>8812435</v>
          </cell>
        </row>
        <row r="2504">
          <cell r="A2504">
            <v>75097905</v>
          </cell>
          <cell r="B2504" t="str">
            <v/>
          </cell>
          <cell r="C2504" t="str">
            <v/>
          </cell>
          <cell r="D2504" t="str">
            <v>CC</v>
          </cell>
          <cell r="E2504" t="str">
            <v xml:space="preserve"> JUAN MANUEL</v>
          </cell>
          <cell r="F2504" t="str">
            <v>SANZ CASTAÑO</v>
          </cell>
          <cell r="G2504" t="str">
            <v>SANZ CASTAÑO  JUAN MANUEL</v>
          </cell>
          <cell r="H2504" t="str">
            <v>FUNC</v>
          </cell>
          <cell r="I2504" t="str">
            <v>FUNCIONARIO</v>
          </cell>
          <cell r="J2504" t="str">
            <v>CR 21   64 A 69 B BRR LAURELES</v>
          </cell>
          <cell r="K2504" t="str">
            <v>17001</v>
          </cell>
          <cell r="L2504" t="str">
            <v>MANIZALES</v>
          </cell>
          <cell r="M2504" t="str">
            <v>8901450</v>
          </cell>
        </row>
        <row r="2505">
          <cell r="A2505">
            <v>75098082</v>
          </cell>
          <cell r="B2505" t="str">
            <v/>
          </cell>
          <cell r="C2505" t="str">
            <v/>
          </cell>
          <cell r="D2505" t="str">
            <v>CC</v>
          </cell>
          <cell r="E2505" t="str">
            <v>WILSON</v>
          </cell>
          <cell r="F2505" t="str">
            <v>BETANCUR GIRALDO</v>
          </cell>
          <cell r="G2505" t="str">
            <v>BETANCUR GIRALDO WILSON</v>
          </cell>
          <cell r="H2505" t="str">
            <v>FUNC</v>
          </cell>
          <cell r="I2505" t="str">
            <v>FUNCIONARIO</v>
          </cell>
          <cell r="J2505" t="str">
            <v>CR 30 105 04 CA 3</v>
          </cell>
          <cell r="K2505" t="str">
            <v>17001</v>
          </cell>
          <cell r="L2505" t="str">
            <v>MANIZALES</v>
          </cell>
          <cell r="M2505" t="str">
            <v>313746475</v>
          </cell>
        </row>
        <row r="2506">
          <cell r="A2506">
            <v>75098658</v>
          </cell>
          <cell r="B2506" t="str">
            <v/>
          </cell>
          <cell r="C2506" t="str">
            <v/>
          </cell>
          <cell r="D2506" t="str">
            <v>CC</v>
          </cell>
          <cell r="E2506" t="str">
            <v>ALEJANDRO ALBERTO</v>
          </cell>
          <cell r="F2506" t="str">
            <v>PAVA JIMENEZ</v>
          </cell>
          <cell r="G2506" t="str">
            <v>PAVA JIMENEZ ALEJANDRO ALBERTO</v>
          </cell>
          <cell r="H2506" t="str">
            <v>FUNC</v>
          </cell>
          <cell r="I2506" t="str">
            <v>FUNCIONARIO</v>
          </cell>
          <cell r="J2506" t="str">
            <v>CL 71   17   24 AP 405 ED EL MIRADO DE LA SUIZA</v>
          </cell>
          <cell r="K2506" t="str">
            <v>17001</v>
          </cell>
          <cell r="L2506" t="str">
            <v>MANIZALES</v>
          </cell>
          <cell r="M2506" t="str">
            <v>3206638935</v>
          </cell>
        </row>
        <row r="2507">
          <cell r="A2507">
            <v>75098685</v>
          </cell>
          <cell r="B2507" t="str">
            <v/>
          </cell>
          <cell r="C2507" t="str">
            <v/>
          </cell>
          <cell r="D2507" t="str">
            <v>CC</v>
          </cell>
          <cell r="E2507" t="str">
            <v>CARLOS HERNAN</v>
          </cell>
          <cell r="F2507" t="str">
            <v>BURITICA CLAVIJO</v>
          </cell>
          <cell r="G2507" t="str">
            <v>BURITICA CLAVIJO CARLOS HERNAN</v>
          </cell>
          <cell r="H2507" t="str">
            <v>FUNC</v>
          </cell>
          <cell r="I2507" t="str">
            <v>FUNCIONARIO</v>
          </cell>
          <cell r="J2507" t="str">
            <v>CRA 13 A 16 21</v>
          </cell>
          <cell r="K2507" t="str">
            <v>17001</v>
          </cell>
          <cell r="L2507" t="str">
            <v>MANIZALES</v>
          </cell>
          <cell r="M2507" t="str">
            <v>3147992568</v>
          </cell>
        </row>
        <row r="2508">
          <cell r="A2508">
            <v>75099264</v>
          </cell>
          <cell r="B2508" t="str">
            <v>6</v>
          </cell>
          <cell r="C2508" t="str">
            <v/>
          </cell>
          <cell r="D2508" t="str">
            <v>NP</v>
          </cell>
          <cell r="E2508" t="str">
            <v>LUIS GABRIEL</v>
          </cell>
          <cell r="F2508" t="str">
            <v>ISAZA VALENCIA</v>
          </cell>
          <cell r="G2508" t="str">
            <v>ISAZA VALENCIA LUIS GABRIEL</v>
          </cell>
          <cell r="H2508" t="str">
            <v>RESI</v>
          </cell>
          <cell r="I2508" t="str">
            <v>REGIMEN SIMPLIFICADO</v>
          </cell>
          <cell r="J2508" t="str">
            <v>CR 42 67 E 03</v>
          </cell>
          <cell r="K2508" t="str">
            <v>17001</v>
          </cell>
          <cell r="L2508" t="str">
            <v>MANIZALES</v>
          </cell>
          <cell r="M2508" t="str">
            <v>3042171694</v>
          </cell>
        </row>
        <row r="2509">
          <cell r="A2509">
            <v>75099621</v>
          </cell>
          <cell r="B2509" t="str">
            <v>2</v>
          </cell>
          <cell r="C2509" t="str">
            <v/>
          </cell>
          <cell r="D2509" t="str">
            <v>NP</v>
          </cell>
          <cell r="E2509" t="str">
            <v>ANDRES FERNANDO</v>
          </cell>
          <cell r="F2509" t="str">
            <v>GARCIA GARCIA</v>
          </cell>
          <cell r="G2509" t="str">
            <v>GARCIA GARCIA ANDRES FERNANDO</v>
          </cell>
          <cell r="H2509" t="str">
            <v>RESI</v>
          </cell>
          <cell r="I2509" t="str">
            <v>REGIMEN SIMPLIFICADO</v>
          </cell>
          <cell r="J2509" t="str">
            <v>VDA LA AURORA</v>
          </cell>
          <cell r="K2509" t="str">
            <v>17001</v>
          </cell>
          <cell r="L2509" t="str">
            <v>MANIZALES</v>
          </cell>
          <cell r="M2509" t="str">
            <v>3113851751</v>
          </cell>
        </row>
        <row r="2510">
          <cell r="A2510">
            <v>75099917</v>
          </cell>
          <cell r="B2510" t="str">
            <v/>
          </cell>
          <cell r="C2510" t="str">
            <v/>
          </cell>
          <cell r="D2510" t="str">
            <v>CC</v>
          </cell>
          <cell r="E2510" t="str">
            <v>JORGE ANDRES</v>
          </cell>
          <cell r="F2510" t="str">
            <v>BERNAL SANCHEZ</v>
          </cell>
          <cell r="G2510" t="str">
            <v>BERNAL SANCHEZ JORGE ANDRES</v>
          </cell>
          <cell r="H2510" t="str">
            <v>FUNC</v>
          </cell>
          <cell r="I2510" t="str">
            <v>FUNCIONARIO</v>
          </cell>
          <cell r="J2510" t="str">
            <v>CR 11   10   53 BRR LA SOLEDAD</v>
          </cell>
          <cell r="K2510" t="str">
            <v>17001</v>
          </cell>
          <cell r="L2510" t="str">
            <v>MANIZALES</v>
          </cell>
          <cell r="M2510" t="str">
            <v>3116436685</v>
          </cell>
        </row>
        <row r="2511">
          <cell r="A2511">
            <v>75100508</v>
          </cell>
          <cell r="B2511" t="str">
            <v/>
          </cell>
          <cell r="C2511" t="str">
            <v/>
          </cell>
          <cell r="D2511" t="str">
            <v>CC</v>
          </cell>
          <cell r="E2511" t="str">
            <v>FREDY ALEXANDER</v>
          </cell>
          <cell r="F2511" t="str">
            <v>GUZMAN ROA</v>
          </cell>
          <cell r="G2511" t="str">
            <v>GUZMAN ROA FREDY ALEXANDER</v>
          </cell>
          <cell r="H2511" t="str">
            <v>FUNC</v>
          </cell>
          <cell r="I2511" t="str">
            <v>FUNCIONARIO</v>
          </cell>
          <cell r="J2511" t="str">
            <v>CL 55 N 23 50</v>
          </cell>
          <cell r="K2511" t="str">
            <v>97001</v>
          </cell>
          <cell r="L2511" t="str">
            <v>MITÚ</v>
          </cell>
          <cell r="M2511" t="str">
            <v>3125031219</v>
          </cell>
        </row>
        <row r="2512">
          <cell r="A2512">
            <v>75100581</v>
          </cell>
          <cell r="B2512" t="str">
            <v/>
          </cell>
          <cell r="C2512" t="str">
            <v/>
          </cell>
          <cell r="D2512" t="str">
            <v>CC</v>
          </cell>
          <cell r="E2512" t="str">
            <v>JHON JAMES</v>
          </cell>
          <cell r="F2512" t="str">
            <v>LOPEZ PALACIO</v>
          </cell>
          <cell r="G2512" t="str">
            <v>LOPEZ PALACIO JHON JAMES</v>
          </cell>
          <cell r="H2512" t="str">
            <v>FUNC</v>
          </cell>
          <cell r="I2512" t="str">
            <v>FUNCIONARIO</v>
          </cell>
          <cell r="J2512" t="str">
            <v>CL 66 7 62</v>
          </cell>
          <cell r="K2512" t="str">
            <v>17001</v>
          </cell>
          <cell r="L2512" t="str">
            <v>MANIZALES</v>
          </cell>
          <cell r="M2512" t="str">
            <v>8751492</v>
          </cell>
        </row>
        <row r="2513">
          <cell r="A2513">
            <v>75100599</v>
          </cell>
          <cell r="B2513" t="str">
            <v/>
          </cell>
          <cell r="C2513" t="str">
            <v/>
          </cell>
          <cell r="D2513" t="str">
            <v>CC</v>
          </cell>
          <cell r="E2513" t="str">
            <v>RAMIRO ANTONIO</v>
          </cell>
          <cell r="F2513" t="str">
            <v>SALDARRIAGA</v>
          </cell>
          <cell r="G2513" t="str">
            <v>SALDARRIAGA RAMIRO ANTONIO</v>
          </cell>
          <cell r="H2513" t="str">
            <v>RESI</v>
          </cell>
          <cell r="I2513" t="str">
            <v>REGIMEN SIMPLIFICADO</v>
          </cell>
          <cell r="J2513" t="str">
            <v>CR 21 N</v>
          </cell>
          <cell r="K2513" t="str">
            <v>17001</v>
          </cell>
          <cell r="L2513" t="str">
            <v>MANIZALES</v>
          </cell>
          <cell r="M2513" t="str">
            <v>3217721104</v>
          </cell>
        </row>
        <row r="2514">
          <cell r="A2514">
            <v>75100975</v>
          </cell>
          <cell r="B2514" t="str">
            <v>8</v>
          </cell>
          <cell r="C2514" t="str">
            <v/>
          </cell>
          <cell r="D2514" t="str">
            <v>NP</v>
          </cell>
          <cell r="E2514" t="str">
            <v>OMAR</v>
          </cell>
          <cell r="F2514" t="str">
            <v>HERNANDEZ CAÑON</v>
          </cell>
          <cell r="G2514" t="str">
            <v>HERNANDEZ CAÑON OMAR</v>
          </cell>
          <cell r="H2514" t="str">
            <v>RESI</v>
          </cell>
          <cell r="I2514" t="str">
            <v>REGIMEN SIMPLIFICADO</v>
          </cell>
          <cell r="J2514" t="str">
            <v>CL 50  34  15 AP A 2 TORRE 2 ED SANTA MARIA</v>
          </cell>
          <cell r="K2514" t="str">
            <v>17001</v>
          </cell>
          <cell r="L2514" t="str">
            <v>MANIZALES</v>
          </cell>
          <cell r="M2514" t="str">
            <v>8882190</v>
          </cell>
        </row>
        <row r="2515">
          <cell r="A2515">
            <v>75101270</v>
          </cell>
          <cell r="B2515" t="str">
            <v/>
          </cell>
          <cell r="C2515" t="str">
            <v/>
          </cell>
          <cell r="D2515" t="str">
            <v>CC</v>
          </cell>
          <cell r="E2515" t="str">
            <v>ALEJANDRO</v>
          </cell>
          <cell r="F2515" t="str">
            <v>VALENCIA HURTADO</v>
          </cell>
          <cell r="G2515" t="str">
            <v xml:space="preserve">VALENCIA HURTADO ALEJANDRO                                  </v>
          </cell>
          <cell r="H2515" t="str">
            <v>FUNC</v>
          </cell>
          <cell r="I2515" t="str">
            <v>FUNCIONARIO</v>
          </cell>
          <cell r="J2515" t="str">
            <v>CL 13   16   46 B</v>
          </cell>
          <cell r="K2515" t="str">
            <v>17001</v>
          </cell>
          <cell r="L2515" t="str">
            <v>MANIZALES</v>
          </cell>
          <cell r="M2515" t="str">
            <v>8806445</v>
          </cell>
        </row>
        <row r="2516">
          <cell r="A2516">
            <v>75102202</v>
          </cell>
          <cell r="B2516" t="str">
            <v/>
          </cell>
          <cell r="C2516" t="str">
            <v/>
          </cell>
          <cell r="D2516" t="str">
            <v>CC</v>
          </cell>
          <cell r="E2516" t="str">
            <v>ANDRES FELIPE</v>
          </cell>
          <cell r="F2516" t="str">
            <v>TRIANA DIAZ</v>
          </cell>
          <cell r="G2516" t="str">
            <v>TRIANA DIAZ ANDRES FELIPE</v>
          </cell>
          <cell r="H2516" t="str">
            <v>FUNC</v>
          </cell>
          <cell r="I2516" t="str">
            <v>FUNCIONARIO</v>
          </cell>
          <cell r="J2516" t="str">
            <v>CL 28 13 A 39 AP 201 C</v>
          </cell>
          <cell r="K2516" t="str">
            <v>97001</v>
          </cell>
          <cell r="L2516" t="str">
            <v>MITÚ</v>
          </cell>
          <cell r="M2516" t="str">
            <v>3145569887</v>
          </cell>
        </row>
        <row r="2517">
          <cell r="A2517">
            <v>75102272</v>
          </cell>
          <cell r="B2517" t="str">
            <v/>
          </cell>
          <cell r="C2517" t="str">
            <v/>
          </cell>
          <cell r="D2517" t="str">
            <v>CC</v>
          </cell>
          <cell r="E2517" t="str">
            <v>JUAN GUILLERMO</v>
          </cell>
          <cell r="F2517" t="str">
            <v>CORREA GARCÍA</v>
          </cell>
          <cell r="G2517" t="str">
            <v>CORREA GARCÍA JUAN GUILLERMO</v>
          </cell>
          <cell r="H2517" t="str">
            <v>FUNC</v>
          </cell>
          <cell r="I2517" t="str">
            <v>FUNCIONARIO</v>
          </cell>
          <cell r="J2517" t="str">
            <v>CL 75 19 A 30 IN 3 AP 401</v>
          </cell>
          <cell r="K2517" t="str">
            <v>17001</v>
          </cell>
          <cell r="L2517" t="str">
            <v>MANIZALES</v>
          </cell>
          <cell r="M2517" t="str">
            <v>3128815166</v>
          </cell>
        </row>
        <row r="2518">
          <cell r="A2518">
            <v>75102868</v>
          </cell>
          <cell r="B2518" t="str">
            <v/>
          </cell>
          <cell r="C2518" t="str">
            <v/>
          </cell>
          <cell r="D2518" t="str">
            <v>CC</v>
          </cell>
          <cell r="E2518" t="str">
            <v>JUAN PABLO</v>
          </cell>
          <cell r="F2518" t="str">
            <v>ARIAS BUITRAGO</v>
          </cell>
          <cell r="G2518" t="str">
            <v>ARIAS BUITRAGO JUAN PABLO</v>
          </cell>
          <cell r="H2518" t="str">
            <v>FUNC</v>
          </cell>
          <cell r="I2518" t="str">
            <v>FUNCIONARIO</v>
          </cell>
          <cell r="J2518" t="str">
            <v>CL 49 A   34   34</v>
          </cell>
          <cell r="K2518" t="str">
            <v>18001</v>
          </cell>
          <cell r="L2518" t="str">
            <v>FLORENCIA</v>
          </cell>
          <cell r="M2518" t="str">
            <v>8977283</v>
          </cell>
        </row>
        <row r="2519">
          <cell r="A2519">
            <v>75102925</v>
          </cell>
          <cell r="B2519" t="str">
            <v/>
          </cell>
          <cell r="C2519" t="str">
            <v/>
          </cell>
          <cell r="D2519" t="str">
            <v>CC</v>
          </cell>
          <cell r="E2519" t="str">
            <v>CRISTIAN CAMILO</v>
          </cell>
          <cell r="F2519" t="str">
            <v>PATIÑO OSORIO</v>
          </cell>
          <cell r="G2519" t="str">
            <v>PATIÑO OSORIO CRISTIAN CAMILO</v>
          </cell>
          <cell r="H2519" t="str">
            <v>FUNC</v>
          </cell>
          <cell r="I2519" t="str">
            <v>FUNCIONARIO</v>
          </cell>
          <cell r="J2519" t="str">
            <v>CL 11 C 45 30 BL 8 AP 403</v>
          </cell>
          <cell r="K2519" t="str">
            <v>17001</v>
          </cell>
          <cell r="L2519" t="str">
            <v>MANIZALES</v>
          </cell>
          <cell r="M2519" t="str">
            <v>3156046489</v>
          </cell>
        </row>
        <row r="2520">
          <cell r="A2520">
            <v>75103335</v>
          </cell>
          <cell r="B2520" t="str">
            <v/>
          </cell>
          <cell r="C2520" t="str">
            <v/>
          </cell>
          <cell r="D2520" t="str">
            <v>CC</v>
          </cell>
          <cell r="E2520" t="str">
            <v>GIOVANNY</v>
          </cell>
          <cell r="F2520" t="str">
            <v>GOMEZ HENAO</v>
          </cell>
          <cell r="G2520" t="str">
            <v>GOMEZ HENAO GIOVANNY</v>
          </cell>
          <cell r="H2520" t="str">
            <v>FUNC</v>
          </cell>
          <cell r="I2520" t="str">
            <v>FUNCIONARIO</v>
          </cell>
          <cell r="J2520" t="str">
            <v>CL 66 A   10   08 LA SULTANA</v>
          </cell>
          <cell r="K2520" t="str">
            <v>17001</v>
          </cell>
          <cell r="L2520" t="str">
            <v>MANIZALES</v>
          </cell>
          <cell r="M2520" t="str">
            <v>3148901323</v>
          </cell>
        </row>
        <row r="2521">
          <cell r="A2521">
            <v>75103408</v>
          </cell>
          <cell r="B2521" t="str">
            <v>7</v>
          </cell>
          <cell r="C2521" t="str">
            <v/>
          </cell>
          <cell r="D2521" t="str">
            <v>NP</v>
          </cell>
          <cell r="E2521" t="str">
            <v>MARIO ANDRES</v>
          </cell>
          <cell r="F2521" t="str">
            <v>ARISTIZABAL GALLEGO</v>
          </cell>
          <cell r="G2521" t="str">
            <v>ARISTIZABAL GALLEGO MARIO ANDRES</v>
          </cell>
          <cell r="H2521" t="str">
            <v>RCPN</v>
          </cell>
          <cell r="I2521" t="str">
            <v>RESPONSABLE IVA PERSONA NATURAL</v>
          </cell>
          <cell r="J2521" t="str">
            <v>CL 15 A  14 06 BRR CENTRO</v>
          </cell>
          <cell r="K2521" t="str">
            <v>97001</v>
          </cell>
          <cell r="L2521" t="str">
            <v>MITÚ</v>
          </cell>
          <cell r="M2521" t="str">
            <v>8892069</v>
          </cell>
        </row>
        <row r="2522">
          <cell r="A2522">
            <v>75103829</v>
          </cell>
          <cell r="B2522" t="str">
            <v/>
          </cell>
          <cell r="C2522" t="str">
            <v/>
          </cell>
          <cell r="D2522" t="str">
            <v>CC</v>
          </cell>
          <cell r="E2522" t="str">
            <v>ALEJANDRO</v>
          </cell>
          <cell r="F2522" t="str">
            <v>AVALO ZAPATA</v>
          </cell>
          <cell r="G2522" t="str">
            <v>AVALO ZAPATA ALEJANDRO</v>
          </cell>
          <cell r="H2522" t="str">
            <v>FUNC</v>
          </cell>
          <cell r="I2522" t="str">
            <v>FUNCIONARIO</v>
          </cell>
          <cell r="J2522" t="str">
            <v>BRR VILLA PILAR II BL 06 AP 204 B</v>
          </cell>
          <cell r="K2522" t="str">
            <v>17001</v>
          </cell>
          <cell r="L2522" t="str">
            <v>MANIZALES</v>
          </cell>
          <cell r="M2522" t="str">
            <v>8905836</v>
          </cell>
        </row>
        <row r="2523">
          <cell r="A2523">
            <v>75103884</v>
          </cell>
          <cell r="B2523" t="str">
            <v/>
          </cell>
          <cell r="C2523" t="str">
            <v/>
          </cell>
          <cell r="D2523" t="str">
            <v>CC</v>
          </cell>
          <cell r="E2523" t="str">
            <v>RUBIEL MAURICIO</v>
          </cell>
          <cell r="F2523" t="str">
            <v>TORRES MARIN</v>
          </cell>
          <cell r="G2523" t="str">
            <v>TORRES MARIN RUBIEL MAURICIO</v>
          </cell>
          <cell r="H2523" t="str">
            <v>FUNC</v>
          </cell>
          <cell r="I2523" t="str">
            <v>FUNCIONARIO</v>
          </cell>
          <cell r="J2523" t="str">
            <v>CR 23 B 66 07 AP 1 B</v>
          </cell>
          <cell r="K2523" t="str">
            <v>17001</v>
          </cell>
          <cell r="L2523" t="str">
            <v>MANIZALES</v>
          </cell>
          <cell r="M2523" t="str">
            <v>8840075</v>
          </cell>
        </row>
        <row r="2524">
          <cell r="A2524">
            <v>75104302</v>
          </cell>
          <cell r="B2524" t="str">
            <v/>
          </cell>
          <cell r="C2524" t="str">
            <v/>
          </cell>
          <cell r="D2524" t="str">
            <v>CC</v>
          </cell>
          <cell r="E2524" t="str">
            <v>FREDY HUMBERTO</v>
          </cell>
          <cell r="F2524" t="str">
            <v>ARENAS GRANADA</v>
          </cell>
          <cell r="G2524" t="str">
            <v>ARENAS GRANADA FREDY HUMBERTO</v>
          </cell>
          <cell r="H2524" t="str">
            <v>FUNC</v>
          </cell>
          <cell r="I2524" t="str">
            <v>FUNCIONARIO</v>
          </cell>
          <cell r="J2524" t="str">
            <v>CL 67   10   27 BRR LA SULTANA</v>
          </cell>
          <cell r="K2524" t="str">
            <v>17001</v>
          </cell>
          <cell r="L2524" t="str">
            <v>MANIZALES</v>
          </cell>
          <cell r="M2524" t="str">
            <v>8910167</v>
          </cell>
        </row>
        <row r="2525">
          <cell r="A2525">
            <v>75105460</v>
          </cell>
          <cell r="B2525" t="str">
            <v/>
          </cell>
          <cell r="C2525" t="str">
            <v/>
          </cell>
          <cell r="D2525" t="str">
            <v>CC</v>
          </cell>
          <cell r="E2525" t="str">
            <v>FELIPE ALBERTO</v>
          </cell>
          <cell r="F2525" t="str">
            <v>MOYA GARCIA</v>
          </cell>
          <cell r="G2525" t="str">
            <v>MOYA GARCIA FELIPE ALBERTO</v>
          </cell>
          <cell r="H2525" t="str">
            <v>FUNC</v>
          </cell>
          <cell r="I2525" t="str">
            <v>FUNCIONARIO</v>
          </cell>
          <cell r="J2525" t="str">
            <v>CL 68 A 39 81</v>
          </cell>
          <cell r="K2525" t="str">
            <v>17001</v>
          </cell>
          <cell r="L2525" t="str">
            <v>MANIZALES</v>
          </cell>
          <cell r="M2525" t="str">
            <v>3228442910</v>
          </cell>
        </row>
        <row r="2526">
          <cell r="A2526">
            <v>75105689</v>
          </cell>
          <cell r="B2526" t="str">
            <v>9</v>
          </cell>
          <cell r="C2526" t="str">
            <v/>
          </cell>
          <cell r="D2526" t="str">
            <v>NP</v>
          </cell>
          <cell r="E2526" t="str">
            <v>DAVID ANDRES</v>
          </cell>
          <cell r="F2526" t="str">
            <v>ALZATE URREGO</v>
          </cell>
          <cell r="G2526" t="str">
            <v>ALZATE URREGO DAVID ANDRES</v>
          </cell>
          <cell r="H2526" t="str">
            <v>RESI</v>
          </cell>
          <cell r="I2526" t="str">
            <v>REGIMEN SIMPLIFICADO</v>
          </cell>
          <cell r="J2526" t="str">
            <v xml:space="preserve"> CL 9 A  1 B  08</v>
          </cell>
          <cell r="K2526" t="str">
            <v>17873</v>
          </cell>
          <cell r="L2526" t="str">
            <v>VILLAMARÍA</v>
          </cell>
          <cell r="M2526" t="str">
            <v>8777766</v>
          </cell>
        </row>
        <row r="2527">
          <cell r="A2527">
            <v>75105937</v>
          </cell>
          <cell r="B2527" t="str">
            <v>0</v>
          </cell>
          <cell r="C2527" t="str">
            <v/>
          </cell>
          <cell r="D2527" t="str">
            <v>NP</v>
          </cell>
          <cell r="E2527" t="str">
            <v>LUCAS</v>
          </cell>
          <cell r="F2527" t="str">
            <v>MOLINA FRANCO</v>
          </cell>
          <cell r="G2527" t="str">
            <v>MOLINA FRANCO LUCAS</v>
          </cell>
          <cell r="H2527" t="str">
            <v>RESI</v>
          </cell>
          <cell r="I2527" t="str">
            <v>REGIMEN SIMPLIFICADO</v>
          </cell>
          <cell r="J2527" t="str">
            <v>CL 29 24 17</v>
          </cell>
          <cell r="K2527" t="str">
            <v>17001</v>
          </cell>
          <cell r="L2527" t="str">
            <v>MANIZALES</v>
          </cell>
          <cell r="M2527" t="str">
            <v>3135070056</v>
          </cell>
        </row>
        <row r="2528">
          <cell r="A2528">
            <v>75106337</v>
          </cell>
          <cell r="B2528" t="str">
            <v/>
          </cell>
          <cell r="C2528" t="str">
            <v/>
          </cell>
          <cell r="D2528" t="str">
            <v>CC</v>
          </cell>
          <cell r="E2528" t="str">
            <v>JOHN ERIEL</v>
          </cell>
          <cell r="F2528" t="str">
            <v>MUÑOZ SALAZAR</v>
          </cell>
          <cell r="G2528" t="str">
            <v>MUÑOZ SALAZAR JOHN ERIEL</v>
          </cell>
          <cell r="H2528" t="str">
            <v>RESI</v>
          </cell>
          <cell r="I2528" t="str">
            <v>REGIMEN SIMPLIFICADO</v>
          </cell>
          <cell r="J2528" t="str">
            <v>CL 65 A N 35-60</v>
          </cell>
          <cell r="K2528" t="str">
            <v>17001</v>
          </cell>
          <cell r="L2528" t="str">
            <v>MANIZALES</v>
          </cell>
          <cell r="M2528" t="str">
            <v>8788919</v>
          </cell>
        </row>
        <row r="2529">
          <cell r="A2529">
            <v>75106454</v>
          </cell>
          <cell r="B2529" t="str">
            <v/>
          </cell>
          <cell r="C2529" t="str">
            <v/>
          </cell>
          <cell r="D2529" t="str">
            <v>CC</v>
          </cell>
          <cell r="E2529" t="str">
            <v>JULIAN EDWIN</v>
          </cell>
          <cell r="F2529" t="str">
            <v>PEREZ MARIN</v>
          </cell>
          <cell r="G2529" t="str">
            <v>PEREZ MARIN JULIAN EDWIN</v>
          </cell>
          <cell r="H2529" t="str">
            <v>FUNC</v>
          </cell>
          <cell r="I2529" t="str">
            <v>FUNCIONARIO</v>
          </cell>
          <cell r="J2529" t="str">
            <v>CL 43 5 110</v>
          </cell>
          <cell r="K2529" t="str">
            <v>17001</v>
          </cell>
          <cell r="L2529" t="str">
            <v>MANIZALES</v>
          </cell>
          <cell r="M2529" t="str">
            <v>3108264367</v>
          </cell>
        </row>
        <row r="2530">
          <cell r="A2530">
            <v>75106956</v>
          </cell>
          <cell r="B2530" t="str">
            <v/>
          </cell>
          <cell r="C2530" t="str">
            <v/>
          </cell>
          <cell r="D2530" t="str">
            <v>CC</v>
          </cell>
          <cell r="E2530" t="str">
            <v>SEBASTIAN</v>
          </cell>
          <cell r="F2530" t="str">
            <v>GALVIS ARCILA</v>
          </cell>
          <cell r="G2530" t="str">
            <v>GALVIS ARCILA SEBASTIAN</v>
          </cell>
          <cell r="H2530" t="str">
            <v>FUNC</v>
          </cell>
          <cell r="I2530" t="str">
            <v>FUNCIONARIO</v>
          </cell>
          <cell r="J2530" t="str">
            <v>BRR NIÑO JESUS DE PRAGA CA 100</v>
          </cell>
          <cell r="K2530" t="str">
            <v>17001</v>
          </cell>
          <cell r="L2530" t="str">
            <v>MANIZALES</v>
          </cell>
          <cell r="M2530" t="str">
            <v>8739081</v>
          </cell>
        </row>
        <row r="2531">
          <cell r="A2531">
            <v>75107134</v>
          </cell>
          <cell r="B2531" t="str">
            <v/>
          </cell>
          <cell r="C2531" t="str">
            <v/>
          </cell>
          <cell r="D2531" t="str">
            <v>CC</v>
          </cell>
          <cell r="E2531" t="str">
            <v>CRISTIAN CAMILO</v>
          </cell>
          <cell r="F2531" t="str">
            <v>OSORIO VILLADA</v>
          </cell>
          <cell r="G2531" t="str">
            <v>OSORIO VILLADA CRISTIAN CAMILO</v>
          </cell>
          <cell r="H2531" t="str">
            <v>FUNC</v>
          </cell>
          <cell r="I2531" t="str">
            <v>FUNCIONARIO</v>
          </cell>
          <cell r="J2531" t="str">
            <v>CR 13 N 9 57</v>
          </cell>
          <cell r="K2531" t="str">
            <v>17001</v>
          </cell>
          <cell r="L2531" t="str">
            <v>MANIZALES</v>
          </cell>
          <cell r="M2531" t="str">
            <v>8924010</v>
          </cell>
        </row>
        <row r="2532">
          <cell r="A2532">
            <v>75107531</v>
          </cell>
          <cell r="B2532" t="str">
            <v>3</v>
          </cell>
          <cell r="C2532" t="str">
            <v/>
          </cell>
          <cell r="D2532" t="str">
            <v>NP</v>
          </cell>
          <cell r="E2532" t="str">
            <v>ALFONSO ESTEBAN</v>
          </cell>
          <cell r="F2532" t="str">
            <v>DE LA CRUZ ARBOLEDA</v>
          </cell>
          <cell r="G2532" t="str">
            <v>DE LA CRUZ ARBOLEDA ALFONSO ESTEBAN</v>
          </cell>
          <cell r="H2532" t="str">
            <v>RESI</v>
          </cell>
          <cell r="I2532" t="str">
            <v>REGIMEN SIMPLIFICADO</v>
          </cell>
          <cell r="J2532" t="str">
            <v>CR 18 3 102 CA 17 CONJ SAN REMO</v>
          </cell>
          <cell r="K2532" t="str">
            <v>17001</v>
          </cell>
          <cell r="L2532" t="str">
            <v>MANIZALES</v>
          </cell>
          <cell r="M2532" t="str">
            <v>8891350</v>
          </cell>
        </row>
        <row r="2533">
          <cell r="A2533">
            <v>75107557</v>
          </cell>
          <cell r="B2533" t="str">
            <v/>
          </cell>
          <cell r="C2533" t="str">
            <v/>
          </cell>
          <cell r="D2533" t="str">
            <v>CC</v>
          </cell>
          <cell r="E2533" t="str">
            <v>JORGE ANDRES</v>
          </cell>
          <cell r="F2533" t="str">
            <v>FLOREZ HENAO</v>
          </cell>
          <cell r="G2533" t="str">
            <v>FLOREZ HENAO JORGE ANDRES</v>
          </cell>
          <cell r="H2533" t="str">
            <v>FUNC</v>
          </cell>
          <cell r="I2533" t="str">
            <v>FUNCIONARIO</v>
          </cell>
          <cell r="J2533" t="str">
            <v>CR 24 N 15-06</v>
          </cell>
          <cell r="K2533" t="str">
            <v>17001</v>
          </cell>
          <cell r="L2533" t="str">
            <v>MANIZALES</v>
          </cell>
          <cell r="M2533" t="str">
            <v>3005266792</v>
          </cell>
        </row>
        <row r="2534">
          <cell r="A2534">
            <v>75107650</v>
          </cell>
          <cell r="B2534" t="str">
            <v/>
          </cell>
          <cell r="C2534" t="str">
            <v/>
          </cell>
          <cell r="D2534" t="str">
            <v>CC</v>
          </cell>
          <cell r="E2534" t="str">
            <v>ALEXANDER</v>
          </cell>
          <cell r="F2534" t="str">
            <v>BARRAGAN LOTERO</v>
          </cell>
          <cell r="G2534" t="str">
            <v>BARRAGAN LOTERO ALEXANDER</v>
          </cell>
          <cell r="H2534" t="str">
            <v>FUNC</v>
          </cell>
          <cell r="I2534" t="str">
            <v>FUNCIONARIO</v>
          </cell>
          <cell r="J2534" t="str">
            <v>CL 21 17 85</v>
          </cell>
          <cell r="K2534" t="str">
            <v>15516</v>
          </cell>
          <cell r="L2534" t="str">
            <v>PAIPA</v>
          </cell>
          <cell r="M2534" t="str">
            <v>3115821587</v>
          </cell>
        </row>
        <row r="2535">
          <cell r="A2535">
            <v>75107849</v>
          </cell>
          <cell r="B2535" t="str">
            <v/>
          </cell>
          <cell r="C2535" t="str">
            <v/>
          </cell>
          <cell r="D2535" t="str">
            <v>CC</v>
          </cell>
          <cell r="E2535" t="str">
            <v>GUILLERMO</v>
          </cell>
          <cell r="F2535" t="str">
            <v>VALENCIA CASTANEDA</v>
          </cell>
          <cell r="G2535" t="str">
            <v>VALENCIA CASTANEDA GUILLERMO</v>
          </cell>
          <cell r="H2535" t="str">
            <v>FUNC</v>
          </cell>
          <cell r="I2535" t="str">
            <v>FUNCIONARIO</v>
          </cell>
          <cell r="J2535" t="str">
            <v>CALLE 48 No 28 - 56</v>
          </cell>
          <cell r="K2535" t="str">
            <v>17001</v>
          </cell>
          <cell r="L2535" t="str">
            <v>MANIZALES</v>
          </cell>
          <cell r="M2535" t="str">
            <v>3216867905</v>
          </cell>
        </row>
        <row r="2536">
          <cell r="A2536">
            <v>75108356</v>
          </cell>
          <cell r="B2536" t="str">
            <v/>
          </cell>
          <cell r="C2536" t="str">
            <v/>
          </cell>
          <cell r="D2536" t="str">
            <v>CC</v>
          </cell>
          <cell r="E2536" t="str">
            <v>JORGE ALEJANDRO</v>
          </cell>
          <cell r="F2536" t="str">
            <v>ACUÑA VELOSA</v>
          </cell>
          <cell r="G2536" t="str">
            <v>ACUÑA VELOSA JORGE ALEJANDRO</v>
          </cell>
          <cell r="H2536" t="str">
            <v>FUNC</v>
          </cell>
          <cell r="I2536" t="str">
            <v>FUNCIONARIO</v>
          </cell>
          <cell r="J2536" t="str">
            <v>CL 76 A   21   20</v>
          </cell>
          <cell r="K2536" t="str">
            <v>17001</v>
          </cell>
          <cell r="L2536" t="str">
            <v>MANIZALES</v>
          </cell>
          <cell r="M2536" t="str">
            <v>8865782</v>
          </cell>
        </row>
        <row r="2537">
          <cell r="A2537">
            <v>75108523</v>
          </cell>
          <cell r="B2537" t="str">
            <v>9</v>
          </cell>
          <cell r="C2537" t="str">
            <v/>
          </cell>
          <cell r="D2537" t="str">
            <v>NP</v>
          </cell>
          <cell r="E2537" t="str">
            <v>RICARDO</v>
          </cell>
          <cell r="F2537" t="str">
            <v>JIMENEZ SANCHEZ</v>
          </cell>
          <cell r="G2537" t="str">
            <v>JIMENEZ SANCHEZ RICARDO</v>
          </cell>
          <cell r="H2537" t="str">
            <v>RESI</v>
          </cell>
          <cell r="I2537" t="str">
            <v>REGIMEN SIMPLIFICADO</v>
          </cell>
          <cell r="J2537" t="str">
            <v>CL 17  8 83</v>
          </cell>
          <cell r="K2537" t="str">
            <v>17001</v>
          </cell>
          <cell r="L2537" t="str">
            <v>MANIZALES</v>
          </cell>
          <cell r="M2537" t="str">
            <v>8823522</v>
          </cell>
        </row>
        <row r="2538">
          <cell r="A2538">
            <v>75142844</v>
          </cell>
          <cell r="B2538" t="str">
            <v/>
          </cell>
          <cell r="C2538" t="str">
            <v/>
          </cell>
          <cell r="D2538" t="str">
            <v>CC</v>
          </cell>
          <cell r="E2538" t="str">
            <v>NICOLAS ANDRES</v>
          </cell>
          <cell r="F2538" t="str">
            <v>TORO GUARIN</v>
          </cell>
          <cell r="G2538" t="str">
            <v>TORO GUARIN NICOLAS ANDRES</v>
          </cell>
          <cell r="H2538" t="str">
            <v>FUNC</v>
          </cell>
          <cell r="I2538" t="str">
            <v>FUNCIONARIO</v>
          </cell>
          <cell r="J2538" t="str">
            <v>CRA 8 BIS    16   37 BRR BENGALA</v>
          </cell>
          <cell r="K2538" t="str">
            <v>17174</v>
          </cell>
          <cell r="L2538" t="str">
            <v>CHINCHINÁ</v>
          </cell>
          <cell r="M2538" t="str">
            <v>8502228</v>
          </cell>
        </row>
        <row r="2539">
          <cell r="A2539">
            <v>75143104</v>
          </cell>
          <cell r="B2539" t="str">
            <v>4</v>
          </cell>
          <cell r="C2539" t="str">
            <v/>
          </cell>
          <cell r="D2539" t="str">
            <v>NP</v>
          </cell>
          <cell r="E2539" t="str">
            <v>LUIS JOSE</v>
          </cell>
          <cell r="F2539" t="str">
            <v>VALDES VELASQUEZ</v>
          </cell>
          <cell r="G2539" t="str">
            <v>VALDES VELASQUEZ LUIS JOSE</v>
          </cell>
          <cell r="H2539" t="str">
            <v>NORE</v>
          </cell>
          <cell r="I2539" t="str">
            <v>NO RESPONSABLE DE IVA</v>
          </cell>
          <cell r="J2539" t="str">
            <v>CR 4   16   140 CA 31 CON CONDOMINIO EL PORTAL</v>
          </cell>
          <cell r="K2539" t="str">
            <v>17174</v>
          </cell>
          <cell r="L2539" t="str">
            <v>CHINCHINÁ</v>
          </cell>
          <cell r="M2539" t="str">
            <v>3206897833</v>
          </cell>
        </row>
        <row r="2540">
          <cell r="A2540">
            <v>75145633</v>
          </cell>
          <cell r="B2540" t="str">
            <v>8</v>
          </cell>
          <cell r="C2540" t="str">
            <v/>
          </cell>
          <cell r="D2540" t="str">
            <v>NP</v>
          </cell>
          <cell r="E2540" t="str">
            <v>JAIME</v>
          </cell>
          <cell r="F2540" t="str">
            <v>LONDOÑO OSORIO</v>
          </cell>
          <cell r="G2540" t="str">
            <v>LONDOÑO OSORIO JAIME</v>
          </cell>
          <cell r="H2540" t="str">
            <v>RESI</v>
          </cell>
          <cell r="I2540" t="str">
            <v>REGIMEN SIMPLIFICADO</v>
          </cell>
          <cell r="J2540" t="str">
            <v>CR 9 8 30</v>
          </cell>
          <cell r="K2540" t="str">
            <v>17174</v>
          </cell>
          <cell r="L2540" t="str">
            <v>CHINCHINÁ</v>
          </cell>
          <cell r="M2540" t="str">
            <v>8503252</v>
          </cell>
        </row>
        <row r="2541">
          <cell r="A2541">
            <v>75145882</v>
          </cell>
          <cell r="B2541" t="str">
            <v/>
          </cell>
          <cell r="C2541" t="str">
            <v/>
          </cell>
          <cell r="D2541" t="str">
            <v>CC</v>
          </cell>
          <cell r="E2541" t="str">
            <v>JHOVANY</v>
          </cell>
          <cell r="F2541" t="str">
            <v>RONDON VILLARRAGA</v>
          </cell>
          <cell r="G2541" t="str">
            <v>RONDON VILLARRAGA JHOVANY</v>
          </cell>
          <cell r="H2541" t="str">
            <v>RESI</v>
          </cell>
          <cell r="I2541" t="str">
            <v>REGIMEN SIMPLIFICADO</v>
          </cell>
          <cell r="J2541" t="str">
            <v>TERCERO CREADO SIN RUT, CORREO ENERO 27-2023 AUTOR. FIANCIERA</v>
          </cell>
          <cell r="K2541" t="str">
            <v>17001</v>
          </cell>
          <cell r="L2541" t="str">
            <v>MANIZALES</v>
          </cell>
          <cell r="M2541" t="str">
            <v>9999999</v>
          </cell>
        </row>
        <row r="2542">
          <cell r="A2542">
            <v>75146134</v>
          </cell>
          <cell r="B2542" t="str">
            <v/>
          </cell>
          <cell r="C2542" t="str">
            <v/>
          </cell>
          <cell r="D2542" t="str">
            <v>CC</v>
          </cell>
          <cell r="E2542" t="str">
            <v>JAMES</v>
          </cell>
          <cell r="F2542" t="str">
            <v>ALDANA GALLEGO</v>
          </cell>
          <cell r="G2542" t="str">
            <v>ALDANA GALLEGO JAMES</v>
          </cell>
          <cell r="H2542" t="str">
            <v>RESI</v>
          </cell>
          <cell r="I2542" t="str">
            <v>REGIMEN SIMPLIFICADO</v>
          </cell>
          <cell r="J2542" t="str">
            <v>CL 17 N 21-30</v>
          </cell>
          <cell r="K2542" t="str">
            <v>17001</v>
          </cell>
          <cell r="L2542" t="str">
            <v>MANIZALES</v>
          </cell>
          <cell r="M2542" t="str">
            <v>8863850</v>
          </cell>
        </row>
        <row r="2543">
          <cell r="A2543">
            <v>75146272</v>
          </cell>
          <cell r="B2543" t="str">
            <v/>
          </cell>
          <cell r="C2543" t="str">
            <v/>
          </cell>
          <cell r="D2543" t="str">
            <v>CC</v>
          </cell>
          <cell r="E2543" t="str">
            <v>JUAN CARLOS</v>
          </cell>
          <cell r="F2543" t="str">
            <v>PIEDRAHITA OCAMPO</v>
          </cell>
          <cell r="G2543" t="str">
            <v>PIEDRAHITA OCAMPO JUAN CARLOS</v>
          </cell>
          <cell r="H2543" t="str">
            <v>FUNC</v>
          </cell>
          <cell r="I2543" t="str">
            <v>FUNCIONARIO</v>
          </cell>
          <cell r="J2543" t="str">
            <v>CL 71 #19-23</v>
          </cell>
          <cell r="K2543" t="str">
            <v>17001</v>
          </cell>
          <cell r="L2543" t="str">
            <v>MANIZALES</v>
          </cell>
          <cell r="M2543" t="str">
            <v>3206860501</v>
          </cell>
        </row>
        <row r="2544">
          <cell r="A2544">
            <v>75147446</v>
          </cell>
          <cell r="B2544" t="str">
            <v>6</v>
          </cell>
          <cell r="C2544" t="str">
            <v/>
          </cell>
          <cell r="D2544" t="str">
            <v>NP</v>
          </cell>
          <cell r="E2544" t="str">
            <v>LUIS ALEJANDRO</v>
          </cell>
          <cell r="F2544" t="str">
            <v>PLATA MARIN</v>
          </cell>
          <cell r="G2544" t="str">
            <v>PLATA MARIN LUIS ALEJANDRO</v>
          </cell>
          <cell r="H2544" t="str">
            <v>RECO</v>
          </cell>
          <cell r="I2544" t="str">
            <v>REGIMEN COMUN</v>
          </cell>
          <cell r="J2544" t="str">
            <v>CL  8  D  15  23  BRR VERDUM</v>
          </cell>
          <cell r="K2544" t="str">
            <v>17174</v>
          </cell>
          <cell r="L2544" t="str">
            <v>CHINCHINÁ</v>
          </cell>
          <cell r="M2544" t="str">
            <v>8400562</v>
          </cell>
        </row>
        <row r="2545">
          <cell r="A2545">
            <v>76044659</v>
          </cell>
          <cell r="B2545" t="str">
            <v/>
          </cell>
          <cell r="C2545" t="str">
            <v/>
          </cell>
          <cell r="D2545" t="str">
            <v>CC</v>
          </cell>
          <cell r="E2545" t="str">
            <v>BEIMAN</v>
          </cell>
          <cell r="F2545" t="str">
            <v>LEON</v>
          </cell>
          <cell r="G2545" t="str">
            <v>LEON BEIMAN</v>
          </cell>
          <cell r="H2545" t="str">
            <v>RESI</v>
          </cell>
          <cell r="I2545" t="str">
            <v>REGIMEN SIMPLIFICADO</v>
          </cell>
          <cell r="J2545" t="str">
            <v>MCP SANTA ROSALIA</v>
          </cell>
          <cell r="K2545" t="str">
            <v>99624</v>
          </cell>
          <cell r="L2545" t="str">
            <v>SANTA ROSALÍA</v>
          </cell>
          <cell r="M2545" t="str">
            <v>3125653988</v>
          </cell>
        </row>
        <row r="2546">
          <cell r="A2546">
            <v>76311453</v>
          </cell>
          <cell r="B2546" t="str">
            <v>4</v>
          </cell>
          <cell r="C2546" t="str">
            <v/>
          </cell>
          <cell r="D2546" t="str">
            <v>NP</v>
          </cell>
          <cell r="E2546" t="str">
            <v>LUIS HERNANDO</v>
          </cell>
          <cell r="F2546" t="str">
            <v>MARTINEZ TORRES</v>
          </cell>
          <cell r="G2546" t="str">
            <v>MARTINEZ TORRES LUIS HERNANDO</v>
          </cell>
          <cell r="H2546" t="str">
            <v>RESI</v>
          </cell>
          <cell r="I2546" t="str">
            <v>REGIMEN SIMPLIFICADO</v>
          </cell>
          <cell r="J2546" t="str">
            <v>CR 2 7 12 BRR EL PORVENIR</v>
          </cell>
          <cell r="K2546" t="str">
            <v>19318</v>
          </cell>
          <cell r="L2546" t="str">
            <v>GUAPI</v>
          </cell>
          <cell r="M2546" t="str">
            <v>928400735</v>
          </cell>
        </row>
        <row r="2547">
          <cell r="A2547">
            <v>76311746</v>
          </cell>
          <cell r="B2547" t="str">
            <v>7</v>
          </cell>
          <cell r="C2547" t="str">
            <v/>
          </cell>
          <cell r="D2547" t="str">
            <v>NP</v>
          </cell>
          <cell r="E2547" t="str">
            <v>FAIVER</v>
          </cell>
          <cell r="F2547" t="str">
            <v>MONTILLA CAMPO</v>
          </cell>
          <cell r="G2547" t="str">
            <v>MONTILLA CAMPO FAIVER</v>
          </cell>
          <cell r="H2547" t="str">
            <v>RECO</v>
          </cell>
          <cell r="I2547" t="str">
            <v>REGIMEN COMUN</v>
          </cell>
          <cell r="J2547" t="str">
            <v>CL 61 A   24 C 28</v>
          </cell>
          <cell r="K2547" t="str">
            <v>17001</v>
          </cell>
          <cell r="L2547" t="str">
            <v>MANIZALES</v>
          </cell>
          <cell r="M2547" t="str">
            <v>8850145</v>
          </cell>
        </row>
        <row r="2548">
          <cell r="A2548">
            <v>78024749</v>
          </cell>
          <cell r="B2548" t="str">
            <v>5</v>
          </cell>
          <cell r="C2548" t="str">
            <v/>
          </cell>
          <cell r="D2548" t="str">
            <v>NP</v>
          </cell>
          <cell r="E2548" t="str">
            <v>JAVIER FRANCISCO</v>
          </cell>
          <cell r="F2548" t="str">
            <v>SUAREZ PEREZ</v>
          </cell>
          <cell r="G2548" t="str">
            <v>SUAREZ PEREZ JAVIER FRANCISCO</v>
          </cell>
          <cell r="H2548" t="str">
            <v>RECO</v>
          </cell>
          <cell r="I2548" t="str">
            <v>REGIMEN COMUN</v>
          </cell>
          <cell r="J2548" t="str">
            <v>AV DEL RIO 15 10 62 BRR CENTRO B</v>
          </cell>
          <cell r="K2548" t="str">
            <v>97001</v>
          </cell>
          <cell r="L2548" t="str">
            <v>MITÚ</v>
          </cell>
          <cell r="M2548" t="str">
            <v>3124563731</v>
          </cell>
        </row>
        <row r="2549">
          <cell r="A2549">
            <v>78714871</v>
          </cell>
          <cell r="B2549" t="str">
            <v/>
          </cell>
          <cell r="C2549" t="str">
            <v/>
          </cell>
          <cell r="D2549" t="str">
            <v>CC</v>
          </cell>
          <cell r="E2549" t="str">
            <v>PEDRO LUIS</v>
          </cell>
          <cell r="F2549" t="str">
            <v>GONZALEZ PEREZ</v>
          </cell>
          <cell r="G2549" t="str">
            <v>GONZALEZ PEREZ PEDRO LUIS</v>
          </cell>
          <cell r="H2549" t="str">
            <v>RESI</v>
          </cell>
          <cell r="I2549" t="str">
            <v>REGIMEN SIMPLIFICADO</v>
          </cell>
          <cell r="J2549" t="str">
            <v>KM 1 SD CHIGORODO</v>
          </cell>
          <cell r="K2549" t="str">
            <v>27800</v>
          </cell>
          <cell r="L2549" t="str">
            <v>UNGUÍA</v>
          </cell>
          <cell r="M2549" t="str">
            <v>3108264211</v>
          </cell>
        </row>
        <row r="2550">
          <cell r="A2550">
            <v>78744494</v>
          </cell>
          <cell r="B2550" t="str">
            <v>1</v>
          </cell>
          <cell r="C2550" t="str">
            <v/>
          </cell>
          <cell r="D2550" t="str">
            <v>NP</v>
          </cell>
          <cell r="E2550" t="str">
            <v>CARLOS MANUEL</v>
          </cell>
          <cell r="F2550" t="str">
            <v>MUÑOZ HOYOS</v>
          </cell>
          <cell r="G2550" t="str">
            <v>MUÑOZ HOYOS CARLOS MANUEL</v>
          </cell>
          <cell r="H2550" t="str">
            <v>RESI</v>
          </cell>
          <cell r="I2550" t="str">
            <v>REGIMEN SIMPLIFICADO</v>
          </cell>
          <cell r="J2550" t="str">
            <v>CL 16 11 72</v>
          </cell>
          <cell r="K2550" t="str">
            <v>94001</v>
          </cell>
          <cell r="L2550" t="str">
            <v>INÍRIDA</v>
          </cell>
          <cell r="M2550" t="str">
            <v>3142190063</v>
          </cell>
        </row>
        <row r="2551">
          <cell r="A2551">
            <v>78857290</v>
          </cell>
          <cell r="B2551" t="str">
            <v/>
          </cell>
          <cell r="C2551" t="str">
            <v/>
          </cell>
          <cell r="D2551" t="str">
            <v>NE</v>
          </cell>
          <cell r="E2551" t="str">
            <v/>
          </cell>
          <cell r="F2551" t="str">
            <v/>
          </cell>
          <cell r="G2551" t="str">
            <v>BUSINESS NEWS AMERICAS</v>
          </cell>
          <cell r="H2551" t="str">
            <v>EXTR</v>
          </cell>
          <cell r="I2551" t="str">
            <v>EXTRANJERO</v>
          </cell>
          <cell r="J2551" t="str">
            <v>MCP SAN PATRICIO BR LAS CONDES</v>
          </cell>
          <cell r="K2551" t="str">
            <v>11001</v>
          </cell>
          <cell r="L2551" t="str">
            <v>BOGOTA DC</v>
          </cell>
          <cell r="M2551" t="str">
            <v>5629410300</v>
          </cell>
        </row>
        <row r="2552">
          <cell r="A2552">
            <v>79055403</v>
          </cell>
          <cell r="B2552" t="str">
            <v>9</v>
          </cell>
          <cell r="C2552" t="str">
            <v/>
          </cell>
          <cell r="D2552" t="str">
            <v>NP</v>
          </cell>
          <cell r="E2552" t="str">
            <v>JOHN JAIRO</v>
          </cell>
          <cell r="F2552" t="str">
            <v>SUAREZ</v>
          </cell>
          <cell r="G2552" t="str">
            <v>SUAREZ JOHN JAIRO</v>
          </cell>
          <cell r="H2552" t="str">
            <v>RECO</v>
          </cell>
          <cell r="I2552" t="str">
            <v>REGIMEN COMUN</v>
          </cell>
          <cell r="J2552" t="str">
            <v>CR 12 18 34</v>
          </cell>
          <cell r="K2552" t="str">
            <v>11001</v>
          </cell>
          <cell r="L2552" t="str">
            <v>BOGOTA DC</v>
          </cell>
          <cell r="M2552" t="str">
            <v>2826594</v>
          </cell>
        </row>
        <row r="2553">
          <cell r="A2553">
            <v>79100868</v>
          </cell>
          <cell r="B2553" t="str">
            <v>2</v>
          </cell>
          <cell r="C2553" t="str">
            <v/>
          </cell>
          <cell r="D2553" t="str">
            <v>NP</v>
          </cell>
          <cell r="E2553" t="str">
            <v>CARLOS EDUARDO</v>
          </cell>
          <cell r="F2553" t="str">
            <v>SANCHEZ MUÑOZ</v>
          </cell>
          <cell r="G2553" t="str">
            <v>CARLOS EDUARDO SANCHEZ MUÑOZ</v>
          </cell>
          <cell r="H2553" t="str">
            <v>RECO</v>
          </cell>
          <cell r="I2553" t="str">
            <v>REGIMEN COMUN</v>
          </cell>
          <cell r="J2553" t="str">
            <v xml:space="preserve">CR 23 N 64 B 33                    </v>
          </cell>
          <cell r="K2553" t="str">
            <v>17001</v>
          </cell>
          <cell r="L2553" t="str">
            <v>MANIZALES</v>
          </cell>
          <cell r="M2553" t="str">
            <v>8756262</v>
          </cell>
        </row>
        <row r="2554">
          <cell r="A2554">
            <v>79105106</v>
          </cell>
          <cell r="B2554" t="str">
            <v>1</v>
          </cell>
          <cell r="C2554" t="str">
            <v/>
          </cell>
          <cell r="D2554" t="str">
            <v>NP</v>
          </cell>
          <cell r="E2554" t="str">
            <v>MIGUEL ANTONIO</v>
          </cell>
          <cell r="F2554" t="str">
            <v>BAMBAGUE MURCIA</v>
          </cell>
          <cell r="G2554" t="str">
            <v>BAMBAGUE MURCIA MIGUEL ANTONIO</v>
          </cell>
          <cell r="H2554" t="str">
            <v>IMVE</v>
          </cell>
          <cell r="I2554" t="str">
            <v>IMPUESTO SOBRE LAS VENTAS</v>
          </cell>
          <cell r="J2554" t="str">
            <v>BRR 7 DE AGOSTO</v>
          </cell>
          <cell r="K2554" t="str">
            <v>97001</v>
          </cell>
          <cell r="L2554" t="str">
            <v>MITÚ</v>
          </cell>
          <cell r="M2554" t="str">
            <v>5642118</v>
          </cell>
        </row>
        <row r="2555">
          <cell r="A2555">
            <v>79105985</v>
          </cell>
          <cell r="B2555" t="str">
            <v>9</v>
          </cell>
          <cell r="C2555" t="str">
            <v/>
          </cell>
          <cell r="D2555" t="str">
            <v>NP</v>
          </cell>
          <cell r="E2555" t="str">
            <v>JOSE VIDAL</v>
          </cell>
          <cell r="F2555" t="str">
            <v>CORONADO ROJAS</v>
          </cell>
          <cell r="G2555" t="str">
            <v>CORONADO ROJAS JOSE VIDAL</v>
          </cell>
          <cell r="H2555" t="str">
            <v>RESI</v>
          </cell>
          <cell r="I2555" t="str">
            <v>REGIMEN SIMPLIFICADO</v>
          </cell>
          <cell r="J2555" t="str">
            <v>CL 25 19 74</v>
          </cell>
          <cell r="K2555" t="str">
            <v>15516</v>
          </cell>
          <cell r="L2555" t="str">
            <v>PAIPA</v>
          </cell>
          <cell r="M2555" t="str">
            <v>7851381</v>
          </cell>
        </row>
        <row r="2556">
          <cell r="A2556">
            <v>79121787</v>
          </cell>
          <cell r="B2556" t="str">
            <v>4</v>
          </cell>
          <cell r="C2556" t="str">
            <v/>
          </cell>
          <cell r="D2556" t="str">
            <v>NP</v>
          </cell>
          <cell r="E2556" t="str">
            <v>LUIS EDUARDO</v>
          </cell>
          <cell r="F2556" t="str">
            <v>QUIROGA</v>
          </cell>
          <cell r="G2556" t="str">
            <v>QUIROGA LUIS EDUARDO</v>
          </cell>
          <cell r="H2556" t="str">
            <v>RESI</v>
          </cell>
          <cell r="I2556" t="str">
            <v>REGIMEN SIMPLIFICADO</v>
          </cell>
          <cell r="J2556" t="str">
            <v>CR 28 A   68   47</v>
          </cell>
          <cell r="K2556" t="str">
            <v>11001</v>
          </cell>
          <cell r="L2556" t="str">
            <v>BOGOTA DC</v>
          </cell>
          <cell r="M2556" t="str">
            <v>3108927</v>
          </cell>
        </row>
        <row r="2557">
          <cell r="A2557">
            <v>79138786</v>
          </cell>
          <cell r="B2557" t="str">
            <v>1</v>
          </cell>
          <cell r="C2557" t="str">
            <v/>
          </cell>
          <cell r="D2557" t="str">
            <v>NP</v>
          </cell>
          <cell r="E2557" t="str">
            <v>MAURICIO</v>
          </cell>
          <cell r="F2557" t="str">
            <v>CARDENAS GARCÍA</v>
          </cell>
          <cell r="G2557" t="str">
            <v>CARDENAS GARCÍA MAURICIO</v>
          </cell>
          <cell r="H2557" t="str">
            <v>IMVE</v>
          </cell>
          <cell r="I2557" t="str">
            <v>IMPUESTO SOBRE LAS VENTAS</v>
          </cell>
          <cell r="J2557" t="str">
            <v>AV CAFAM 18 21</v>
          </cell>
          <cell r="K2557" t="str">
            <v>73449</v>
          </cell>
          <cell r="L2557" t="str">
            <v>MELGAR</v>
          </cell>
          <cell r="M2557" t="str">
            <v>3103495248</v>
          </cell>
        </row>
        <row r="2558">
          <cell r="A2558">
            <v>79138955</v>
          </cell>
          <cell r="B2558" t="str">
            <v/>
          </cell>
          <cell r="C2558" t="str">
            <v/>
          </cell>
          <cell r="D2558" t="str">
            <v>CC</v>
          </cell>
          <cell r="E2558" t="str">
            <v>SIMON EDGAR</v>
          </cell>
          <cell r="F2558" t="str">
            <v>GOMEZ GOMEZ</v>
          </cell>
          <cell r="G2558" t="str">
            <v>GOMEZ GOMEZ SIMON EDGAR</v>
          </cell>
          <cell r="H2558" t="str">
            <v>NORE</v>
          </cell>
          <cell r="I2558" t="str">
            <v>NO RESPONSABLE DE IVA</v>
          </cell>
          <cell r="J2558" t="str">
            <v>CL 23 22 85 P 2</v>
          </cell>
          <cell r="K2558" t="str">
            <v>85001</v>
          </cell>
          <cell r="L2558" t="str">
            <v>YOPAL</v>
          </cell>
          <cell r="M2558" t="str">
            <v>3102798710</v>
          </cell>
        </row>
        <row r="2559">
          <cell r="A2559">
            <v>79145752</v>
          </cell>
          <cell r="B2559" t="str">
            <v/>
          </cell>
          <cell r="C2559" t="str">
            <v/>
          </cell>
          <cell r="D2559" t="str">
            <v>CC</v>
          </cell>
          <cell r="E2559" t="str">
            <v>JUAN MAURICIO</v>
          </cell>
          <cell r="F2559" t="str">
            <v>MEDINA NIÑO</v>
          </cell>
          <cell r="G2559" t="str">
            <v>MEDINA NIÑO JUAN MAURICIO</v>
          </cell>
          <cell r="H2559" t="str">
            <v>RESI</v>
          </cell>
          <cell r="I2559" t="str">
            <v>REGIMEN SIMPLIFICADO</v>
          </cell>
          <cell r="J2559" t="str">
            <v>MCP VRD LA BARQUEREÑA PD EL PALMAR</v>
          </cell>
          <cell r="K2559" t="str">
            <v>85001</v>
          </cell>
          <cell r="L2559" t="str">
            <v>YOPAL</v>
          </cell>
          <cell r="M2559" t="str">
            <v>3152299999</v>
          </cell>
        </row>
        <row r="2560">
          <cell r="A2560">
            <v>79165750</v>
          </cell>
          <cell r="B2560" t="str">
            <v>1</v>
          </cell>
          <cell r="C2560" t="str">
            <v/>
          </cell>
          <cell r="D2560" t="str">
            <v>NP</v>
          </cell>
          <cell r="E2560" t="str">
            <v>MARCO ANTONIO</v>
          </cell>
          <cell r="F2560" t="str">
            <v>MONTAÑO</v>
          </cell>
          <cell r="G2560" t="str">
            <v>AUTOSERVICIO MERCA EXPRESS Y/O MARCO ANTONIO MONTAÑO</v>
          </cell>
          <cell r="H2560" t="str">
            <v>RECO</v>
          </cell>
          <cell r="I2560" t="str">
            <v>REGIMEN COMUN</v>
          </cell>
          <cell r="J2560" t="str">
            <v>CR 69 25 35</v>
          </cell>
          <cell r="K2560" t="str">
            <v>11001</v>
          </cell>
          <cell r="L2560" t="str">
            <v>BOGOTA DC</v>
          </cell>
          <cell r="M2560" t="str">
            <v>4100166</v>
          </cell>
        </row>
        <row r="2561">
          <cell r="A2561">
            <v>79234742</v>
          </cell>
          <cell r="B2561" t="str">
            <v/>
          </cell>
          <cell r="C2561" t="str">
            <v/>
          </cell>
          <cell r="D2561" t="str">
            <v>CC</v>
          </cell>
          <cell r="E2561" t="str">
            <v>GONZALO</v>
          </cell>
          <cell r="F2561" t="str">
            <v>ARAQUE PINZON</v>
          </cell>
          <cell r="G2561" t="str">
            <v>ARAQUE PINZON  GONZALO</v>
          </cell>
          <cell r="H2561" t="str">
            <v>FUNC</v>
          </cell>
          <cell r="I2561" t="str">
            <v>FUNCIONARIO</v>
          </cell>
          <cell r="J2561" t="str">
            <v>CL 65 A 27 90 AP 202</v>
          </cell>
          <cell r="K2561" t="str">
            <v>17001</v>
          </cell>
          <cell r="L2561" t="str">
            <v>MANIZALES</v>
          </cell>
          <cell r="M2561" t="str">
            <v>3148909503</v>
          </cell>
        </row>
        <row r="2562">
          <cell r="A2562">
            <v>79254245</v>
          </cell>
          <cell r="B2562" t="str">
            <v>5</v>
          </cell>
          <cell r="C2562" t="str">
            <v/>
          </cell>
          <cell r="D2562" t="str">
            <v>NP</v>
          </cell>
          <cell r="E2562" t="str">
            <v>HERNANDO</v>
          </cell>
          <cell r="F2562" t="str">
            <v>LEAL BARON</v>
          </cell>
          <cell r="G2562" t="str">
            <v>LEAL BARON HERNANDO</v>
          </cell>
          <cell r="H2562" t="str">
            <v>RESI</v>
          </cell>
          <cell r="I2562" t="str">
            <v>REGIMEN SIMPLIFICADO</v>
          </cell>
          <cell r="J2562" t="str">
            <v>VRD LA YOPOLOSA</v>
          </cell>
          <cell r="K2562" t="str">
            <v>11001</v>
          </cell>
          <cell r="L2562" t="str">
            <v>BOGOTA DC</v>
          </cell>
          <cell r="M2562" t="str">
            <v>3112578931</v>
          </cell>
        </row>
        <row r="2563">
          <cell r="A2563">
            <v>79269670</v>
          </cell>
          <cell r="B2563" t="str">
            <v>8</v>
          </cell>
          <cell r="C2563" t="str">
            <v/>
          </cell>
          <cell r="D2563" t="str">
            <v>NP</v>
          </cell>
          <cell r="E2563" t="str">
            <v>HECTOR ALIRIO</v>
          </cell>
          <cell r="F2563" t="str">
            <v>SALAZAR BONILLA</v>
          </cell>
          <cell r="G2563" t="str">
            <v>HECTOR ALIRIO SALAZAR BONILLA</v>
          </cell>
          <cell r="H2563" t="str">
            <v>RECO</v>
          </cell>
          <cell r="I2563" t="str">
            <v>REGIMEN COMUN</v>
          </cell>
          <cell r="J2563" t="str">
            <v xml:space="preserve">CR 23 N 64 B 33                    </v>
          </cell>
          <cell r="K2563" t="str">
            <v>17001</v>
          </cell>
          <cell r="L2563" t="str">
            <v>MANIZALES</v>
          </cell>
          <cell r="M2563" t="str">
            <v>8756262</v>
          </cell>
        </row>
        <row r="2564">
          <cell r="A2564">
            <v>79280753</v>
          </cell>
          <cell r="B2564" t="str">
            <v>5</v>
          </cell>
          <cell r="C2564" t="str">
            <v/>
          </cell>
          <cell r="D2564" t="str">
            <v>NP</v>
          </cell>
          <cell r="E2564" t="str">
            <v>DIEGO ENRIQUE</v>
          </cell>
          <cell r="F2564" t="str">
            <v>GONZALEZ GUTIERREZ</v>
          </cell>
          <cell r="G2564" t="str">
            <v>GONZALEZ GUTIERREZ DIEGO ENRIQUE</v>
          </cell>
          <cell r="H2564" t="str">
            <v>RESI</v>
          </cell>
          <cell r="I2564" t="str">
            <v>REGIMEN SIMPLIFICADO</v>
          </cell>
          <cell r="J2564" t="str">
            <v>AV 19 100 60</v>
          </cell>
          <cell r="K2564" t="str">
            <v>03</v>
          </cell>
          <cell r="L2564" t="str">
            <v>BOGOTA</v>
          </cell>
          <cell r="M2564" t="str">
            <v>3112550306</v>
          </cell>
        </row>
        <row r="2565">
          <cell r="A2565">
            <v>79286873</v>
          </cell>
          <cell r="B2565" t="str">
            <v>8</v>
          </cell>
          <cell r="C2565" t="str">
            <v/>
          </cell>
          <cell r="D2565" t="str">
            <v>NP</v>
          </cell>
          <cell r="E2565" t="str">
            <v>WILLIAM</v>
          </cell>
          <cell r="F2565" t="str">
            <v>HENAO LOZANO</v>
          </cell>
          <cell r="G2565" t="str">
            <v>HENAO LOZANO WILLIAM</v>
          </cell>
          <cell r="H2565" t="str">
            <v>RECO</v>
          </cell>
          <cell r="I2565" t="str">
            <v>REGIMEN COMUN</v>
          </cell>
          <cell r="J2565" t="str">
            <v>CR 26 16 23 SUR</v>
          </cell>
          <cell r="K2565" t="str">
            <v>17001</v>
          </cell>
          <cell r="L2565" t="str">
            <v>MANIZALES</v>
          </cell>
          <cell r="M2565" t="str">
            <v>3733573</v>
          </cell>
        </row>
        <row r="2566">
          <cell r="A2566">
            <v>79287644</v>
          </cell>
          <cell r="B2566" t="str">
            <v>2</v>
          </cell>
          <cell r="C2566" t="str">
            <v/>
          </cell>
          <cell r="D2566" t="str">
            <v>NP</v>
          </cell>
          <cell r="E2566" t="str">
            <v>CRISTOBAL</v>
          </cell>
          <cell r="F2566" t="str">
            <v>FLOREZ MURCIA</v>
          </cell>
          <cell r="G2566" t="str">
            <v>FLOREZ MURCIA CRISTOBAL</v>
          </cell>
          <cell r="H2566" t="str">
            <v>RECO</v>
          </cell>
          <cell r="I2566" t="str">
            <v>REGIMEN COMUN</v>
          </cell>
          <cell r="J2566" t="str">
            <v>CL 15   13   63 BRR CENTRO</v>
          </cell>
          <cell r="K2566" t="str">
            <v>97001</v>
          </cell>
          <cell r="L2566" t="str">
            <v>MITÚ</v>
          </cell>
          <cell r="M2566" t="str">
            <v>3208858880</v>
          </cell>
        </row>
        <row r="2567">
          <cell r="A2567">
            <v>79301179</v>
          </cell>
          <cell r="B2567" t="str">
            <v>9</v>
          </cell>
          <cell r="C2567" t="str">
            <v/>
          </cell>
          <cell r="D2567" t="str">
            <v>NP</v>
          </cell>
          <cell r="E2567" t="str">
            <v>GERMAN DARIO</v>
          </cell>
          <cell r="F2567" t="str">
            <v>HERNANDEZ DIAZ</v>
          </cell>
          <cell r="G2567" t="str">
            <v>HERNANDEZ DIAZ GERMAN DARIO</v>
          </cell>
          <cell r="H2567" t="str">
            <v>RESI</v>
          </cell>
          <cell r="I2567" t="str">
            <v>REGIMEN SIMPLIFICADO</v>
          </cell>
          <cell r="J2567" t="str">
            <v>CR 55   22   50 TO 1 AP 1102</v>
          </cell>
          <cell r="K2567" t="str">
            <v>11001</v>
          </cell>
          <cell r="L2567" t="str">
            <v>BOGOTA DC</v>
          </cell>
          <cell r="M2567" t="str">
            <v>4283503</v>
          </cell>
        </row>
        <row r="2568">
          <cell r="A2568">
            <v>79312489</v>
          </cell>
          <cell r="B2568" t="str">
            <v>4</v>
          </cell>
          <cell r="C2568" t="str">
            <v/>
          </cell>
          <cell r="D2568" t="str">
            <v>NP</v>
          </cell>
          <cell r="E2568" t="str">
            <v>JORGE WILSON</v>
          </cell>
          <cell r="F2568" t="str">
            <v>RAMIREZ CUERO</v>
          </cell>
          <cell r="G2568" t="str">
            <v>RAMIREZ CUERO JORGE WILSON</v>
          </cell>
          <cell r="H2568" t="str">
            <v>RESI</v>
          </cell>
          <cell r="I2568" t="str">
            <v>REGIMEN SIMPLIFICADO</v>
          </cell>
          <cell r="J2568" t="str">
            <v>CL 4  C 38  D 55  AP  302 BRR SANTA ISABEL</v>
          </cell>
          <cell r="K2568" t="str">
            <v>76001</v>
          </cell>
          <cell r="L2568" t="str">
            <v>CALI</v>
          </cell>
          <cell r="M2568" t="str">
            <v>3162132054</v>
          </cell>
        </row>
        <row r="2569">
          <cell r="A2569">
            <v>79318066</v>
          </cell>
          <cell r="B2569" t="str">
            <v/>
          </cell>
          <cell r="C2569" t="str">
            <v/>
          </cell>
          <cell r="D2569" t="str">
            <v>CC</v>
          </cell>
          <cell r="E2569" t="str">
            <v>WILLIAM ALFONSO</v>
          </cell>
          <cell r="F2569" t="str">
            <v>CASTRO CONTRERAS</v>
          </cell>
          <cell r="G2569" t="str">
            <v>CASTRO CONTRERAS WILLIAM ALFONSO</v>
          </cell>
          <cell r="H2569" t="str">
            <v>FUNC</v>
          </cell>
          <cell r="I2569" t="str">
            <v>FUNCIONARIO</v>
          </cell>
          <cell r="J2569" t="str">
            <v>CR 9 NORTE 9 60 BL 22 AP 202</v>
          </cell>
          <cell r="K2569" t="str">
            <v>17001</v>
          </cell>
          <cell r="L2569" t="str">
            <v>MANIZALES</v>
          </cell>
          <cell r="M2569" t="str">
            <v>3146163887</v>
          </cell>
        </row>
        <row r="2570">
          <cell r="A2570">
            <v>79328158</v>
          </cell>
          <cell r="B2570" t="str">
            <v>1</v>
          </cell>
          <cell r="C2570" t="str">
            <v/>
          </cell>
          <cell r="D2570" t="str">
            <v>NP</v>
          </cell>
          <cell r="E2570" t="str">
            <v>JORGE</v>
          </cell>
          <cell r="F2570" t="str">
            <v>MANRIQUE ANDRADE</v>
          </cell>
          <cell r="G2570" t="str">
            <v>MANRIQUE ANDRADE JORGE/NOTARIA SEGUNDA</v>
          </cell>
          <cell r="H2570" t="str">
            <v>RCPN</v>
          </cell>
          <cell r="I2570" t="str">
            <v>RESPONSABLE IVA PERSONA NATURAL</v>
          </cell>
          <cell r="J2570" t="str">
            <v>CL 22 23 33</v>
          </cell>
          <cell r="K2570" t="str">
            <v>17001</v>
          </cell>
          <cell r="L2570" t="str">
            <v>MANIZALES</v>
          </cell>
          <cell r="M2570" t="str">
            <v>8821826</v>
          </cell>
        </row>
        <row r="2571">
          <cell r="A2571">
            <v>79332018</v>
          </cell>
          <cell r="B2571" t="str">
            <v>4</v>
          </cell>
          <cell r="C2571" t="str">
            <v/>
          </cell>
          <cell r="D2571" t="str">
            <v>NP</v>
          </cell>
          <cell r="E2571" t="str">
            <v>HECTOR</v>
          </cell>
          <cell r="F2571" t="str">
            <v>VELANDIA CELY</v>
          </cell>
          <cell r="G2571" t="str">
            <v>VELANDIA CELY HECTOR</v>
          </cell>
          <cell r="H2571" t="str">
            <v>IMVE</v>
          </cell>
          <cell r="I2571" t="str">
            <v>IMPUESTO SOBRE LAS VENTAS</v>
          </cell>
          <cell r="J2571" t="str">
            <v>CR 19 11 80</v>
          </cell>
          <cell r="K2571" t="str">
            <v>15238</v>
          </cell>
          <cell r="L2571" t="str">
            <v>DUITAMA</v>
          </cell>
          <cell r="M2571" t="str">
            <v>3108089406</v>
          </cell>
        </row>
        <row r="2572">
          <cell r="A2572">
            <v>79335236</v>
          </cell>
          <cell r="B2572" t="str">
            <v>7</v>
          </cell>
          <cell r="C2572" t="str">
            <v/>
          </cell>
          <cell r="D2572" t="str">
            <v>NP</v>
          </cell>
          <cell r="E2572" t="str">
            <v>GILBERTO</v>
          </cell>
          <cell r="F2572" t="str">
            <v>ARISTIZABAL FRANCO</v>
          </cell>
          <cell r="G2572" t="str">
            <v>ARISTIZABAL FRANCO  GILBERTO</v>
          </cell>
          <cell r="H2572" t="str">
            <v>RESI</v>
          </cell>
          <cell r="I2572" t="str">
            <v>REGIMEN SIMPLIFICADO</v>
          </cell>
          <cell r="J2572" t="str">
            <v>CL 68 B 48 B 07 SUR BRR CANDELARIA LA NUEVA</v>
          </cell>
          <cell r="K2572" t="str">
            <v>11001</v>
          </cell>
          <cell r="L2572" t="str">
            <v>BOGOTA DC</v>
          </cell>
          <cell r="M2572" t="str">
            <v>5773082</v>
          </cell>
        </row>
        <row r="2573">
          <cell r="A2573">
            <v>79341899</v>
          </cell>
          <cell r="B2573" t="str">
            <v>4</v>
          </cell>
          <cell r="C2573" t="str">
            <v/>
          </cell>
          <cell r="D2573" t="str">
            <v>NP</v>
          </cell>
          <cell r="E2573" t="str">
            <v>CARLOS OLIMPO</v>
          </cell>
          <cell r="F2573" t="str">
            <v>GALLO ALDANA</v>
          </cell>
          <cell r="G2573" t="str">
            <v>GALLO ALDANA CARLOS OLIMPO</v>
          </cell>
          <cell r="H2573" t="str">
            <v>NORE</v>
          </cell>
          <cell r="I2573" t="str">
            <v>NO RESPONSABLE DE IVA</v>
          </cell>
          <cell r="J2573" t="str">
            <v xml:space="preserve"> CL  175 17 B 80 CA 34</v>
          </cell>
          <cell r="K2573" t="str">
            <v>17001</v>
          </cell>
          <cell r="L2573" t="str">
            <v>MANIZALES</v>
          </cell>
          <cell r="M2573" t="str">
            <v>3153051728</v>
          </cell>
        </row>
        <row r="2574">
          <cell r="A2574">
            <v>79363356</v>
          </cell>
          <cell r="B2574" t="str">
            <v/>
          </cell>
          <cell r="C2574" t="str">
            <v/>
          </cell>
          <cell r="D2574" t="str">
            <v>CC</v>
          </cell>
          <cell r="E2574" t="str">
            <v>CARLOS EDUARDO</v>
          </cell>
          <cell r="F2574" t="str">
            <v>TASAMA FRIAS</v>
          </cell>
          <cell r="G2574" t="str">
            <v>TASAMA FRIAS CARLOS EDUARDO</v>
          </cell>
          <cell r="H2574" t="str">
            <v>FUNC</v>
          </cell>
          <cell r="I2574" t="str">
            <v>FUNCIONARIO</v>
          </cell>
          <cell r="J2574" t="str">
            <v>CL 26  17 05 BR LIBERTADORES</v>
          </cell>
          <cell r="K2574" t="str">
            <v>17001</v>
          </cell>
          <cell r="L2574" t="str">
            <v>MANIZALES</v>
          </cell>
          <cell r="M2574" t="str">
            <v>3138597809</v>
          </cell>
        </row>
        <row r="2575">
          <cell r="A2575">
            <v>79368620</v>
          </cell>
          <cell r="B2575" t="str">
            <v>4</v>
          </cell>
          <cell r="C2575" t="str">
            <v/>
          </cell>
          <cell r="D2575" t="str">
            <v>NP</v>
          </cell>
          <cell r="E2575" t="str">
            <v>CESAR AUGUSTO</v>
          </cell>
          <cell r="F2575" t="str">
            <v>VILLAMIL GOMEZ</v>
          </cell>
          <cell r="G2575" t="str">
            <v>CESAR AUGUSTO VILLAMIL GOMEZ</v>
          </cell>
          <cell r="H2575" t="str">
            <v>IMVE</v>
          </cell>
          <cell r="I2575" t="str">
            <v>IMPUESTO SOBRE LAS VENTAS</v>
          </cell>
          <cell r="J2575" t="str">
            <v>CR 21 2 66 AP 401</v>
          </cell>
          <cell r="K2575" t="str">
            <v>25175</v>
          </cell>
          <cell r="L2575" t="str">
            <v>CHÍA</v>
          </cell>
          <cell r="M2575" t="str">
            <v>8707448</v>
          </cell>
        </row>
        <row r="2576">
          <cell r="A2576">
            <v>79387066</v>
          </cell>
          <cell r="B2576" t="str">
            <v>4</v>
          </cell>
          <cell r="C2576" t="str">
            <v/>
          </cell>
          <cell r="D2576" t="str">
            <v>NP</v>
          </cell>
          <cell r="E2576" t="str">
            <v>HECTOR</v>
          </cell>
          <cell r="F2576" t="str">
            <v>CHARRY RESTREPO</v>
          </cell>
          <cell r="G2576" t="str">
            <v>CHARRY RESTREPO HECTOR</v>
          </cell>
          <cell r="H2576" t="str">
            <v>RESI</v>
          </cell>
          <cell r="I2576" t="str">
            <v>REGIMEN SIMPLIFICADO</v>
          </cell>
          <cell r="J2576" t="str">
            <v>CL 62  34  B  56</v>
          </cell>
          <cell r="K2576" t="str">
            <v>17001</v>
          </cell>
          <cell r="L2576" t="str">
            <v>MANIZALES</v>
          </cell>
          <cell r="M2576" t="str">
            <v>3104325562</v>
          </cell>
        </row>
        <row r="2577">
          <cell r="A2577">
            <v>79392465</v>
          </cell>
          <cell r="B2577" t="str">
            <v>1</v>
          </cell>
          <cell r="C2577" t="str">
            <v/>
          </cell>
          <cell r="D2577" t="str">
            <v>NP</v>
          </cell>
          <cell r="E2577" t="str">
            <v>CARLOS ABED</v>
          </cell>
          <cell r="F2577" t="str">
            <v>TORO ORTIZ</v>
          </cell>
          <cell r="G2577" t="str">
            <v>TORO ORTIZ CARLOS ABED</v>
          </cell>
          <cell r="H2577" t="str">
            <v>RECO</v>
          </cell>
          <cell r="I2577" t="str">
            <v>REGIMEN COMUN</v>
          </cell>
          <cell r="J2577" t="str">
            <v>CL 4 CR 8 ESQ</v>
          </cell>
          <cell r="K2577" t="str">
            <v>85001</v>
          </cell>
          <cell r="L2577" t="str">
            <v>YOPAL</v>
          </cell>
          <cell r="M2577" t="str">
            <v>3102354798</v>
          </cell>
        </row>
        <row r="2578">
          <cell r="A2578">
            <v>79395462</v>
          </cell>
          <cell r="B2578" t="str">
            <v>1</v>
          </cell>
          <cell r="C2578" t="str">
            <v/>
          </cell>
          <cell r="D2578" t="str">
            <v>NP</v>
          </cell>
          <cell r="E2578" t="str">
            <v>JOSE LUIS</v>
          </cell>
          <cell r="F2578" t="str">
            <v>PAEZ PERDOMO</v>
          </cell>
          <cell r="G2578" t="str">
            <v>PAEZ PERDOMO JOSE LUIS</v>
          </cell>
          <cell r="H2578" t="str">
            <v>RECO</v>
          </cell>
          <cell r="I2578" t="str">
            <v>REGIMEN COMUN</v>
          </cell>
          <cell r="J2578" t="str">
            <v xml:space="preserve"> CR 34  26 44 BRR MAIZARO</v>
          </cell>
          <cell r="K2578" t="str">
            <v>50001</v>
          </cell>
          <cell r="L2578" t="str">
            <v>VILLAVICENCIO</v>
          </cell>
          <cell r="M2578" t="str">
            <v>6711199</v>
          </cell>
        </row>
        <row r="2579">
          <cell r="A2579">
            <v>79400849</v>
          </cell>
          <cell r="B2579" t="str">
            <v/>
          </cell>
          <cell r="C2579" t="str">
            <v/>
          </cell>
          <cell r="D2579" t="str">
            <v>CC</v>
          </cell>
          <cell r="E2579" t="str">
            <v>LISANDRO EVARISTO</v>
          </cell>
          <cell r="F2579" t="str">
            <v>GUIO CASTIBLANCO</v>
          </cell>
          <cell r="G2579" t="str">
            <v>GUIO CASTIBLANCO LISANDRO EVARISTO</v>
          </cell>
          <cell r="H2579" t="str">
            <v>FUNC</v>
          </cell>
          <cell r="I2579" t="str">
            <v>FUNCIONARIO</v>
          </cell>
          <cell r="J2579" t="str">
            <v>CR 08 C   60   35</v>
          </cell>
          <cell r="K2579" t="str">
            <v>17001</v>
          </cell>
          <cell r="L2579" t="str">
            <v>MANIZALES</v>
          </cell>
          <cell r="M2579" t="str">
            <v>8750437</v>
          </cell>
        </row>
        <row r="2580">
          <cell r="A2580">
            <v>79403874</v>
          </cell>
          <cell r="B2580" t="str">
            <v/>
          </cell>
          <cell r="C2580" t="str">
            <v/>
          </cell>
          <cell r="D2580" t="str">
            <v>CC</v>
          </cell>
          <cell r="E2580" t="str">
            <v>EUSEBIO</v>
          </cell>
          <cell r="F2580" t="str">
            <v>CARVAJAL PRIETO</v>
          </cell>
          <cell r="G2580" t="str">
            <v>CARVAJAL PRIETO EUSEBIO</v>
          </cell>
          <cell r="H2580" t="str">
            <v>FUNC</v>
          </cell>
          <cell r="I2580" t="str">
            <v>FUNCIONARIO</v>
          </cell>
          <cell r="J2580" t="str">
            <v>CRA 10 No 64B-79 BLOQUE 29 APTO 401 TUNJA</v>
          </cell>
          <cell r="K2580" t="str">
            <v>17001</v>
          </cell>
          <cell r="L2580" t="str">
            <v>MANIZALES</v>
          </cell>
          <cell r="M2580" t="str">
            <v>3112401881</v>
          </cell>
        </row>
        <row r="2581">
          <cell r="A2581">
            <v>79405691</v>
          </cell>
          <cell r="B2581" t="str">
            <v>6</v>
          </cell>
          <cell r="C2581" t="str">
            <v/>
          </cell>
          <cell r="D2581" t="str">
            <v>NP</v>
          </cell>
          <cell r="E2581" t="str">
            <v>FERNANDO</v>
          </cell>
          <cell r="F2581" t="str">
            <v>TELLEZ LOMBANA</v>
          </cell>
          <cell r="G2581" t="str">
            <v>TELLEZ LOMBANA FERNANDO</v>
          </cell>
          <cell r="H2581" t="str">
            <v>RECO</v>
          </cell>
          <cell r="I2581" t="str">
            <v>REGIMEN COMUN</v>
          </cell>
          <cell r="J2581" t="str">
            <v>CL 71   10   53</v>
          </cell>
          <cell r="K2581" t="str">
            <v>11001</v>
          </cell>
          <cell r="L2581" t="str">
            <v>BOGOTA DC</v>
          </cell>
          <cell r="M2581" t="str">
            <v>2358198</v>
          </cell>
        </row>
        <row r="2582">
          <cell r="A2582">
            <v>79415847</v>
          </cell>
          <cell r="B2582" t="str">
            <v/>
          </cell>
          <cell r="C2582" t="str">
            <v/>
          </cell>
          <cell r="D2582" t="str">
            <v>CC</v>
          </cell>
          <cell r="E2582" t="str">
            <v>JAIRO</v>
          </cell>
          <cell r="F2582" t="str">
            <v>RICAURTE RODRIGUEZ</v>
          </cell>
          <cell r="G2582" t="str">
            <v>RICAURTE RODRIGUEZ JAIRO</v>
          </cell>
          <cell r="H2582" t="str">
            <v>FUNC</v>
          </cell>
          <cell r="I2582" t="str">
            <v>FUNCIONARIO</v>
          </cell>
          <cell r="J2582" t="str">
            <v>CL 34 N 12 53 BRR</v>
          </cell>
          <cell r="K2582" t="str">
            <v>15759</v>
          </cell>
          <cell r="L2582" t="str">
            <v>SOGAMOSO</v>
          </cell>
          <cell r="M2582" t="str">
            <v>3143857633</v>
          </cell>
        </row>
        <row r="2583">
          <cell r="A2583">
            <v>79418784</v>
          </cell>
          <cell r="B2583" t="str">
            <v>9</v>
          </cell>
          <cell r="C2583" t="str">
            <v/>
          </cell>
          <cell r="D2583" t="str">
            <v>NP</v>
          </cell>
          <cell r="E2583" t="str">
            <v>MAURICIO</v>
          </cell>
          <cell r="F2583" t="str">
            <v>BERNAL LIZARAZU</v>
          </cell>
          <cell r="G2583" t="str">
            <v>BERNAL LIZARAZU MAURICIO</v>
          </cell>
          <cell r="H2583" t="str">
            <v>RESI</v>
          </cell>
          <cell r="I2583" t="str">
            <v>REGIMEN SIMPLIFICADO</v>
          </cell>
          <cell r="J2583" t="str">
            <v>ELCENTRO CL 16 5 112</v>
          </cell>
          <cell r="K2583" t="str">
            <v>94001</v>
          </cell>
          <cell r="L2583" t="str">
            <v>INÍRIDA</v>
          </cell>
          <cell r="M2583" t="str">
            <v>5656027</v>
          </cell>
        </row>
        <row r="2584">
          <cell r="A2584">
            <v>79427208</v>
          </cell>
          <cell r="B2584" t="str">
            <v/>
          </cell>
          <cell r="C2584" t="str">
            <v/>
          </cell>
          <cell r="D2584" t="str">
            <v>CC</v>
          </cell>
          <cell r="E2584" t="str">
            <v>RICARDDO ALBERTO</v>
          </cell>
          <cell r="F2584" t="str">
            <v>OLIVEROS OLARTE</v>
          </cell>
          <cell r="G2584" t="str">
            <v>OLIVEROS OLARTE RICARDDO ALBERTO</v>
          </cell>
          <cell r="H2584" t="str">
            <v>RESI</v>
          </cell>
          <cell r="I2584" t="str">
            <v>REGIMEN SIMPLIFICADO</v>
          </cell>
          <cell r="J2584" t="str">
            <v>MCP BOGOTA</v>
          </cell>
          <cell r="K2584" t="str">
            <v>03</v>
          </cell>
          <cell r="L2584" t="str">
            <v>BOGOTA</v>
          </cell>
          <cell r="M2584" t="str">
            <v>SIN NRO</v>
          </cell>
        </row>
        <row r="2585">
          <cell r="A2585">
            <v>79434226</v>
          </cell>
          <cell r="B2585" t="str">
            <v>8</v>
          </cell>
          <cell r="C2585" t="str">
            <v/>
          </cell>
          <cell r="D2585" t="str">
            <v>NP</v>
          </cell>
          <cell r="E2585" t="str">
            <v>HÉCTOR JULIO</v>
          </cell>
          <cell r="F2585" t="str">
            <v>RINCÓN NEITA</v>
          </cell>
          <cell r="G2585" t="str">
            <v>RINCÓN NEITA HÉCTOR JULIO</v>
          </cell>
          <cell r="H2585" t="str">
            <v>IMVE</v>
          </cell>
          <cell r="I2585" t="str">
            <v>IMPUESTO SOBRE LAS VENTAS</v>
          </cell>
          <cell r="J2585" t="str">
            <v>CL 1613 13</v>
          </cell>
          <cell r="K2585" t="str">
            <v>15759</v>
          </cell>
          <cell r="L2585" t="str">
            <v>SOGAMOSO</v>
          </cell>
          <cell r="M2585" t="str">
            <v>3114561708</v>
          </cell>
        </row>
        <row r="2586">
          <cell r="A2586">
            <v>79449450</v>
          </cell>
          <cell r="B2586" t="str">
            <v/>
          </cell>
          <cell r="C2586" t="str">
            <v/>
          </cell>
          <cell r="D2586" t="str">
            <v>CC</v>
          </cell>
          <cell r="E2586" t="str">
            <v>WILLIAM HERNEY</v>
          </cell>
          <cell r="F2586" t="str">
            <v>LOPEZ SOTO</v>
          </cell>
          <cell r="G2586" t="str">
            <v>LOPEZ SOTO WILLIAM HERNEY</v>
          </cell>
          <cell r="H2586" t="str">
            <v>RESI</v>
          </cell>
          <cell r="I2586" t="str">
            <v>REGIMEN SIMPLIFICADO</v>
          </cell>
          <cell r="J2586" t="str">
            <v>TUMACO</v>
          </cell>
          <cell r="K2586" t="str">
            <v>52835</v>
          </cell>
          <cell r="L2586" t="str">
            <v>TUMACO</v>
          </cell>
          <cell r="M2586" t="str">
            <v>000</v>
          </cell>
        </row>
        <row r="2587">
          <cell r="A2587">
            <v>79451817</v>
          </cell>
          <cell r="B2587" t="str">
            <v>2</v>
          </cell>
          <cell r="C2587" t="str">
            <v/>
          </cell>
          <cell r="D2587" t="str">
            <v>NP</v>
          </cell>
          <cell r="E2587" t="str">
            <v>ALEXANDER</v>
          </cell>
          <cell r="F2587" t="str">
            <v>SOQUER MORALES</v>
          </cell>
          <cell r="G2587" t="str">
            <v>SOQUER MORALES ALEXANDER</v>
          </cell>
          <cell r="H2587" t="str">
            <v>RESI</v>
          </cell>
          <cell r="I2587" t="str">
            <v>REGIMEN SIMPLIFICADO</v>
          </cell>
          <cell r="J2587" t="str">
            <v>CL 28 SUR 37 98 BRR LOS SAUCES</v>
          </cell>
          <cell r="K2587" t="str">
            <v>11001</v>
          </cell>
          <cell r="L2587" t="str">
            <v>BOGOTA DC</v>
          </cell>
          <cell r="M2587" t="str">
            <v>3108780146</v>
          </cell>
        </row>
        <row r="2588">
          <cell r="A2588">
            <v>79453948</v>
          </cell>
          <cell r="B2588" t="str">
            <v>8</v>
          </cell>
          <cell r="C2588" t="str">
            <v/>
          </cell>
          <cell r="D2588" t="str">
            <v>NP</v>
          </cell>
          <cell r="E2588" t="str">
            <v>JHON WILLIAM</v>
          </cell>
          <cell r="F2588" t="str">
            <v>CASALLAS JURADO</v>
          </cell>
          <cell r="G2588" t="str">
            <v>CASALLAS JURADO JHON WILLIAM</v>
          </cell>
          <cell r="H2588" t="str">
            <v>IMVE</v>
          </cell>
          <cell r="I2588" t="str">
            <v>IMPUESTO SOBRE LAS VENTAS</v>
          </cell>
          <cell r="J2588" t="str">
            <v>CR 43 24 A 61</v>
          </cell>
          <cell r="K2588" t="str">
            <v>11001</v>
          </cell>
          <cell r="L2588" t="str">
            <v>BOGOTA DC</v>
          </cell>
          <cell r="M2588" t="str">
            <v>3685564</v>
          </cell>
        </row>
        <row r="2589">
          <cell r="A2589">
            <v>79454256</v>
          </cell>
          <cell r="B2589" t="str">
            <v>4</v>
          </cell>
          <cell r="C2589" t="str">
            <v/>
          </cell>
          <cell r="D2589" t="str">
            <v>NP</v>
          </cell>
          <cell r="E2589" t="str">
            <v>FRANCISCO LUIS</v>
          </cell>
          <cell r="F2589" t="str">
            <v>FORERO BONELL</v>
          </cell>
          <cell r="G2589" t="str">
            <v>FORERO BONELL FRANCISCO LUIS</v>
          </cell>
          <cell r="H2589" t="str">
            <v>RESI</v>
          </cell>
          <cell r="I2589" t="str">
            <v>REGIMEN SIMPLIFICADO</v>
          </cell>
          <cell r="J2589" t="str">
            <v>CR 8A 96 21 APT 303</v>
          </cell>
          <cell r="K2589" t="str">
            <v>11001</v>
          </cell>
          <cell r="L2589" t="str">
            <v>BOGOTA DC</v>
          </cell>
          <cell r="M2589" t="str">
            <v>3760564</v>
          </cell>
        </row>
        <row r="2590">
          <cell r="A2590">
            <v>79474319</v>
          </cell>
          <cell r="B2590" t="str">
            <v>5</v>
          </cell>
          <cell r="C2590" t="str">
            <v/>
          </cell>
          <cell r="D2590" t="str">
            <v>NP</v>
          </cell>
          <cell r="E2590" t="str">
            <v>NELSON RAMON</v>
          </cell>
          <cell r="F2590" t="str">
            <v>MOLINARES AMAYA</v>
          </cell>
          <cell r="G2590" t="str">
            <v>MOLINARES AMAYA NELSON RAMON</v>
          </cell>
          <cell r="H2590" t="str">
            <v>IMVE</v>
          </cell>
          <cell r="I2590" t="str">
            <v>IMPUESTO SOBRE LAS VENTAS</v>
          </cell>
          <cell r="J2590" t="str">
            <v>CL 77  B  59  61  OF  303  CC  LAS  AMERICAS</v>
          </cell>
          <cell r="K2590" t="str">
            <v>08001</v>
          </cell>
          <cell r="L2590" t="str">
            <v>BARRANQUILLA</v>
          </cell>
          <cell r="M2590" t="str">
            <v>3157525107</v>
          </cell>
        </row>
        <row r="2591">
          <cell r="A2591">
            <v>79483397</v>
          </cell>
          <cell r="B2591" t="str">
            <v>8</v>
          </cell>
          <cell r="C2591" t="str">
            <v/>
          </cell>
          <cell r="D2591" t="str">
            <v>NP</v>
          </cell>
          <cell r="E2591" t="str">
            <v>FABIO ARTURO</v>
          </cell>
          <cell r="F2591" t="str">
            <v>GUTIERREZ ALVAREZ</v>
          </cell>
          <cell r="G2591" t="str">
            <v>GUTIERREZ ALVAREZ FABIO ARTURO</v>
          </cell>
          <cell r="H2591" t="str">
            <v>RESI</v>
          </cell>
          <cell r="I2591" t="str">
            <v>REGIMEN SIMPLIFICADO</v>
          </cell>
          <cell r="J2591" t="str">
            <v>CL 23   23 A 15</v>
          </cell>
          <cell r="K2591" t="str">
            <v>15516</v>
          </cell>
          <cell r="L2591" t="str">
            <v>PAIPA</v>
          </cell>
          <cell r="M2591" t="str">
            <v>3133057666</v>
          </cell>
        </row>
        <row r="2592">
          <cell r="A2592">
            <v>79488070</v>
          </cell>
          <cell r="B2592" t="str">
            <v>8</v>
          </cell>
          <cell r="C2592" t="str">
            <v/>
          </cell>
          <cell r="D2592" t="str">
            <v>NP</v>
          </cell>
          <cell r="E2592" t="str">
            <v>JUAN CARLOS</v>
          </cell>
          <cell r="F2592" t="str">
            <v>BELALCAZAR BENITEZ</v>
          </cell>
          <cell r="G2592" t="str">
            <v>BELALCAZAR BENITEZ JUAN CARLOS</v>
          </cell>
          <cell r="H2592" t="str">
            <v>RECO</v>
          </cell>
          <cell r="I2592" t="str">
            <v>REGIMEN COMUN</v>
          </cell>
          <cell r="J2592" t="str">
            <v>CL 150  16 56 BL 5  IN 4  AP 296</v>
          </cell>
          <cell r="K2592" t="str">
            <v>11001</v>
          </cell>
          <cell r="L2592" t="str">
            <v>BOGOTA DC</v>
          </cell>
          <cell r="M2592" t="str">
            <v>7028090</v>
          </cell>
        </row>
        <row r="2593">
          <cell r="A2593">
            <v>79506773</v>
          </cell>
          <cell r="B2593" t="str">
            <v/>
          </cell>
          <cell r="C2593" t="str">
            <v/>
          </cell>
          <cell r="D2593" t="str">
            <v>CC</v>
          </cell>
          <cell r="E2593" t="str">
            <v>LEONARDO</v>
          </cell>
          <cell r="F2593" t="str">
            <v>VARGAS SANCHEZ</v>
          </cell>
          <cell r="G2593" t="str">
            <v>VARGAS SANCHEZ LEONARDO</v>
          </cell>
          <cell r="H2593" t="str">
            <v>FUNC</v>
          </cell>
          <cell r="I2593" t="str">
            <v>FUNCIONARIO</v>
          </cell>
          <cell r="J2593" t="str">
            <v>CR 07   04   74</v>
          </cell>
          <cell r="K2593" t="str">
            <v>91001</v>
          </cell>
          <cell r="L2593" t="str">
            <v>LETICIA</v>
          </cell>
          <cell r="M2593" t="str">
            <v>5923861</v>
          </cell>
        </row>
        <row r="2594">
          <cell r="A2594">
            <v>79509256</v>
          </cell>
          <cell r="B2594" t="str">
            <v>2</v>
          </cell>
          <cell r="C2594" t="str">
            <v/>
          </cell>
          <cell r="D2594" t="str">
            <v>NP</v>
          </cell>
          <cell r="E2594" t="str">
            <v>REINALDO</v>
          </cell>
          <cell r="F2594" t="str">
            <v>DUARTE</v>
          </cell>
          <cell r="G2594" t="str">
            <v>DUARTE REINALDO</v>
          </cell>
          <cell r="H2594" t="str">
            <v>RECO</v>
          </cell>
          <cell r="I2594" t="str">
            <v>REGIMEN COMUN</v>
          </cell>
          <cell r="J2594" t="str">
            <v>CR 4   17   37</v>
          </cell>
          <cell r="K2594" t="str">
            <v>11001</v>
          </cell>
          <cell r="L2594" t="str">
            <v>BOGOTA DC</v>
          </cell>
          <cell r="M2594" t="str">
            <v>2822208</v>
          </cell>
        </row>
        <row r="2595">
          <cell r="A2595">
            <v>79509599</v>
          </cell>
          <cell r="B2595" t="str">
            <v/>
          </cell>
          <cell r="C2595" t="str">
            <v/>
          </cell>
          <cell r="D2595" t="str">
            <v>CC</v>
          </cell>
          <cell r="E2595" t="str">
            <v>FABIAN</v>
          </cell>
          <cell r="F2595" t="str">
            <v>DIAZ SOTO</v>
          </cell>
          <cell r="G2595" t="str">
            <v>DIAZ SOTO FABIAN</v>
          </cell>
          <cell r="H2595" t="str">
            <v>RESI</v>
          </cell>
          <cell r="I2595" t="str">
            <v>REGIMEN SIMPLIFICADO</v>
          </cell>
          <cell r="J2595" t="str">
            <v>CL 83 A 112 F 15 I N 24 AP 502</v>
          </cell>
          <cell r="K2595" t="str">
            <v>11001</v>
          </cell>
          <cell r="L2595" t="str">
            <v>BOGOTA DC</v>
          </cell>
          <cell r="M2595" t="str">
            <v>6508171</v>
          </cell>
        </row>
        <row r="2596">
          <cell r="A2596">
            <v>79518622</v>
          </cell>
          <cell r="B2596" t="str">
            <v/>
          </cell>
          <cell r="C2596" t="str">
            <v/>
          </cell>
          <cell r="D2596" t="str">
            <v>CC</v>
          </cell>
          <cell r="E2596" t="str">
            <v>FABIO MARIN</v>
          </cell>
          <cell r="F2596" t="str">
            <v>BECERRA MENDOZA</v>
          </cell>
          <cell r="G2596" t="str">
            <v>BECERRA MENDOZA FABIO MARIN</v>
          </cell>
          <cell r="H2596" t="str">
            <v>FUNC</v>
          </cell>
          <cell r="I2596" t="str">
            <v>FUNCIONARIO</v>
          </cell>
          <cell r="J2596" t="str">
            <v>CARRERA 22 No 28 - 121  B. LIBERTADORES  - PAIPA</v>
          </cell>
          <cell r="K2596" t="str">
            <v>15516</v>
          </cell>
          <cell r="L2596" t="str">
            <v>PAIPA</v>
          </cell>
          <cell r="M2596" t="str">
            <v>3114968717</v>
          </cell>
        </row>
        <row r="2597">
          <cell r="A2597">
            <v>79533718</v>
          </cell>
          <cell r="B2597" t="str">
            <v>4</v>
          </cell>
          <cell r="C2597" t="str">
            <v/>
          </cell>
          <cell r="D2597" t="str">
            <v>NP</v>
          </cell>
          <cell r="E2597" t="str">
            <v>JUAN CARLOS</v>
          </cell>
          <cell r="F2597" t="str">
            <v>LATORRE</v>
          </cell>
          <cell r="G2597" t="str">
            <v>LATORRE JUAN CARLOS</v>
          </cell>
          <cell r="H2597" t="str">
            <v>RECO</v>
          </cell>
          <cell r="I2597" t="str">
            <v>REGIMEN COMUN</v>
          </cell>
          <cell r="J2597" t="str">
            <v>CR 24 17 08 BRR LOS HELECHOS</v>
          </cell>
          <cell r="K2597" t="str">
            <v>85001</v>
          </cell>
          <cell r="L2597" t="str">
            <v>YOPAL</v>
          </cell>
          <cell r="M2597" t="str">
            <v>6358866</v>
          </cell>
        </row>
        <row r="2598">
          <cell r="A2598">
            <v>79564830</v>
          </cell>
          <cell r="B2598" t="str">
            <v>4</v>
          </cell>
          <cell r="C2598" t="str">
            <v/>
          </cell>
          <cell r="D2598" t="str">
            <v>NP</v>
          </cell>
          <cell r="E2598" t="str">
            <v>IVAN MAURICIO</v>
          </cell>
          <cell r="F2598" t="str">
            <v>LESMES SAENZ</v>
          </cell>
          <cell r="G2598" t="str">
            <v>LESMES SAENZ IVAN MAURICIO</v>
          </cell>
          <cell r="H2598" t="str">
            <v>RECO</v>
          </cell>
          <cell r="I2598" t="str">
            <v>REGIMEN COMUN</v>
          </cell>
          <cell r="J2598" t="str">
            <v xml:space="preserve">DIAG  3 N  71B 31                       </v>
          </cell>
          <cell r="K2598" t="str">
            <v>11001</v>
          </cell>
          <cell r="L2598" t="str">
            <v>BOGOTA DC</v>
          </cell>
          <cell r="M2598" t="str">
            <v>2608879</v>
          </cell>
        </row>
        <row r="2599">
          <cell r="A2599">
            <v>79570658</v>
          </cell>
          <cell r="B2599" t="str">
            <v>8</v>
          </cell>
          <cell r="C2599" t="str">
            <v/>
          </cell>
          <cell r="D2599" t="str">
            <v>NP</v>
          </cell>
          <cell r="E2599" t="str">
            <v>ERWIN HOLMER</v>
          </cell>
          <cell r="F2599" t="str">
            <v>FUQUEN ORTIZ</v>
          </cell>
          <cell r="G2599" t="str">
            <v>FUQUEN ORTIZ ERWIN HOLMER</v>
          </cell>
          <cell r="H2599" t="str">
            <v>RECO</v>
          </cell>
          <cell r="I2599" t="str">
            <v>REGIMEN COMUN</v>
          </cell>
          <cell r="J2599" t="str">
            <v>AV CR 20 72 33</v>
          </cell>
          <cell r="K2599" t="str">
            <v>11001</v>
          </cell>
          <cell r="L2599" t="str">
            <v>BOGOTA DC</v>
          </cell>
          <cell r="M2599" t="str">
            <v>4800557</v>
          </cell>
        </row>
        <row r="2600">
          <cell r="A2600">
            <v>79573945</v>
          </cell>
          <cell r="B2600" t="str">
            <v>0</v>
          </cell>
          <cell r="C2600" t="str">
            <v/>
          </cell>
          <cell r="D2600" t="str">
            <v>NP</v>
          </cell>
          <cell r="E2600" t="str">
            <v>WILLIAM</v>
          </cell>
          <cell r="F2600" t="str">
            <v>CORTES ROJAS</v>
          </cell>
          <cell r="G2600" t="str">
            <v>CORTES ROJAS WILLIAM</v>
          </cell>
          <cell r="H2600" t="str">
            <v>RESI</v>
          </cell>
          <cell r="I2600" t="str">
            <v>REGIMEN SIMPLIFICADO</v>
          </cell>
          <cell r="J2600" t="str">
            <v>CR 19 56 A 72 SUR BRR SAN CARLOS</v>
          </cell>
          <cell r="K2600" t="str">
            <v>11001</v>
          </cell>
          <cell r="L2600" t="str">
            <v>BOGOTA DC</v>
          </cell>
          <cell r="M2600" t="str">
            <v>3124607787</v>
          </cell>
        </row>
        <row r="2601">
          <cell r="A2601">
            <v>79591766</v>
          </cell>
          <cell r="B2601" t="str">
            <v>5</v>
          </cell>
          <cell r="C2601" t="str">
            <v/>
          </cell>
          <cell r="D2601" t="str">
            <v>NP</v>
          </cell>
          <cell r="E2601" t="str">
            <v>VICTOR JULIO</v>
          </cell>
          <cell r="F2601" t="str">
            <v>GOMEZ GARZON</v>
          </cell>
          <cell r="G2601" t="str">
            <v>GOMEZ GARZON VICTOR JULIO</v>
          </cell>
          <cell r="H2601" t="str">
            <v>RESI</v>
          </cell>
          <cell r="I2601" t="str">
            <v>REGIMEN SIMPLIFICADO</v>
          </cell>
          <cell r="J2601" t="str">
            <v>CL 45   13   41 LC 3</v>
          </cell>
          <cell r="K2601" t="str">
            <v>11001</v>
          </cell>
          <cell r="L2601" t="str">
            <v>BOGOTA DC</v>
          </cell>
          <cell r="M2601" t="str">
            <v>3384260</v>
          </cell>
        </row>
        <row r="2602">
          <cell r="A2602">
            <v>79594209</v>
          </cell>
          <cell r="B2602" t="str">
            <v>8</v>
          </cell>
          <cell r="C2602" t="str">
            <v/>
          </cell>
          <cell r="D2602" t="str">
            <v>NP</v>
          </cell>
          <cell r="E2602" t="str">
            <v>CARLOS EDUARDO</v>
          </cell>
          <cell r="F2602" t="str">
            <v>ROMERO HERNANDEZ</v>
          </cell>
          <cell r="G2602" t="str">
            <v>ROMERO HERNANDEZ CARLOS EDUARDO</v>
          </cell>
          <cell r="H2602" t="str">
            <v>RECO</v>
          </cell>
          <cell r="I2602" t="str">
            <v>REGIMEN COMUN</v>
          </cell>
          <cell r="J2602" t="str">
            <v>CL 9 16 48 BRR EL JARDIN</v>
          </cell>
          <cell r="K2602" t="str">
            <v>50006</v>
          </cell>
          <cell r="L2602" t="str">
            <v>META</v>
          </cell>
          <cell r="M2602" t="str">
            <v>6569069</v>
          </cell>
        </row>
        <row r="2603">
          <cell r="A2603">
            <v>79599562</v>
          </cell>
          <cell r="B2603" t="str">
            <v>6</v>
          </cell>
          <cell r="C2603" t="str">
            <v/>
          </cell>
          <cell r="D2603" t="str">
            <v>NP</v>
          </cell>
          <cell r="E2603" t="str">
            <v>ROMEL MAURICIO</v>
          </cell>
          <cell r="F2603" t="str">
            <v xml:space="preserve"> ABRIL BERROTERAN</v>
          </cell>
          <cell r="G2603" t="str">
            <v xml:space="preserve"> ABRIL BERROTERAN ROMEL MAURICIO</v>
          </cell>
          <cell r="H2603" t="str">
            <v>IMVE</v>
          </cell>
          <cell r="I2603" t="str">
            <v>IMPUESTO SOBRE LAS VENTAS</v>
          </cell>
          <cell r="J2603" t="str">
            <v>CR 20 6 45 OF 105</v>
          </cell>
          <cell r="K2603" t="str">
            <v>85001</v>
          </cell>
          <cell r="L2603" t="str">
            <v>YOPAL</v>
          </cell>
          <cell r="M2603" t="str">
            <v>3108159978</v>
          </cell>
        </row>
        <row r="2604">
          <cell r="A2604">
            <v>79603529</v>
          </cell>
          <cell r="B2604" t="str">
            <v>1</v>
          </cell>
          <cell r="C2604" t="str">
            <v/>
          </cell>
          <cell r="D2604" t="str">
            <v>NP</v>
          </cell>
          <cell r="E2604" t="str">
            <v>NELSON JAVIER</v>
          </cell>
          <cell r="F2604" t="str">
            <v>VACA</v>
          </cell>
          <cell r="G2604" t="str">
            <v>VACA NELSON JAVIER</v>
          </cell>
          <cell r="H2604" t="str">
            <v>RESI</v>
          </cell>
          <cell r="I2604" t="str">
            <v>REGIMEN SIMPLIFICADO</v>
          </cell>
          <cell r="J2604" t="str">
            <v>CL 12 17 38</v>
          </cell>
          <cell r="K2604" t="str">
            <v>17001</v>
          </cell>
          <cell r="L2604" t="str">
            <v>MANIZALES</v>
          </cell>
          <cell r="M2604" t="str">
            <v>760000</v>
          </cell>
        </row>
        <row r="2605">
          <cell r="A2605">
            <v>79606309</v>
          </cell>
          <cell r="B2605" t="str">
            <v>1</v>
          </cell>
          <cell r="C2605" t="str">
            <v/>
          </cell>
          <cell r="D2605" t="str">
            <v>NP</v>
          </cell>
          <cell r="E2605" t="str">
            <v>JOSE MILCIADES</v>
          </cell>
          <cell r="F2605" t="str">
            <v>GAMBASICA RIAN</v>
          </cell>
          <cell r="G2605" t="str">
            <v>GAMBASICA RIAN JOSE MILCIADES</v>
          </cell>
          <cell r="H2605" t="str">
            <v>RECO</v>
          </cell>
          <cell r="I2605" t="str">
            <v>REGIMEN COMUN</v>
          </cell>
          <cell r="J2605" t="str">
            <v>CR 4 5-06</v>
          </cell>
          <cell r="K2605" t="str">
            <v>15187</v>
          </cell>
          <cell r="L2605" t="str">
            <v>CHIVATÁ</v>
          </cell>
          <cell r="M2605" t="str">
            <v>311 253 2378</v>
          </cell>
        </row>
        <row r="2606">
          <cell r="A2606">
            <v>79625312</v>
          </cell>
          <cell r="B2606" t="str">
            <v>3</v>
          </cell>
          <cell r="C2606" t="str">
            <v/>
          </cell>
          <cell r="D2606" t="str">
            <v>NP</v>
          </cell>
          <cell r="E2606" t="str">
            <v xml:space="preserve">HENRY </v>
          </cell>
          <cell r="F2606" t="str">
            <v>ESPAÑA RODRIGUEZ</v>
          </cell>
          <cell r="G2606" t="str">
            <v>HENRY ESPAÑA RODRIGUEZ</v>
          </cell>
          <cell r="H2606" t="str">
            <v>RECO</v>
          </cell>
          <cell r="I2606" t="str">
            <v>REGIMEN COMUN</v>
          </cell>
          <cell r="J2606" t="str">
            <v xml:space="preserve">CR 68D N 25B 86                    </v>
          </cell>
          <cell r="K2606" t="str">
            <v>11001</v>
          </cell>
          <cell r="L2606" t="str">
            <v>BOGOTA DC</v>
          </cell>
          <cell r="M2606" t="str">
            <v>4273496</v>
          </cell>
        </row>
        <row r="2607">
          <cell r="A2607">
            <v>79625364</v>
          </cell>
          <cell r="B2607" t="str">
            <v>6</v>
          </cell>
          <cell r="C2607" t="str">
            <v/>
          </cell>
          <cell r="D2607" t="str">
            <v>NP</v>
          </cell>
          <cell r="E2607" t="str">
            <v>JAVIER ALFREDO</v>
          </cell>
          <cell r="F2607" t="str">
            <v>MOLINA ROA</v>
          </cell>
          <cell r="G2607" t="str">
            <v>MOLINA ROA JAVIER ALFREDO</v>
          </cell>
          <cell r="H2607" t="str">
            <v>RECO</v>
          </cell>
          <cell r="I2607" t="str">
            <v>REGIMEN COMUN</v>
          </cell>
          <cell r="J2607" t="str">
            <v>Cl 95 71  75 AP 1504 TO 4 BRR PONTEVEDRA</v>
          </cell>
          <cell r="K2607" t="str">
            <v>15001</v>
          </cell>
          <cell r="L2607" t="str">
            <v>TUNJA</v>
          </cell>
          <cell r="M2607" t="str">
            <v>3138724682</v>
          </cell>
        </row>
        <row r="2608">
          <cell r="A2608">
            <v>79626106</v>
          </cell>
          <cell r="B2608" t="str">
            <v/>
          </cell>
          <cell r="C2608" t="str">
            <v/>
          </cell>
          <cell r="D2608" t="str">
            <v>CC</v>
          </cell>
          <cell r="E2608" t="str">
            <v>CARLOS ARTURO</v>
          </cell>
          <cell r="F2608" t="str">
            <v>RODRIGUEZ G</v>
          </cell>
          <cell r="G2608" t="str">
            <v>RODRIGUEZ G CARLOS ARTURO</v>
          </cell>
          <cell r="H2608" t="str">
            <v>FUNC</v>
          </cell>
          <cell r="I2608" t="str">
            <v>FUNCIONARIO</v>
          </cell>
          <cell r="J2608" t="str">
            <v>LETICIA</v>
          </cell>
          <cell r="K2608" t="str">
            <v>17001</v>
          </cell>
          <cell r="L2608" t="str">
            <v>MANIZALES</v>
          </cell>
          <cell r="M2608" t="str">
            <v>985923804</v>
          </cell>
        </row>
        <row r="2609">
          <cell r="A2609">
            <v>79626520</v>
          </cell>
          <cell r="B2609" t="str">
            <v>3</v>
          </cell>
          <cell r="C2609" t="str">
            <v/>
          </cell>
          <cell r="D2609" t="str">
            <v>NP</v>
          </cell>
          <cell r="E2609" t="str">
            <v>CAMILO JUNIOR</v>
          </cell>
          <cell r="F2609" t="str">
            <v>ULLOA CANO</v>
          </cell>
          <cell r="G2609" t="str">
            <v>ULLOA CANO CAMILO JUNIOR</v>
          </cell>
          <cell r="H2609" t="str">
            <v>RECO</v>
          </cell>
          <cell r="I2609" t="str">
            <v>REGIMEN COMUN</v>
          </cell>
          <cell r="J2609" t="str">
            <v>CL 24 A   69 A 57 LC 117</v>
          </cell>
          <cell r="K2609" t="str">
            <v>11001</v>
          </cell>
          <cell r="L2609" t="str">
            <v>BOGOTA DC</v>
          </cell>
          <cell r="M2609" t="str">
            <v>2953850</v>
          </cell>
        </row>
        <row r="2610">
          <cell r="A2610">
            <v>79635936</v>
          </cell>
          <cell r="B2610" t="str">
            <v>1</v>
          </cell>
          <cell r="C2610" t="str">
            <v/>
          </cell>
          <cell r="D2610" t="str">
            <v>NP</v>
          </cell>
          <cell r="E2610" t="str">
            <v>FERNANDO ANTONIO</v>
          </cell>
          <cell r="F2610" t="str">
            <v>MELO GOMEZ</v>
          </cell>
          <cell r="G2610" t="str">
            <v>MELO GOMEZ FERNANDO ANTONIO</v>
          </cell>
          <cell r="H2610" t="str">
            <v>RESI</v>
          </cell>
          <cell r="I2610" t="str">
            <v>REGIMEN SIMPLIFICADO</v>
          </cell>
          <cell r="J2610" t="str">
            <v>DG 3 SUR 25 A 16</v>
          </cell>
          <cell r="K2610" t="str">
            <v>11001</v>
          </cell>
          <cell r="L2610" t="str">
            <v>BOGOTA DC</v>
          </cell>
          <cell r="M2610" t="str">
            <v>3208957185</v>
          </cell>
        </row>
        <row r="2611">
          <cell r="A2611">
            <v>79655295</v>
          </cell>
          <cell r="B2611" t="str">
            <v>4</v>
          </cell>
          <cell r="C2611" t="str">
            <v/>
          </cell>
          <cell r="D2611" t="str">
            <v>NP</v>
          </cell>
          <cell r="E2611" t="str">
            <v>LUIS GUILLERMO</v>
          </cell>
          <cell r="F2611" t="str">
            <v>PINEDA MUÑOZ</v>
          </cell>
          <cell r="G2611" t="str">
            <v>PINEDA MUÑOZ LUIS GUILLERMO</v>
          </cell>
          <cell r="H2611" t="str">
            <v>RESI</v>
          </cell>
          <cell r="I2611" t="str">
            <v>REGIMEN SIMPLIFICADO</v>
          </cell>
          <cell r="J2611" t="str">
            <v>CL 12 3 139 BRR VILLA PILAR</v>
          </cell>
          <cell r="K2611" t="str">
            <v>17001</v>
          </cell>
          <cell r="L2611" t="str">
            <v>MANIZALES</v>
          </cell>
          <cell r="M2611" t="str">
            <v>8731775</v>
          </cell>
        </row>
        <row r="2612">
          <cell r="A2612">
            <v>79661630</v>
          </cell>
          <cell r="B2612" t="str">
            <v>3</v>
          </cell>
          <cell r="C2612" t="str">
            <v/>
          </cell>
          <cell r="D2612" t="str">
            <v>NP</v>
          </cell>
          <cell r="E2612" t="str">
            <v>JAIRO HERNANDO</v>
          </cell>
          <cell r="F2612" t="str">
            <v>GONZALEZ ALGARRA</v>
          </cell>
          <cell r="G2612" t="str">
            <v>GONZALEZ ALGARRA JAIRO HERNANDO</v>
          </cell>
          <cell r="H2612" t="str">
            <v>NORE</v>
          </cell>
          <cell r="I2612" t="str">
            <v>NO RESPONSABLE DE IVA</v>
          </cell>
          <cell r="J2612" t="str">
            <v>CR 27 A 78 42</v>
          </cell>
          <cell r="K2612" t="str">
            <v>03</v>
          </cell>
          <cell r="L2612" t="str">
            <v>BOGOTA</v>
          </cell>
          <cell r="M2612" t="str">
            <v>6680233</v>
          </cell>
        </row>
        <row r="2613">
          <cell r="A2613">
            <v>79662283</v>
          </cell>
          <cell r="B2613" t="str">
            <v>5</v>
          </cell>
          <cell r="C2613" t="str">
            <v/>
          </cell>
          <cell r="D2613" t="str">
            <v>NP</v>
          </cell>
          <cell r="E2613" t="str">
            <v>NESTOR LEONCIO</v>
          </cell>
          <cell r="F2613" t="str">
            <v>HERNANDEZ VALERO</v>
          </cell>
          <cell r="G2613" t="str">
            <v>HERNANDEZ VALERO NESTOR LEONCIO</v>
          </cell>
          <cell r="H2613" t="str">
            <v>RESI</v>
          </cell>
          <cell r="I2613" t="str">
            <v>REGIMEN SIMPLIFICADO</v>
          </cell>
          <cell r="J2613" t="str">
            <v xml:space="preserve"> CL 48 B SUR  29 90 BRR EL CARMEN</v>
          </cell>
          <cell r="K2613" t="str">
            <v>11001</v>
          </cell>
          <cell r="L2613" t="str">
            <v>BOGOTA DC</v>
          </cell>
          <cell r="M2613" t="str">
            <v>7403036</v>
          </cell>
        </row>
        <row r="2614">
          <cell r="A2614">
            <v>79663419</v>
          </cell>
          <cell r="B2614" t="str">
            <v>4</v>
          </cell>
          <cell r="C2614" t="str">
            <v/>
          </cell>
          <cell r="D2614" t="str">
            <v>NP</v>
          </cell>
          <cell r="E2614" t="str">
            <v>HECTOR WILSON</v>
          </cell>
          <cell r="F2614" t="str">
            <v>BERNAL ROZO</v>
          </cell>
          <cell r="G2614" t="str">
            <v>BERNAL ROZO HECTOR WILSON</v>
          </cell>
          <cell r="H2614" t="str">
            <v>RESI</v>
          </cell>
          <cell r="I2614" t="str">
            <v>REGIMEN SIMPLIFICADO</v>
          </cell>
          <cell r="J2614" t="str">
            <v>CR 8 C 57 E 241</v>
          </cell>
          <cell r="K2614" t="str">
            <v>17001</v>
          </cell>
          <cell r="L2614" t="str">
            <v>MANIZALES</v>
          </cell>
          <cell r="M2614" t="str">
            <v>3138552462</v>
          </cell>
        </row>
        <row r="2615">
          <cell r="A2615">
            <v>79664414</v>
          </cell>
          <cell r="B2615" t="str">
            <v>2</v>
          </cell>
          <cell r="C2615" t="str">
            <v/>
          </cell>
          <cell r="D2615" t="str">
            <v>NP</v>
          </cell>
          <cell r="E2615" t="str">
            <v>BENEDICTO</v>
          </cell>
          <cell r="F2615" t="str">
            <v>IBAÑEZ CUCHIA</v>
          </cell>
          <cell r="G2615" t="str">
            <v>IBAÑEZ CUCHIA BENEDICTO</v>
          </cell>
          <cell r="H2615" t="str">
            <v>RESI</v>
          </cell>
          <cell r="I2615" t="str">
            <v>REGIMEN SIMPLIFICADO</v>
          </cell>
          <cell r="J2615" t="str">
            <v>CL 13 7 B 68</v>
          </cell>
          <cell r="K2615" t="str">
            <v>15238</v>
          </cell>
          <cell r="L2615" t="str">
            <v>DUITAMA</v>
          </cell>
          <cell r="M2615" t="str">
            <v>7618727</v>
          </cell>
        </row>
        <row r="2616">
          <cell r="A2616">
            <v>79664809</v>
          </cell>
          <cell r="B2616" t="str">
            <v>8</v>
          </cell>
          <cell r="C2616" t="str">
            <v/>
          </cell>
          <cell r="D2616" t="str">
            <v>NJ</v>
          </cell>
          <cell r="E2616" t="str">
            <v/>
          </cell>
          <cell r="F2616" t="str">
            <v/>
          </cell>
          <cell r="G2616" t="str">
            <v>PARQUEADERO LA GRAN MANZANA</v>
          </cell>
          <cell r="H2616" t="str">
            <v>RECO</v>
          </cell>
          <cell r="I2616" t="str">
            <v>REGIMEN COMUN</v>
          </cell>
          <cell r="J2616" t="str">
            <v>CR 30 12B   38</v>
          </cell>
          <cell r="K2616" t="str">
            <v>11001</v>
          </cell>
          <cell r="L2616" t="str">
            <v>BOGOTA DC</v>
          </cell>
          <cell r="M2616" t="str">
            <v>3143347951</v>
          </cell>
        </row>
        <row r="2617">
          <cell r="A2617">
            <v>79669069</v>
          </cell>
          <cell r="B2617" t="str">
            <v>7</v>
          </cell>
          <cell r="C2617" t="str">
            <v/>
          </cell>
          <cell r="D2617" t="str">
            <v>NP</v>
          </cell>
          <cell r="E2617" t="str">
            <v>JOSE ALVARO</v>
          </cell>
          <cell r="F2617" t="str">
            <v>BARRETO SOLER</v>
          </cell>
          <cell r="G2617" t="str">
            <v>BARRETO SOLER JOSE ALVARO/PAPELERIA Y FOTOCOPIADORA ARAKATI</v>
          </cell>
          <cell r="H2617" t="str">
            <v>RECO</v>
          </cell>
          <cell r="I2617" t="str">
            <v>REGIMEN COMUN</v>
          </cell>
          <cell r="J2617" t="str">
            <v>CL 12 14 05  BRR CENTRO</v>
          </cell>
          <cell r="K2617" t="str">
            <v>97001</v>
          </cell>
          <cell r="L2617" t="str">
            <v>MITÚ</v>
          </cell>
          <cell r="M2617" t="str">
            <v>3112199522</v>
          </cell>
        </row>
        <row r="2618">
          <cell r="A2618">
            <v>79686765</v>
          </cell>
          <cell r="B2618" t="str">
            <v>7</v>
          </cell>
          <cell r="C2618" t="str">
            <v/>
          </cell>
          <cell r="D2618" t="str">
            <v>NP</v>
          </cell>
          <cell r="E2618" t="str">
            <v>JAMES</v>
          </cell>
          <cell r="F2618" t="str">
            <v>LOPEZ GUTIERREZ</v>
          </cell>
          <cell r="G2618" t="str">
            <v>LOPEZ GUTIERREZ JAMES</v>
          </cell>
          <cell r="H2618" t="str">
            <v>RESI</v>
          </cell>
          <cell r="I2618" t="str">
            <v>REGIMEN SIMPLIFICADO</v>
          </cell>
          <cell r="J2618" t="str">
            <v>PA SAN CARLOS MZ 21 CA 2</v>
          </cell>
          <cell r="K2618" t="str">
            <v>50001</v>
          </cell>
          <cell r="L2618" t="str">
            <v>VILLAVICENCIO</v>
          </cell>
          <cell r="M2618" t="str">
            <v>3005669559</v>
          </cell>
        </row>
        <row r="2619">
          <cell r="A2619">
            <v>79691084</v>
          </cell>
          <cell r="B2619" t="str">
            <v>1</v>
          </cell>
          <cell r="C2619" t="str">
            <v/>
          </cell>
          <cell r="D2619" t="str">
            <v>NP</v>
          </cell>
          <cell r="E2619" t="str">
            <v>ALVARO HERNAN</v>
          </cell>
          <cell r="F2619" t="str">
            <v>GONZALEZ CHAPARRO</v>
          </cell>
          <cell r="G2619" t="str">
            <v>GONZALEZ CHAPARRO ALVARO HERNAN</v>
          </cell>
          <cell r="H2619" t="str">
            <v>REOR</v>
          </cell>
          <cell r="I2619" t="str">
            <v>RENTA REGIMEN ORDINARIO</v>
          </cell>
          <cell r="J2619" t="str">
            <v>CL 67 10 A 6</v>
          </cell>
          <cell r="K2619" t="str">
            <v>17001</v>
          </cell>
          <cell r="L2619" t="str">
            <v>MANIZALES</v>
          </cell>
          <cell r="M2619" t="str">
            <v>3002645337</v>
          </cell>
        </row>
        <row r="2620">
          <cell r="A2620">
            <v>79717628</v>
          </cell>
          <cell r="B2620" t="str">
            <v>0</v>
          </cell>
          <cell r="C2620" t="str">
            <v/>
          </cell>
          <cell r="D2620" t="str">
            <v>NP</v>
          </cell>
          <cell r="E2620" t="str">
            <v>ANDRES RICARDO</v>
          </cell>
          <cell r="F2620" t="str">
            <v>QUEVEDO CARO</v>
          </cell>
          <cell r="G2620" t="str">
            <v>QUEVEDO CARO ANDRES RICARDO</v>
          </cell>
          <cell r="H2620" t="str">
            <v>RESI</v>
          </cell>
          <cell r="I2620" t="str">
            <v>REGIMEN SIMPLIFICADO</v>
          </cell>
          <cell r="J2620" t="str">
            <v>CR 45 A   103   77 AP 201</v>
          </cell>
          <cell r="K2620" t="str">
            <v>11001</v>
          </cell>
          <cell r="L2620" t="str">
            <v>BOGOTA DC</v>
          </cell>
          <cell r="M2620" t="str">
            <v>2183854</v>
          </cell>
        </row>
        <row r="2621">
          <cell r="A2621">
            <v>79719405</v>
          </cell>
          <cell r="B2621" t="str">
            <v/>
          </cell>
          <cell r="C2621" t="str">
            <v/>
          </cell>
          <cell r="D2621" t="str">
            <v>CC</v>
          </cell>
          <cell r="E2621" t="str">
            <v>ANDRES</v>
          </cell>
          <cell r="F2621" t="str">
            <v>PEREZ TIJARO</v>
          </cell>
          <cell r="G2621" t="str">
            <v>PEREZ TIJARO ANDRES</v>
          </cell>
          <cell r="H2621" t="str">
            <v>RESI</v>
          </cell>
          <cell r="I2621" t="str">
            <v>REGIMEN SIMPLIFICADO</v>
          </cell>
          <cell r="J2621" t="str">
            <v>CL 19   28 A   20</v>
          </cell>
          <cell r="K2621" t="str">
            <v>85001</v>
          </cell>
          <cell r="L2621" t="str">
            <v>YOPAL</v>
          </cell>
          <cell r="M2621" t="str">
            <v>3214388837</v>
          </cell>
        </row>
        <row r="2622">
          <cell r="A2622">
            <v>79724744</v>
          </cell>
          <cell r="B2622" t="str">
            <v/>
          </cell>
          <cell r="C2622" t="str">
            <v/>
          </cell>
          <cell r="D2622" t="str">
            <v>CC</v>
          </cell>
          <cell r="E2622" t="str">
            <v>ORLANDO</v>
          </cell>
          <cell r="F2622" t="str">
            <v>GIRON GORDILLO</v>
          </cell>
          <cell r="G2622" t="str">
            <v>GIRON GORDILLO ORLANDO</v>
          </cell>
          <cell r="H2622" t="str">
            <v>RESI</v>
          </cell>
          <cell r="I2622" t="str">
            <v>REGIMEN SIMPLIFICADO</v>
          </cell>
          <cell r="J2622" t="str">
            <v>XXX</v>
          </cell>
          <cell r="K2622" t="str">
            <v>11001</v>
          </cell>
          <cell r="L2622" t="str">
            <v>BOGOTA DC</v>
          </cell>
          <cell r="M2622" t="str">
            <v>3228512846</v>
          </cell>
        </row>
        <row r="2623">
          <cell r="A2623">
            <v>79735503</v>
          </cell>
          <cell r="B2623" t="str">
            <v>5</v>
          </cell>
          <cell r="C2623" t="str">
            <v/>
          </cell>
          <cell r="D2623" t="str">
            <v>NP</v>
          </cell>
          <cell r="E2623" t="str">
            <v>ARMANDO</v>
          </cell>
          <cell r="F2623" t="str">
            <v>MARIN QUINTERO</v>
          </cell>
          <cell r="G2623" t="str">
            <v>MARIN QUINTERO ARMANDO</v>
          </cell>
          <cell r="H2623" t="str">
            <v>RECO</v>
          </cell>
          <cell r="I2623" t="str">
            <v>REGIMEN COMUN</v>
          </cell>
          <cell r="J2623" t="str">
            <v xml:space="preserve"> DG 78 BIS  52 36</v>
          </cell>
          <cell r="K2623" t="str">
            <v>11001</v>
          </cell>
          <cell r="L2623" t="str">
            <v>BOGOTA DC</v>
          </cell>
          <cell r="M2623" t="str">
            <v>5478813</v>
          </cell>
        </row>
        <row r="2624">
          <cell r="A2624">
            <v>79744700</v>
          </cell>
          <cell r="B2624" t="str">
            <v/>
          </cell>
          <cell r="C2624" t="str">
            <v/>
          </cell>
          <cell r="D2624" t="str">
            <v>CC</v>
          </cell>
          <cell r="E2624" t="str">
            <v>ELKIN EDUARDO</v>
          </cell>
          <cell r="F2624" t="str">
            <v>RAMIREZ PRIETO</v>
          </cell>
          <cell r="G2624" t="str">
            <v>RAMIREZ PRIETO ELKIN EDUARDO</v>
          </cell>
          <cell r="H2624" t="str">
            <v>RESI</v>
          </cell>
          <cell r="I2624" t="str">
            <v>REGIMEN SIMPLIFICADO</v>
          </cell>
          <cell r="J2624" t="str">
            <v>CL 99 9 A 54</v>
          </cell>
          <cell r="K2624" t="str">
            <v>11001</v>
          </cell>
          <cell r="L2624" t="str">
            <v>BOGOTA DC</v>
          </cell>
          <cell r="M2624" t="str">
            <v>6449300</v>
          </cell>
        </row>
        <row r="2625">
          <cell r="A2625">
            <v>79744762</v>
          </cell>
          <cell r="B2625" t="str">
            <v>4</v>
          </cell>
          <cell r="C2625" t="str">
            <v/>
          </cell>
          <cell r="D2625" t="str">
            <v>NP</v>
          </cell>
          <cell r="E2625" t="str">
            <v>LUIS ALEJANDRO</v>
          </cell>
          <cell r="F2625" t="str">
            <v>VELANDIA MORENO</v>
          </cell>
          <cell r="G2625" t="str">
            <v>VELANDIA MORENO LUIS ALEJANDRO</v>
          </cell>
          <cell r="H2625" t="str">
            <v>RECO</v>
          </cell>
          <cell r="I2625" t="str">
            <v>REGIMEN COMUN</v>
          </cell>
          <cell r="J2625" t="str">
            <v>CR 20 22 31</v>
          </cell>
          <cell r="K2625" t="str">
            <v>17001</v>
          </cell>
          <cell r="L2625" t="str">
            <v>MANIZALES</v>
          </cell>
          <cell r="M2625" t="str">
            <v>3125834329</v>
          </cell>
        </row>
        <row r="2626">
          <cell r="A2626">
            <v>79751261</v>
          </cell>
          <cell r="B2626" t="str">
            <v>5</v>
          </cell>
          <cell r="C2626" t="str">
            <v/>
          </cell>
          <cell r="D2626" t="str">
            <v>NP</v>
          </cell>
          <cell r="E2626" t="str">
            <v>HERNAN</v>
          </cell>
          <cell r="F2626" t="str">
            <v>AGUILAR CASTRO</v>
          </cell>
          <cell r="G2626" t="str">
            <v>AGUILAR CASTRO HERNAN</v>
          </cell>
          <cell r="H2626" t="str">
            <v>RESI</v>
          </cell>
          <cell r="I2626" t="str">
            <v>REGIMEN SIMPLIFICADO</v>
          </cell>
          <cell r="J2626" t="str">
            <v xml:space="preserve"> CR 10  6 59</v>
          </cell>
          <cell r="K2626" t="str">
            <v>91001</v>
          </cell>
          <cell r="L2626" t="str">
            <v>LETICIA</v>
          </cell>
          <cell r="M2626" t="str">
            <v>5925149</v>
          </cell>
        </row>
        <row r="2627">
          <cell r="A2627">
            <v>79751849</v>
          </cell>
          <cell r="B2627" t="str">
            <v/>
          </cell>
          <cell r="C2627" t="str">
            <v/>
          </cell>
          <cell r="D2627" t="str">
            <v>CC</v>
          </cell>
          <cell r="E2627" t="str">
            <v>ADAN</v>
          </cell>
          <cell r="F2627" t="str">
            <v>COY PEREZ</v>
          </cell>
          <cell r="G2627" t="str">
            <v>COY PEREZ ADAN</v>
          </cell>
          <cell r="H2627" t="str">
            <v>FUNC</v>
          </cell>
          <cell r="I2627" t="str">
            <v>FUNCIONARIO</v>
          </cell>
          <cell r="J2627" t="str">
            <v>CR 12 A 31 A 15</v>
          </cell>
          <cell r="K2627" t="str">
            <v>15516</v>
          </cell>
          <cell r="L2627" t="str">
            <v>PAIPA</v>
          </cell>
          <cell r="M2627" t="str">
            <v>3103001669</v>
          </cell>
        </row>
        <row r="2628">
          <cell r="A2628">
            <v>79754560</v>
          </cell>
          <cell r="B2628" t="str">
            <v>6</v>
          </cell>
          <cell r="C2628" t="str">
            <v/>
          </cell>
          <cell r="D2628" t="str">
            <v>NP</v>
          </cell>
          <cell r="E2628" t="str">
            <v>JORGE HERNAN</v>
          </cell>
          <cell r="F2628" t="str">
            <v>RUGE PINZON</v>
          </cell>
          <cell r="G2628" t="str">
            <v>RUGE PINZON JORGE HERNAN</v>
          </cell>
          <cell r="H2628" t="str">
            <v>RECO</v>
          </cell>
          <cell r="I2628" t="str">
            <v>REGIMEN COMUN</v>
          </cell>
          <cell r="J2628" t="str">
            <v>CL 16   5   97 BRR CENTRO</v>
          </cell>
          <cell r="K2628" t="str">
            <v>94001</v>
          </cell>
          <cell r="L2628" t="str">
            <v>INÍRIDA</v>
          </cell>
          <cell r="M2628" t="str">
            <v>5656747</v>
          </cell>
        </row>
        <row r="2629">
          <cell r="A2629">
            <v>79764686</v>
          </cell>
          <cell r="B2629" t="str">
            <v>8</v>
          </cell>
          <cell r="C2629" t="str">
            <v/>
          </cell>
          <cell r="D2629" t="str">
            <v>NP</v>
          </cell>
          <cell r="E2629" t="str">
            <v>JULIO ANDRÉS</v>
          </cell>
          <cell r="F2629" t="str">
            <v>ROZO GRISALES</v>
          </cell>
          <cell r="G2629" t="str">
            <v>ROZO GRISALES JULIO ANDRÉS</v>
          </cell>
          <cell r="H2629" t="str">
            <v>RESI</v>
          </cell>
          <cell r="I2629" t="str">
            <v>REGIMEN SIMPLIFICADO</v>
          </cell>
          <cell r="J2629" t="str">
            <v>AK 70  48 A  39 BRR NORMANDIA</v>
          </cell>
          <cell r="K2629" t="str">
            <v>11001</v>
          </cell>
          <cell r="L2629" t="str">
            <v>BOGOTA DC</v>
          </cell>
          <cell r="M2629" t="str">
            <v>3044545638</v>
          </cell>
        </row>
        <row r="2630">
          <cell r="A2630">
            <v>79766264</v>
          </cell>
          <cell r="B2630" t="str">
            <v/>
          </cell>
          <cell r="C2630" t="str">
            <v/>
          </cell>
          <cell r="D2630" t="str">
            <v>CC</v>
          </cell>
          <cell r="E2630" t="str">
            <v>SIN RUT - JOSÉ GUILLERMO</v>
          </cell>
          <cell r="F2630" t="str">
            <v>PARRA MORENO</v>
          </cell>
          <cell r="G2630" t="str">
            <v>PARRA MORENO SIN RUT - JOSÉ GUILLERMO</v>
          </cell>
          <cell r="H2630" t="str">
            <v>NORE</v>
          </cell>
          <cell r="I2630" t="str">
            <v>NO RESPONSABLE DE IVA</v>
          </cell>
          <cell r="J2630" t="str">
            <v>MCP DE INIRIDA</v>
          </cell>
          <cell r="K2630" t="str">
            <v>94001</v>
          </cell>
          <cell r="L2630" t="str">
            <v>INÍRIDA</v>
          </cell>
          <cell r="M2630" t="str">
            <v>NO PRESENTA</v>
          </cell>
        </row>
        <row r="2631">
          <cell r="A2631">
            <v>79791881</v>
          </cell>
          <cell r="B2631" t="str">
            <v/>
          </cell>
          <cell r="C2631" t="str">
            <v/>
          </cell>
          <cell r="D2631" t="str">
            <v>CC</v>
          </cell>
          <cell r="E2631" t="str">
            <v>CARLOS ANDRES</v>
          </cell>
          <cell r="F2631" t="str">
            <v>REYES FONSECA</v>
          </cell>
          <cell r="G2631" t="str">
            <v>REYES FONSECA CARLOS ANDRES</v>
          </cell>
          <cell r="H2631" t="str">
            <v>RESI</v>
          </cell>
          <cell r="I2631" t="str">
            <v>REGIMEN SIMPLIFICADO</v>
          </cell>
          <cell r="J2631" t="str">
            <v>CL 160 N  58   75 AP 403 IN 24</v>
          </cell>
          <cell r="K2631" t="str">
            <v>11001</v>
          </cell>
          <cell r="L2631" t="str">
            <v>BOGOTA DC</v>
          </cell>
          <cell r="M2631" t="str">
            <v>4707570</v>
          </cell>
        </row>
        <row r="2632">
          <cell r="A2632">
            <v>79796747</v>
          </cell>
          <cell r="B2632" t="str">
            <v>6</v>
          </cell>
          <cell r="C2632" t="str">
            <v/>
          </cell>
          <cell r="D2632" t="str">
            <v>NP</v>
          </cell>
          <cell r="E2632" t="str">
            <v>DAVID MAURICIO</v>
          </cell>
          <cell r="F2632" t="str">
            <v xml:space="preserve"> GARCÍA RIVEROS</v>
          </cell>
          <cell r="G2632" t="str">
            <v xml:space="preserve"> GARCÍA RIVEROS DAVID MAURICIO</v>
          </cell>
          <cell r="H2632" t="str">
            <v>IMVE</v>
          </cell>
          <cell r="I2632" t="str">
            <v>IMPUESTO SOBRE LAS VENTAS</v>
          </cell>
          <cell r="J2632" t="str">
            <v>CR 31 41 36 BRR CENTRO</v>
          </cell>
          <cell r="K2632" t="str">
            <v>50001</v>
          </cell>
          <cell r="L2632" t="str">
            <v>VILLAVICENCIO</v>
          </cell>
          <cell r="M2632" t="str">
            <v>3112498061</v>
          </cell>
        </row>
        <row r="2633">
          <cell r="A2633">
            <v>79799932</v>
          </cell>
          <cell r="B2633" t="str">
            <v/>
          </cell>
          <cell r="C2633" t="str">
            <v/>
          </cell>
          <cell r="D2633" t="str">
            <v>CC</v>
          </cell>
          <cell r="E2633" t="str">
            <v>CARLOS ALFONSO</v>
          </cell>
          <cell r="F2633" t="str">
            <v>VALLEJO CHARRY</v>
          </cell>
          <cell r="G2633" t="str">
            <v>VALLEJO CHARRY CARLOS ALFONSO</v>
          </cell>
          <cell r="H2633" t="str">
            <v>RESI</v>
          </cell>
          <cell r="I2633" t="str">
            <v>REGIMEN SIMPLIFICADO</v>
          </cell>
          <cell r="J2633" t="str">
            <v>CL 87 8 56</v>
          </cell>
          <cell r="K2633" t="str">
            <v>17001</v>
          </cell>
          <cell r="L2633" t="str">
            <v>MANIZALES</v>
          </cell>
          <cell r="M2633" t="str">
            <v>8901435</v>
          </cell>
        </row>
        <row r="2634">
          <cell r="A2634">
            <v>79808360</v>
          </cell>
          <cell r="B2634" t="str">
            <v/>
          </cell>
          <cell r="C2634" t="str">
            <v/>
          </cell>
          <cell r="D2634" t="str">
            <v>CC</v>
          </cell>
          <cell r="E2634" t="str">
            <v>ALEXANDER</v>
          </cell>
          <cell r="F2634" t="str">
            <v>ARIAS DIAZ</v>
          </cell>
          <cell r="G2634" t="str">
            <v>ARIAS DIAZ ALEXANDER</v>
          </cell>
          <cell r="H2634" t="str">
            <v>FUNC</v>
          </cell>
          <cell r="I2634" t="str">
            <v>FUNCIONARIO</v>
          </cell>
          <cell r="J2634" t="str">
            <v xml:space="preserve">CL 5 10 64 LETICIA                   </v>
          </cell>
          <cell r="K2634" t="str">
            <v>91001</v>
          </cell>
          <cell r="L2634" t="str">
            <v>LETICIA</v>
          </cell>
          <cell r="M2634" t="str">
            <v>3627747</v>
          </cell>
        </row>
        <row r="2635">
          <cell r="A2635">
            <v>79821183</v>
          </cell>
          <cell r="B2635" t="str">
            <v/>
          </cell>
          <cell r="C2635" t="str">
            <v/>
          </cell>
          <cell r="D2635" t="str">
            <v>CC</v>
          </cell>
          <cell r="E2635" t="str">
            <v>PEDRO JULIO</v>
          </cell>
          <cell r="F2635" t="str">
            <v>ARIAS BERNAL</v>
          </cell>
          <cell r="G2635" t="str">
            <v>ARIAS BERNAL PEDRO JULIO</v>
          </cell>
          <cell r="H2635" t="str">
            <v>RESI</v>
          </cell>
          <cell r="I2635" t="str">
            <v>REGIMEN SIMPLIFICADO</v>
          </cell>
          <cell r="J2635" t="str">
            <v>BOGOTA</v>
          </cell>
          <cell r="K2635" t="str">
            <v>11001</v>
          </cell>
          <cell r="L2635" t="str">
            <v>BOGOTA DC</v>
          </cell>
          <cell r="M2635" t="str">
            <v>35555555</v>
          </cell>
        </row>
        <row r="2636">
          <cell r="A2636">
            <v>79850609</v>
          </cell>
          <cell r="B2636" t="str">
            <v/>
          </cell>
          <cell r="C2636" t="str">
            <v/>
          </cell>
          <cell r="D2636" t="str">
            <v>CC</v>
          </cell>
          <cell r="E2636" t="str">
            <v>OSCAR ALEJANDRO</v>
          </cell>
          <cell r="F2636" t="str">
            <v>RIAÑO VELASQUEZ</v>
          </cell>
          <cell r="G2636" t="str">
            <v>RIAÑO VELASQUEZ OSCAR ALEJANDRO</v>
          </cell>
          <cell r="H2636" t="str">
            <v>RESI</v>
          </cell>
          <cell r="I2636" t="str">
            <v>REGIMEN SIMPLIFICADO</v>
          </cell>
          <cell r="J2636" t="str">
            <v>MCP PUERTO RICO</v>
          </cell>
          <cell r="K2636" t="str">
            <v>18592</v>
          </cell>
          <cell r="L2636" t="str">
            <v>PUERTO RICO</v>
          </cell>
          <cell r="M2636" t="str">
            <v>NO PRESENTA</v>
          </cell>
        </row>
        <row r="2637">
          <cell r="A2637">
            <v>79857626</v>
          </cell>
          <cell r="B2637" t="str">
            <v/>
          </cell>
          <cell r="C2637" t="str">
            <v/>
          </cell>
          <cell r="D2637" t="str">
            <v>CC</v>
          </cell>
          <cell r="E2637" t="str">
            <v xml:space="preserve">JORGE ESTEBAN </v>
          </cell>
          <cell r="F2637" t="str">
            <v>GARZON GUEVARA</v>
          </cell>
          <cell r="G2637" t="str">
            <v xml:space="preserve">GARZON GUEVARA JORGE ESTEBAN </v>
          </cell>
          <cell r="H2637" t="str">
            <v>FUNC</v>
          </cell>
          <cell r="I2637" t="str">
            <v>FUNCIONARIO</v>
          </cell>
          <cell r="J2637" t="str">
            <v>CR 25   166   60  AP 810</v>
          </cell>
          <cell r="K2637" t="str">
            <v>15516</v>
          </cell>
          <cell r="L2637" t="str">
            <v>PAIPA</v>
          </cell>
          <cell r="M2637" t="str">
            <v>8509984</v>
          </cell>
        </row>
        <row r="2638">
          <cell r="A2638">
            <v>79863827</v>
          </cell>
          <cell r="B2638" t="str">
            <v>4</v>
          </cell>
          <cell r="C2638" t="str">
            <v/>
          </cell>
          <cell r="D2638" t="str">
            <v>NP</v>
          </cell>
          <cell r="E2638" t="str">
            <v>JAVIER IJINIO</v>
          </cell>
          <cell r="F2638" t="str">
            <v>LOPEZ VEGA</v>
          </cell>
          <cell r="G2638" t="str">
            <v>LOPEZ VEGA JAVIER IJINIO</v>
          </cell>
          <cell r="H2638" t="str">
            <v>RECO</v>
          </cell>
          <cell r="I2638" t="str">
            <v>REGIMEN COMUN</v>
          </cell>
          <cell r="J2638" t="str">
            <v>CR 14 17 76</v>
          </cell>
          <cell r="K2638" t="str">
            <v>15238</v>
          </cell>
          <cell r="L2638" t="str">
            <v>DUITAMA</v>
          </cell>
          <cell r="M2638" t="str">
            <v>7606263</v>
          </cell>
        </row>
        <row r="2639">
          <cell r="A2639">
            <v>79880600</v>
          </cell>
          <cell r="B2639" t="str">
            <v>1</v>
          </cell>
          <cell r="C2639" t="str">
            <v/>
          </cell>
          <cell r="D2639" t="str">
            <v>NP</v>
          </cell>
          <cell r="E2639" t="str">
            <v>CAMILO</v>
          </cell>
          <cell r="F2639" t="str">
            <v>TAUTIVA MANCERA</v>
          </cell>
          <cell r="G2639" t="str">
            <v>TAUTIVA MANCERA CAMILO</v>
          </cell>
          <cell r="H2639" t="str">
            <v>RESI</v>
          </cell>
          <cell r="I2639" t="str">
            <v>REGIMEN SIMPLIFICADO</v>
          </cell>
          <cell r="J2639" t="str">
            <v>CR 3 A30 10 AP 110 CONJ SAN DIEGO I</v>
          </cell>
          <cell r="K2639" t="str">
            <v>17001</v>
          </cell>
          <cell r="L2639" t="str">
            <v>MANIZALES</v>
          </cell>
          <cell r="M2639" t="str">
            <v>6631553</v>
          </cell>
        </row>
        <row r="2640">
          <cell r="A2640">
            <v>79894192</v>
          </cell>
          <cell r="B2640" t="str">
            <v>9</v>
          </cell>
          <cell r="C2640" t="str">
            <v/>
          </cell>
          <cell r="D2640" t="str">
            <v>NP</v>
          </cell>
          <cell r="E2640" t="str">
            <v>LUIS CARLOS</v>
          </cell>
          <cell r="F2640" t="str">
            <v>GIRALDO GUZMAN</v>
          </cell>
          <cell r="G2640" t="str">
            <v>GIRALDO GUZMAN LUIS CARLOS</v>
          </cell>
          <cell r="H2640" t="str">
            <v>RESI</v>
          </cell>
          <cell r="I2640" t="str">
            <v>REGIMEN SIMPLIFICADO</v>
          </cell>
          <cell r="J2640" t="str">
            <v>CL 9 3  33  BRR CENTRO</v>
          </cell>
          <cell r="K2640" t="str">
            <v>17867</v>
          </cell>
          <cell r="L2640" t="str">
            <v>VICTORIA</v>
          </cell>
          <cell r="M2640" t="str">
            <v>3134102542</v>
          </cell>
        </row>
        <row r="2641">
          <cell r="A2641">
            <v>79910498</v>
          </cell>
          <cell r="B2641" t="str">
            <v/>
          </cell>
          <cell r="C2641" t="str">
            <v/>
          </cell>
          <cell r="D2641" t="str">
            <v>CC</v>
          </cell>
          <cell r="E2641" t="str">
            <v>CARLOS AUGUSTO</v>
          </cell>
          <cell r="F2641" t="str">
            <v>MEJÍA SALAZAR</v>
          </cell>
          <cell r="G2641" t="str">
            <v>MEJÍA SALAZAR CARLOS AUGUSTO</v>
          </cell>
          <cell r="H2641" t="str">
            <v>EXFU</v>
          </cell>
          <cell r="I2641" t="str">
            <v>EX-FUNCIONARIOS</v>
          </cell>
          <cell r="J2641" t="str">
            <v>CR 25 71 93 B AP 503</v>
          </cell>
          <cell r="K2641" t="str">
            <v>17001</v>
          </cell>
          <cell r="L2641" t="str">
            <v>MANIZALES</v>
          </cell>
          <cell r="M2641" t="str">
            <v>3225375151</v>
          </cell>
        </row>
        <row r="2642">
          <cell r="A2642">
            <v>79914908</v>
          </cell>
          <cell r="B2642" t="str">
            <v>2</v>
          </cell>
          <cell r="C2642" t="str">
            <v/>
          </cell>
          <cell r="D2642" t="str">
            <v>NP</v>
          </cell>
          <cell r="E2642" t="str">
            <v>AQUILINO</v>
          </cell>
          <cell r="F2642" t="str">
            <v>BARBOSA</v>
          </cell>
          <cell r="G2642" t="str">
            <v>BARBOSA AQUILINO</v>
          </cell>
          <cell r="H2642" t="str">
            <v>RESI</v>
          </cell>
          <cell r="I2642" t="str">
            <v>REGIMEN SIMPLIFICADO</v>
          </cell>
          <cell r="J2642" t="str">
            <v>CL 26   85 A   51</v>
          </cell>
          <cell r="K2642" t="str">
            <v>11001</v>
          </cell>
          <cell r="L2642" t="str">
            <v>BOGOTA DC</v>
          </cell>
          <cell r="M2642" t="str">
            <v>3144353038</v>
          </cell>
        </row>
        <row r="2643">
          <cell r="A2643">
            <v>79917220</v>
          </cell>
          <cell r="B2643" t="str">
            <v>8</v>
          </cell>
          <cell r="C2643" t="str">
            <v/>
          </cell>
          <cell r="D2643" t="str">
            <v>NP</v>
          </cell>
          <cell r="E2643" t="str">
            <v>JORGE MARIO</v>
          </cell>
          <cell r="F2643" t="str">
            <v>RODRIGUEZ DEL VASTO</v>
          </cell>
          <cell r="G2643" t="str">
            <v>RODRIGUEZ DEL VASTO JORGE MARIO</v>
          </cell>
          <cell r="H2643" t="str">
            <v>RECO</v>
          </cell>
          <cell r="I2643" t="str">
            <v>REGIMEN COMUN</v>
          </cell>
          <cell r="J2643" t="str">
            <v>CL 16 3 28 LT 2 BRR CENTRO</v>
          </cell>
          <cell r="K2643" t="str">
            <v>94001</v>
          </cell>
          <cell r="L2643" t="str">
            <v>INÍRIDA</v>
          </cell>
          <cell r="M2643" t="str">
            <v>5656454</v>
          </cell>
        </row>
        <row r="2644">
          <cell r="A2644">
            <v>79959300</v>
          </cell>
          <cell r="B2644" t="str">
            <v/>
          </cell>
          <cell r="C2644" t="str">
            <v/>
          </cell>
          <cell r="D2644" t="str">
            <v>CC</v>
          </cell>
          <cell r="E2644" t="str">
            <v>OSCAR GILDARDO</v>
          </cell>
          <cell r="F2644" t="str">
            <v>OCAMPO CUERVO</v>
          </cell>
          <cell r="G2644" t="str">
            <v>OCAMPO CUERVO OSCAR GILDARDO</v>
          </cell>
          <cell r="H2644" t="str">
            <v>FUNC</v>
          </cell>
          <cell r="I2644" t="str">
            <v>FUNCIONARIO</v>
          </cell>
          <cell r="J2644" t="str">
            <v>CR 20 B   58 A   01</v>
          </cell>
          <cell r="K2644" t="str">
            <v>17001</v>
          </cell>
          <cell r="L2644" t="str">
            <v>MANIZALES</v>
          </cell>
          <cell r="M2644" t="str">
            <v>3117043535</v>
          </cell>
        </row>
        <row r="2645">
          <cell r="A2645">
            <v>79965341</v>
          </cell>
          <cell r="B2645" t="str">
            <v/>
          </cell>
          <cell r="C2645" t="str">
            <v/>
          </cell>
          <cell r="D2645" t="str">
            <v>CC</v>
          </cell>
          <cell r="E2645" t="str">
            <v>JOSE WILMER</v>
          </cell>
          <cell r="F2645" t="str">
            <v>GUZMAN VARGAS</v>
          </cell>
          <cell r="G2645" t="str">
            <v>GUZMAN VARGAS JOSE WILMER</v>
          </cell>
          <cell r="H2645" t="str">
            <v>RECO</v>
          </cell>
          <cell r="I2645" t="str">
            <v>REGIMEN COMUN</v>
          </cell>
          <cell r="J2645" t="str">
            <v>CL 1   2   24</v>
          </cell>
          <cell r="K2645" t="str">
            <v>50350</v>
          </cell>
          <cell r="L2645" t="str">
            <v>LA MACARENA</v>
          </cell>
          <cell r="M2645" t="str">
            <v>3102578313</v>
          </cell>
        </row>
        <row r="2646">
          <cell r="A2646">
            <v>79966659</v>
          </cell>
          <cell r="B2646" t="str">
            <v>6</v>
          </cell>
          <cell r="C2646" t="str">
            <v/>
          </cell>
          <cell r="D2646" t="str">
            <v>NP</v>
          </cell>
          <cell r="E2646" t="str">
            <v>ALBERTO</v>
          </cell>
          <cell r="F2646" t="str">
            <v>SANABRIA MELENDEZ</v>
          </cell>
          <cell r="G2646" t="str">
            <v>SANABRIA MELENDEZ ALBERTO</v>
          </cell>
          <cell r="H2646" t="str">
            <v>NORE</v>
          </cell>
          <cell r="I2646" t="str">
            <v>NO RESPONSABLE DE IVA</v>
          </cell>
          <cell r="J2646" t="str">
            <v>CR 5 5 A 26 BRR GALAN</v>
          </cell>
          <cell r="K2646" t="str">
            <v>94001</v>
          </cell>
          <cell r="L2646" t="str">
            <v>INÍRIDA</v>
          </cell>
          <cell r="M2646" t="str">
            <v>3144662176</v>
          </cell>
        </row>
        <row r="2647">
          <cell r="A2647">
            <v>79979263</v>
          </cell>
          <cell r="B2647" t="str">
            <v>1</v>
          </cell>
          <cell r="C2647" t="str">
            <v/>
          </cell>
          <cell r="D2647" t="str">
            <v>NP</v>
          </cell>
          <cell r="E2647" t="str">
            <v>JOSE DRIGELIO</v>
          </cell>
          <cell r="F2647" t="str">
            <v>LOZANO REYES</v>
          </cell>
          <cell r="G2647" t="str">
            <v>LOZANO REYES JOSE DRIGELIO</v>
          </cell>
          <cell r="H2647" t="str">
            <v>RECO</v>
          </cell>
          <cell r="I2647" t="str">
            <v>REGIMEN COMUN</v>
          </cell>
          <cell r="J2647" t="str">
            <v>CR 26  8 55</v>
          </cell>
          <cell r="K2647" t="str">
            <v>11001</v>
          </cell>
          <cell r="L2647" t="str">
            <v>BOGOTA DC</v>
          </cell>
          <cell r="M2647" t="str">
            <v>3144201421</v>
          </cell>
        </row>
        <row r="2648">
          <cell r="A2648">
            <v>79980646</v>
          </cell>
          <cell r="B2648" t="str">
            <v>9</v>
          </cell>
          <cell r="C2648" t="str">
            <v/>
          </cell>
          <cell r="D2648" t="str">
            <v>NP</v>
          </cell>
          <cell r="E2648" t="str">
            <v>GUSTAVO GUSTAVOVICH</v>
          </cell>
          <cell r="F2648" t="str">
            <v>MONTEALEGRE POZHIDAEVA</v>
          </cell>
          <cell r="G2648" t="str">
            <v>MONTEALEGRE POZHIDAEVA GUSTAVO GUSTAVOVICH</v>
          </cell>
          <cell r="H2648" t="str">
            <v>RESI</v>
          </cell>
          <cell r="I2648" t="str">
            <v>REGIMEN SIMPLIFICADO</v>
          </cell>
          <cell r="J2648" t="str">
            <v>CR 54 64 A 75 TO 2 AP 202 CON SALITRE PLAZA ET 1</v>
          </cell>
          <cell r="K2648" t="str">
            <v>11001</v>
          </cell>
          <cell r="L2648" t="str">
            <v>BOGOTA DC</v>
          </cell>
          <cell r="M2648" t="str">
            <v>3173807892</v>
          </cell>
        </row>
        <row r="2649">
          <cell r="A2649">
            <v>80022380</v>
          </cell>
          <cell r="B2649" t="str">
            <v>1</v>
          </cell>
          <cell r="C2649" t="str">
            <v/>
          </cell>
          <cell r="D2649" t="str">
            <v>NP</v>
          </cell>
          <cell r="E2649" t="str">
            <v>RONALD ALONSO</v>
          </cell>
          <cell r="F2649" t="str">
            <v>CHAPARRO RIJAS</v>
          </cell>
          <cell r="G2649" t="str">
            <v>CHAPARRO RIJAS RONALD ALONSO</v>
          </cell>
          <cell r="H2649" t="str">
            <v>RECO</v>
          </cell>
          <cell r="I2649" t="str">
            <v>REGIMEN COMUN</v>
          </cell>
          <cell r="J2649" t="str">
            <v>CL 95   69 C   49</v>
          </cell>
          <cell r="K2649" t="str">
            <v>11001</v>
          </cell>
          <cell r="L2649" t="str">
            <v>BOGOTA DC</v>
          </cell>
          <cell r="M2649" t="str">
            <v>5337935</v>
          </cell>
        </row>
        <row r="2650">
          <cell r="A2650">
            <v>80031988</v>
          </cell>
          <cell r="B2650" t="str">
            <v/>
          </cell>
          <cell r="C2650" t="str">
            <v/>
          </cell>
          <cell r="D2650" t="str">
            <v>CC</v>
          </cell>
          <cell r="E2650" t="str">
            <v>IVAN ARNULFO</v>
          </cell>
          <cell r="F2650" t="str">
            <v>RIZO TELLO</v>
          </cell>
          <cell r="G2650" t="str">
            <v>IVAN ARNULFO RIZO TELLO</v>
          </cell>
          <cell r="H2650" t="str">
            <v>FUNC</v>
          </cell>
          <cell r="I2650" t="str">
            <v>FUNCIONARIO</v>
          </cell>
          <cell r="J2650" t="str">
            <v xml:space="preserve">CR 23 N 64 B 33                    </v>
          </cell>
          <cell r="K2650" t="str">
            <v>17001</v>
          </cell>
          <cell r="L2650" t="str">
            <v>MANIZALES</v>
          </cell>
          <cell r="M2650" t="str">
            <v>8756262</v>
          </cell>
        </row>
        <row r="2651">
          <cell r="A2651">
            <v>80040111</v>
          </cell>
          <cell r="B2651" t="str">
            <v>1</v>
          </cell>
          <cell r="C2651" t="str">
            <v/>
          </cell>
          <cell r="D2651" t="str">
            <v>NP</v>
          </cell>
          <cell r="E2651" t="str">
            <v>EDER</v>
          </cell>
          <cell r="F2651" t="str">
            <v>PALLARES CAMARGO</v>
          </cell>
          <cell r="G2651" t="str">
            <v>PALLARES CAMARGO EDER</v>
          </cell>
          <cell r="H2651" t="str">
            <v>RESI</v>
          </cell>
          <cell r="I2651" t="str">
            <v>REGIMEN SIMPLIFICADO</v>
          </cell>
          <cell r="J2651" t="str">
            <v>AC 22   42   56</v>
          </cell>
          <cell r="K2651" t="str">
            <v>11001</v>
          </cell>
          <cell r="L2651" t="str">
            <v>BOGOTA DC</v>
          </cell>
          <cell r="M2651" t="str">
            <v>3379669</v>
          </cell>
        </row>
        <row r="2652">
          <cell r="A2652">
            <v>80048898</v>
          </cell>
          <cell r="B2652" t="str">
            <v/>
          </cell>
          <cell r="C2652" t="str">
            <v/>
          </cell>
          <cell r="D2652" t="str">
            <v>CC</v>
          </cell>
          <cell r="E2652" t="str">
            <v>JOSE AUGUSTO</v>
          </cell>
          <cell r="F2652" t="str">
            <v>GONZALEZ GOMEZ</v>
          </cell>
          <cell r="G2652" t="str">
            <v>GONZALEZ GOMEZ JOSE AUGUSTO</v>
          </cell>
          <cell r="H2652" t="str">
            <v>RESI</v>
          </cell>
          <cell r="I2652" t="str">
            <v>REGIMEN SIMPLIFICADO</v>
          </cell>
          <cell r="J2652" t="str">
            <v>CL 7   23   23</v>
          </cell>
          <cell r="K2652" t="str">
            <v>85001</v>
          </cell>
          <cell r="L2652" t="str">
            <v>YOPAL</v>
          </cell>
          <cell r="M2652" t="str">
            <v>3204961874</v>
          </cell>
        </row>
        <row r="2653">
          <cell r="A2653">
            <v>80082274</v>
          </cell>
          <cell r="B2653" t="str">
            <v>3</v>
          </cell>
          <cell r="C2653" t="str">
            <v/>
          </cell>
          <cell r="D2653" t="str">
            <v>NP</v>
          </cell>
          <cell r="E2653" t="str">
            <v>JHON LEONARDO</v>
          </cell>
          <cell r="F2653" t="str">
            <v>OLIVARES RIVERA</v>
          </cell>
          <cell r="G2653" t="str">
            <v>OLIVARES RIVERA JHON LEONARDO</v>
          </cell>
          <cell r="H2653" t="str">
            <v>RESI</v>
          </cell>
          <cell r="I2653" t="str">
            <v>REGIMEN SIMPLIFICADO</v>
          </cell>
          <cell r="J2653" t="str">
            <v>CL 152 A 54 80 IN 1 AP 204</v>
          </cell>
          <cell r="K2653" t="str">
            <v>11001</v>
          </cell>
          <cell r="L2653" t="str">
            <v>BOGOTA DC</v>
          </cell>
          <cell r="M2653" t="str">
            <v>3003679656</v>
          </cell>
        </row>
        <row r="2654">
          <cell r="A2654">
            <v>80086658</v>
          </cell>
          <cell r="B2654" t="str">
            <v>6</v>
          </cell>
          <cell r="C2654" t="str">
            <v/>
          </cell>
          <cell r="D2654" t="str">
            <v>NP</v>
          </cell>
          <cell r="E2654" t="str">
            <v>CAMILO ALBERTO</v>
          </cell>
          <cell r="F2654" t="str">
            <v>ENCISO VANEGAS</v>
          </cell>
          <cell r="G2654" t="str">
            <v>ENCISO VANEGAS CAMILO ALBERTO</v>
          </cell>
          <cell r="H2654" t="str">
            <v>RECO</v>
          </cell>
          <cell r="I2654" t="str">
            <v>REGIMEN COMUN</v>
          </cell>
          <cell r="J2654" t="str">
            <v>CR 7H 150 55</v>
          </cell>
          <cell r="K2654" t="str">
            <v>11001</v>
          </cell>
          <cell r="L2654" t="str">
            <v>BOGOTA DC</v>
          </cell>
          <cell r="M2654" t="str">
            <v>3187268740</v>
          </cell>
        </row>
        <row r="2655">
          <cell r="A2655">
            <v>80089591</v>
          </cell>
          <cell r="B2655" t="str">
            <v>5</v>
          </cell>
          <cell r="C2655" t="str">
            <v/>
          </cell>
          <cell r="D2655" t="str">
            <v>NP</v>
          </cell>
          <cell r="E2655" t="str">
            <v>FABIO ALEXANDER</v>
          </cell>
          <cell r="F2655" t="str">
            <v>GONZALEZ CHALA</v>
          </cell>
          <cell r="G2655" t="str">
            <v>GONZALEZ CHALA FABIO ALEXANDER</v>
          </cell>
          <cell r="H2655" t="str">
            <v>REOR</v>
          </cell>
          <cell r="I2655" t="str">
            <v>RENTA REGIMEN ORDINARIO</v>
          </cell>
          <cell r="J2655" t="str">
            <v>CL 131   40   25 OF 201</v>
          </cell>
          <cell r="K2655" t="str">
            <v>11001</v>
          </cell>
          <cell r="L2655" t="str">
            <v>BOGOTA DC</v>
          </cell>
          <cell r="M2655" t="str">
            <v>2580465</v>
          </cell>
        </row>
        <row r="2656">
          <cell r="A2656">
            <v>80092537</v>
          </cell>
          <cell r="B2656" t="str">
            <v>8</v>
          </cell>
          <cell r="C2656" t="str">
            <v/>
          </cell>
          <cell r="D2656" t="str">
            <v>NP</v>
          </cell>
          <cell r="E2656" t="str">
            <v>EDGAR ALBERTO</v>
          </cell>
          <cell r="F2656" t="str">
            <v>ALBARRACIN GIL</v>
          </cell>
          <cell r="G2656" t="str">
            <v>ALBARRACIN GIL EDGAR ALBERTO</v>
          </cell>
          <cell r="H2656" t="str">
            <v>RECO</v>
          </cell>
          <cell r="I2656" t="str">
            <v>REGIMEN COMUN</v>
          </cell>
          <cell r="J2656" t="str">
            <v>DG 4 # 11 -31</v>
          </cell>
          <cell r="K2656" t="str">
            <v>85230</v>
          </cell>
          <cell r="L2656" t="str">
            <v>OROCUÉ</v>
          </cell>
          <cell r="M2656" t="str">
            <v>3125217218</v>
          </cell>
        </row>
        <row r="2657">
          <cell r="A2657">
            <v>80160916</v>
          </cell>
          <cell r="B2657" t="str">
            <v/>
          </cell>
          <cell r="C2657" t="str">
            <v/>
          </cell>
          <cell r="D2657" t="str">
            <v>CC</v>
          </cell>
          <cell r="E2657" t="str">
            <v>KENNY ROGERS</v>
          </cell>
          <cell r="F2657" t="str">
            <v>CAMPOS BARON</v>
          </cell>
          <cell r="G2657" t="str">
            <v>CAMPOS BARON KENNY ROGERS</v>
          </cell>
          <cell r="H2657" t="str">
            <v>FUNC</v>
          </cell>
          <cell r="I2657" t="str">
            <v>FUNCIONARIO</v>
          </cell>
          <cell r="J2657" t="str">
            <v>CR 8 A   14   53 BRR JOSE HERNANDEZ</v>
          </cell>
          <cell r="K2657" t="str">
            <v>17001</v>
          </cell>
          <cell r="L2657" t="str">
            <v>MANIZALES</v>
          </cell>
          <cell r="M2657" t="str">
            <v>5925790</v>
          </cell>
        </row>
        <row r="2658">
          <cell r="A2658">
            <v>80162646</v>
          </cell>
          <cell r="B2658" t="str">
            <v/>
          </cell>
          <cell r="C2658" t="str">
            <v/>
          </cell>
          <cell r="D2658" t="str">
            <v>CC</v>
          </cell>
          <cell r="E2658" t="str">
            <v>OMAR FERNANDO</v>
          </cell>
          <cell r="F2658" t="str">
            <v>BRAGA GOMEZ</v>
          </cell>
          <cell r="G2658" t="str">
            <v>BRAGA GOMEZ OMAR FERNANDO</v>
          </cell>
          <cell r="H2658" t="str">
            <v>FUNC</v>
          </cell>
          <cell r="I2658" t="str">
            <v>FUNCIONARIO</v>
          </cell>
          <cell r="J2658" t="str">
            <v>BRR EL MISTERIO</v>
          </cell>
          <cell r="K2658" t="str">
            <v>25126</v>
          </cell>
          <cell r="L2658" t="str">
            <v>CAJICÁ</v>
          </cell>
          <cell r="M2658" t="str">
            <v>3224360867</v>
          </cell>
        </row>
        <row r="2659">
          <cell r="A2659">
            <v>80173216</v>
          </cell>
          <cell r="B2659" t="str">
            <v/>
          </cell>
          <cell r="C2659" t="str">
            <v/>
          </cell>
          <cell r="D2659" t="str">
            <v>CC</v>
          </cell>
          <cell r="E2659" t="str">
            <v>ANGEL MARIO</v>
          </cell>
          <cell r="F2659" t="str">
            <v>GIRON ORTIZ</v>
          </cell>
          <cell r="G2659" t="str">
            <v>GIRON ORTIZ ANGEL MARIO</v>
          </cell>
          <cell r="H2659" t="str">
            <v>FUNC</v>
          </cell>
          <cell r="I2659" t="str">
            <v>FUNCIONARIO</v>
          </cell>
          <cell r="J2659" t="str">
            <v>CR 8   5   15   BRR JORGE ALFREDO GONZALEZ</v>
          </cell>
          <cell r="K2659" t="str">
            <v>17001</v>
          </cell>
          <cell r="L2659" t="str">
            <v>MANIZALES</v>
          </cell>
          <cell r="M2659" t="str">
            <v>3122024486</v>
          </cell>
        </row>
        <row r="2660">
          <cell r="A2660">
            <v>80190726</v>
          </cell>
          <cell r="B2660" t="str">
            <v>3</v>
          </cell>
          <cell r="C2660" t="str">
            <v/>
          </cell>
          <cell r="D2660" t="str">
            <v>NP</v>
          </cell>
          <cell r="E2660" t="str">
            <v>LEONARDO ANDRES</v>
          </cell>
          <cell r="F2660" t="str">
            <v>GOMEZ ULLOA</v>
          </cell>
          <cell r="G2660" t="str">
            <v>GOMEZ ULLOA LEONARDO ANDRES</v>
          </cell>
          <cell r="H2660" t="str">
            <v>NORE</v>
          </cell>
          <cell r="I2660" t="str">
            <v>NO RESPONSABLE DE IVA</v>
          </cell>
          <cell r="J2660" t="str">
            <v xml:space="preserve"> CR 23 06 BRR FUENTE HIGUERAS</v>
          </cell>
          <cell r="K2660" t="str">
            <v>17001</v>
          </cell>
          <cell r="L2660" t="str">
            <v>MANIZALES</v>
          </cell>
          <cell r="M2660" t="str">
            <v>3103744475</v>
          </cell>
        </row>
        <row r="2661">
          <cell r="A2661">
            <v>80197319</v>
          </cell>
          <cell r="B2661" t="str">
            <v>0</v>
          </cell>
          <cell r="C2661" t="str">
            <v/>
          </cell>
          <cell r="D2661" t="str">
            <v>NP</v>
          </cell>
          <cell r="E2661" t="str">
            <v>JUAN CARLOS</v>
          </cell>
          <cell r="F2661" t="str">
            <v>CORREA RAMIREZ</v>
          </cell>
          <cell r="G2661" t="str">
            <v>CORREA RAMIREZ JUAN CARLOS</v>
          </cell>
          <cell r="H2661" t="str">
            <v>RESI</v>
          </cell>
          <cell r="I2661" t="str">
            <v>REGIMEN SIMPLIFICADO</v>
          </cell>
          <cell r="J2661" t="str">
            <v>CL 138 46 A 16</v>
          </cell>
          <cell r="K2661" t="str">
            <v>11001</v>
          </cell>
          <cell r="L2661" t="str">
            <v>BOGOTA DC</v>
          </cell>
          <cell r="M2661" t="str">
            <v>3005717965</v>
          </cell>
        </row>
        <row r="2662">
          <cell r="A2662">
            <v>80197362</v>
          </cell>
          <cell r="B2662" t="str">
            <v>8</v>
          </cell>
          <cell r="C2662" t="str">
            <v/>
          </cell>
          <cell r="D2662" t="str">
            <v>NP</v>
          </cell>
          <cell r="E2662" t="str">
            <v>STEVEN</v>
          </cell>
          <cell r="F2662" t="str">
            <v>ZAPATA ALVAREZ</v>
          </cell>
          <cell r="G2662" t="str">
            <v>ZAPATA ALVAREZ STEVEN</v>
          </cell>
          <cell r="H2662" t="str">
            <v>NORE</v>
          </cell>
          <cell r="I2662" t="str">
            <v>NO RESPONSABLE DE IVA</v>
          </cell>
          <cell r="J2662" t="str">
            <v>19 AV 146 61 AP 201 BARRIO CEDRITOS</v>
          </cell>
          <cell r="K2662" t="str">
            <v>17001</v>
          </cell>
          <cell r="L2662" t="str">
            <v>MANIZALES</v>
          </cell>
          <cell r="M2662" t="str">
            <v>3007280217</v>
          </cell>
        </row>
        <row r="2663">
          <cell r="A2663">
            <v>80200910</v>
          </cell>
          <cell r="B2663" t="str">
            <v/>
          </cell>
          <cell r="C2663" t="str">
            <v/>
          </cell>
          <cell r="D2663" t="str">
            <v>CC</v>
          </cell>
          <cell r="E2663" t="str">
            <v>EDER FREDDY</v>
          </cell>
          <cell r="F2663" t="str">
            <v>BETANCUR MORALES</v>
          </cell>
          <cell r="G2663" t="str">
            <v>BETANCUR MORALES EDER FREDDY</v>
          </cell>
          <cell r="H2663" t="str">
            <v>FUNC</v>
          </cell>
          <cell r="I2663" t="str">
            <v>FUNCIONARIO</v>
          </cell>
          <cell r="J2663" t="str">
            <v>CR 88 A   21   42 AP 642</v>
          </cell>
          <cell r="K2663" t="str">
            <v>17001</v>
          </cell>
          <cell r="L2663" t="str">
            <v>MANIZALES</v>
          </cell>
          <cell r="M2663" t="str">
            <v>3212525261</v>
          </cell>
        </row>
        <row r="2664">
          <cell r="A2664">
            <v>80206328</v>
          </cell>
          <cell r="B2664" t="str">
            <v>7</v>
          </cell>
          <cell r="C2664" t="str">
            <v/>
          </cell>
          <cell r="D2664" t="str">
            <v>NP</v>
          </cell>
          <cell r="E2664" t="str">
            <v>ELKIN ADOLFO</v>
          </cell>
          <cell r="F2664" t="str">
            <v>RAMIREZ GONZALEZ</v>
          </cell>
          <cell r="G2664" t="str">
            <v>RAMIREZ GONZALEZ ELKIN ADOLFO</v>
          </cell>
          <cell r="H2664" t="str">
            <v>RESI</v>
          </cell>
          <cell r="I2664" t="str">
            <v>REGIMEN SIMPLIFICADO</v>
          </cell>
          <cell r="J2664" t="str">
            <v>CL 53   14   73</v>
          </cell>
          <cell r="K2664" t="str">
            <v>11001</v>
          </cell>
          <cell r="L2664" t="str">
            <v>BOGOTA DC</v>
          </cell>
          <cell r="M2664" t="str">
            <v>3129630</v>
          </cell>
        </row>
        <row r="2665">
          <cell r="A2665">
            <v>80215813</v>
          </cell>
          <cell r="B2665" t="str">
            <v>6</v>
          </cell>
          <cell r="C2665" t="str">
            <v/>
          </cell>
          <cell r="D2665" t="str">
            <v>NP</v>
          </cell>
          <cell r="E2665" t="str">
            <v>EDINSON OCTAVIO</v>
          </cell>
          <cell r="F2665" t="str">
            <v>ALVAREZ AYALA</v>
          </cell>
          <cell r="G2665" t="str">
            <v>ALVAREZ AYALA EDINSON OCTAVIO</v>
          </cell>
          <cell r="H2665" t="str">
            <v>IMVE</v>
          </cell>
          <cell r="I2665" t="str">
            <v>IMPUESTO SOBRE LAS VENTAS</v>
          </cell>
          <cell r="J2665" t="str">
            <v>CL 17 F  123 A  49</v>
          </cell>
          <cell r="K2665" t="str">
            <v>11001</v>
          </cell>
          <cell r="L2665" t="str">
            <v>BOGOTA DC</v>
          </cell>
          <cell r="M2665" t="str">
            <v>3002147769</v>
          </cell>
        </row>
        <row r="2666">
          <cell r="A2666">
            <v>80221806</v>
          </cell>
          <cell r="B2666" t="str">
            <v>9</v>
          </cell>
          <cell r="C2666" t="str">
            <v/>
          </cell>
          <cell r="D2666" t="str">
            <v>NP</v>
          </cell>
          <cell r="E2666" t="str">
            <v>FREDY GONZALO</v>
          </cell>
          <cell r="F2666" t="str">
            <v>LADINO BERNAL</v>
          </cell>
          <cell r="G2666" t="str">
            <v>LADINO BERNAL FREDY GONZALO</v>
          </cell>
          <cell r="H2666" t="str">
            <v>RECO</v>
          </cell>
          <cell r="I2666" t="str">
            <v>REGIMEN COMUN</v>
          </cell>
          <cell r="J2666" t="str">
            <v>CR 31 41 77 BRR CENTRO</v>
          </cell>
          <cell r="K2666" t="str">
            <v>50001</v>
          </cell>
          <cell r="L2666" t="str">
            <v>VILLAVICENCIO</v>
          </cell>
          <cell r="M2666" t="str">
            <v>3138119706</v>
          </cell>
        </row>
        <row r="2667">
          <cell r="A2667">
            <v>80228016</v>
          </cell>
          <cell r="B2667" t="str">
            <v>9</v>
          </cell>
          <cell r="C2667" t="str">
            <v/>
          </cell>
          <cell r="D2667" t="str">
            <v>NP</v>
          </cell>
          <cell r="E2667" t="str">
            <v>ANDRES RICARDO</v>
          </cell>
          <cell r="F2667" t="str">
            <v>MURILLO RODRIGUEZ</v>
          </cell>
          <cell r="G2667" t="str">
            <v>MURILLO RODRIGUEZ ANDRES RICARDO</v>
          </cell>
          <cell r="H2667" t="str">
            <v>RECO</v>
          </cell>
          <cell r="I2667" t="str">
            <v>REGIMEN COMUN</v>
          </cell>
          <cell r="J2667" t="str">
            <v>CL 71   1 C 52</v>
          </cell>
          <cell r="K2667" t="str">
            <v>41001</v>
          </cell>
          <cell r="L2667" t="str">
            <v>NEIVA</v>
          </cell>
          <cell r="M2667" t="str">
            <v>8651890</v>
          </cell>
        </row>
        <row r="2668">
          <cell r="A2668">
            <v>80232047</v>
          </cell>
          <cell r="B2668" t="str">
            <v/>
          </cell>
          <cell r="C2668" t="str">
            <v/>
          </cell>
          <cell r="D2668" t="str">
            <v>CC</v>
          </cell>
          <cell r="E2668" t="str">
            <v>ANDRES FERNANDO</v>
          </cell>
          <cell r="F2668" t="str">
            <v>ANGULO CUBILLOS</v>
          </cell>
          <cell r="G2668" t="str">
            <v>ANGULO CUBILLOS ANDRES FERNANDO</v>
          </cell>
          <cell r="H2668" t="str">
            <v>EXFU</v>
          </cell>
          <cell r="I2668" t="str">
            <v>EX-FUNCIONARIOS</v>
          </cell>
          <cell r="J2668" t="str">
            <v>CL 12B BIS N 1   39 P 3</v>
          </cell>
          <cell r="K2668" t="str">
            <v>11001</v>
          </cell>
          <cell r="L2668" t="str">
            <v>BOGOTA DC</v>
          </cell>
          <cell r="M2668" t="str">
            <v>4273497</v>
          </cell>
        </row>
        <row r="2669">
          <cell r="A2669">
            <v>80261273</v>
          </cell>
          <cell r="B2669" t="str">
            <v>4</v>
          </cell>
          <cell r="C2669" t="str">
            <v/>
          </cell>
          <cell r="D2669" t="str">
            <v>NP</v>
          </cell>
          <cell r="E2669" t="str">
            <v xml:space="preserve">EPIMENIO </v>
          </cell>
          <cell r="F2669" t="str">
            <v>SALAMANCA  CELY</v>
          </cell>
          <cell r="G2669" t="str">
            <v>EPIMENIO SALAMANCA  CELY</v>
          </cell>
          <cell r="H2669" t="str">
            <v>RESI</v>
          </cell>
          <cell r="I2669" t="str">
            <v>REGIMEN SIMPLIFICADO</v>
          </cell>
          <cell r="J2669" t="str">
            <v>CL 12  22 71 BRR LAS DELCIAS</v>
          </cell>
          <cell r="K2669" t="str">
            <v>15516</v>
          </cell>
          <cell r="L2669" t="str">
            <v>PAIPA</v>
          </cell>
          <cell r="M2669" t="str">
            <v>3202509371</v>
          </cell>
        </row>
        <row r="2670">
          <cell r="A2670">
            <v>80311091</v>
          </cell>
          <cell r="B2670" t="str">
            <v/>
          </cell>
          <cell r="C2670" t="str">
            <v/>
          </cell>
          <cell r="D2670" t="str">
            <v>CC</v>
          </cell>
          <cell r="E2670" t="str">
            <v>SEUDIEL</v>
          </cell>
          <cell r="F2670" t="str">
            <v>GUALTEROS</v>
          </cell>
          <cell r="G2670" t="str">
            <v>GUALTEROS SEUDIEL</v>
          </cell>
          <cell r="H2670" t="str">
            <v>RESI</v>
          </cell>
          <cell r="I2670" t="str">
            <v>REGIMEN SIMPLIFICADO</v>
          </cell>
          <cell r="J2670" t="str">
            <v>VRD SANTA ANA</v>
          </cell>
          <cell r="K2670" t="str">
            <v>85325</v>
          </cell>
          <cell r="L2670" t="str">
            <v>SAN LUIS DE PALENQUE</v>
          </cell>
          <cell r="M2670" t="str">
            <v>3143078018</v>
          </cell>
        </row>
        <row r="2671">
          <cell r="A2671">
            <v>80405691</v>
          </cell>
          <cell r="B2671" t="str">
            <v/>
          </cell>
          <cell r="C2671" t="str">
            <v/>
          </cell>
          <cell r="D2671" t="str">
            <v>CC</v>
          </cell>
          <cell r="E2671" t="str">
            <v>CARLOS ARTURO</v>
          </cell>
          <cell r="F2671" t="str">
            <v>RODRIGUEZ GARZON</v>
          </cell>
          <cell r="G2671" t="str">
            <v>RODRIGUEZ GARZON CARLOS ARTURO</v>
          </cell>
          <cell r="H2671" t="str">
            <v>FUNC</v>
          </cell>
          <cell r="I2671" t="str">
            <v>FUNCIONARIO</v>
          </cell>
          <cell r="J2671" t="str">
            <v>CR 92    148   86 TO  4 AP 301</v>
          </cell>
          <cell r="K2671" t="str">
            <v>08001</v>
          </cell>
          <cell r="L2671" t="str">
            <v>BARRANQUILLA</v>
          </cell>
          <cell r="M2671" t="str">
            <v>8647097</v>
          </cell>
        </row>
        <row r="2672">
          <cell r="A2672">
            <v>80409756</v>
          </cell>
          <cell r="B2672" t="str">
            <v>8</v>
          </cell>
          <cell r="C2672" t="str">
            <v/>
          </cell>
          <cell r="D2672" t="str">
            <v>NP</v>
          </cell>
          <cell r="E2672" t="str">
            <v>DIEGO</v>
          </cell>
          <cell r="F2672" t="str">
            <v>LOPEZ PINZON</v>
          </cell>
          <cell r="G2672" t="str">
            <v>LOPEZ PINZON DIEGO</v>
          </cell>
          <cell r="H2672" t="str">
            <v>RECO</v>
          </cell>
          <cell r="I2672" t="str">
            <v>REGIMEN COMUN</v>
          </cell>
          <cell r="J2672" t="str">
            <v>KM 16 AUT MEDELLIN HC TRINIDAD</v>
          </cell>
          <cell r="K2672" t="str">
            <v>25260</v>
          </cell>
          <cell r="L2672" t="str">
            <v>EL ROSAL</v>
          </cell>
          <cell r="M2672" t="str">
            <v>3114400139</v>
          </cell>
        </row>
        <row r="2673">
          <cell r="A2673">
            <v>80414977</v>
          </cell>
          <cell r="B2673" t="str">
            <v>9</v>
          </cell>
          <cell r="C2673" t="str">
            <v/>
          </cell>
          <cell r="D2673" t="str">
            <v>NP</v>
          </cell>
          <cell r="E2673" t="str">
            <v>GERMAN EDUARDO</v>
          </cell>
          <cell r="F2673" t="str">
            <v>PULIDO DAZA</v>
          </cell>
          <cell r="G2673" t="str">
            <v>PULIDO DAZA GERMAN EDUARDO</v>
          </cell>
          <cell r="H2673" t="str">
            <v>RECO</v>
          </cell>
          <cell r="I2673" t="str">
            <v>REGIMEN COMUN</v>
          </cell>
          <cell r="J2673" t="str">
            <v>CL 15 15 59</v>
          </cell>
          <cell r="K2673" t="str">
            <v>85001</v>
          </cell>
          <cell r="L2673" t="str">
            <v>YOPAL</v>
          </cell>
          <cell r="M2673" t="str">
            <v>6357002</v>
          </cell>
        </row>
        <row r="2674">
          <cell r="A2674">
            <v>80425150</v>
          </cell>
          <cell r="B2674" t="str">
            <v>2</v>
          </cell>
          <cell r="C2674" t="str">
            <v/>
          </cell>
          <cell r="D2674" t="str">
            <v>NP</v>
          </cell>
          <cell r="E2674" t="str">
            <v>JHON HENRY</v>
          </cell>
          <cell r="F2674" t="str">
            <v>BETANCUR HINCAPIE</v>
          </cell>
          <cell r="G2674" t="str">
            <v>BETANCUR HINCAPIE JHON HENRY</v>
          </cell>
          <cell r="H2674" t="str">
            <v>RCPN</v>
          </cell>
          <cell r="I2674" t="str">
            <v>RESPONSABLE IVA PERSONA NATURAL</v>
          </cell>
          <cell r="J2674" t="str">
            <v>CR 24 N 20 22</v>
          </cell>
          <cell r="K2674" t="str">
            <v>17001</v>
          </cell>
          <cell r="L2674" t="str">
            <v>MANIZALES</v>
          </cell>
          <cell r="M2674" t="str">
            <v>8806809</v>
          </cell>
        </row>
        <row r="2675">
          <cell r="A2675">
            <v>80431445</v>
          </cell>
          <cell r="B2675" t="str">
            <v/>
          </cell>
          <cell r="C2675" t="str">
            <v/>
          </cell>
          <cell r="D2675" t="str">
            <v>CC</v>
          </cell>
          <cell r="E2675" t="str">
            <v>JUAN ROBERTO</v>
          </cell>
          <cell r="F2675" t="str">
            <v>LEON RODRIGUEZ</v>
          </cell>
          <cell r="G2675" t="str">
            <v>LEON RODRIGUEZ JUAN ROBERTO</v>
          </cell>
          <cell r="H2675" t="str">
            <v>FUNC</v>
          </cell>
          <cell r="I2675" t="str">
            <v>FUNCIONARIO</v>
          </cell>
          <cell r="J2675" t="str">
            <v>CR 1   1   45</v>
          </cell>
          <cell r="K2675" t="str">
            <v>97001</v>
          </cell>
          <cell r="L2675" t="str">
            <v>MITÚ</v>
          </cell>
          <cell r="M2675" t="str">
            <v>3002508828</v>
          </cell>
        </row>
        <row r="2676">
          <cell r="A2676">
            <v>80432630</v>
          </cell>
          <cell r="B2676" t="str">
            <v>5</v>
          </cell>
          <cell r="C2676" t="str">
            <v/>
          </cell>
          <cell r="D2676" t="str">
            <v>NP</v>
          </cell>
          <cell r="E2676" t="str">
            <v>JOSE DANILO</v>
          </cell>
          <cell r="F2676" t="str">
            <v>BAQUERO PERILLA</v>
          </cell>
          <cell r="G2676" t="str">
            <v>BAQUERO PERILLA JOSE DANILO</v>
          </cell>
          <cell r="H2676" t="str">
            <v>RESI</v>
          </cell>
          <cell r="I2676" t="str">
            <v>REGIMEN SIMPLIFICADO</v>
          </cell>
          <cell r="J2676" t="str">
            <v>CL 4   3   91</v>
          </cell>
          <cell r="K2676" t="str">
            <v>25758</v>
          </cell>
          <cell r="L2676" t="str">
            <v>SOPÓ</v>
          </cell>
          <cell r="M2676" t="str">
            <v>3115413717</v>
          </cell>
        </row>
        <row r="2677">
          <cell r="A2677">
            <v>80440850</v>
          </cell>
          <cell r="B2677" t="str">
            <v>2</v>
          </cell>
          <cell r="C2677" t="str">
            <v/>
          </cell>
          <cell r="D2677" t="str">
            <v>NP</v>
          </cell>
          <cell r="E2677" t="str">
            <v>RICARDO</v>
          </cell>
          <cell r="F2677" t="str">
            <v>OROBAJO PORTILLA</v>
          </cell>
          <cell r="G2677" t="str">
            <v>OROBAJO PORTILLA RICARDO</v>
          </cell>
          <cell r="H2677" t="str">
            <v>RESI</v>
          </cell>
          <cell r="I2677" t="str">
            <v>REGIMEN SIMPLIFICADO</v>
          </cell>
          <cell r="J2677" t="str">
            <v>CL 22 BIS   43 B 56</v>
          </cell>
          <cell r="K2677" t="str">
            <v>11001</v>
          </cell>
          <cell r="L2677" t="str">
            <v>BOGOTA DC</v>
          </cell>
          <cell r="M2677" t="str">
            <v>7567099</v>
          </cell>
        </row>
        <row r="2678">
          <cell r="A2678">
            <v>80472204</v>
          </cell>
          <cell r="B2678" t="str">
            <v>1</v>
          </cell>
          <cell r="C2678" t="str">
            <v/>
          </cell>
          <cell r="D2678" t="str">
            <v>NP</v>
          </cell>
          <cell r="E2678" t="str">
            <v>DAVID SANTIAGO</v>
          </cell>
          <cell r="F2678" t="str">
            <v>FIGUEROA FORERO</v>
          </cell>
          <cell r="G2678" t="str">
            <v>FIGUEROA FORERO DAVID SANTIAGO</v>
          </cell>
          <cell r="H2678" t="str">
            <v>RESI</v>
          </cell>
          <cell r="I2678" t="str">
            <v>REGIMEN SIMPLIFICADO</v>
          </cell>
          <cell r="J2678" t="str">
            <v>CR 16 A 137 29 AP 405</v>
          </cell>
          <cell r="K2678" t="str">
            <v>11001</v>
          </cell>
          <cell r="L2678" t="str">
            <v>BOGOTA DC</v>
          </cell>
          <cell r="M2678" t="str">
            <v>3214818119</v>
          </cell>
        </row>
        <row r="2679">
          <cell r="A2679">
            <v>80496898</v>
          </cell>
          <cell r="B2679" t="str">
            <v>6</v>
          </cell>
          <cell r="C2679" t="str">
            <v/>
          </cell>
          <cell r="D2679" t="str">
            <v>NP</v>
          </cell>
          <cell r="E2679" t="str">
            <v>JHON JAIRO</v>
          </cell>
          <cell r="F2679" t="str">
            <v>NIETO VALDERRAMA</v>
          </cell>
          <cell r="G2679" t="str">
            <v>NIETO VALDERRAMA JHON JAIRO</v>
          </cell>
          <cell r="H2679" t="str">
            <v>RESI</v>
          </cell>
          <cell r="I2679" t="str">
            <v>REGIMEN SIMPLIFICADO</v>
          </cell>
          <cell r="J2679" t="str">
            <v>AER VANGUARDIA VILLAVICENCIO</v>
          </cell>
          <cell r="K2679" t="str">
            <v>50001</v>
          </cell>
          <cell r="L2679" t="str">
            <v>VILLAVICENCIO</v>
          </cell>
          <cell r="M2679" t="str">
            <v>6648659</v>
          </cell>
        </row>
        <row r="2680">
          <cell r="A2680">
            <v>80502949</v>
          </cell>
          <cell r="B2680" t="str">
            <v>1</v>
          </cell>
          <cell r="C2680" t="str">
            <v/>
          </cell>
          <cell r="D2680" t="str">
            <v>NP</v>
          </cell>
          <cell r="E2680" t="str">
            <v>EDUARD</v>
          </cell>
          <cell r="F2680" t="str">
            <v>JUNCA DIAZ</v>
          </cell>
          <cell r="G2680" t="str">
            <v>JUNCA DIAZ EDUARD</v>
          </cell>
          <cell r="H2680" t="str">
            <v>RESI</v>
          </cell>
          <cell r="I2680" t="str">
            <v>REGIMEN SIMPLIFICADO</v>
          </cell>
          <cell r="J2680" t="str">
            <v>AC 183   7 C   39</v>
          </cell>
          <cell r="K2680" t="str">
            <v>11001</v>
          </cell>
          <cell r="L2680" t="str">
            <v>BOGOTA DC</v>
          </cell>
          <cell r="M2680" t="str">
            <v>3112804961</v>
          </cell>
        </row>
        <row r="2681">
          <cell r="A2681">
            <v>80512683</v>
          </cell>
          <cell r="B2681" t="str">
            <v>9</v>
          </cell>
          <cell r="C2681" t="str">
            <v/>
          </cell>
          <cell r="D2681" t="str">
            <v>NP</v>
          </cell>
          <cell r="E2681" t="str">
            <v>ALEXANDER</v>
          </cell>
          <cell r="F2681" t="str">
            <v>NUÑEZ SANABRIA</v>
          </cell>
          <cell r="G2681" t="str">
            <v>NUÑEZ SANABRIA ALEXANDER</v>
          </cell>
          <cell r="H2681" t="str">
            <v>IMVE</v>
          </cell>
          <cell r="I2681" t="str">
            <v>IMPUESTO SOBRE LAS VENTAS</v>
          </cell>
          <cell r="J2681" t="str">
            <v>CR 27  11  10</v>
          </cell>
          <cell r="K2681" t="str">
            <v>17001</v>
          </cell>
          <cell r="L2681" t="str">
            <v>MANIZALES</v>
          </cell>
          <cell r="M2681" t="str">
            <v>3203419877</v>
          </cell>
        </row>
        <row r="2682">
          <cell r="A2682">
            <v>80539780</v>
          </cell>
          <cell r="B2682" t="str">
            <v>2</v>
          </cell>
          <cell r="C2682" t="str">
            <v/>
          </cell>
          <cell r="D2682" t="str">
            <v>NP</v>
          </cell>
          <cell r="E2682" t="str">
            <v>IVAN</v>
          </cell>
          <cell r="F2682" t="str">
            <v>SANTANA LADINO</v>
          </cell>
          <cell r="G2682" t="str">
            <v>SANTANA LADINO IVAN</v>
          </cell>
          <cell r="H2682" t="str">
            <v>REOR</v>
          </cell>
          <cell r="I2682" t="str">
            <v>RENTA REGIMEN ORDINARIO</v>
          </cell>
          <cell r="J2682" t="str">
            <v>CR 28 A 23 21 BRR ROSALES PAIPA</v>
          </cell>
          <cell r="K2682" t="str">
            <v>17001</v>
          </cell>
          <cell r="L2682" t="str">
            <v>MANIZALES</v>
          </cell>
          <cell r="M2682" t="str">
            <v>3102359748</v>
          </cell>
        </row>
        <row r="2683">
          <cell r="A2683">
            <v>80773312</v>
          </cell>
          <cell r="B2683" t="str">
            <v>0</v>
          </cell>
          <cell r="C2683" t="str">
            <v/>
          </cell>
          <cell r="D2683" t="str">
            <v>NP</v>
          </cell>
          <cell r="E2683" t="str">
            <v>LUIS HUMBERTO</v>
          </cell>
          <cell r="F2683" t="str">
            <v>CABRERA PEREZ</v>
          </cell>
          <cell r="G2683" t="str">
            <v>CABRERA PEREZ LUIS HUMBERTO</v>
          </cell>
          <cell r="H2683" t="str">
            <v>RESI</v>
          </cell>
          <cell r="I2683" t="str">
            <v>REGIMEN SIMPLIFICADO</v>
          </cell>
          <cell r="J2683" t="str">
            <v>CR 19 A   19   36</v>
          </cell>
          <cell r="K2683" t="str">
            <v>85001</v>
          </cell>
          <cell r="L2683" t="str">
            <v>YOPAL</v>
          </cell>
          <cell r="M2683" t="str">
            <v>6322432</v>
          </cell>
        </row>
        <row r="2684">
          <cell r="A2684">
            <v>80796480</v>
          </cell>
          <cell r="B2684" t="str">
            <v>9</v>
          </cell>
          <cell r="C2684" t="str">
            <v/>
          </cell>
          <cell r="D2684" t="str">
            <v>NP</v>
          </cell>
          <cell r="E2684" t="str">
            <v>RUBEN DARIO</v>
          </cell>
          <cell r="F2684" t="str">
            <v>GARCIA REINA</v>
          </cell>
          <cell r="G2684" t="str">
            <v>GARCIA REINA RUBEN DARIO</v>
          </cell>
          <cell r="H2684" t="str">
            <v>NORE</v>
          </cell>
          <cell r="I2684" t="str">
            <v>NO RESPONSABLE DE IVA</v>
          </cell>
          <cell r="J2684" t="str">
            <v xml:space="preserve"> TV 19 # 27-78</v>
          </cell>
          <cell r="K2684" t="str">
            <v>15238</v>
          </cell>
          <cell r="L2684" t="str">
            <v>DUITAMA</v>
          </cell>
          <cell r="M2684" t="str">
            <v>3044603801</v>
          </cell>
        </row>
        <row r="2685">
          <cell r="A2685">
            <v>80820351</v>
          </cell>
          <cell r="B2685" t="str">
            <v/>
          </cell>
          <cell r="C2685" t="str">
            <v/>
          </cell>
          <cell r="D2685" t="str">
            <v>CC</v>
          </cell>
          <cell r="E2685" t="str">
            <v>HENRY</v>
          </cell>
          <cell r="F2685" t="str">
            <v>VERA</v>
          </cell>
          <cell r="G2685" t="str">
            <v>VERA HENRY</v>
          </cell>
          <cell r="H2685" t="str">
            <v>RESI</v>
          </cell>
          <cell r="I2685" t="str">
            <v>REGIMEN SIMPLIFICADO</v>
          </cell>
          <cell r="J2685" t="str">
            <v>MCP LETICIA C 1410</v>
          </cell>
          <cell r="K2685" t="str">
            <v>91001</v>
          </cell>
          <cell r="L2685" t="str">
            <v>LETICIA</v>
          </cell>
          <cell r="M2685" t="str">
            <v>3213439193</v>
          </cell>
        </row>
        <row r="2686">
          <cell r="A2686">
            <v>80831416</v>
          </cell>
          <cell r="B2686" t="str">
            <v/>
          </cell>
          <cell r="C2686" t="str">
            <v/>
          </cell>
          <cell r="D2686" t="str">
            <v>CC</v>
          </cell>
          <cell r="E2686" t="str">
            <v>ELKIN DARIO</v>
          </cell>
          <cell r="F2686" t="str">
            <v>HINESTROZA SEGURA</v>
          </cell>
          <cell r="G2686" t="str">
            <v>HINESTROZA SEGURA ELKIN DARIO</v>
          </cell>
          <cell r="H2686" t="str">
            <v>FUNC</v>
          </cell>
          <cell r="I2686" t="str">
            <v>FUNCIONARIO</v>
          </cell>
          <cell r="J2686" t="str">
            <v>CR 17   30   42</v>
          </cell>
          <cell r="K2686" t="str">
            <v>17001</v>
          </cell>
          <cell r="L2686" t="str">
            <v>MANIZALES</v>
          </cell>
          <cell r="M2686" t="str">
            <v>3104279269</v>
          </cell>
        </row>
        <row r="2687">
          <cell r="A2687">
            <v>80873396</v>
          </cell>
          <cell r="B2687" t="str">
            <v>8</v>
          </cell>
          <cell r="C2687" t="str">
            <v/>
          </cell>
          <cell r="D2687" t="str">
            <v>NP</v>
          </cell>
          <cell r="E2687" t="str">
            <v>FERNANDO MARIO</v>
          </cell>
          <cell r="F2687" t="str">
            <v>ARTETA CHAPMAN</v>
          </cell>
          <cell r="G2687" t="str">
            <v>ARTETA CHAPMAN FERNANDO MARIO</v>
          </cell>
          <cell r="H2687" t="str">
            <v>RESI</v>
          </cell>
          <cell r="I2687" t="str">
            <v>REGIMEN SIMPLIFICADO</v>
          </cell>
          <cell r="J2687" t="str">
            <v>CR 57   85   32 AP 4</v>
          </cell>
          <cell r="K2687" t="str">
            <v>08001</v>
          </cell>
          <cell r="L2687" t="str">
            <v>BARRANQUILLA</v>
          </cell>
          <cell r="M2687" t="str">
            <v>3605513</v>
          </cell>
        </row>
        <row r="2688">
          <cell r="A2688">
            <v>80883118</v>
          </cell>
          <cell r="B2688" t="str">
            <v>1</v>
          </cell>
          <cell r="C2688" t="str">
            <v/>
          </cell>
          <cell r="D2688" t="str">
            <v>NP</v>
          </cell>
          <cell r="E2688" t="str">
            <v>DIEGO ALEXANDER</v>
          </cell>
          <cell r="F2688" t="str">
            <v>GUEVARA ORTIZ</v>
          </cell>
          <cell r="G2688" t="str">
            <v>GUEVARA ORTIZ DIEGO ALEXANDER</v>
          </cell>
          <cell r="H2688" t="str">
            <v>RECO</v>
          </cell>
          <cell r="I2688" t="str">
            <v>REGIMEN COMUN</v>
          </cell>
          <cell r="J2688" t="str">
            <v>AV 15 12 98 BRR CENTRO</v>
          </cell>
          <cell r="K2688" t="str">
            <v>97001</v>
          </cell>
          <cell r="L2688" t="str">
            <v>MITÚ</v>
          </cell>
          <cell r="M2688" t="str">
            <v>5642023</v>
          </cell>
        </row>
        <row r="2689">
          <cell r="A2689">
            <v>82010004</v>
          </cell>
          <cell r="B2689" t="str">
            <v/>
          </cell>
          <cell r="C2689" t="str">
            <v/>
          </cell>
          <cell r="D2689" t="str">
            <v>CC</v>
          </cell>
          <cell r="E2689" t="str">
            <v>ARISTARCO</v>
          </cell>
          <cell r="F2689" t="str">
            <v>LANA SABUGARA</v>
          </cell>
          <cell r="G2689" t="str">
            <v>LANA SABUGARA ARISTARCO</v>
          </cell>
          <cell r="H2689" t="str">
            <v>RESI</v>
          </cell>
          <cell r="I2689" t="str">
            <v>REGIMEN SIMPLIFICADO</v>
          </cell>
          <cell r="J2689" t="str">
            <v>COMUN INDIGENA BOROBORO</v>
          </cell>
          <cell r="K2689" t="str">
            <v>27075</v>
          </cell>
          <cell r="L2689" t="str">
            <v>BAHÍA SOLANO</v>
          </cell>
          <cell r="M2689" t="str">
            <v>3206530086</v>
          </cell>
        </row>
        <row r="2690">
          <cell r="A2690">
            <v>82330264</v>
          </cell>
          <cell r="B2690" t="str">
            <v/>
          </cell>
          <cell r="C2690" t="str">
            <v/>
          </cell>
          <cell r="D2690" t="str">
            <v>CC</v>
          </cell>
          <cell r="E2690" t="str">
            <v>CARMEN JULIO</v>
          </cell>
          <cell r="F2690" t="str">
            <v>PARRA MARMOLEJO</v>
          </cell>
          <cell r="G2690" t="str">
            <v>PARRA MARMOLEJO CARMEN JULIO</v>
          </cell>
          <cell r="H2690" t="str">
            <v>FUNC</v>
          </cell>
          <cell r="I2690" t="str">
            <v>FUNCIONARIO</v>
          </cell>
          <cell r="J2690" t="str">
            <v>ACANDI</v>
          </cell>
          <cell r="K2690" t="str">
            <v>27006</v>
          </cell>
          <cell r="L2690" t="str">
            <v>ACANDÍ</v>
          </cell>
          <cell r="M2690" t="str">
            <v>3148838597</v>
          </cell>
        </row>
        <row r="2691">
          <cell r="A2691">
            <v>82330520</v>
          </cell>
          <cell r="B2691" t="str">
            <v/>
          </cell>
          <cell r="C2691" t="str">
            <v/>
          </cell>
          <cell r="D2691" t="str">
            <v>CC</v>
          </cell>
          <cell r="E2691" t="str">
            <v>RUBEN</v>
          </cell>
          <cell r="F2691" t="str">
            <v>ROMAÑA ROMAÑA</v>
          </cell>
          <cell r="G2691" t="str">
            <v>ROMAÑA ROMAÑA RUBEN</v>
          </cell>
          <cell r="H2691" t="str">
            <v>RESI</v>
          </cell>
          <cell r="I2691" t="str">
            <v>REGIMEN SIMPLIFICADO</v>
          </cell>
          <cell r="J2691" t="str">
            <v>PEÑALOSA ACANDI</v>
          </cell>
          <cell r="K2691" t="str">
            <v>27006</v>
          </cell>
          <cell r="L2691" t="str">
            <v>ACANDÍ</v>
          </cell>
          <cell r="M2691" t="str">
            <v>5201230</v>
          </cell>
        </row>
        <row r="2692">
          <cell r="A2692">
            <v>82330589</v>
          </cell>
          <cell r="B2692" t="str">
            <v>1</v>
          </cell>
          <cell r="C2692" t="str">
            <v/>
          </cell>
          <cell r="D2692" t="str">
            <v>NP</v>
          </cell>
          <cell r="E2692" t="str">
            <v>JOSE ALBERTO</v>
          </cell>
          <cell r="F2692" t="str">
            <v>BALLESTEROS GARCES</v>
          </cell>
          <cell r="G2692" t="str">
            <v>BALLESTEROS GARCES JOSE ALBERTO</v>
          </cell>
          <cell r="H2692" t="str">
            <v>RESI</v>
          </cell>
          <cell r="I2692" t="str">
            <v>REGIMEN SIMPLIFICADO</v>
          </cell>
          <cell r="J2692" t="str">
            <v>CL ALCIDEZ FERNANDEZ</v>
          </cell>
          <cell r="K2692" t="str">
            <v>27006</v>
          </cell>
          <cell r="L2692" t="str">
            <v>ACANDÍ</v>
          </cell>
          <cell r="M2692" t="str">
            <v>3128321717</v>
          </cell>
        </row>
        <row r="2693">
          <cell r="A2693">
            <v>82332018</v>
          </cell>
          <cell r="B2693" t="str">
            <v/>
          </cell>
          <cell r="C2693" t="str">
            <v/>
          </cell>
          <cell r="D2693" t="str">
            <v>CC</v>
          </cell>
          <cell r="E2693" t="str">
            <v>PABLO</v>
          </cell>
          <cell r="F2693" t="str">
            <v>DIAZ VECINO</v>
          </cell>
          <cell r="G2693" t="str">
            <v>DIAZ VECINO PABLO</v>
          </cell>
          <cell r="H2693" t="str">
            <v>RESI</v>
          </cell>
          <cell r="I2693" t="str">
            <v>REGIMEN SIMPLIFICADO</v>
          </cell>
          <cell r="J2693" t="str">
            <v>MLL ALD ACANDI</v>
          </cell>
          <cell r="K2693" t="str">
            <v>27006</v>
          </cell>
          <cell r="L2693" t="str">
            <v>ACANDÍ</v>
          </cell>
          <cell r="M2693" t="str">
            <v>3105028014</v>
          </cell>
        </row>
        <row r="2694">
          <cell r="A2694">
            <v>82332040</v>
          </cell>
          <cell r="B2694" t="str">
            <v/>
          </cell>
          <cell r="C2694" t="str">
            <v/>
          </cell>
          <cell r="D2694" t="str">
            <v>CC</v>
          </cell>
          <cell r="E2694" t="str">
            <v>RONALD</v>
          </cell>
          <cell r="F2694" t="str">
            <v>OYOLA MARTINEZ</v>
          </cell>
          <cell r="G2694" t="str">
            <v>OYOLA MARTINEZ RONALD</v>
          </cell>
          <cell r="H2694" t="str">
            <v>FUNC</v>
          </cell>
          <cell r="I2694" t="str">
            <v>FUNCIONARIO</v>
          </cell>
          <cell r="J2694" t="str">
            <v>ACANDÍ</v>
          </cell>
          <cell r="K2694" t="str">
            <v>17001</v>
          </cell>
          <cell r="L2694" t="str">
            <v>MANIZALES</v>
          </cell>
          <cell r="M2694" t="str">
            <v>3207252800</v>
          </cell>
        </row>
        <row r="2695">
          <cell r="A2695">
            <v>82332143</v>
          </cell>
          <cell r="B2695" t="str">
            <v/>
          </cell>
          <cell r="C2695" t="str">
            <v/>
          </cell>
          <cell r="D2695" t="str">
            <v>CC</v>
          </cell>
          <cell r="E2695" t="str">
            <v>ADALBERTO</v>
          </cell>
          <cell r="F2695" t="str">
            <v>ALVAREZ GONZALEZ</v>
          </cell>
          <cell r="G2695" t="str">
            <v>ALVAREZ GONZALEZ ADALBERTO</v>
          </cell>
          <cell r="H2695" t="str">
            <v>RESI</v>
          </cell>
          <cell r="I2695" t="str">
            <v>REGIMEN SIMPLIFICADO</v>
          </cell>
          <cell r="J2695" t="str">
            <v>CL MEDIA LUNA</v>
          </cell>
          <cell r="K2695" t="str">
            <v>27006</v>
          </cell>
          <cell r="L2695" t="str">
            <v>ACANDÍ</v>
          </cell>
          <cell r="M2695" t="str">
            <v>3127267655</v>
          </cell>
        </row>
        <row r="2696">
          <cell r="A2696">
            <v>82384610</v>
          </cell>
          <cell r="B2696" t="str">
            <v/>
          </cell>
          <cell r="C2696" t="str">
            <v/>
          </cell>
          <cell r="D2696" t="str">
            <v>CC</v>
          </cell>
          <cell r="E2696" t="str">
            <v>ISIDORA</v>
          </cell>
          <cell r="F2696" t="str">
            <v>TAPI MACHUCA</v>
          </cell>
          <cell r="G2696" t="str">
            <v>TAPI MACHUCA ISIDORA</v>
          </cell>
          <cell r="H2696" t="str">
            <v>RESI</v>
          </cell>
          <cell r="I2696" t="str">
            <v>REGIMEN SIMPLIFICADO</v>
          </cell>
          <cell r="J2696" t="str">
            <v>CORREGIMIENTO EL VALLE</v>
          </cell>
          <cell r="K2696" t="str">
            <v>17001</v>
          </cell>
          <cell r="L2696" t="str">
            <v>MANIZALES</v>
          </cell>
          <cell r="M2696" t="str">
            <v>3218460163</v>
          </cell>
        </row>
        <row r="2697">
          <cell r="A2697">
            <v>82384616</v>
          </cell>
          <cell r="B2697" t="str">
            <v/>
          </cell>
          <cell r="C2697" t="str">
            <v/>
          </cell>
          <cell r="D2697" t="str">
            <v>CC</v>
          </cell>
          <cell r="E2697" t="str">
            <v>RAFAEL ARISTO</v>
          </cell>
          <cell r="F2697" t="str">
            <v>PINILLA VALOIS</v>
          </cell>
          <cell r="G2697" t="str">
            <v>PINILLA VALOIS RAFAEL ARISTO</v>
          </cell>
          <cell r="H2697" t="str">
            <v>FUNC</v>
          </cell>
          <cell r="I2697" t="str">
            <v>FUNCIONARIO</v>
          </cell>
          <cell r="J2697" t="str">
            <v>bahia solano</v>
          </cell>
          <cell r="K2697" t="str">
            <v>27075</v>
          </cell>
          <cell r="L2697" t="str">
            <v>BAHÍA SOLANO</v>
          </cell>
          <cell r="M2697" t="str">
            <v>8756262</v>
          </cell>
        </row>
        <row r="2698">
          <cell r="A2698">
            <v>82384621</v>
          </cell>
          <cell r="B2698" t="str">
            <v/>
          </cell>
          <cell r="C2698" t="str">
            <v/>
          </cell>
          <cell r="D2698" t="str">
            <v>CC</v>
          </cell>
          <cell r="E2698" t="str">
            <v>EFREN</v>
          </cell>
          <cell r="F2698" t="str">
            <v>VALOIS MOSQUERA</v>
          </cell>
          <cell r="G2698" t="str">
            <v>VALOIS MOSQUERA EFREN</v>
          </cell>
          <cell r="H2698" t="str">
            <v>FUNC</v>
          </cell>
          <cell r="I2698" t="str">
            <v>FUNCIONARIO</v>
          </cell>
          <cell r="J2698" t="str">
            <v>C CUPICA</v>
          </cell>
          <cell r="K2698" t="str">
            <v>27075</v>
          </cell>
          <cell r="L2698" t="str">
            <v>BAHÍA SOLANO</v>
          </cell>
          <cell r="M2698" t="str">
            <v>8756262</v>
          </cell>
        </row>
        <row r="2699">
          <cell r="A2699">
            <v>82384623</v>
          </cell>
          <cell r="B2699" t="str">
            <v/>
          </cell>
          <cell r="C2699" t="str">
            <v/>
          </cell>
          <cell r="D2699" t="str">
            <v>CC</v>
          </cell>
          <cell r="E2699" t="str">
            <v>LUIS HERN</v>
          </cell>
          <cell r="F2699" t="str">
            <v>SANCLEMENTE BELTRAN</v>
          </cell>
          <cell r="G2699" t="str">
            <v>SANCLEMENTE BELTRAN LUIS HERN</v>
          </cell>
          <cell r="H2699" t="str">
            <v>FUNC</v>
          </cell>
          <cell r="I2699" t="str">
            <v>FUNCIONARIO</v>
          </cell>
          <cell r="J2699" t="str">
            <v>C CUPICA</v>
          </cell>
          <cell r="K2699" t="str">
            <v>27075</v>
          </cell>
          <cell r="L2699" t="str">
            <v>BAHÍA SOLANO</v>
          </cell>
          <cell r="M2699" t="str">
            <v>8756262</v>
          </cell>
        </row>
        <row r="2700">
          <cell r="A2700">
            <v>82384626</v>
          </cell>
          <cell r="B2700" t="str">
            <v>6</v>
          </cell>
          <cell r="C2700" t="str">
            <v/>
          </cell>
          <cell r="D2700" t="str">
            <v>NP</v>
          </cell>
          <cell r="E2700" t="str">
            <v>OSCAR</v>
          </cell>
          <cell r="F2700" t="str">
            <v>BELTRAN MOSQUERA</v>
          </cell>
          <cell r="G2700" t="str">
            <v>BELTRAN MOSQUERA OSCAR</v>
          </cell>
          <cell r="H2700" t="str">
            <v>REOR</v>
          </cell>
          <cell r="I2700" t="str">
            <v>RENTA REGIMEN ORDINARIO</v>
          </cell>
          <cell r="J2700" t="str">
            <v>BRR FILLO CASTRO</v>
          </cell>
          <cell r="K2700" t="str">
            <v>27075</v>
          </cell>
          <cell r="L2700" t="str">
            <v>BAHÍA SOLANO</v>
          </cell>
          <cell r="M2700" t="str">
            <v>3105649497</v>
          </cell>
        </row>
        <row r="2701">
          <cell r="A2701">
            <v>82384724</v>
          </cell>
          <cell r="B2701" t="str">
            <v>1</v>
          </cell>
          <cell r="C2701" t="str">
            <v/>
          </cell>
          <cell r="D2701" t="str">
            <v>NP</v>
          </cell>
          <cell r="E2701" t="str">
            <v>CARLOS ARMANDO</v>
          </cell>
          <cell r="F2701" t="str">
            <v>BEJARANO ALVARADO</v>
          </cell>
          <cell r="G2701" t="str">
            <v>BEJARANO ALVARADO CARLOS ARMANDO</v>
          </cell>
          <cell r="H2701" t="str">
            <v>RESI</v>
          </cell>
          <cell r="I2701" t="str">
            <v>REGIMEN SIMPLIFICADO</v>
          </cell>
          <cell r="J2701" t="str">
            <v xml:space="preserve"> C EL VALLE</v>
          </cell>
          <cell r="K2701" t="str">
            <v>27075</v>
          </cell>
          <cell r="L2701" t="str">
            <v>BAHÍA SOLANO</v>
          </cell>
          <cell r="M2701" t="str">
            <v>3148644561</v>
          </cell>
        </row>
        <row r="2702">
          <cell r="A2702">
            <v>82385005</v>
          </cell>
          <cell r="B2702" t="str">
            <v>7</v>
          </cell>
          <cell r="C2702" t="str">
            <v/>
          </cell>
          <cell r="D2702" t="str">
            <v>NP</v>
          </cell>
          <cell r="E2702" t="str">
            <v>FRANCISCO JAVIER</v>
          </cell>
          <cell r="F2702" t="str">
            <v>MURILLO BERMUDEZ</v>
          </cell>
          <cell r="G2702" t="str">
            <v>MURILLO BERMUDEZ FRANCISCO JAVIER</v>
          </cell>
          <cell r="H2702" t="str">
            <v>RESI</v>
          </cell>
          <cell r="I2702" t="str">
            <v>REGIMEN SIMPLIFICADO</v>
          </cell>
          <cell r="J2702" t="str">
            <v>BRR CHOCOLATAL</v>
          </cell>
          <cell r="K2702" t="str">
            <v>27075</v>
          </cell>
          <cell r="L2702" t="str">
            <v>BAHÍA SOLANO</v>
          </cell>
          <cell r="M2702" t="str">
            <v>3104943726</v>
          </cell>
        </row>
        <row r="2703">
          <cell r="A2703">
            <v>82385064</v>
          </cell>
          <cell r="B2703" t="str">
            <v/>
          </cell>
          <cell r="C2703" t="str">
            <v/>
          </cell>
          <cell r="D2703" t="str">
            <v>CC</v>
          </cell>
          <cell r="E2703" t="str">
            <v xml:space="preserve">GUSTAVO </v>
          </cell>
          <cell r="F2703" t="str">
            <v>AMAGARA DOGIRAMA</v>
          </cell>
          <cell r="G2703" t="str">
            <v>AMAGARA DOGIRAMA GUSTAVO</v>
          </cell>
          <cell r="H2703" t="str">
            <v>FUNC</v>
          </cell>
          <cell r="I2703" t="str">
            <v>FUNCIONARIO</v>
          </cell>
          <cell r="J2703" t="str">
            <v>ZN COMUNIDAD INDIGENA BOBOROBORO</v>
          </cell>
          <cell r="K2703" t="str">
            <v>27075</v>
          </cell>
          <cell r="L2703" t="str">
            <v>BAHÍA SOLANO</v>
          </cell>
          <cell r="M2703" t="str">
            <v>5214291</v>
          </cell>
        </row>
        <row r="2704">
          <cell r="A2704">
            <v>82385094</v>
          </cell>
          <cell r="B2704" t="str">
            <v>2</v>
          </cell>
          <cell r="C2704" t="str">
            <v/>
          </cell>
          <cell r="D2704" t="str">
            <v>NP</v>
          </cell>
          <cell r="E2704" t="str">
            <v>HERNAN DARIO</v>
          </cell>
          <cell r="F2704" t="str">
            <v>VALOYES FLOREZ</v>
          </cell>
          <cell r="G2704" t="str">
            <v>VALOYES FLOREZ HERNAN DARIO</v>
          </cell>
          <cell r="H2704" t="str">
            <v>RESI</v>
          </cell>
          <cell r="I2704" t="str">
            <v>REGIMEN SIMPLIFICADO</v>
          </cell>
          <cell r="J2704" t="str">
            <v>CORR  EL VALLE</v>
          </cell>
          <cell r="K2704" t="str">
            <v>27075</v>
          </cell>
          <cell r="L2704" t="str">
            <v>BAHÍA SOLANO</v>
          </cell>
          <cell r="M2704" t="str">
            <v>3218300626</v>
          </cell>
        </row>
        <row r="2705">
          <cell r="A2705">
            <v>82385140</v>
          </cell>
          <cell r="B2705" t="str">
            <v/>
          </cell>
          <cell r="C2705" t="str">
            <v/>
          </cell>
          <cell r="D2705" t="str">
            <v>CC</v>
          </cell>
          <cell r="E2705" t="str">
            <v>LEDUARD</v>
          </cell>
          <cell r="F2705" t="str">
            <v>LOZANO PALACIOS</v>
          </cell>
          <cell r="G2705" t="str">
            <v>LOZANO PALACIOS LEDUARD</v>
          </cell>
          <cell r="H2705" t="str">
            <v>FUNC</v>
          </cell>
          <cell r="I2705" t="str">
            <v>FUNCIONARIO</v>
          </cell>
          <cell r="J2705" t="str">
            <v>MCP BAHIA SOLANO</v>
          </cell>
          <cell r="K2705" t="str">
            <v>27075</v>
          </cell>
          <cell r="L2705" t="str">
            <v>BAHÍA SOLANO</v>
          </cell>
          <cell r="M2705" t="str">
            <v>8756262</v>
          </cell>
        </row>
        <row r="2706">
          <cell r="A2706">
            <v>82385216</v>
          </cell>
          <cell r="B2706" t="str">
            <v/>
          </cell>
          <cell r="C2706" t="str">
            <v/>
          </cell>
          <cell r="D2706" t="str">
            <v>CC</v>
          </cell>
          <cell r="E2706" t="str">
            <v>DIEGO</v>
          </cell>
          <cell r="F2706" t="str">
            <v>GUAITOTO CAIZAMO</v>
          </cell>
          <cell r="G2706" t="str">
            <v>GUAITOTO CAIZAMO DIEGO</v>
          </cell>
          <cell r="H2706" t="str">
            <v>FUNC</v>
          </cell>
          <cell r="I2706" t="str">
            <v>FUNCIONARIO</v>
          </cell>
          <cell r="J2706" t="str">
            <v>ZN COMUN INDIGENA BOROBORO</v>
          </cell>
          <cell r="K2706" t="str">
            <v>27075</v>
          </cell>
          <cell r="L2706" t="str">
            <v>BAHÍA SOLANO</v>
          </cell>
          <cell r="M2706" t="str">
            <v>8756262</v>
          </cell>
        </row>
        <row r="2707">
          <cell r="A2707">
            <v>82385258</v>
          </cell>
          <cell r="B2707" t="str">
            <v/>
          </cell>
          <cell r="C2707" t="str">
            <v/>
          </cell>
          <cell r="D2707" t="str">
            <v>CC</v>
          </cell>
          <cell r="E2707" t="str">
            <v>YEMINSON</v>
          </cell>
          <cell r="F2707" t="str">
            <v>VALOIS FLOREZ</v>
          </cell>
          <cell r="G2707" t="str">
            <v>VALOIS FLOREZ YEMINSON</v>
          </cell>
          <cell r="H2707" t="str">
            <v>FUNC</v>
          </cell>
          <cell r="I2707" t="str">
            <v>FUNCIONARIO</v>
          </cell>
          <cell r="J2707" t="str">
            <v>BRR</v>
          </cell>
          <cell r="K2707" t="str">
            <v>27075</v>
          </cell>
          <cell r="L2707" t="str">
            <v>BAHÍA SOLANO</v>
          </cell>
          <cell r="M2707" t="str">
            <v>3207228195</v>
          </cell>
        </row>
        <row r="2708">
          <cell r="A2708">
            <v>82385291</v>
          </cell>
          <cell r="B2708" t="str">
            <v/>
          </cell>
          <cell r="C2708" t="str">
            <v/>
          </cell>
          <cell r="D2708" t="str">
            <v>CC</v>
          </cell>
          <cell r="E2708" t="str">
            <v>ALEX DARIO</v>
          </cell>
          <cell r="F2708" t="str">
            <v>MURILLO MANZUR</v>
          </cell>
          <cell r="G2708" t="str">
            <v>MURILLO MANZUR ALEX DARIO</v>
          </cell>
          <cell r="H2708" t="str">
            <v>FUNC</v>
          </cell>
          <cell r="I2708" t="str">
            <v>FUNCIONARIO</v>
          </cell>
          <cell r="J2708" t="str">
            <v>CL 46 A   12 B   64</v>
          </cell>
          <cell r="K2708" t="str">
            <v>97001</v>
          </cell>
          <cell r="L2708" t="str">
            <v>MITÚ</v>
          </cell>
          <cell r="M2708" t="str">
            <v>2329048</v>
          </cell>
        </row>
        <row r="2709">
          <cell r="A2709">
            <v>82385327</v>
          </cell>
          <cell r="B2709" t="str">
            <v>3</v>
          </cell>
          <cell r="C2709" t="str">
            <v/>
          </cell>
          <cell r="D2709" t="str">
            <v>NP</v>
          </cell>
          <cell r="E2709" t="str">
            <v>ANTONIO</v>
          </cell>
          <cell r="F2709" t="str">
            <v>BERMUDEZ MOSQUERA</v>
          </cell>
          <cell r="G2709" t="str">
            <v>BERMUDEZ MOSQUERA ANTONIO</v>
          </cell>
          <cell r="H2709" t="str">
            <v>FUNC</v>
          </cell>
          <cell r="I2709" t="str">
            <v>FUNCIONARIO</v>
          </cell>
          <cell r="J2709" t="str">
            <v>CORR  EL VALLE</v>
          </cell>
          <cell r="K2709" t="str">
            <v>27075</v>
          </cell>
          <cell r="L2709" t="str">
            <v>BAHÍA SOLANO</v>
          </cell>
          <cell r="M2709" t="str">
            <v>3104512442</v>
          </cell>
        </row>
        <row r="2710">
          <cell r="A2710">
            <v>82385462</v>
          </cell>
          <cell r="B2710" t="str">
            <v>1</v>
          </cell>
          <cell r="C2710" t="str">
            <v/>
          </cell>
          <cell r="D2710" t="str">
            <v>NP</v>
          </cell>
          <cell r="E2710" t="str">
            <v>DARWIN</v>
          </cell>
          <cell r="F2710" t="str">
            <v>MEDINA GUAITOTO</v>
          </cell>
          <cell r="G2710" t="str">
            <v>MEDINA GUAITOTO DARWIN</v>
          </cell>
          <cell r="H2710" t="str">
            <v>NORE</v>
          </cell>
          <cell r="I2710" t="str">
            <v>NO RESPONSABLE DE IVA</v>
          </cell>
          <cell r="J2710" t="str">
            <v>CL 24 11 48</v>
          </cell>
          <cell r="K2710" t="str">
            <v>17001</v>
          </cell>
          <cell r="L2710" t="str">
            <v>MANIZALES</v>
          </cell>
          <cell r="M2710" t="str">
            <v>3216287963</v>
          </cell>
        </row>
        <row r="2711">
          <cell r="A2711">
            <v>82385548</v>
          </cell>
          <cell r="B2711" t="str">
            <v/>
          </cell>
          <cell r="C2711" t="str">
            <v/>
          </cell>
          <cell r="D2711" t="str">
            <v>CC</v>
          </cell>
          <cell r="E2711" t="str">
            <v>OLBER</v>
          </cell>
          <cell r="F2711" t="str">
            <v>PEREA TEJADA</v>
          </cell>
          <cell r="G2711" t="str">
            <v>PEREA TEJADA OLBER</v>
          </cell>
          <cell r="H2711" t="str">
            <v>FUNC</v>
          </cell>
          <cell r="I2711" t="str">
            <v>FUNCIONARIO</v>
          </cell>
          <cell r="J2711" t="str">
            <v>BRR MIRA FLORES</v>
          </cell>
          <cell r="K2711" t="str">
            <v>27075</v>
          </cell>
          <cell r="L2711" t="str">
            <v>BAHÍA SOLANO</v>
          </cell>
          <cell r="M2711" t="str">
            <v>3212622054</v>
          </cell>
        </row>
        <row r="2712">
          <cell r="A2712">
            <v>82385561</v>
          </cell>
          <cell r="B2712" t="str">
            <v/>
          </cell>
          <cell r="C2712" t="str">
            <v/>
          </cell>
          <cell r="D2712" t="str">
            <v>CC</v>
          </cell>
          <cell r="E2712" t="str">
            <v>OSCAR</v>
          </cell>
          <cell r="F2712" t="str">
            <v>BELTRAN MOSQUERA</v>
          </cell>
          <cell r="G2712" t="str">
            <v>BELTRAN MOSQUERA OSCAR</v>
          </cell>
          <cell r="H2712" t="str">
            <v>FUNC</v>
          </cell>
          <cell r="I2712" t="str">
            <v>FUNCIONARIO</v>
          </cell>
          <cell r="J2712" t="str">
            <v>MCP BAHÍA SOLANO</v>
          </cell>
          <cell r="K2712" t="str">
            <v>27075</v>
          </cell>
          <cell r="L2712" t="str">
            <v>BAHÍA SOLANO</v>
          </cell>
          <cell r="M2712" t="str">
            <v>8756262</v>
          </cell>
        </row>
        <row r="2713">
          <cell r="A2713">
            <v>82385568</v>
          </cell>
          <cell r="B2713" t="str">
            <v/>
          </cell>
          <cell r="C2713" t="str">
            <v/>
          </cell>
          <cell r="D2713" t="str">
            <v>CC</v>
          </cell>
          <cell r="E2713" t="str">
            <v>ROGELIO</v>
          </cell>
          <cell r="F2713" t="str">
            <v>BARRIGÓN DOGIRAMA</v>
          </cell>
          <cell r="G2713" t="str">
            <v>BARRIGÓN DOGIRAMA ROGELIO</v>
          </cell>
          <cell r="H2713" t="str">
            <v>FUNC</v>
          </cell>
          <cell r="I2713" t="str">
            <v>FUNCIONARIO</v>
          </cell>
          <cell r="J2713" t="str">
            <v>COMUNIDAD INDIGENA BOROBORO</v>
          </cell>
          <cell r="K2713" t="str">
            <v>27075</v>
          </cell>
          <cell r="L2713" t="str">
            <v>BAHÍA SOLANO</v>
          </cell>
          <cell r="M2713" t="str">
            <v>321407617</v>
          </cell>
        </row>
        <row r="2714">
          <cell r="A2714">
            <v>82385585</v>
          </cell>
          <cell r="B2714" t="str">
            <v/>
          </cell>
          <cell r="C2714" t="str">
            <v/>
          </cell>
          <cell r="D2714" t="str">
            <v>CC</v>
          </cell>
          <cell r="E2714" t="str">
            <v>IGNACIO</v>
          </cell>
          <cell r="F2714" t="str">
            <v>CHAMI CANSARI</v>
          </cell>
          <cell r="G2714" t="str">
            <v>CHAMI CANSARI IGNACIO</v>
          </cell>
          <cell r="H2714" t="str">
            <v>FUNC</v>
          </cell>
          <cell r="I2714" t="str">
            <v>FUNCIONARIO</v>
          </cell>
          <cell r="J2714" t="str">
            <v>C EL VALLE</v>
          </cell>
          <cell r="K2714" t="str">
            <v>17001</v>
          </cell>
          <cell r="L2714" t="str">
            <v>MANIZALES</v>
          </cell>
          <cell r="M2714" t="str">
            <v>8524048</v>
          </cell>
        </row>
        <row r="2715">
          <cell r="A2715">
            <v>83230422</v>
          </cell>
          <cell r="B2715" t="str">
            <v>3</v>
          </cell>
          <cell r="C2715" t="str">
            <v/>
          </cell>
          <cell r="D2715" t="str">
            <v>NP</v>
          </cell>
          <cell r="E2715" t="str">
            <v>ABRAHAM</v>
          </cell>
          <cell r="F2715" t="str">
            <v>JOVEN CELIS</v>
          </cell>
          <cell r="G2715" t="str">
            <v>JOVEN CELIS ABRAHAM</v>
          </cell>
          <cell r="H2715" t="str">
            <v>RESI</v>
          </cell>
          <cell r="I2715" t="str">
            <v>REGIMEN SIMPLIFICADO</v>
          </cell>
          <cell r="J2715" t="str">
            <v>CL 5 8 11</v>
          </cell>
          <cell r="K2715" t="str">
            <v>99624</v>
          </cell>
          <cell r="L2715" t="str">
            <v>SANTA ROSALÍA</v>
          </cell>
          <cell r="M2715" t="str">
            <v>3222194094</v>
          </cell>
        </row>
        <row r="2716">
          <cell r="A2716">
            <v>84075318</v>
          </cell>
          <cell r="B2716" t="str">
            <v/>
          </cell>
          <cell r="C2716" t="str">
            <v/>
          </cell>
          <cell r="D2716" t="str">
            <v>CC</v>
          </cell>
          <cell r="E2716" t="str">
            <v>RICARDO JOSE</v>
          </cell>
          <cell r="F2716" t="str">
            <v>BRITO BAEZ</v>
          </cell>
          <cell r="G2716" t="str">
            <v>BRITO BAEZ RICARDO JOSE</v>
          </cell>
          <cell r="H2716" t="str">
            <v>RESI</v>
          </cell>
          <cell r="I2716" t="str">
            <v>REGIMEN SIMPLIFICADO</v>
          </cell>
          <cell r="J2716" t="str">
            <v>SEC FLOR DE MAYO NAZARETH</v>
          </cell>
          <cell r="K2716" t="str">
            <v>44279</v>
          </cell>
          <cell r="L2716" t="str">
            <v>FONSECA</v>
          </cell>
          <cell r="M2716" t="str">
            <v>3126545328</v>
          </cell>
        </row>
        <row r="2717">
          <cell r="A2717">
            <v>84080296</v>
          </cell>
          <cell r="B2717" t="str">
            <v>0</v>
          </cell>
          <cell r="C2717" t="str">
            <v/>
          </cell>
          <cell r="D2717" t="str">
            <v>NP</v>
          </cell>
          <cell r="E2717" t="str">
            <v>NAGUIB</v>
          </cell>
          <cell r="F2717" t="str">
            <v>GUTIERREZ</v>
          </cell>
          <cell r="G2717" t="str">
            <v>GUTIERREZ  NAGUIB</v>
          </cell>
          <cell r="H2717" t="str">
            <v>RESI</v>
          </cell>
          <cell r="I2717" t="str">
            <v>REGIMEN SIMPLIFICADO</v>
          </cell>
          <cell r="J2717" t="str">
            <v>CL 45   45-46 URB EL PARQUE</v>
          </cell>
          <cell r="K2717" t="str">
            <v>08001</v>
          </cell>
          <cell r="L2717" t="str">
            <v>BARRANQUILLA</v>
          </cell>
          <cell r="M2717" t="str">
            <v>3008023401</v>
          </cell>
        </row>
        <row r="2718">
          <cell r="A2718">
            <v>84084275</v>
          </cell>
          <cell r="B2718" t="str">
            <v>4</v>
          </cell>
          <cell r="C2718" t="str">
            <v/>
          </cell>
          <cell r="D2718" t="str">
            <v>NP</v>
          </cell>
          <cell r="E2718" t="str">
            <v>JUAN CARLOS</v>
          </cell>
          <cell r="F2718" t="str">
            <v>BUENO BRITO</v>
          </cell>
          <cell r="G2718" t="str">
            <v>BUENO BRITO JUAN CARLOS</v>
          </cell>
          <cell r="H2718" t="str">
            <v>RESI</v>
          </cell>
          <cell r="I2718" t="str">
            <v>REGIMEN SIMPLIFICADO</v>
          </cell>
          <cell r="J2718" t="str">
            <v>CR 18 05 BRR CALANCALA</v>
          </cell>
          <cell r="K2718" t="str">
            <v>44001</v>
          </cell>
          <cell r="L2718" t="str">
            <v>RIOHACHA</v>
          </cell>
          <cell r="M2718" t="str">
            <v>3142080181</v>
          </cell>
        </row>
        <row r="2719">
          <cell r="A2719">
            <v>85442192</v>
          </cell>
          <cell r="B2719" t="str">
            <v/>
          </cell>
          <cell r="C2719" t="str">
            <v/>
          </cell>
          <cell r="D2719" t="str">
            <v>CC</v>
          </cell>
          <cell r="E2719" t="str">
            <v>ARISTIDES</v>
          </cell>
          <cell r="F2719" t="str">
            <v>LIMA VELASQUEZ</v>
          </cell>
          <cell r="G2719" t="str">
            <v>LIMA VELASQUEZ ARISTIDES</v>
          </cell>
          <cell r="H2719" t="str">
            <v>RESI</v>
          </cell>
          <cell r="I2719" t="str">
            <v>REGIMEN SIMPLIFICADO</v>
          </cell>
          <cell r="J2719" t="str">
            <v>MCP MONTERIA</v>
          </cell>
          <cell r="K2719" t="str">
            <v>23001</v>
          </cell>
          <cell r="L2719" t="str">
            <v>MONTERÍA</v>
          </cell>
          <cell r="M2719" t="str">
            <v>NO PRESENTA</v>
          </cell>
        </row>
        <row r="2720">
          <cell r="A2720">
            <v>85470658</v>
          </cell>
          <cell r="B2720" t="str">
            <v>0</v>
          </cell>
          <cell r="C2720" t="str">
            <v/>
          </cell>
          <cell r="D2720" t="str">
            <v>NP</v>
          </cell>
          <cell r="E2720" t="str">
            <v>LEONIDAS ALBERTO</v>
          </cell>
          <cell r="F2720" t="str">
            <v>VEGA RODRIGUEZ</v>
          </cell>
          <cell r="G2720" t="str">
            <v>VEGA RODRIGUEZ LEONIDAS ALBERTO</v>
          </cell>
          <cell r="H2720" t="str">
            <v>RESI</v>
          </cell>
          <cell r="I2720" t="str">
            <v>REGIMEN SIMPLIFICADO</v>
          </cell>
          <cell r="J2720" t="str">
            <v>CL 29 B   24   11 BRR LAS VEGAS</v>
          </cell>
          <cell r="K2720" t="str">
            <v>47001</v>
          </cell>
          <cell r="L2720" t="str">
            <v>SANTA MARTA</v>
          </cell>
          <cell r="M2720" t="str">
            <v>4200236</v>
          </cell>
        </row>
        <row r="2721">
          <cell r="A2721">
            <v>86004182</v>
          </cell>
          <cell r="B2721" t="str">
            <v/>
          </cell>
          <cell r="C2721" t="str">
            <v/>
          </cell>
          <cell r="D2721" t="str">
            <v>CC</v>
          </cell>
          <cell r="E2721" t="str">
            <v>JOSE ARBEY</v>
          </cell>
          <cell r="F2721" t="str">
            <v>TRUJILLO CABRERA</v>
          </cell>
          <cell r="G2721" t="str">
            <v>TRUJILLO CABRERA JOSE ARBEY</v>
          </cell>
          <cell r="H2721" t="str">
            <v>RESI</v>
          </cell>
          <cell r="I2721" t="str">
            <v>REGIMEN SIMPLIFICADO</v>
          </cell>
          <cell r="J2721" t="str">
            <v>CL 8   18   131</v>
          </cell>
          <cell r="K2721" t="str">
            <v>50683</v>
          </cell>
          <cell r="L2721" t="str">
            <v>SAN JUAN DE ARAMA</v>
          </cell>
          <cell r="M2721" t="str">
            <v>3118772629</v>
          </cell>
        </row>
        <row r="2722">
          <cell r="A2722">
            <v>86030347</v>
          </cell>
          <cell r="B2722" t="str">
            <v/>
          </cell>
          <cell r="C2722" t="str">
            <v/>
          </cell>
          <cell r="D2722" t="str">
            <v>CC</v>
          </cell>
          <cell r="E2722" t="str">
            <v>JORGE ELIECER</v>
          </cell>
          <cell r="F2722" t="str">
            <v>CASTRO LOPEZ</v>
          </cell>
          <cell r="G2722" t="str">
            <v>CASTRO LOPEZ JORGE ELIECER</v>
          </cell>
          <cell r="H2722" t="str">
            <v>RESI</v>
          </cell>
          <cell r="I2722" t="str">
            <v>REGIMEN SIMPLIFICADO</v>
          </cell>
          <cell r="J2722" t="str">
            <v>MCP SANTA ROSALIA</v>
          </cell>
          <cell r="K2722" t="str">
            <v>99624</v>
          </cell>
          <cell r="L2722" t="str">
            <v>SANTA ROSALÍA</v>
          </cell>
          <cell r="M2722" t="str">
            <v>8874100</v>
          </cell>
        </row>
        <row r="2723">
          <cell r="A2723">
            <v>86039454</v>
          </cell>
          <cell r="B2723" t="str">
            <v>2</v>
          </cell>
          <cell r="C2723" t="str">
            <v/>
          </cell>
          <cell r="D2723" t="str">
            <v>NP</v>
          </cell>
          <cell r="E2723" t="str">
            <v>ALEXANDER</v>
          </cell>
          <cell r="F2723" t="str">
            <v>BERNAL TELLO</v>
          </cell>
          <cell r="G2723" t="str">
            <v>BERNAL TELLO ALEXANDER</v>
          </cell>
          <cell r="H2723" t="str">
            <v>RCPN</v>
          </cell>
          <cell r="I2723" t="str">
            <v>RESPONSABLE IVA PERSONA NATURAL</v>
          </cell>
          <cell r="J2723" t="str">
            <v>CR 8   4   44</v>
          </cell>
          <cell r="K2723" t="str">
            <v>85325</v>
          </cell>
          <cell r="L2723" t="str">
            <v>SAN LUIS DE PALENQUE</v>
          </cell>
          <cell r="M2723" t="str">
            <v>6370116</v>
          </cell>
        </row>
        <row r="2724">
          <cell r="A2724">
            <v>86043229</v>
          </cell>
          <cell r="B2724" t="str">
            <v>7</v>
          </cell>
          <cell r="C2724" t="str">
            <v/>
          </cell>
          <cell r="D2724" t="str">
            <v>NP</v>
          </cell>
          <cell r="E2724" t="str">
            <v>JIMMY</v>
          </cell>
          <cell r="F2724" t="str">
            <v>GUALTEROS ZAPATA</v>
          </cell>
          <cell r="G2724" t="str">
            <v>GUALTEROS ZAPATA JIMMY</v>
          </cell>
          <cell r="H2724" t="str">
            <v>RECO</v>
          </cell>
          <cell r="I2724" t="str">
            <v>REGIMEN COMUN</v>
          </cell>
          <cell r="J2724" t="str">
            <v>CL 17 37 J 36 BRR GUATIQUIA</v>
          </cell>
          <cell r="K2724" t="str">
            <v>50001</v>
          </cell>
          <cell r="L2724" t="str">
            <v>VILLAVICENCIO</v>
          </cell>
          <cell r="M2724" t="str">
            <v>3202732582</v>
          </cell>
        </row>
        <row r="2725">
          <cell r="A2725">
            <v>86046520</v>
          </cell>
          <cell r="B2725" t="str">
            <v/>
          </cell>
          <cell r="C2725" t="str">
            <v/>
          </cell>
          <cell r="D2725" t="str">
            <v>CC</v>
          </cell>
          <cell r="E2725" t="str">
            <v>JUAN CARLOS</v>
          </cell>
          <cell r="F2725" t="str">
            <v>ARCHILA SANABRIA</v>
          </cell>
          <cell r="G2725" t="str">
            <v>ARCHILA SANABRIA JUAN CARLOS</v>
          </cell>
          <cell r="H2725" t="str">
            <v>RESI</v>
          </cell>
          <cell r="I2725" t="str">
            <v>REGIMEN SIMPLIFICADO</v>
          </cell>
          <cell r="J2725" t="str">
            <v>MCP TRINIDAD VRD SANTA MARIA DEL LORO FCA EL PADROTE</v>
          </cell>
          <cell r="K2725" t="str">
            <v>17001</v>
          </cell>
          <cell r="L2725" t="str">
            <v>MANIZALES</v>
          </cell>
          <cell r="M2725" t="str">
            <v>3107778946</v>
          </cell>
        </row>
        <row r="2726">
          <cell r="A2726">
            <v>86047120</v>
          </cell>
          <cell r="B2726" t="str">
            <v>1</v>
          </cell>
          <cell r="C2726" t="str">
            <v/>
          </cell>
          <cell r="D2726" t="str">
            <v>NP</v>
          </cell>
          <cell r="E2726" t="str">
            <v>RENE</v>
          </cell>
          <cell r="F2726" t="str">
            <v>HERNANDEZ ARANGUREN</v>
          </cell>
          <cell r="G2726" t="str">
            <v>HERNANDEZ ARANGUREN RENE</v>
          </cell>
          <cell r="H2726" t="str">
            <v>RESI</v>
          </cell>
          <cell r="I2726" t="str">
            <v>REGIMEN SIMPLIFICADO</v>
          </cell>
          <cell r="J2726" t="str">
            <v>CR 23   7   58 AP 201</v>
          </cell>
          <cell r="K2726" t="str">
            <v>85001</v>
          </cell>
          <cell r="L2726" t="str">
            <v>YOPAL</v>
          </cell>
          <cell r="M2726" t="str">
            <v>3112322659</v>
          </cell>
        </row>
        <row r="2727">
          <cell r="A2727">
            <v>86047520</v>
          </cell>
          <cell r="B2727" t="str">
            <v/>
          </cell>
          <cell r="C2727" t="str">
            <v/>
          </cell>
          <cell r="D2727" t="str">
            <v>CC</v>
          </cell>
          <cell r="E2727" t="str">
            <v>JUTH FREDY</v>
          </cell>
          <cell r="F2727" t="str">
            <v>ARENAS CASTRO</v>
          </cell>
          <cell r="G2727" t="str">
            <v>ARENAS CASTRO JUTH FREDY</v>
          </cell>
          <cell r="H2727" t="str">
            <v>RESI</v>
          </cell>
          <cell r="I2727" t="str">
            <v>REGIMEN SIMPLIFICADO</v>
          </cell>
          <cell r="J2727" t="str">
            <v>CL 30   28   46</v>
          </cell>
          <cell r="K2727" t="str">
            <v>85001</v>
          </cell>
          <cell r="L2727" t="str">
            <v>YOPAL</v>
          </cell>
          <cell r="M2727" t="str">
            <v>3103206120</v>
          </cell>
        </row>
        <row r="2728">
          <cell r="A2728">
            <v>86052083</v>
          </cell>
          <cell r="B2728" t="str">
            <v>7</v>
          </cell>
          <cell r="C2728" t="str">
            <v/>
          </cell>
          <cell r="D2728" t="str">
            <v>NP</v>
          </cell>
          <cell r="E2728" t="str">
            <v>FABIO CADIR</v>
          </cell>
          <cell r="F2728" t="str">
            <v>CASTILLO HERNANDEZ</v>
          </cell>
          <cell r="G2728" t="str">
            <v>CASTILLO HERNANDEZ FABIO CADIR</v>
          </cell>
          <cell r="H2728" t="str">
            <v>REOR</v>
          </cell>
          <cell r="I2728" t="str">
            <v>RENTA REGIMEN ORDINARIO</v>
          </cell>
          <cell r="J2728" t="str">
            <v>CL 15 3 02 BRR CENTRO</v>
          </cell>
          <cell r="K2728" t="str">
            <v>94001</v>
          </cell>
          <cell r="L2728" t="str">
            <v>INÍRIDA</v>
          </cell>
          <cell r="M2728" t="str">
            <v>3214549144</v>
          </cell>
        </row>
        <row r="2729">
          <cell r="A2729">
            <v>86061860</v>
          </cell>
          <cell r="B2729" t="str">
            <v>1</v>
          </cell>
          <cell r="C2729" t="str">
            <v/>
          </cell>
          <cell r="D2729" t="str">
            <v>NP</v>
          </cell>
          <cell r="E2729" t="str">
            <v>FARID DEL CRISTO</v>
          </cell>
          <cell r="F2729" t="str">
            <v>MORA PADILLA</v>
          </cell>
          <cell r="G2729" t="str">
            <v>MORA PADILLA FARID DEL CRISTO</v>
          </cell>
          <cell r="H2729" t="str">
            <v>IMVE</v>
          </cell>
          <cell r="I2729" t="str">
            <v>IMPUESTO SOBRE LAS VENTAS</v>
          </cell>
          <cell r="J2729" t="str">
            <v>CL 17 24 74 BRR SANTANDER</v>
          </cell>
          <cell r="K2729" t="str">
            <v>95001</v>
          </cell>
          <cell r="L2729" t="str">
            <v>SAN JOSÉ DEL GUAVIARE</v>
          </cell>
          <cell r="M2729" t="str">
            <v>3118540610</v>
          </cell>
        </row>
        <row r="2730">
          <cell r="A2730">
            <v>86061959</v>
          </cell>
          <cell r="B2730" t="str">
            <v>1</v>
          </cell>
          <cell r="C2730" t="str">
            <v/>
          </cell>
          <cell r="D2730" t="str">
            <v>NP</v>
          </cell>
          <cell r="E2730" t="str">
            <v>CESAR AUGUSTO</v>
          </cell>
          <cell r="F2730" t="str">
            <v>GARCÍA MEJÍA</v>
          </cell>
          <cell r="G2730" t="str">
            <v>GARCÍA MEJÍA CESAR AUGUSTO</v>
          </cell>
          <cell r="H2730" t="str">
            <v>RESI</v>
          </cell>
          <cell r="I2730" t="str">
            <v>REGIMEN SIMPLIFICADO</v>
          </cell>
          <cell r="J2730" t="str">
            <v>CR 8 20 55 BRR BERLIN</v>
          </cell>
          <cell r="K2730" t="str">
            <v>94001</v>
          </cell>
          <cell r="L2730" t="str">
            <v>INÍRIDA</v>
          </cell>
          <cell r="M2730" t="str">
            <v>3102887041</v>
          </cell>
        </row>
        <row r="2731">
          <cell r="A2731">
            <v>86067209</v>
          </cell>
          <cell r="B2731" t="str">
            <v>3</v>
          </cell>
          <cell r="C2731" t="str">
            <v/>
          </cell>
          <cell r="D2731" t="str">
            <v>NP</v>
          </cell>
          <cell r="E2731" t="str">
            <v>FAVIO</v>
          </cell>
          <cell r="F2731" t="str">
            <v>GARCES RAMIREZ</v>
          </cell>
          <cell r="G2731" t="str">
            <v>GARCES RAMIREZ FAVIO</v>
          </cell>
          <cell r="H2731" t="str">
            <v>RESI</v>
          </cell>
          <cell r="I2731" t="str">
            <v>REGIMEN SIMPLIFICADO</v>
          </cell>
          <cell r="J2731" t="str">
            <v>BRR LA ESPERANZA</v>
          </cell>
          <cell r="K2731" t="str">
            <v>97001</v>
          </cell>
          <cell r="L2731" t="str">
            <v>MITÚ</v>
          </cell>
          <cell r="M2731" t="str">
            <v>3107674557</v>
          </cell>
        </row>
        <row r="2732">
          <cell r="A2732">
            <v>86074928</v>
          </cell>
          <cell r="B2732" t="str">
            <v>1</v>
          </cell>
          <cell r="C2732" t="str">
            <v/>
          </cell>
          <cell r="D2732" t="str">
            <v>NP</v>
          </cell>
          <cell r="E2732" t="str">
            <v>CARLOS EDUARDO</v>
          </cell>
          <cell r="F2732" t="str">
            <v>GALEANO PEÑALOZA</v>
          </cell>
          <cell r="G2732" t="str">
            <v>GALEANO PEÑALOZA CARLOS EDUARDO</v>
          </cell>
          <cell r="H2732" t="str">
            <v>RESI</v>
          </cell>
          <cell r="I2732" t="str">
            <v>REGIMEN SIMPLIFICADO</v>
          </cell>
          <cell r="J2732" t="str">
            <v>CL 24   19   89 BRR SAN IGNACIO</v>
          </cell>
          <cell r="K2732" t="str">
            <v>95001</v>
          </cell>
          <cell r="L2732" t="str">
            <v>SAN JOSÉ DEL GUAVIARE</v>
          </cell>
          <cell r="M2732" t="str">
            <v>3124697686</v>
          </cell>
        </row>
        <row r="2733">
          <cell r="A2733">
            <v>88252941</v>
          </cell>
          <cell r="B2733" t="str">
            <v/>
          </cell>
          <cell r="C2733" t="str">
            <v/>
          </cell>
          <cell r="D2733" t="str">
            <v>CC</v>
          </cell>
          <cell r="E2733" t="str">
            <v>JAIRO ALONSO</v>
          </cell>
          <cell r="F2733" t="str">
            <v>BOHORQUEZ ARIAS</v>
          </cell>
          <cell r="G2733" t="str">
            <v>BOHORQUEZ ARIAS JAIRO ALONSO</v>
          </cell>
          <cell r="H2733" t="str">
            <v>FUNC</v>
          </cell>
          <cell r="I2733" t="str">
            <v>FUNCIONARIO</v>
          </cell>
          <cell r="J2733" t="str">
            <v>CL 33 14 145</v>
          </cell>
          <cell r="K2733" t="str">
            <v>15516</v>
          </cell>
          <cell r="L2733" t="str">
            <v>PAIPA</v>
          </cell>
          <cell r="M2733" t="str">
            <v>3152533927</v>
          </cell>
        </row>
        <row r="2734">
          <cell r="A2734">
            <v>89020543</v>
          </cell>
          <cell r="B2734" t="str">
            <v/>
          </cell>
          <cell r="C2734" t="str">
            <v/>
          </cell>
          <cell r="D2734" t="str">
            <v>CC</v>
          </cell>
          <cell r="E2734" t="str">
            <v>SINTRAELECOL</v>
          </cell>
          <cell r="F2734" t="str">
            <v>1</v>
          </cell>
          <cell r="G2734" t="str">
            <v>1 SINTRAELECOL</v>
          </cell>
          <cell r="H2734" t="str">
            <v>RECO</v>
          </cell>
          <cell r="I2734" t="str">
            <v>REGIMEN COMUN</v>
          </cell>
          <cell r="J2734" t="str">
            <v>CL 20   25   60</v>
          </cell>
          <cell r="K2734" t="str">
            <v>15516</v>
          </cell>
          <cell r="L2734" t="str">
            <v>PAIPA</v>
          </cell>
          <cell r="M2734" t="str">
            <v>7853512</v>
          </cell>
        </row>
        <row r="2735">
          <cell r="A2735">
            <v>91004533</v>
          </cell>
          <cell r="B2735" t="str">
            <v/>
          </cell>
          <cell r="C2735" t="str">
            <v/>
          </cell>
          <cell r="D2735" t="str">
            <v>CC</v>
          </cell>
          <cell r="E2735" t="str">
            <v>JUAN DE JESUS</v>
          </cell>
          <cell r="F2735" t="str">
            <v>LOPEZ GONZALEZ</v>
          </cell>
          <cell r="G2735" t="str">
            <v>LOPEZ GONZALEZ JUAN DE JESUS</v>
          </cell>
          <cell r="H2735" t="str">
            <v>RESI</v>
          </cell>
          <cell r="I2735" t="str">
            <v>REGIMEN SIMPLIFICADO</v>
          </cell>
          <cell r="J2735" t="str">
            <v>CR 11   12   14</v>
          </cell>
          <cell r="K2735" t="str">
            <v>68655</v>
          </cell>
          <cell r="L2735" t="str">
            <v>SABANA DE TORRES</v>
          </cell>
          <cell r="M2735" t="str">
            <v>3174551500</v>
          </cell>
        </row>
        <row r="2736">
          <cell r="A2736">
            <v>91014322</v>
          </cell>
          <cell r="B2736" t="str">
            <v>9</v>
          </cell>
          <cell r="C2736" t="str">
            <v/>
          </cell>
          <cell r="D2736" t="str">
            <v>NP</v>
          </cell>
          <cell r="E2736" t="str">
            <v>JUAN PABLO</v>
          </cell>
          <cell r="F2736" t="str">
            <v>IBAÑEZ SAENZ</v>
          </cell>
          <cell r="G2736" t="str">
            <v>IBAÑEZ SAENZ JUAN PABLO</v>
          </cell>
          <cell r="H2736" t="str">
            <v>RECO</v>
          </cell>
          <cell r="I2736" t="str">
            <v>REGIMEN COMUN</v>
          </cell>
          <cell r="J2736" t="str">
            <v>CR 9 A   13   69</v>
          </cell>
          <cell r="K2736" t="str">
            <v>68077</v>
          </cell>
          <cell r="L2736" t="str">
            <v>BARBOSA</v>
          </cell>
          <cell r="M2736" t="str">
            <v>7481038</v>
          </cell>
        </row>
        <row r="2737">
          <cell r="A2737">
            <v>91065726</v>
          </cell>
          <cell r="B2737" t="str">
            <v>9</v>
          </cell>
          <cell r="C2737" t="str">
            <v/>
          </cell>
          <cell r="D2737" t="str">
            <v>NP</v>
          </cell>
          <cell r="E2737" t="str">
            <v>CIRO ANTONIO</v>
          </cell>
          <cell r="F2737" t="str">
            <v>VARGAS GOMEZ</v>
          </cell>
          <cell r="G2737" t="str">
            <v>VARGAS GOMEZ CIRO ANTONIO</v>
          </cell>
          <cell r="H2737" t="str">
            <v>RESI</v>
          </cell>
          <cell r="I2737" t="str">
            <v>REGIMEN SIMPLIFICADO</v>
          </cell>
          <cell r="J2737" t="str">
            <v>CL 196 C   27 C 20 BRR EL RECREO</v>
          </cell>
          <cell r="K2737" t="str">
            <v>68276</v>
          </cell>
          <cell r="L2737" t="str">
            <v>FLORIDABLANCA</v>
          </cell>
          <cell r="M2737" t="str">
            <v>6489889</v>
          </cell>
        </row>
        <row r="2738">
          <cell r="A2738">
            <v>91181799</v>
          </cell>
          <cell r="B2738" t="str">
            <v/>
          </cell>
          <cell r="C2738" t="str">
            <v/>
          </cell>
          <cell r="D2738" t="str">
            <v>CC</v>
          </cell>
          <cell r="E2738" t="str">
            <v>GUSTAVO</v>
          </cell>
          <cell r="F2738" t="str">
            <v>MANTILLA HERNANDEZ</v>
          </cell>
          <cell r="G2738" t="str">
            <v>MANTILLA HERNANDEZ GUSTAVO</v>
          </cell>
          <cell r="H2738" t="str">
            <v>FUNC</v>
          </cell>
          <cell r="I2738" t="str">
            <v>FUNCIONARIO</v>
          </cell>
          <cell r="J2738" t="str">
            <v>CALLE 6A N° 2-52</v>
          </cell>
          <cell r="K2738" t="str">
            <v>15491</v>
          </cell>
          <cell r="L2738" t="str">
            <v>NOBSA</v>
          </cell>
          <cell r="M2738" t="str">
            <v>3123882598</v>
          </cell>
        </row>
        <row r="2739">
          <cell r="A2739">
            <v>91205398</v>
          </cell>
          <cell r="B2739" t="str">
            <v/>
          </cell>
          <cell r="C2739" t="str">
            <v/>
          </cell>
          <cell r="D2739" t="str">
            <v>CC</v>
          </cell>
          <cell r="E2739" t="str">
            <v>CARLOS ABEL</v>
          </cell>
          <cell r="F2739" t="str">
            <v>RIVERA PARRA</v>
          </cell>
          <cell r="G2739" t="str">
            <v>RIVERA PARRA CARLOS ABEL</v>
          </cell>
          <cell r="H2739" t="str">
            <v>FUNC</v>
          </cell>
          <cell r="I2739" t="str">
            <v>FUNCIONARIO</v>
          </cell>
          <cell r="J2739" t="str">
            <v>CALLE 19 No 42A-01 DUITAMA</v>
          </cell>
          <cell r="K2739" t="str">
            <v>15238</v>
          </cell>
          <cell r="L2739" t="str">
            <v>DUITAMA</v>
          </cell>
          <cell r="M2739" t="str">
            <v>3202148762</v>
          </cell>
        </row>
        <row r="2740">
          <cell r="A2740">
            <v>91221610</v>
          </cell>
          <cell r="B2740" t="str">
            <v/>
          </cell>
          <cell r="C2740" t="str">
            <v/>
          </cell>
          <cell r="D2740" t="str">
            <v>CC</v>
          </cell>
          <cell r="E2740" t="str">
            <v>CARLOS HUMBERTO</v>
          </cell>
          <cell r="F2740" t="str">
            <v>CASTILLO PEREZ</v>
          </cell>
          <cell r="G2740" t="str">
            <v>CASTILLO PEREZ CARLOS HUMBERTO</v>
          </cell>
          <cell r="H2740" t="str">
            <v>RECO</v>
          </cell>
          <cell r="I2740" t="str">
            <v>REGIMEN COMUN</v>
          </cell>
          <cell r="J2740" t="str">
            <v>CR 46 N 84-78</v>
          </cell>
          <cell r="K2740" t="str">
            <v>08001</v>
          </cell>
          <cell r="L2740" t="str">
            <v>BARRANQUILLA</v>
          </cell>
          <cell r="M2740" t="str">
            <v>3676767</v>
          </cell>
        </row>
        <row r="2741">
          <cell r="A2741">
            <v>91243677</v>
          </cell>
          <cell r="B2741" t="str">
            <v/>
          </cell>
          <cell r="C2741" t="str">
            <v/>
          </cell>
          <cell r="D2741" t="str">
            <v>CC</v>
          </cell>
          <cell r="E2741" t="str">
            <v>ROGERIO</v>
          </cell>
          <cell r="F2741" t="str">
            <v>RAMIREZ REYES</v>
          </cell>
          <cell r="G2741" t="str">
            <v>RAMIREZ REYES ROGERIO</v>
          </cell>
          <cell r="H2741" t="str">
            <v>RESI</v>
          </cell>
          <cell r="I2741" t="str">
            <v>REGIMEN SIMPLIFICADO</v>
          </cell>
          <cell r="J2741" t="str">
            <v>CL 185 49 60 CA 92</v>
          </cell>
          <cell r="K2741" t="str">
            <v>11001</v>
          </cell>
          <cell r="L2741" t="str">
            <v>BOGOTA DC</v>
          </cell>
          <cell r="M2741" t="str">
            <v>6789893</v>
          </cell>
        </row>
        <row r="2742">
          <cell r="A2742">
            <v>91261745</v>
          </cell>
          <cell r="B2742" t="str">
            <v>9</v>
          </cell>
          <cell r="C2742" t="str">
            <v/>
          </cell>
          <cell r="D2742" t="str">
            <v>NP</v>
          </cell>
          <cell r="E2742" t="str">
            <v>JUAN BERNARDO</v>
          </cell>
          <cell r="F2742" t="str">
            <v>SERRANO ARDILA</v>
          </cell>
          <cell r="G2742" t="str">
            <v>SERRANO ARDILA JUAN BERNARDO</v>
          </cell>
          <cell r="H2742" t="str">
            <v>REOR</v>
          </cell>
          <cell r="I2742" t="str">
            <v>RENTA REGIMEN ORDINARIO</v>
          </cell>
          <cell r="J2742" t="str">
            <v>CONJ QUINTAS DEL LLANO CA 8</v>
          </cell>
          <cell r="K2742" t="str">
            <v>85001</v>
          </cell>
          <cell r="L2742" t="str">
            <v>YOPAL</v>
          </cell>
          <cell r="M2742" t="str">
            <v>6334450</v>
          </cell>
        </row>
        <row r="2743">
          <cell r="A2743">
            <v>91262154</v>
          </cell>
          <cell r="B2743" t="str">
            <v>0</v>
          </cell>
          <cell r="C2743" t="str">
            <v/>
          </cell>
          <cell r="D2743" t="str">
            <v>NP</v>
          </cell>
          <cell r="E2743" t="str">
            <v>HERIBERTO</v>
          </cell>
          <cell r="F2743" t="str">
            <v>ARAQUE DELGADO</v>
          </cell>
          <cell r="G2743" t="str">
            <v>ARAQUE DELGADO HERIBERTO</v>
          </cell>
          <cell r="H2743" t="str">
            <v>RESI</v>
          </cell>
          <cell r="I2743" t="str">
            <v>REGIMEN SIMPLIFICADO</v>
          </cell>
          <cell r="J2743" t="str">
            <v>CR 18 A 32 56 MZ D CA 1 BRR LLANO GRANDE</v>
          </cell>
          <cell r="K2743" t="str">
            <v>50001</v>
          </cell>
          <cell r="L2743" t="str">
            <v>VILLAVICENCIO</v>
          </cell>
          <cell r="M2743" t="str">
            <v>3103294306</v>
          </cell>
        </row>
        <row r="2744">
          <cell r="A2744">
            <v>91277394</v>
          </cell>
          <cell r="B2744" t="str">
            <v/>
          </cell>
          <cell r="C2744" t="str">
            <v/>
          </cell>
          <cell r="D2744" t="str">
            <v>CC</v>
          </cell>
          <cell r="E2744" t="str">
            <v>JAVIER ERNESTO</v>
          </cell>
          <cell r="F2744" t="str">
            <v>MORENO NIÑO</v>
          </cell>
          <cell r="G2744" t="str">
            <v>MORENO NIÑO JAVIER ERNESTO</v>
          </cell>
          <cell r="H2744" t="str">
            <v>FUNC</v>
          </cell>
          <cell r="I2744" t="str">
            <v>FUNCIONARIO</v>
          </cell>
          <cell r="J2744" t="str">
            <v xml:space="preserve">TERMOPAIPA                              </v>
          </cell>
          <cell r="K2744" t="str">
            <v>15516</v>
          </cell>
          <cell r="L2744" t="str">
            <v>PAIPA</v>
          </cell>
          <cell r="M2744" t="str">
            <v>8756262</v>
          </cell>
        </row>
        <row r="2745">
          <cell r="A2745">
            <v>91289119</v>
          </cell>
          <cell r="B2745" t="str">
            <v>1</v>
          </cell>
          <cell r="C2745" t="str">
            <v/>
          </cell>
          <cell r="D2745" t="str">
            <v>NP</v>
          </cell>
          <cell r="E2745" t="str">
            <v>JUAN JOSE</v>
          </cell>
          <cell r="F2745" t="str">
            <v>PARADA HOLGUIN</v>
          </cell>
          <cell r="G2745" t="str">
            <v>PARADA HOLGUIN JUAN JOSE</v>
          </cell>
          <cell r="H2745" t="str">
            <v>RESI</v>
          </cell>
          <cell r="I2745" t="str">
            <v>REGIMEN SIMPLIFICADO</v>
          </cell>
          <cell r="J2745" t="str">
            <v>CR 55 A 134 A 91 AP 804</v>
          </cell>
          <cell r="K2745" t="str">
            <v>11001</v>
          </cell>
          <cell r="L2745" t="str">
            <v>BOGOTA DC</v>
          </cell>
          <cell r="M2745" t="str">
            <v>3214521385</v>
          </cell>
        </row>
        <row r="2746">
          <cell r="A2746">
            <v>91323645</v>
          </cell>
          <cell r="B2746" t="str">
            <v/>
          </cell>
          <cell r="C2746" t="str">
            <v/>
          </cell>
          <cell r="D2746" t="str">
            <v>CC</v>
          </cell>
          <cell r="E2746" t="str">
            <v>SAMUEL</v>
          </cell>
          <cell r="F2746" t="str">
            <v>SALAZAR AYALA</v>
          </cell>
          <cell r="G2746" t="str">
            <v>SALAZAR AYALA SAMUEL</v>
          </cell>
          <cell r="H2746" t="str">
            <v>RESI</v>
          </cell>
          <cell r="I2746" t="str">
            <v>REGIMEN SIMPLIFICADO</v>
          </cell>
          <cell r="J2746" t="str">
            <v>VRD MIRALINDO</v>
          </cell>
          <cell r="K2746" t="str">
            <v>13744</v>
          </cell>
          <cell r="L2746" t="str">
            <v>SIMITÍ</v>
          </cell>
          <cell r="M2746" t="str">
            <v>3144038584</v>
          </cell>
        </row>
        <row r="2747">
          <cell r="A2747">
            <v>91323808</v>
          </cell>
          <cell r="B2747" t="str">
            <v/>
          </cell>
          <cell r="C2747" t="str">
            <v/>
          </cell>
          <cell r="D2747" t="str">
            <v>CC</v>
          </cell>
          <cell r="E2747" t="str">
            <v>HUGO ALFONSO</v>
          </cell>
          <cell r="F2747" t="str">
            <v>HERRERA HOYOS</v>
          </cell>
          <cell r="G2747" t="str">
            <v>HERRERA HOYOS HUGO ALFONSO</v>
          </cell>
          <cell r="H2747" t="str">
            <v>RESI</v>
          </cell>
          <cell r="I2747" t="str">
            <v>REGIMEN SIMPLIFICADO</v>
          </cell>
          <cell r="J2747" t="str">
            <v>VRD BADILLO</v>
          </cell>
          <cell r="K2747" t="str">
            <v>68575</v>
          </cell>
          <cell r="L2747" t="str">
            <v>PUERTO WILCHES</v>
          </cell>
          <cell r="M2747" t="str">
            <v>3003472163</v>
          </cell>
        </row>
        <row r="2748">
          <cell r="A2748">
            <v>91349068</v>
          </cell>
          <cell r="B2748" t="str">
            <v/>
          </cell>
          <cell r="C2748" t="str">
            <v/>
          </cell>
          <cell r="D2748" t="str">
            <v>CC</v>
          </cell>
          <cell r="E2748" t="str">
            <v>CARMELO</v>
          </cell>
          <cell r="F2748" t="str">
            <v>RONDON PEREZ</v>
          </cell>
          <cell r="G2748" t="str">
            <v>RONDON PEREZ CARMELO</v>
          </cell>
          <cell r="H2748" t="str">
            <v>RESI</v>
          </cell>
          <cell r="I2748" t="str">
            <v>REGIMEN SIMPLIFICADO</v>
          </cell>
          <cell r="J2748" t="str">
            <v>FCA SAN FERNANDO</v>
          </cell>
          <cell r="K2748" t="str">
            <v>99624</v>
          </cell>
          <cell r="L2748" t="str">
            <v>SANTA ROSALÍA</v>
          </cell>
          <cell r="M2748" t="str">
            <v>3133996488</v>
          </cell>
        </row>
        <row r="2749">
          <cell r="A2749">
            <v>91350374</v>
          </cell>
          <cell r="B2749" t="str">
            <v/>
          </cell>
          <cell r="C2749" t="str">
            <v/>
          </cell>
          <cell r="D2749" t="str">
            <v>CC</v>
          </cell>
          <cell r="E2749" t="str">
            <v>ADRIAN LEONARDO</v>
          </cell>
          <cell r="F2749" t="str">
            <v>CASTELLANOS CASTAÑEDA</v>
          </cell>
          <cell r="G2749" t="str">
            <v>CASTELLANOS CASTAÑEDA ADRIAN LEONARDO</v>
          </cell>
          <cell r="H2749" t="str">
            <v>NORE</v>
          </cell>
          <cell r="I2749" t="str">
            <v>NO RESPONSABLE DE IVA</v>
          </cell>
          <cell r="J2749" t="str">
            <v>MCP BUCARAMANGA</v>
          </cell>
          <cell r="K2749" t="str">
            <v>68001</v>
          </cell>
          <cell r="L2749" t="str">
            <v>BUCARAMANGA</v>
          </cell>
          <cell r="M2749" t="str">
            <v>NO PRESENTA</v>
          </cell>
        </row>
        <row r="2750">
          <cell r="A2750">
            <v>91363655</v>
          </cell>
          <cell r="B2750" t="str">
            <v/>
          </cell>
          <cell r="C2750" t="str">
            <v/>
          </cell>
          <cell r="D2750" t="str">
            <v>CC</v>
          </cell>
          <cell r="E2750" t="str">
            <v>CAMILO</v>
          </cell>
          <cell r="F2750" t="str">
            <v>MOGOLLON</v>
          </cell>
          <cell r="G2750" t="str">
            <v>MOGOLLON CAMILO</v>
          </cell>
          <cell r="H2750" t="str">
            <v>RESI</v>
          </cell>
          <cell r="I2750" t="str">
            <v>REGIMEN SIMPLIFICADO</v>
          </cell>
          <cell r="J2750" t="str">
            <v>MCP SANTA ROSALIA</v>
          </cell>
          <cell r="K2750" t="str">
            <v>99624</v>
          </cell>
          <cell r="L2750" t="str">
            <v>SANTA ROSALÍA</v>
          </cell>
          <cell r="M2750" t="str">
            <v>3204968906</v>
          </cell>
        </row>
        <row r="2751">
          <cell r="A2751">
            <v>91420196</v>
          </cell>
          <cell r="B2751" t="str">
            <v/>
          </cell>
          <cell r="C2751" t="str">
            <v/>
          </cell>
          <cell r="D2751" t="str">
            <v>CC</v>
          </cell>
          <cell r="E2751" t="str">
            <v>JAIRO ANTONIO</v>
          </cell>
          <cell r="F2751" t="str">
            <v>SALAZAR VILLAMIL</v>
          </cell>
          <cell r="G2751" t="str">
            <v>SALAZAR VILLAMIL JAIRO ANTONIO</v>
          </cell>
          <cell r="H2751" t="str">
            <v>FUNC</v>
          </cell>
          <cell r="I2751" t="str">
            <v>FUNCIONARIO</v>
          </cell>
          <cell r="J2751" t="str">
            <v>CARRERA 37B-14-12</v>
          </cell>
          <cell r="K2751" t="str">
            <v>15238</v>
          </cell>
          <cell r="L2751" t="str">
            <v>DUITAMA</v>
          </cell>
          <cell r="M2751" t="str">
            <v>3214585522</v>
          </cell>
        </row>
        <row r="2752">
          <cell r="A2752">
            <v>91451626</v>
          </cell>
          <cell r="B2752" t="str">
            <v>6</v>
          </cell>
          <cell r="C2752" t="str">
            <v/>
          </cell>
          <cell r="D2752" t="str">
            <v>NP</v>
          </cell>
          <cell r="E2752" t="str">
            <v>JOSE ANGEL</v>
          </cell>
          <cell r="F2752" t="str">
            <v>ARGUELLO MENDEZ</v>
          </cell>
          <cell r="G2752" t="str">
            <v>ARGUELLO MENDEZ JOSE ANGEL</v>
          </cell>
          <cell r="H2752" t="str">
            <v>RESI</v>
          </cell>
          <cell r="I2752" t="str">
            <v>REGIMEN SIMPLIFICADO</v>
          </cell>
          <cell r="J2752" t="str">
            <v>BRR LA PRIMAVERA SEGUNDA ETAPA</v>
          </cell>
          <cell r="K2752" t="str">
            <v>94001</v>
          </cell>
          <cell r="L2752" t="str">
            <v>INÍRIDA</v>
          </cell>
          <cell r="M2752" t="str">
            <v>3112731179</v>
          </cell>
        </row>
        <row r="2753">
          <cell r="A2753">
            <v>91478817</v>
          </cell>
          <cell r="B2753" t="str">
            <v>3</v>
          </cell>
          <cell r="C2753" t="str">
            <v/>
          </cell>
          <cell r="D2753" t="str">
            <v>NP</v>
          </cell>
          <cell r="E2753" t="str">
            <v>CARLOS ALBERTO</v>
          </cell>
          <cell r="F2753" t="str">
            <v>LOPEZ PINZON</v>
          </cell>
          <cell r="G2753" t="str">
            <v>LOPEZ PINZON CARLOS ALBERTO</v>
          </cell>
          <cell r="H2753" t="str">
            <v>RESI</v>
          </cell>
          <cell r="I2753" t="str">
            <v>REGIMEN SIMPLIFICADO</v>
          </cell>
          <cell r="J2753" t="str">
            <v>CL 26 A 16 28</v>
          </cell>
          <cell r="K2753" t="str">
            <v>85001</v>
          </cell>
          <cell r="L2753" t="str">
            <v>YOPAL</v>
          </cell>
          <cell r="M2753" t="str">
            <v>3174392278</v>
          </cell>
        </row>
        <row r="2754">
          <cell r="A2754">
            <v>91491016</v>
          </cell>
          <cell r="B2754" t="str">
            <v/>
          </cell>
          <cell r="C2754" t="str">
            <v/>
          </cell>
          <cell r="D2754" t="str">
            <v>CC</v>
          </cell>
          <cell r="E2754" t="str">
            <v>ALBERTO</v>
          </cell>
          <cell r="F2754" t="str">
            <v>VEGA FONSECA</v>
          </cell>
          <cell r="G2754" t="str">
            <v>VEGA FONSECA ALBERTO</v>
          </cell>
          <cell r="H2754" t="str">
            <v>RESI</v>
          </cell>
          <cell r="I2754" t="str">
            <v>REGIMEN SIMPLIFICADO</v>
          </cell>
          <cell r="J2754" t="str">
            <v>MD BUCARAMANGA</v>
          </cell>
          <cell r="K2754" t="str">
            <v>68001</v>
          </cell>
          <cell r="L2754" t="str">
            <v>BUCARAMANGA</v>
          </cell>
          <cell r="M2754" t="str">
            <v>SIN NRO</v>
          </cell>
        </row>
        <row r="2755">
          <cell r="A2755">
            <v>91514300</v>
          </cell>
          <cell r="B2755" t="str">
            <v/>
          </cell>
          <cell r="C2755" t="str">
            <v/>
          </cell>
          <cell r="D2755" t="str">
            <v>CC</v>
          </cell>
          <cell r="E2755" t="str">
            <v>EDGAR ALONSO</v>
          </cell>
          <cell r="F2755" t="str">
            <v>DELGADO JOYA</v>
          </cell>
          <cell r="G2755" t="str">
            <v>DELGADO JOYA EDGAR ALONSO</v>
          </cell>
          <cell r="H2755" t="str">
            <v>FUNC</v>
          </cell>
          <cell r="I2755" t="str">
            <v>FUNCIONARIO</v>
          </cell>
          <cell r="J2755" t="str">
            <v>CL 5 12 19</v>
          </cell>
          <cell r="K2755" t="str">
            <v>97001</v>
          </cell>
          <cell r="L2755" t="str">
            <v>MITÚ</v>
          </cell>
          <cell r="M2755" t="str">
            <v>3123372140</v>
          </cell>
        </row>
        <row r="2756">
          <cell r="A2756">
            <v>92276333</v>
          </cell>
          <cell r="B2756" t="str">
            <v>7</v>
          </cell>
          <cell r="C2756" t="str">
            <v/>
          </cell>
          <cell r="D2756" t="str">
            <v>NP</v>
          </cell>
          <cell r="E2756" t="str">
            <v>ADOLFO ARTURO</v>
          </cell>
          <cell r="F2756" t="str">
            <v>SOLIPA MARRIAGA</v>
          </cell>
          <cell r="G2756" t="str">
            <v>SOLIPA MARRIAGA ADOLFO ARTURO</v>
          </cell>
          <cell r="H2756" t="str">
            <v>RESI</v>
          </cell>
          <cell r="I2756" t="str">
            <v>REGIMEN SIMPLIFICADO</v>
          </cell>
          <cell r="J2756" t="str">
            <v>CL 23 22 53</v>
          </cell>
          <cell r="K2756" t="str">
            <v>15516</v>
          </cell>
          <cell r="L2756" t="str">
            <v>PAIPA</v>
          </cell>
          <cell r="M2756" t="str">
            <v>3114029385</v>
          </cell>
        </row>
        <row r="2757">
          <cell r="A2757">
            <v>92499142</v>
          </cell>
          <cell r="B2757" t="str">
            <v>4</v>
          </cell>
          <cell r="C2757" t="str">
            <v/>
          </cell>
          <cell r="D2757" t="str">
            <v>NP</v>
          </cell>
          <cell r="E2757" t="str">
            <v>ALVARO RAFAEL</v>
          </cell>
          <cell r="F2757" t="str">
            <v>BUELVAS CONTRERAS</v>
          </cell>
          <cell r="G2757" t="str">
            <v>BUELVAS CONTRERAS ALVARO RAFAEL</v>
          </cell>
          <cell r="H2757" t="str">
            <v>RESI</v>
          </cell>
          <cell r="I2757" t="str">
            <v>REGIMEN SIMPLIFICADO</v>
          </cell>
          <cell r="J2757" t="str">
            <v>BRR EL CARMEN AV LOS DELFINES</v>
          </cell>
          <cell r="K2757" t="str">
            <v>27075</v>
          </cell>
          <cell r="L2757" t="str">
            <v>BAHÍA SOLANO</v>
          </cell>
          <cell r="M2757" t="str">
            <v>6827261</v>
          </cell>
        </row>
        <row r="2758">
          <cell r="A2758">
            <v>92530705</v>
          </cell>
          <cell r="B2758" t="str">
            <v>2</v>
          </cell>
          <cell r="C2758" t="str">
            <v/>
          </cell>
          <cell r="D2758" t="str">
            <v>NP</v>
          </cell>
          <cell r="E2758" t="str">
            <v>GUILLERMO JOSE</v>
          </cell>
          <cell r="F2758" t="str">
            <v>GUTIERREZ PEÑA</v>
          </cell>
          <cell r="G2758" t="str">
            <v>GUTIERREZ PEÑA GUILLERMO JOSE</v>
          </cell>
          <cell r="H2758" t="str">
            <v>RESI</v>
          </cell>
          <cell r="I2758" t="str">
            <v>REGIMEN SIMPLIFICADO</v>
          </cell>
          <cell r="J2758" t="str">
            <v>DG 28  12 49</v>
          </cell>
          <cell r="K2758" t="str">
            <v>70001</v>
          </cell>
          <cell r="L2758" t="str">
            <v>SINCELEJO</v>
          </cell>
          <cell r="M2758" t="str">
            <v>3013604503</v>
          </cell>
        </row>
        <row r="2759">
          <cell r="A2759">
            <v>92543977</v>
          </cell>
          <cell r="B2759" t="str">
            <v/>
          </cell>
          <cell r="C2759" t="str">
            <v/>
          </cell>
          <cell r="D2759" t="str">
            <v>CC</v>
          </cell>
          <cell r="E2759" t="str">
            <v>ROGER</v>
          </cell>
          <cell r="F2759" t="str">
            <v>RODELO MARTINEZ</v>
          </cell>
          <cell r="G2759" t="str">
            <v>RODELO MARTINEZ ROGER</v>
          </cell>
          <cell r="H2759" t="str">
            <v>RESI</v>
          </cell>
          <cell r="I2759" t="str">
            <v>REGIMEN SIMPLIFICADO</v>
          </cell>
          <cell r="J2759" t="str">
            <v>CL 23   19   50 ED BANCO BOGOTÁ OF 601</v>
          </cell>
          <cell r="K2759" t="str">
            <v>70001</v>
          </cell>
          <cell r="L2759" t="str">
            <v>SINCELEJO</v>
          </cell>
          <cell r="M2759" t="str">
            <v>3114198782</v>
          </cell>
        </row>
        <row r="2760">
          <cell r="A2760">
            <v>92641729</v>
          </cell>
          <cell r="B2760" t="str">
            <v>5</v>
          </cell>
          <cell r="C2760" t="str">
            <v/>
          </cell>
          <cell r="D2760" t="str">
            <v>NP</v>
          </cell>
          <cell r="E2760" t="str">
            <v>BENJAMIN JOSE</v>
          </cell>
          <cell r="F2760" t="str">
            <v>MENDOZA GOMEZ</v>
          </cell>
          <cell r="G2760" t="str">
            <v>MENDOZA GOMEZ BENJAMIN JOSE</v>
          </cell>
          <cell r="H2760" t="str">
            <v>RESI</v>
          </cell>
          <cell r="I2760" t="str">
            <v>REGIMEN SIMPLIFICADO</v>
          </cell>
          <cell r="J2760" t="str">
            <v>CR 49 CL 26 97 BRR VENECIA</v>
          </cell>
          <cell r="K2760" t="str">
            <v>70001</v>
          </cell>
          <cell r="L2760" t="str">
            <v>SINCELEJO</v>
          </cell>
          <cell r="M2760" t="str">
            <v>3005391975</v>
          </cell>
        </row>
        <row r="2761">
          <cell r="A2761">
            <v>93236455</v>
          </cell>
          <cell r="B2761" t="str">
            <v/>
          </cell>
          <cell r="C2761" t="str">
            <v/>
          </cell>
          <cell r="D2761" t="str">
            <v>CC</v>
          </cell>
          <cell r="E2761" t="str">
            <v>DIEGO EMILIO</v>
          </cell>
          <cell r="F2761" t="str">
            <v>MARTINEZ RODRIGUEZ</v>
          </cell>
          <cell r="G2761" t="str">
            <v>MARTINEZ RODRIGUEZ DIEGO EMILIO</v>
          </cell>
          <cell r="H2761" t="str">
            <v>RESI</v>
          </cell>
          <cell r="I2761" t="str">
            <v>REGIMEN SIMPLIFICADO</v>
          </cell>
          <cell r="J2761" t="str">
            <v>XXX</v>
          </cell>
          <cell r="K2761" t="str">
            <v>17001</v>
          </cell>
          <cell r="L2761" t="str">
            <v>MANIZALES</v>
          </cell>
          <cell r="M2761" t="str">
            <v>XXX</v>
          </cell>
        </row>
        <row r="2762">
          <cell r="A2762">
            <v>93285382</v>
          </cell>
          <cell r="B2762" t="str">
            <v>1</v>
          </cell>
          <cell r="C2762" t="str">
            <v/>
          </cell>
          <cell r="D2762" t="str">
            <v>NP</v>
          </cell>
          <cell r="E2762" t="str">
            <v>ELMER</v>
          </cell>
          <cell r="F2762" t="str">
            <v>DIAZ SIERRA</v>
          </cell>
          <cell r="G2762" t="str">
            <v>DIAZ SIERRA ELMER</v>
          </cell>
          <cell r="H2762" t="str">
            <v>RESI</v>
          </cell>
          <cell r="I2762" t="str">
            <v>REGIMEN SIMPLIFICADO</v>
          </cell>
          <cell r="J2762" t="str">
            <v>CARRERA 6 B 27 26 PRIMAVERA SEGUNDA ETAP</v>
          </cell>
          <cell r="K2762" t="str">
            <v>94001</v>
          </cell>
          <cell r="L2762" t="str">
            <v>INÍRIDA</v>
          </cell>
          <cell r="M2762" t="str">
            <v>3106199810</v>
          </cell>
        </row>
        <row r="2763">
          <cell r="A2763">
            <v>93290253</v>
          </cell>
          <cell r="B2763" t="str">
            <v>8</v>
          </cell>
          <cell r="C2763" t="str">
            <v/>
          </cell>
          <cell r="D2763" t="str">
            <v>NP</v>
          </cell>
          <cell r="E2763" t="str">
            <v>SEBASTIAN</v>
          </cell>
          <cell r="F2763" t="str">
            <v>CIFUENTES HOYOS</v>
          </cell>
          <cell r="G2763" t="str">
            <v>CIFUENTES HOYOS SEBASTIAN</v>
          </cell>
          <cell r="H2763" t="str">
            <v>NORE</v>
          </cell>
          <cell r="I2763" t="str">
            <v>NO RESPONSABLE DE IVA</v>
          </cell>
          <cell r="J2763" t="str">
            <v>CR 11 14 129 AP 301</v>
          </cell>
          <cell r="K2763" t="str">
            <v>15759</v>
          </cell>
          <cell r="L2763" t="str">
            <v>SOGAMOSO</v>
          </cell>
          <cell r="M2763" t="str">
            <v>3124820828</v>
          </cell>
        </row>
        <row r="2764">
          <cell r="A2764">
            <v>93359926</v>
          </cell>
          <cell r="B2764" t="str">
            <v>5</v>
          </cell>
          <cell r="C2764" t="str">
            <v/>
          </cell>
          <cell r="D2764" t="str">
            <v>NP</v>
          </cell>
          <cell r="E2764" t="str">
            <v>DANIEL ALFONSO</v>
          </cell>
          <cell r="F2764" t="str">
            <v>RAMIREZ JAUREGUI</v>
          </cell>
          <cell r="G2764" t="str">
            <v>RAMIREZ JAUREGUI DANIEL ALFONSO</v>
          </cell>
          <cell r="H2764" t="str">
            <v>RECO</v>
          </cell>
          <cell r="I2764" t="str">
            <v>REGIMEN COMUN</v>
          </cell>
          <cell r="J2764" t="str">
            <v>MZ D  CA 7  URB GIRASOL</v>
          </cell>
          <cell r="K2764" t="str">
            <v>73001</v>
          </cell>
          <cell r="L2764" t="str">
            <v>IBAGUÉ</v>
          </cell>
          <cell r="M2764" t="str">
            <v>3005547675</v>
          </cell>
        </row>
        <row r="2765">
          <cell r="A2765">
            <v>93368745</v>
          </cell>
          <cell r="B2765" t="str">
            <v>7</v>
          </cell>
          <cell r="C2765" t="str">
            <v/>
          </cell>
          <cell r="D2765" t="str">
            <v>NP</v>
          </cell>
          <cell r="E2765" t="str">
            <v>ALEXANDER</v>
          </cell>
          <cell r="F2765" t="str">
            <v>ALVAREZ ARANGO</v>
          </cell>
          <cell r="G2765" t="str">
            <v>ALVAREZ ARANGO ALEXANDER</v>
          </cell>
          <cell r="H2765" t="str">
            <v>RESI</v>
          </cell>
          <cell r="I2765" t="str">
            <v>REGIMEN SIMPLIFICADO</v>
          </cell>
          <cell r="J2765" t="str">
            <v xml:space="preserve"> CL 33  TV 6  90</v>
          </cell>
          <cell r="K2765" t="str">
            <v>85001</v>
          </cell>
          <cell r="L2765" t="str">
            <v>YOPAL</v>
          </cell>
          <cell r="M2765" t="str">
            <v>3104306508</v>
          </cell>
        </row>
        <row r="2766">
          <cell r="A2766">
            <v>93373387</v>
          </cell>
          <cell r="B2766" t="str">
            <v>3</v>
          </cell>
          <cell r="C2766" t="str">
            <v/>
          </cell>
          <cell r="D2766" t="str">
            <v>NP</v>
          </cell>
          <cell r="E2766" t="str">
            <v>GERMAN ALONSO</v>
          </cell>
          <cell r="F2766" t="str">
            <v>GERMAN ALONSO</v>
          </cell>
          <cell r="G2766" t="str">
            <v>GERMAN ALONSO GERMAN ALONSO</v>
          </cell>
          <cell r="H2766" t="str">
            <v>RESI</v>
          </cell>
          <cell r="I2766" t="str">
            <v>REGIMEN SIMPLIFICADO</v>
          </cell>
          <cell r="J2766" t="str">
            <v>CL 43 1 N 79 CA 11 CONJ MOCAWA LA FLORIDA</v>
          </cell>
          <cell r="K2766" t="str">
            <v>17873</v>
          </cell>
          <cell r="L2766" t="str">
            <v>VILLAMARÍA</v>
          </cell>
          <cell r="M2766" t="str">
            <v>3208034740</v>
          </cell>
        </row>
        <row r="2767">
          <cell r="A2767">
            <v>93375290</v>
          </cell>
          <cell r="B2767" t="str">
            <v>7</v>
          </cell>
          <cell r="C2767" t="str">
            <v/>
          </cell>
          <cell r="D2767" t="str">
            <v>NP</v>
          </cell>
          <cell r="E2767" t="str">
            <v>NESTOR ENRIQUE</v>
          </cell>
          <cell r="F2767" t="str">
            <v>CALDERON VILLAMIL</v>
          </cell>
          <cell r="G2767" t="str">
            <v>CALDERON VILLAMIL NESTOR ENRIQUE</v>
          </cell>
          <cell r="H2767" t="str">
            <v>NORE</v>
          </cell>
          <cell r="I2767" t="str">
            <v>NO RESPONSABLE DE IVA</v>
          </cell>
          <cell r="J2767" t="str">
            <v>BRR EL CARMEN</v>
          </cell>
          <cell r="K2767" t="str">
            <v>27075</v>
          </cell>
          <cell r="L2767" t="str">
            <v>BAHÍA SOLANO</v>
          </cell>
          <cell r="M2767" t="str">
            <v>3128693638</v>
          </cell>
        </row>
        <row r="2768">
          <cell r="A2768">
            <v>93377189</v>
          </cell>
          <cell r="B2768" t="str">
            <v>1</v>
          </cell>
          <cell r="C2768" t="str">
            <v/>
          </cell>
          <cell r="D2768" t="str">
            <v>NP</v>
          </cell>
          <cell r="E2768" t="str">
            <v>OSCAR</v>
          </cell>
          <cell r="F2768" t="str">
            <v>ROMERO VARGAS</v>
          </cell>
          <cell r="G2768" t="str">
            <v>ROMERO VARGAS OSCAR</v>
          </cell>
          <cell r="H2768" t="str">
            <v>RESI</v>
          </cell>
          <cell r="I2768" t="str">
            <v>REGIMEN SIMPLIFICADO</v>
          </cell>
          <cell r="J2768" t="str">
            <v>CR 69 25 27 L 5</v>
          </cell>
          <cell r="K2768" t="str">
            <v>11001</v>
          </cell>
          <cell r="L2768" t="str">
            <v>BOGOTA DC</v>
          </cell>
          <cell r="M2768" t="str">
            <v>4100034</v>
          </cell>
        </row>
        <row r="2769">
          <cell r="A2769">
            <v>93383295</v>
          </cell>
          <cell r="B2769" t="str">
            <v>7</v>
          </cell>
          <cell r="C2769" t="str">
            <v/>
          </cell>
          <cell r="D2769" t="str">
            <v>NP</v>
          </cell>
          <cell r="E2769" t="str">
            <v>EDGAR</v>
          </cell>
          <cell r="F2769" t="str">
            <v>RODRIGUEZ MORENO</v>
          </cell>
          <cell r="G2769" t="str">
            <v>RODRIGUEZ MORENO EDGAR</v>
          </cell>
          <cell r="H2769" t="str">
            <v>RESI</v>
          </cell>
          <cell r="I2769" t="str">
            <v>REGIMEN SIMPLIFICADO</v>
          </cell>
          <cell r="J2769" t="str">
            <v>MCP ARMENIA</v>
          </cell>
          <cell r="K2769" t="str">
            <v>05059</v>
          </cell>
          <cell r="L2769" t="str">
            <v>ARMENIA</v>
          </cell>
          <cell r="M2769" t="str">
            <v>NO TIENE</v>
          </cell>
        </row>
        <row r="2770">
          <cell r="A2770">
            <v>93394415</v>
          </cell>
          <cell r="B2770" t="str">
            <v>1</v>
          </cell>
          <cell r="C2770" t="str">
            <v/>
          </cell>
          <cell r="D2770" t="str">
            <v>NP</v>
          </cell>
          <cell r="E2770" t="str">
            <v>JUAN MANUEL</v>
          </cell>
          <cell r="F2770" t="str">
            <v>ANDRADE MORANTES</v>
          </cell>
          <cell r="G2770" t="str">
            <v>ANDRADE MORANTES JUAN MANUEL</v>
          </cell>
          <cell r="H2770" t="str">
            <v>RECO</v>
          </cell>
          <cell r="I2770" t="str">
            <v>REGIMEN COMUN</v>
          </cell>
          <cell r="J2770" t="str">
            <v>CR 52   22   30 AP 402 TO 2 BRR SALITRE</v>
          </cell>
          <cell r="K2770" t="str">
            <v>11001</v>
          </cell>
          <cell r="L2770" t="str">
            <v>BOGOTA DC</v>
          </cell>
          <cell r="M2770" t="str">
            <v>4288569</v>
          </cell>
        </row>
        <row r="2771">
          <cell r="A2771">
            <v>93394446</v>
          </cell>
          <cell r="B2771" t="str">
            <v>1</v>
          </cell>
          <cell r="C2771" t="str">
            <v/>
          </cell>
          <cell r="D2771" t="str">
            <v>NP</v>
          </cell>
          <cell r="E2771" t="str">
            <v>DARIO ALBERTO</v>
          </cell>
          <cell r="F2771" t="str">
            <v>TREJOS D</v>
          </cell>
          <cell r="G2771" t="str">
            <v>TREJOS D DARIO ALBERTO</v>
          </cell>
          <cell r="H2771" t="str">
            <v>RECO</v>
          </cell>
          <cell r="I2771" t="str">
            <v>REGIMEN COMUN</v>
          </cell>
          <cell r="J2771" t="str">
            <v>CARRERA 23 No 66-06</v>
          </cell>
          <cell r="K2771" t="str">
            <v>17001</v>
          </cell>
          <cell r="L2771" t="str">
            <v>MANIZALES</v>
          </cell>
          <cell r="M2771" t="str">
            <v>8871192</v>
          </cell>
        </row>
        <row r="2772">
          <cell r="A2772">
            <v>93412983</v>
          </cell>
          <cell r="B2772" t="str">
            <v>1</v>
          </cell>
          <cell r="C2772" t="str">
            <v/>
          </cell>
          <cell r="D2772" t="str">
            <v>NP</v>
          </cell>
          <cell r="E2772" t="str">
            <v>DIEGO ANDRES</v>
          </cell>
          <cell r="F2772" t="str">
            <v>BORRERO SILVA</v>
          </cell>
          <cell r="G2772" t="str">
            <v>BORRERO SILVA DIEGO ANDRES</v>
          </cell>
          <cell r="H2772" t="str">
            <v>RESI</v>
          </cell>
          <cell r="I2772" t="str">
            <v>REGIMEN SIMPLIFICADO</v>
          </cell>
          <cell r="J2772" t="str">
            <v>CR 4 G 41 64 AP 301 BRR MACARENA PARTE BAJA</v>
          </cell>
          <cell r="K2772" t="str">
            <v>73001</v>
          </cell>
          <cell r="L2772" t="str">
            <v>IBAGUÉ</v>
          </cell>
          <cell r="M2772" t="str">
            <v>3108102839</v>
          </cell>
        </row>
        <row r="2773">
          <cell r="A2773">
            <v>94356225</v>
          </cell>
          <cell r="B2773" t="str">
            <v/>
          </cell>
          <cell r="C2773" t="str">
            <v/>
          </cell>
          <cell r="D2773" t="str">
            <v>CC</v>
          </cell>
          <cell r="E2773" t="str">
            <v>LUIS FERNANDO</v>
          </cell>
          <cell r="F2773" t="str">
            <v>SAYA CASTILLO</v>
          </cell>
          <cell r="G2773" t="str">
            <v>SAYA CASTILLO LUIS FERNANDO</v>
          </cell>
          <cell r="H2773" t="str">
            <v>FUNC</v>
          </cell>
          <cell r="I2773" t="str">
            <v>FUNCIONARIO</v>
          </cell>
          <cell r="J2773" t="str">
            <v>BRR INAYA</v>
          </cell>
          <cell r="K2773" t="str">
            <v>97001</v>
          </cell>
          <cell r="L2773" t="str">
            <v>MITÚ</v>
          </cell>
          <cell r="M2773" t="str">
            <v>3186346804</v>
          </cell>
        </row>
        <row r="2774">
          <cell r="A2774">
            <v>94378309</v>
          </cell>
          <cell r="B2774" t="str">
            <v>5</v>
          </cell>
          <cell r="C2774" t="str">
            <v/>
          </cell>
          <cell r="D2774" t="str">
            <v>NP</v>
          </cell>
          <cell r="E2774" t="str">
            <v>JHON JAIRO</v>
          </cell>
          <cell r="F2774" t="str">
            <v>GOMEZ GONZALEZ</v>
          </cell>
          <cell r="G2774" t="str">
            <v>GOMEZ GONZALEZ JHON JAIRO</v>
          </cell>
          <cell r="H2774" t="str">
            <v>RECO</v>
          </cell>
          <cell r="I2774" t="str">
            <v>REGIMEN COMUN</v>
          </cell>
          <cell r="J2774" t="str">
            <v>CR 42 B   14 B 04 BRR LA SELVA</v>
          </cell>
          <cell r="K2774" t="str">
            <v>19001</v>
          </cell>
          <cell r="L2774" t="str">
            <v>POPAYÁN</v>
          </cell>
          <cell r="M2774" t="str">
            <v>3137372114</v>
          </cell>
        </row>
        <row r="2775">
          <cell r="A2775">
            <v>94439518</v>
          </cell>
          <cell r="B2775" t="str">
            <v/>
          </cell>
          <cell r="C2775" t="str">
            <v/>
          </cell>
          <cell r="D2775" t="str">
            <v>CC</v>
          </cell>
          <cell r="E2775" t="str">
            <v>MILLER</v>
          </cell>
          <cell r="F2775" t="str">
            <v>CAMBINDO MONTAÑO</v>
          </cell>
          <cell r="G2775" t="str">
            <v>CAMBINDO MONTAÑO MILLER</v>
          </cell>
          <cell r="H2775" t="str">
            <v>FUNC</v>
          </cell>
          <cell r="I2775" t="str">
            <v>FUNCIONARIO</v>
          </cell>
          <cell r="J2775" t="str">
            <v>CL 55A   12   57 BRR LA DANIELA</v>
          </cell>
          <cell r="K2775" t="str">
            <v>17001</v>
          </cell>
          <cell r="L2775" t="str">
            <v>MANIZALES</v>
          </cell>
          <cell r="M2775" t="str">
            <v>8769503</v>
          </cell>
        </row>
        <row r="2776">
          <cell r="A2776">
            <v>94522805</v>
          </cell>
          <cell r="B2776" t="str">
            <v>4</v>
          </cell>
          <cell r="C2776" t="str">
            <v/>
          </cell>
          <cell r="D2776" t="str">
            <v>NP</v>
          </cell>
          <cell r="E2776" t="str">
            <v>JAIR</v>
          </cell>
          <cell r="F2776" t="str">
            <v>SEGURA DIAZ</v>
          </cell>
          <cell r="G2776" t="str">
            <v>SEGURA DIAZ JAIR</v>
          </cell>
          <cell r="H2776" t="str">
            <v>RECO</v>
          </cell>
          <cell r="I2776" t="str">
            <v>REGIMEN COMUN</v>
          </cell>
          <cell r="J2776" t="str">
            <v>CR 27  61 23 AP 502  TO 2</v>
          </cell>
          <cell r="K2776" t="str">
            <v>76520</v>
          </cell>
          <cell r="L2776" t="str">
            <v>PALMIRA</v>
          </cell>
          <cell r="M2776" t="str">
            <v>3162879304</v>
          </cell>
        </row>
        <row r="2777">
          <cell r="A2777">
            <v>94529172</v>
          </cell>
          <cell r="B2777" t="str">
            <v>2</v>
          </cell>
          <cell r="C2777" t="str">
            <v/>
          </cell>
          <cell r="D2777" t="str">
            <v>NP</v>
          </cell>
          <cell r="E2777" t="str">
            <v>HERNAN MAURICIO</v>
          </cell>
          <cell r="F2777" t="str">
            <v>GARCES RIASCOS</v>
          </cell>
          <cell r="G2777" t="str">
            <v>GARCES RIASCOS HERNAN MAURICIO</v>
          </cell>
          <cell r="H2777" t="str">
            <v>RESI</v>
          </cell>
          <cell r="I2777" t="str">
            <v>REGIMEN SIMPLIFICADO</v>
          </cell>
          <cell r="J2777" t="str">
            <v>BRR SAN PABLO CL 11 3 56</v>
          </cell>
          <cell r="K2777" t="str">
            <v>19318</v>
          </cell>
          <cell r="L2777" t="str">
            <v>GUAPI</v>
          </cell>
          <cell r="M2777" t="str">
            <v>3104691710</v>
          </cell>
        </row>
        <row r="2778">
          <cell r="A2778">
            <v>94535198</v>
          </cell>
          <cell r="B2778" t="str">
            <v>8</v>
          </cell>
          <cell r="C2778" t="str">
            <v/>
          </cell>
          <cell r="D2778" t="str">
            <v>NP</v>
          </cell>
          <cell r="E2778" t="str">
            <v xml:space="preserve">OSCAR ANDRES          </v>
          </cell>
          <cell r="F2778" t="str">
            <v>SANCLEMENTE RUIZ</v>
          </cell>
          <cell r="G2778" t="str">
            <v>OSCAR ANDRES SANCLEMENTE RUIZ</v>
          </cell>
          <cell r="H2778" t="str">
            <v>RECO</v>
          </cell>
          <cell r="I2778" t="str">
            <v>REGIMEN COMUN</v>
          </cell>
          <cell r="J2778" t="str">
            <v xml:space="preserve"> CL 78 N  19 60 CA 4</v>
          </cell>
          <cell r="K2778" t="str">
            <v>19001</v>
          </cell>
          <cell r="L2778" t="str">
            <v>POPAYÁN</v>
          </cell>
          <cell r="M2778" t="str">
            <v>3117009172</v>
          </cell>
        </row>
        <row r="2779">
          <cell r="A2779">
            <v>96191760</v>
          </cell>
          <cell r="B2779" t="str">
            <v>7</v>
          </cell>
          <cell r="C2779" t="str">
            <v/>
          </cell>
          <cell r="D2779" t="str">
            <v>NP</v>
          </cell>
          <cell r="E2779" t="str">
            <v>LEHABIN</v>
          </cell>
          <cell r="F2779" t="str">
            <v>PARADA MARTINEZ</v>
          </cell>
          <cell r="G2779" t="str">
            <v>PARADA MARTINEZ LEHABIN</v>
          </cell>
          <cell r="H2779" t="str">
            <v>RESI</v>
          </cell>
          <cell r="I2779" t="str">
            <v>REGIMEN SIMPLIFICADO</v>
          </cell>
          <cell r="J2779" t="str">
            <v>CL 7   4   31 BRR ANTONIO NARIÑO</v>
          </cell>
          <cell r="K2779" t="str">
            <v>50350</v>
          </cell>
          <cell r="L2779" t="str">
            <v>LA MACARENA</v>
          </cell>
          <cell r="M2779" t="str">
            <v>3208003920</v>
          </cell>
        </row>
        <row r="2780">
          <cell r="A2780">
            <v>96192497</v>
          </cell>
          <cell r="B2780" t="str">
            <v/>
          </cell>
          <cell r="C2780" t="str">
            <v/>
          </cell>
          <cell r="D2780" t="str">
            <v>CC</v>
          </cell>
          <cell r="E2780" t="str">
            <v>ANAVE JUEZ</v>
          </cell>
          <cell r="F2780" t="str">
            <v>JUVENAL YIME</v>
          </cell>
          <cell r="G2780" t="str">
            <v>JUVENAL YIME ANAVE JUEZ</v>
          </cell>
          <cell r="H2780" t="str">
            <v>NORE</v>
          </cell>
          <cell r="I2780" t="str">
            <v>NO RESPONSABLE DE IVA</v>
          </cell>
          <cell r="J2780" t="str">
            <v>MCP TAME</v>
          </cell>
          <cell r="K2780" t="str">
            <v>81794</v>
          </cell>
          <cell r="L2780" t="str">
            <v>TAME</v>
          </cell>
          <cell r="M2780" t="str">
            <v>NO</v>
          </cell>
        </row>
        <row r="2781">
          <cell r="A2781">
            <v>96330457</v>
          </cell>
          <cell r="B2781" t="str">
            <v/>
          </cell>
          <cell r="C2781" t="str">
            <v/>
          </cell>
          <cell r="D2781" t="str">
            <v>CC</v>
          </cell>
          <cell r="E2781" t="str">
            <v>EDUARTH</v>
          </cell>
          <cell r="F2781" t="str">
            <v>IBARRA PEÑA</v>
          </cell>
          <cell r="G2781" t="str">
            <v>IBARRA PEÑA EDUARTH</v>
          </cell>
          <cell r="H2781" t="str">
            <v>RESI</v>
          </cell>
          <cell r="I2781" t="str">
            <v>REGIMEN SIMPLIFICADO</v>
          </cell>
          <cell r="J2781" t="str">
            <v>XXXX</v>
          </cell>
          <cell r="K2781" t="str">
            <v>17001</v>
          </cell>
          <cell r="L2781" t="str">
            <v>MANIZALES</v>
          </cell>
          <cell r="M2781" t="str">
            <v>XXX</v>
          </cell>
        </row>
        <row r="2782">
          <cell r="A2782">
            <v>96501927</v>
          </cell>
          <cell r="B2782" t="str">
            <v>1</v>
          </cell>
          <cell r="C2782" t="str">
            <v/>
          </cell>
          <cell r="D2782" t="str">
            <v>NP</v>
          </cell>
          <cell r="E2782" t="str">
            <v>EDILBERTO</v>
          </cell>
          <cell r="F2782" t="str">
            <v>PEREZ SUAREZ</v>
          </cell>
          <cell r="G2782" t="str">
            <v>PEREZ SUAREZ EDILBERTO NOTARIA SEGUNDA YOPAL</v>
          </cell>
          <cell r="H2782" t="str">
            <v>RECO</v>
          </cell>
          <cell r="I2782" t="str">
            <v>REGIMEN COMUN</v>
          </cell>
          <cell r="J2782" t="str">
            <v>CALLE 9 20 45 INT. 3</v>
          </cell>
          <cell r="K2782" t="str">
            <v>85001</v>
          </cell>
          <cell r="L2782" t="str">
            <v>YOPAL</v>
          </cell>
          <cell r="M2782" t="str">
            <v>6357749</v>
          </cell>
        </row>
        <row r="2783">
          <cell r="A2783">
            <v>97435749</v>
          </cell>
          <cell r="B2783" t="str">
            <v/>
          </cell>
          <cell r="C2783" t="str">
            <v/>
          </cell>
          <cell r="D2783" t="str">
            <v>CC</v>
          </cell>
          <cell r="E2783" t="str">
            <v>TITO ELY</v>
          </cell>
          <cell r="F2783" t="str">
            <v>PEREZ MORA</v>
          </cell>
          <cell r="G2783" t="str">
            <v>PEREZ MORA TITO ELY</v>
          </cell>
          <cell r="H2783" t="str">
            <v>RESI</v>
          </cell>
          <cell r="I2783" t="str">
            <v>REGIMEN SIMPLIFICADO</v>
          </cell>
          <cell r="J2783" t="str">
            <v>CL AEROPUERTO</v>
          </cell>
          <cell r="K2783" t="str">
            <v>86568</v>
          </cell>
          <cell r="L2783" t="str">
            <v>PUERTO ASÍS</v>
          </cell>
          <cell r="M2783" t="str">
            <v>3115545435</v>
          </cell>
        </row>
        <row r="2784">
          <cell r="A2784">
            <v>97446446</v>
          </cell>
          <cell r="B2784" t="str">
            <v>9</v>
          </cell>
          <cell r="C2784" t="str">
            <v/>
          </cell>
          <cell r="D2784" t="str">
            <v>NP</v>
          </cell>
          <cell r="E2784" t="str">
            <v>FREDY ARMANDO</v>
          </cell>
          <cell r="F2784" t="str">
            <v>PINTO GONZALEZ</v>
          </cell>
          <cell r="G2784" t="str">
            <v>PINTO GONZALEZ FREDY ARMANDO</v>
          </cell>
          <cell r="H2784" t="str">
            <v>RESI</v>
          </cell>
          <cell r="I2784" t="str">
            <v>REGIMEN SIMPLIFICADO</v>
          </cell>
          <cell r="J2784" t="str">
            <v>DG 16 5 16 CA 1 URB SAN MARIO</v>
          </cell>
          <cell r="K2784" t="str">
            <v>15238</v>
          </cell>
          <cell r="L2784" t="str">
            <v>DUITAMA</v>
          </cell>
          <cell r="M2784" t="str">
            <v>3105796286</v>
          </cell>
        </row>
        <row r="2785">
          <cell r="A2785">
            <v>97600447</v>
          </cell>
          <cell r="B2785" t="str">
            <v/>
          </cell>
          <cell r="C2785" t="str">
            <v/>
          </cell>
          <cell r="D2785" t="str">
            <v>CC</v>
          </cell>
          <cell r="E2785" t="str">
            <v>JOSE VICENTE</v>
          </cell>
          <cell r="F2785" t="str">
            <v>CARDENAS TAFUR</v>
          </cell>
          <cell r="G2785" t="str">
            <v>CARDENAS TAFUR JOSE VICENTE</v>
          </cell>
          <cell r="H2785" t="str">
            <v>RESI</v>
          </cell>
          <cell r="I2785" t="str">
            <v>REGIMEN SIMPLIFICADO</v>
          </cell>
          <cell r="J2785" t="str">
            <v>CAS AMANAVEN</v>
          </cell>
          <cell r="K2785" t="str">
            <v>95001</v>
          </cell>
          <cell r="L2785" t="str">
            <v>SAN JOSÉ DEL GUAVIARE</v>
          </cell>
          <cell r="M2785" t="str">
            <v>04165871671</v>
          </cell>
        </row>
        <row r="2786">
          <cell r="A2786">
            <v>97610781</v>
          </cell>
          <cell r="B2786" t="str">
            <v/>
          </cell>
          <cell r="C2786" t="str">
            <v/>
          </cell>
          <cell r="D2786" t="str">
            <v>CC</v>
          </cell>
          <cell r="E2786" t="str">
            <v>WILSON</v>
          </cell>
          <cell r="F2786" t="str">
            <v>CEBALLOS HUERFANO</v>
          </cell>
          <cell r="G2786" t="str">
            <v>CEBALLOS HUERFANO WILSON</v>
          </cell>
          <cell r="H2786" t="str">
            <v>RESI</v>
          </cell>
          <cell r="I2786" t="str">
            <v>REGIMEN SIMPLIFICADO</v>
          </cell>
          <cell r="J2786" t="str">
            <v>IP PUERTO CACHICAMO</v>
          </cell>
          <cell r="K2786" t="str">
            <v>50711</v>
          </cell>
          <cell r="L2786" t="str">
            <v>VISTAHERMOSA</v>
          </cell>
          <cell r="M2786" t="str">
            <v>3103795638</v>
          </cell>
        </row>
        <row r="2787">
          <cell r="A2787">
            <v>97611363</v>
          </cell>
          <cell r="B2787" t="str">
            <v>3</v>
          </cell>
          <cell r="C2787" t="str">
            <v/>
          </cell>
          <cell r="D2787" t="str">
            <v>NP</v>
          </cell>
          <cell r="E2787" t="str">
            <v>JOSE ALBEIRO</v>
          </cell>
          <cell r="F2787" t="str">
            <v>OCHICA OSORIO</v>
          </cell>
          <cell r="G2787" t="str">
            <v>OCHICA OSORIO JOSE ALBEIRO</v>
          </cell>
          <cell r="H2787" t="str">
            <v>RECO</v>
          </cell>
          <cell r="I2787" t="str">
            <v>REGIMEN COMUN</v>
          </cell>
          <cell r="J2787" t="str">
            <v>CR 3 15 02 BRR CENTRO</v>
          </cell>
          <cell r="K2787" t="str">
            <v>94001</v>
          </cell>
          <cell r="L2787" t="str">
            <v>INÍRIDA</v>
          </cell>
          <cell r="M2787" t="str">
            <v>3103293735</v>
          </cell>
        </row>
        <row r="2788">
          <cell r="A2788">
            <v>98358801</v>
          </cell>
          <cell r="B2788" t="str">
            <v/>
          </cell>
          <cell r="C2788" t="str">
            <v/>
          </cell>
          <cell r="D2788" t="str">
            <v>CC</v>
          </cell>
          <cell r="E2788" t="str">
            <v>DIONISIO</v>
          </cell>
          <cell r="F2788" t="str">
            <v>RODRIGUEZ RUIZ</v>
          </cell>
          <cell r="G2788" t="str">
            <v>RODRIGUEZ RUIZ DIONISIO</v>
          </cell>
          <cell r="H2788" t="str">
            <v>RESI</v>
          </cell>
          <cell r="I2788" t="str">
            <v>REGIMEN SIMPLIFICADO</v>
          </cell>
          <cell r="J2788" t="str">
            <v>MLL MCP LA TOLA</v>
          </cell>
          <cell r="K2788" t="str">
            <v>52490</v>
          </cell>
          <cell r="L2788" t="str">
            <v>OLAYA HERRERA</v>
          </cell>
          <cell r="M2788" t="str">
            <v>3205520356</v>
          </cell>
        </row>
        <row r="2789">
          <cell r="A2789">
            <v>98380731</v>
          </cell>
          <cell r="B2789" t="str">
            <v/>
          </cell>
          <cell r="C2789" t="str">
            <v/>
          </cell>
          <cell r="D2789" t="str">
            <v>CC</v>
          </cell>
          <cell r="E2789" t="str">
            <v>LAUREANO MANUEL</v>
          </cell>
          <cell r="F2789" t="str">
            <v>DIAZ ACOSTA</v>
          </cell>
          <cell r="G2789" t="str">
            <v>DIAZ ACOSTA LAUREANO MANUEL</v>
          </cell>
          <cell r="H2789" t="str">
            <v>RESI</v>
          </cell>
          <cell r="I2789" t="str">
            <v>REGIMEN SIMPLIFICADO</v>
          </cell>
          <cell r="J2789" t="str">
            <v>LA FLORIDA NARIÑO</v>
          </cell>
          <cell r="K2789" t="str">
            <v>17001</v>
          </cell>
          <cell r="L2789" t="str">
            <v>MANIZALES</v>
          </cell>
          <cell r="M2789" t="str">
            <v>XXX</v>
          </cell>
        </row>
        <row r="2790">
          <cell r="A2790">
            <v>98385179</v>
          </cell>
          <cell r="B2790" t="str">
            <v>8</v>
          </cell>
          <cell r="C2790" t="str">
            <v/>
          </cell>
          <cell r="D2790" t="str">
            <v>NP</v>
          </cell>
          <cell r="E2790" t="str">
            <v>JAIME EDUARDO</v>
          </cell>
          <cell r="F2790" t="str">
            <v>DE LA PORTILLA MONCAYO</v>
          </cell>
          <cell r="G2790" t="str">
            <v>DE LA PORTILLA MONCAYO JAIME EDUARDO</v>
          </cell>
          <cell r="H2790" t="str">
            <v>RECO</v>
          </cell>
          <cell r="I2790" t="str">
            <v>REGIMEN COMUN</v>
          </cell>
          <cell r="J2790" t="str">
            <v>CR 44A  16 A  42</v>
          </cell>
          <cell r="K2790" t="str">
            <v>52001</v>
          </cell>
          <cell r="L2790" t="str">
            <v xml:space="preserve">PASTO	</v>
          </cell>
          <cell r="M2790" t="str">
            <v>7335099</v>
          </cell>
        </row>
        <row r="2791">
          <cell r="A2791">
            <v>98387447</v>
          </cell>
          <cell r="B2791" t="str">
            <v>6</v>
          </cell>
          <cell r="C2791" t="str">
            <v/>
          </cell>
          <cell r="D2791" t="str">
            <v>NP</v>
          </cell>
          <cell r="E2791" t="str">
            <v>BOSCO GUILLERMO</v>
          </cell>
          <cell r="F2791" t="str">
            <v>LOPEZ CASTRO</v>
          </cell>
          <cell r="G2791" t="str">
            <v>LOPEZ CASTRO BOSCO GUILLERMO</v>
          </cell>
          <cell r="H2791" t="str">
            <v>RECO</v>
          </cell>
          <cell r="I2791" t="str">
            <v>REGIMEN COMUN</v>
          </cell>
          <cell r="J2791" t="str">
            <v>CR 28 A N 20 A 36 BRR LAS CUADRAS</v>
          </cell>
          <cell r="K2791" t="str">
            <v>52001</v>
          </cell>
          <cell r="L2791" t="str">
            <v xml:space="preserve">PASTO	</v>
          </cell>
          <cell r="M2791" t="str">
            <v>3206834662</v>
          </cell>
        </row>
        <row r="2792">
          <cell r="A2792">
            <v>98429890</v>
          </cell>
          <cell r="B2792" t="str">
            <v/>
          </cell>
          <cell r="C2792" t="str">
            <v/>
          </cell>
          <cell r="D2792" t="str">
            <v>CC</v>
          </cell>
          <cell r="E2792" t="str">
            <v>FRANCISCO</v>
          </cell>
          <cell r="F2792" t="str">
            <v>REINA</v>
          </cell>
          <cell r="G2792" t="str">
            <v>REINA FRANCISCO</v>
          </cell>
          <cell r="H2792" t="str">
            <v>RESI</v>
          </cell>
          <cell r="I2792" t="str">
            <v>REGIMEN SIMPLIFICADO</v>
          </cell>
          <cell r="J2792" t="str">
            <v>XXXX</v>
          </cell>
          <cell r="K2792" t="str">
            <v>17001</v>
          </cell>
          <cell r="L2792" t="str">
            <v>MANIZALES</v>
          </cell>
          <cell r="M2792" t="str">
            <v>000</v>
          </cell>
        </row>
        <row r="2793">
          <cell r="A2793">
            <v>98430881</v>
          </cell>
          <cell r="B2793" t="str">
            <v/>
          </cell>
          <cell r="C2793" t="str">
            <v/>
          </cell>
          <cell r="D2793" t="str">
            <v>CC</v>
          </cell>
          <cell r="E2793" t="str">
            <v>WISTON</v>
          </cell>
          <cell r="F2793" t="str">
            <v>PRECIADO CAICEDO</v>
          </cell>
          <cell r="G2793" t="str">
            <v>PRECIADO CAICEDO WISTON</v>
          </cell>
          <cell r="H2793" t="str">
            <v>RESI</v>
          </cell>
          <cell r="I2793" t="str">
            <v>REGIMEN SIMPLIFICADO</v>
          </cell>
          <cell r="J2793" t="str">
            <v>TUMACO</v>
          </cell>
          <cell r="K2793" t="str">
            <v>52835</v>
          </cell>
          <cell r="L2793" t="str">
            <v>TUMACO</v>
          </cell>
          <cell r="M2793" t="str">
            <v>000</v>
          </cell>
        </row>
        <row r="2794">
          <cell r="A2794">
            <v>98454411</v>
          </cell>
          <cell r="B2794" t="str">
            <v>9</v>
          </cell>
          <cell r="C2794" t="str">
            <v/>
          </cell>
          <cell r="D2794" t="str">
            <v>NP</v>
          </cell>
          <cell r="E2794" t="str">
            <v>FERNANDO DE JESUS</v>
          </cell>
          <cell r="F2794" t="str">
            <v>CASTRO</v>
          </cell>
          <cell r="G2794" t="str">
            <v>CASTRO FERNANDO DE JESUS</v>
          </cell>
          <cell r="H2794" t="str">
            <v>RESI</v>
          </cell>
          <cell r="I2794" t="str">
            <v>REGIMEN SIMPLIFICADO</v>
          </cell>
          <cell r="J2794" t="str">
            <v>VDA PUENTE LINDA</v>
          </cell>
          <cell r="K2794" t="str">
            <v>05483</v>
          </cell>
          <cell r="L2794" t="str">
            <v>NARIÑO</v>
          </cell>
          <cell r="M2794" t="str">
            <v>3147417803</v>
          </cell>
        </row>
        <row r="2795">
          <cell r="A2795">
            <v>98455464</v>
          </cell>
          <cell r="B2795" t="str">
            <v>3</v>
          </cell>
          <cell r="C2795" t="str">
            <v/>
          </cell>
          <cell r="D2795" t="str">
            <v>NP</v>
          </cell>
          <cell r="E2795" t="str">
            <v>JESUS WALTER</v>
          </cell>
          <cell r="F2795" t="str">
            <v>SALAZAR ALZATE</v>
          </cell>
          <cell r="G2795" t="str">
            <v>SALAZAR ALZATE JESUS WALTER</v>
          </cell>
          <cell r="H2795" t="str">
            <v>RECO</v>
          </cell>
          <cell r="I2795" t="str">
            <v>REGIMEN COMUN</v>
          </cell>
          <cell r="J2795" t="str">
            <v>CR 65   25   128</v>
          </cell>
          <cell r="K2795" t="str">
            <v>05001</v>
          </cell>
          <cell r="L2795" t="str">
            <v>MEDELLÍN</v>
          </cell>
          <cell r="M2795" t="str">
            <v>2358435</v>
          </cell>
        </row>
        <row r="2796">
          <cell r="A2796">
            <v>98455466</v>
          </cell>
          <cell r="B2796" t="str">
            <v>8</v>
          </cell>
          <cell r="C2796" t="str">
            <v/>
          </cell>
          <cell r="D2796" t="str">
            <v>NP</v>
          </cell>
          <cell r="E2796" t="str">
            <v>JOHN FREDY</v>
          </cell>
          <cell r="F2796" t="str">
            <v>HENAO MARTINEZ</v>
          </cell>
          <cell r="G2796" t="str">
            <v>HENAO MARTINEZ JOHN FREDY</v>
          </cell>
          <cell r="H2796" t="str">
            <v>RESI</v>
          </cell>
          <cell r="I2796" t="str">
            <v>REGIMEN SIMPLIFICADO</v>
          </cell>
          <cell r="J2796" t="str">
            <v>CORR BERLN PARQUE PRINCIPAL</v>
          </cell>
          <cell r="K2796" t="str">
            <v>17662</v>
          </cell>
          <cell r="L2796" t="str">
            <v>SAMANÁ</v>
          </cell>
          <cell r="M2796" t="str">
            <v>3148828628</v>
          </cell>
        </row>
        <row r="2797">
          <cell r="A2797">
            <v>98455891</v>
          </cell>
          <cell r="B2797" t="str">
            <v>5</v>
          </cell>
          <cell r="C2797" t="str">
            <v/>
          </cell>
          <cell r="D2797" t="str">
            <v>NP</v>
          </cell>
          <cell r="E2797" t="str">
            <v>GILBERTO DE JESUS</v>
          </cell>
          <cell r="F2797" t="str">
            <v>RONDON OROZCO</v>
          </cell>
          <cell r="G2797" t="str">
            <v>RONDON OROZCO GILBERTO DE JESUS</v>
          </cell>
          <cell r="H2797" t="str">
            <v>NORE</v>
          </cell>
          <cell r="I2797" t="str">
            <v>NO RESPONSABLE DE IVA</v>
          </cell>
          <cell r="J2797" t="str">
            <v>CORR FLORENCIA VDA LAS MERCEDES</v>
          </cell>
          <cell r="K2797" t="str">
            <v>17662</v>
          </cell>
          <cell r="L2797" t="str">
            <v>SAMANÁ</v>
          </cell>
          <cell r="M2797" t="str">
            <v>3133564578</v>
          </cell>
        </row>
        <row r="2798">
          <cell r="A2798">
            <v>98456305</v>
          </cell>
          <cell r="B2798" t="str">
            <v>5</v>
          </cell>
          <cell r="C2798" t="str">
            <v/>
          </cell>
          <cell r="D2798" t="str">
            <v>NP</v>
          </cell>
          <cell r="E2798" t="str">
            <v>JHON JAIME</v>
          </cell>
          <cell r="F2798" t="str">
            <v>RONDON OROZCO</v>
          </cell>
          <cell r="G2798" t="str">
            <v>RONDON OROZCO JHON JAIME</v>
          </cell>
          <cell r="H2798" t="str">
            <v>NORE</v>
          </cell>
          <cell r="I2798" t="str">
            <v>NO RESPONSABLE DE IVA</v>
          </cell>
          <cell r="J2798" t="str">
            <v>CL 2 VILLALOBOS CORR FLORENCIA</v>
          </cell>
          <cell r="K2798" t="str">
            <v>17662</v>
          </cell>
          <cell r="L2798" t="str">
            <v>SAMANÁ</v>
          </cell>
          <cell r="M2798" t="str">
            <v>3233658947</v>
          </cell>
        </row>
        <row r="2799">
          <cell r="A2799">
            <v>98456473</v>
          </cell>
          <cell r="B2799" t="str">
            <v>4</v>
          </cell>
          <cell r="C2799" t="str">
            <v/>
          </cell>
          <cell r="D2799" t="str">
            <v>NP</v>
          </cell>
          <cell r="E2799" t="str">
            <v>PABLO EMILIO</v>
          </cell>
          <cell r="F2799" t="str">
            <v>MORENO CORTES</v>
          </cell>
          <cell r="G2799" t="str">
            <v>MORENO CORTES PABLO EMILIO</v>
          </cell>
          <cell r="H2799" t="str">
            <v>RESI</v>
          </cell>
          <cell r="I2799" t="str">
            <v>REGIMEN SIMPLIFICADO</v>
          </cell>
          <cell r="J2799" t="str">
            <v>VDA GUAMAL</v>
          </cell>
          <cell r="K2799" t="str">
            <v>05483</v>
          </cell>
          <cell r="L2799" t="str">
            <v>NARIÑO</v>
          </cell>
          <cell r="M2799" t="str">
            <v>3123715719</v>
          </cell>
        </row>
        <row r="2800">
          <cell r="A2800">
            <v>98456537</v>
          </cell>
          <cell r="B2800" t="str">
            <v/>
          </cell>
          <cell r="C2800" t="str">
            <v/>
          </cell>
          <cell r="D2800" t="str">
            <v>CC</v>
          </cell>
          <cell r="E2800" t="str">
            <v>JOHN JAIRO</v>
          </cell>
          <cell r="F2800" t="str">
            <v>BERNAL MASSO</v>
          </cell>
          <cell r="G2800" t="str">
            <v>BERNAL MASSO JOHN JAIRO</v>
          </cell>
          <cell r="H2800" t="str">
            <v>RESI</v>
          </cell>
          <cell r="I2800" t="str">
            <v>REGIMEN SIMPLIFICADO</v>
          </cell>
          <cell r="J2800" t="str">
            <v>XXX</v>
          </cell>
          <cell r="K2800" t="str">
            <v>17001</v>
          </cell>
          <cell r="L2800" t="str">
            <v>MANIZALES</v>
          </cell>
          <cell r="M2800" t="str">
            <v>XXX</v>
          </cell>
        </row>
        <row r="2801">
          <cell r="A2801">
            <v>98457015</v>
          </cell>
          <cell r="B2801" t="str">
            <v>9</v>
          </cell>
          <cell r="C2801" t="str">
            <v/>
          </cell>
          <cell r="D2801" t="str">
            <v>NP</v>
          </cell>
          <cell r="E2801" t="str">
            <v>OMAR DE JESUS</v>
          </cell>
          <cell r="F2801" t="str">
            <v>OCAMPO OROZCO</v>
          </cell>
          <cell r="G2801" t="str">
            <v>OCAMPO OROZCO OMAR DE JESUS</v>
          </cell>
          <cell r="H2801" t="str">
            <v>NORE</v>
          </cell>
          <cell r="I2801" t="str">
            <v>NO RESPONSABLE DE IVA</v>
          </cell>
          <cell r="J2801" t="str">
            <v>CR 89 A # 45 A Sur - 38 TO 22 torre202</v>
          </cell>
          <cell r="K2801" t="str">
            <v>03</v>
          </cell>
          <cell r="L2801" t="str">
            <v>BOGOTA</v>
          </cell>
          <cell r="M2801" t="str">
            <v>3213531326</v>
          </cell>
        </row>
        <row r="2802">
          <cell r="A2802">
            <v>98457201</v>
          </cell>
          <cell r="B2802" t="str">
            <v>2</v>
          </cell>
          <cell r="C2802" t="str">
            <v/>
          </cell>
          <cell r="D2802" t="str">
            <v>NP</v>
          </cell>
          <cell r="E2802" t="str">
            <v>CARLOS AUGUSTO</v>
          </cell>
          <cell r="F2802" t="str">
            <v>TANGARIFE  ISAZA</v>
          </cell>
          <cell r="G2802" t="str">
            <v>TANGARIFE  ISAZA CARLOS AUGUSTO</v>
          </cell>
          <cell r="H2802" t="str">
            <v>RESI</v>
          </cell>
          <cell r="I2802" t="str">
            <v>REGIMEN SIMPLIFICADO</v>
          </cell>
          <cell r="J2802" t="str">
            <v>CORR FLORENCIA CALLE DEL CENTRO DE SALUD ESQ</v>
          </cell>
          <cell r="K2802" t="str">
            <v>17662</v>
          </cell>
          <cell r="L2802" t="str">
            <v>SAMANÁ</v>
          </cell>
          <cell r="M2802" t="str">
            <v>3226316508</v>
          </cell>
        </row>
        <row r="2803">
          <cell r="A2803">
            <v>98516208</v>
          </cell>
          <cell r="B2803" t="str">
            <v>7</v>
          </cell>
          <cell r="C2803" t="str">
            <v/>
          </cell>
          <cell r="D2803" t="str">
            <v>NP</v>
          </cell>
          <cell r="E2803" t="str">
            <v>JOSE RICARDO</v>
          </cell>
          <cell r="F2803" t="str">
            <v>SOTO CASTRILLÓN</v>
          </cell>
          <cell r="G2803" t="str">
            <v>SOTO CASTRILLÓN JOSE RICARDO</v>
          </cell>
          <cell r="H2803" t="str">
            <v>RESI</v>
          </cell>
          <cell r="I2803" t="str">
            <v>REGIMEN SIMPLIFICADO</v>
          </cell>
          <cell r="J2803" t="str">
            <v>VRD C S BRR VILLAPILA, ECO HOTEL LA JUANITA</v>
          </cell>
          <cell r="K2803" t="str">
            <v>17001</v>
          </cell>
          <cell r="L2803" t="str">
            <v>MANIZALES</v>
          </cell>
          <cell r="M2803" t="str">
            <v>8714416</v>
          </cell>
        </row>
        <row r="2804">
          <cell r="A2804">
            <v>98547030</v>
          </cell>
          <cell r="B2804" t="str">
            <v>6</v>
          </cell>
          <cell r="C2804" t="str">
            <v/>
          </cell>
          <cell r="D2804" t="str">
            <v>NP</v>
          </cell>
          <cell r="E2804" t="str">
            <v>WILSON</v>
          </cell>
          <cell r="F2804" t="str">
            <v>GIRALDO PIEDRAHITA</v>
          </cell>
          <cell r="G2804" t="str">
            <v>GIRALDO PIEDRAHITA WILSON</v>
          </cell>
          <cell r="H2804" t="str">
            <v>RECO</v>
          </cell>
          <cell r="I2804" t="str">
            <v>REGIMEN COMUN</v>
          </cell>
          <cell r="J2804" t="str">
            <v>BRR EL CARMEN</v>
          </cell>
          <cell r="K2804" t="str">
            <v>27075</v>
          </cell>
          <cell r="L2804" t="str">
            <v>BAHÍA SOLANO</v>
          </cell>
          <cell r="M2804" t="str">
            <v>00</v>
          </cell>
        </row>
        <row r="2805">
          <cell r="A2805">
            <v>98574155</v>
          </cell>
          <cell r="B2805" t="str">
            <v/>
          </cell>
          <cell r="C2805" t="str">
            <v/>
          </cell>
          <cell r="D2805" t="str">
            <v>CC</v>
          </cell>
          <cell r="E2805" t="str">
            <v>JHON JAIRO</v>
          </cell>
          <cell r="F2805" t="str">
            <v>IBARRA MONTOYA</v>
          </cell>
          <cell r="G2805" t="str">
            <v>JHON JAIRO IBARRA MONTOYA</v>
          </cell>
          <cell r="H2805" t="str">
            <v>FUNC</v>
          </cell>
          <cell r="I2805" t="str">
            <v>FUNCIONARIO</v>
          </cell>
          <cell r="J2805" t="str">
            <v>ACANDÍ</v>
          </cell>
          <cell r="K2805" t="str">
            <v>27006</v>
          </cell>
          <cell r="L2805" t="str">
            <v>ACANDÍ</v>
          </cell>
          <cell r="M2805" t="str">
            <v>3206062867</v>
          </cell>
        </row>
        <row r="2806">
          <cell r="A2806">
            <v>98619350</v>
          </cell>
          <cell r="B2806" t="str">
            <v/>
          </cell>
          <cell r="C2806" t="str">
            <v/>
          </cell>
          <cell r="D2806" t="str">
            <v>CC</v>
          </cell>
          <cell r="E2806" t="str">
            <v>JULIAN DAVID</v>
          </cell>
          <cell r="F2806" t="str">
            <v>VILLEGAS SALAS</v>
          </cell>
          <cell r="G2806" t="str">
            <v>VILLEGAS SALAS JULIAN DAVID</v>
          </cell>
          <cell r="H2806" t="str">
            <v>RESI</v>
          </cell>
          <cell r="I2806" t="str">
            <v>REGIMEN SIMPLIFICADO</v>
          </cell>
          <cell r="J2806" t="str">
            <v>XXXX</v>
          </cell>
          <cell r="K2806" t="str">
            <v>17001</v>
          </cell>
          <cell r="L2806" t="str">
            <v>MANIZALES</v>
          </cell>
          <cell r="M2806" t="str">
            <v>XXX</v>
          </cell>
        </row>
        <row r="2807">
          <cell r="A2807">
            <v>98621706</v>
          </cell>
          <cell r="B2807" t="str">
            <v>2</v>
          </cell>
          <cell r="C2807" t="str">
            <v/>
          </cell>
          <cell r="D2807" t="str">
            <v>NP</v>
          </cell>
          <cell r="E2807" t="str">
            <v>JUAN FERNANDO</v>
          </cell>
          <cell r="F2807" t="str">
            <v>HINCAPIE</v>
          </cell>
          <cell r="G2807" t="str">
            <v>HINCAPIE JUAN FERNANDO</v>
          </cell>
          <cell r="H2807" t="str">
            <v>RECO</v>
          </cell>
          <cell r="I2807" t="str">
            <v>REGIMEN COMUN</v>
          </cell>
          <cell r="J2807" t="str">
            <v>CR 11 A  62 B  72 AP 101 TO B  URB ALTOS DE</v>
          </cell>
          <cell r="K2807" t="str">
            <v>23001</v>
          </cell>
          <cell r="L2807" t="str">
            <v>MONTERÍA</v>
          </cell>
          <cell r="M2807" t="str">
            <v>7918257</v>
          </cell>
        </row>
        <row r="2808">
          <cell r="A2808">
            <v>98676868</v>
          </cell>
          <cell r="B2808" t="str">
            <v/>
          </cell>
          <cell r="C2808" t="str">
            <v/>
          </cell>
          <cell r="D2808" t="str">
            <v>CC</v>
          </cell>
          <cell r="E2808" t="str">
            <v>SAMUEL</v>
          </cell>
          <cell r="F2808" t="str">
            <v>FLOREZ  GARCIA</v>
          </cell>
          <cell r="G2808" t="str">
            <v>FLOREZ  GARCIA SAMUEL</v>
          </cell>
          <cell r="H2808" t="str">
            <v>RESI</v>
          </cell>
          <cell r="I2808" t="str">
            <v>REGIMEN SIMPLIFICADO</v>
          </cell>
          <cell r="J2808" t="str">
            <v>SAMANA</v>
          </cell>
          <cell r="K2808" t="str">
            <v>17662</v>
          </cell>
          <cell r="L2808" t="str">
            <v>SAMANÁ</v>
          </cell>
          <cell r="M2808" t="str">
            <v>000</v>
          </cell>
        </row>
        <row r="2809">
          <cell r="A2809">
            <v>98677045</v>
          </cell>
          <cell r="B2809" t="str">
            <v>3</v>
          </cell>
          <cell r="C2809" t="str">
            <v/>
          </cell>
          <cell r="D2809" t="str">
            <v>NP</v>
          </cell>
          <cell r="E2809" t="str">
            <v>LUIS ANGEL</v>
          </cell>
          <cell r="F2809" t="str">
            <v>ALZATE PEREZ</v>
          </cell>
          <cell r="G2809" t="str">
            <v>ALZATE PEREZ LUIS ANGEL</v>
          </cell>
          <cell r="H2809" t="str">
            <v>RESI</v>
          </cell>
          <cell r="I2809" t="str">
            <v>REGIMEN SIMPLIFICADO</v>
          </cell>
          <cell r="J2809" t="str">
            <v>VDA EL PALMAR</v>
          </cell>
          <cell r="K2809" t="str">
            <v>05483</v>
          </cell>
          <cell r="L2809" t="str">
            <v>NARIÑO</v>
          </cell>
          <cell r="M2809" t="str">
            <v>3146688256</v>
          </cell>
        </row>
        <row r="2810">
          <cell r="A2810">
            <v>98677448</v>
          </cell>
          <cell r="B2810" t="str">
            <v/>
          </cell>
          <cell r="C2810" t="str">
            <v/>
          </cell>
          <cell r="D2810" t="str">
            <v>CC</v>
          </cell>
          <cell r="E2810" t="str">
            <v>NORBEY DE JESUS</v>
          </cell>
          <cell r="F2810" t="str">
            <v>OCAMPO</v>
          </cell>
          <cell r="G2810" t="str">
            <v>OCAMPO NORBEY DE JESUS</v>
          </cell>
          <cell r="H2810" t="str">
            <v>RESI</v>
          </cell>
          <cell r="I2810" t="str">
            <v>REGIMEN SIMPLIFICADO</v>
          </cell>
          <cell r="J2810" t="str">
            <v>VRD CRISTALES-FLORENCIA CALDAS</v>
          </cell>
          <cell r="K2810" t="str">
            <v>17662</v>
          </cell>
          <cell r="L2810" t="str">
            <v>SAMANÁ</v>
          </cell>
          <cell r="M2810" t="str">
            <v>3122727500</v>
          </cell>
        </row>
        <row r="2811">
          <cell r="A2811">
            <v>98677775</v>
          </cell>
          <cell r="B2811" t="str">
            <v/>
          </cell>
          <cell r="C2811" t="str">
            <v/>
          </cell>
          <cell r="D2811" t="str">
            <v>CC</v>
          </cell>
          <cell r="E2811" t="str">
            <v>JOSE NELSON</v>
          </cell>
          <cell r="F2811" t="str">
            <v>QUICENO OSPINA</v>
          </cell>
          <cell r="G2811" t="str">
            <v>QUICENO OSPINA JOSE NELSON</v>
          </cell>
          <cell r="H2811" t="str">
            <v>RESI</v>
          </cell>
          <cell r="I2811" t="str">
            <v>REGIMEN SIMPLIFICADO</v>
          </cell>
          <cell r="J2811" t="str">
            <v>C PLAZA PRINCIPAL PUEBLO NUEVO</v>
          </cell>
          <cell r="K2811" t="str">
            <v>17541</v>
          </cell>
          <cell r="L2811" t="str">
            <v>PENSILVANIA</v>
          </cell>
          <cell r="M2811" t="str">
            <v>3113228662</v>
          </cell>
        </row>
        <row r="2812">
          <cell r="A2812">
            <v>98678064</v>
          </cell>
          <cell r="B2812" t="str">
            <v/>
          </cell>
          <cell r="C2812" t="str">
            <v/>
          </cell>
          <cell r="D2812" t="str">
            <v>CC</v>
          </cell>
          <cell r="E2812" t="str">
            <v>GERSON MAURICIO</v>
          </cell>
          <cell r="F2812" t="str">
            <v>VALENCIA BUITRAGO</v>
          </cell>
          <cell r="G2812" t="str">
            <v>VALENCIA BUITRAGO GERSON MAURICIO</v>
          </cell>
          <cell r="H2812" t="str">
            <v>RESI</v>
          </cell>
          <cell r="I2812" t="str">
            <v>REGIMEN SIMPLIFICADO</v>
          </cell>
          <cell r="J2812" t="str">
            <v>VRD BUENA VISTA</v>
          </cell>
          <cell r="K2812" t="str">
            <v>17662</v>
          </cell>
          <cell r="L2812" t="str">
            <v>SAMANÁ</v>
          </cell>
          <cell r="M2812" t="str">
            <v>3147124022</v>
          </cell>
        </row>
        <row r="2813">
          <cell r="A2813">
            <v>98696084</v>
          </cell>
          <cell r="B2813" t="str">
            <v>1</v>
          </cell>
          <cell r="C2813" t="str">
            <v/>
          </cell>
          <cell r="D2813" t="str">
            <v>NP</v>
          </cell>
          <cell r="E2813" t="str">
            <v>EDGAR HERNAN</v>
          </cell>
          <cell r="F2813" t="str">
            <v>GUARIN TORRES</v>
          </cell>
          <cell r="G2813" t="str">
            <v>GUARIN TORRES EDGAR HERNAN</v>
          </cell>
          <cell r="H2813" t="str">
            <v>RESI</v>
          </cell>
          <cell r="I2813" t="str">
            <v>REGIMEN SIMPLIFICADO</v>
          </cell>
          <cell r="J2813" t="str">
            <v>BRR LA FLORESTA</v>
          </cell>
          <cell r="K2813" t="str">
            <v>27075</v>
          </cell>
          <cell r="L2813" t="str">
            <v>BAHÍA SOLANO</v>
          </cell>
          <cell r="M2813" t="str">
            <v>3146231123</v>
          </cell>
        </row>
        <row r="2814">
          <cell r="A2814">
            <v>98709317</v>
          </cell>
          <cell r="B2814" t="str">
            <v/>
          </cell>
          <cell r="C2814" t="str">
            <v/>
          </cell>
          <cell r="D2814" t="str">
            <v>CC</v>
          </cell>
          <cell r="E2814" t="str">
            <v>EDINSON</v>
          </cell>
          <cell r="F2814" t="str">
            <v>RENTERIA TORRES</v>
          </cell>
          <cell r="G2814" t="str">
            <v>RENTERIA TORRES EDINSON</v>
          </cell>
          <cell r="H2814" t="str">
            <v>FUNC</v>
          </cell>
          <cell r="I2814" t="str">
            <v>FUNCIONARIO</v>
          </cell>
          <cell r="J2814" t="str">
            <v>AV LOS DELFINES  BRR LA FLORESTA</v>
          </cell>
          <cell r="K2814" t="str">
            <v>27075</v>
          </cell>
          <cell r="L2814" t="str">
            <v>BAHÍA SOLANO</v>
          </cell>
          <cell r="M2814" t="str">
            <v>3206530086</v>
          </cell>
        </row>
        <row r="2815">
          <cell r="A2815">
            <v>98771775</v>
          </cell>
          <cell r="B2815" t="str">
            <v>3</v>
          </cell>
          <cell r="C2815" t="str">
            <v/>
          </cell>
          <cell r="D2815" t="str">
            <v>NP</v>
          </cell>
          <cell r="E2815" t="str">
            <v>JULIAN ESTEBAN</v>
          </cell>
          <cell r="F2815" t="str">
            <v>RESTREPO MONTOYA</v>
          </cell>
          <cell r="G2815" t="str">
            <v>RESTREPO MONTOYA JULIAN ESTEBAN</v>
          </cell>
          <cell r="H2815" t="str">
            <v>REOR</v>
          </cell>
          <cell r="I2815" t="str">
            <v>RENTA REGIMEN ORDINARIO</v>
          </cell>
          <cell r="J2815" t="str">
            <v>CL 36 A A SUR 26 A 30 CA 113</v>
          </cell>
          <cell r="K2815" t="str">
            <v>05266</v>
          </cell>
          <cell r="L2815" t="str">
            <v>ENVIGADO</v>
          </cell>
          <cell r="M2815" t="str">
            <v>3361046</v>
          </cell>
        </row>
        <row r="2816">
          <cell r="A2816">
            <v>98772053</v>
          </cell>
          <cell r="B2816" t="str">
            <v>9</v>
          </cell>
          <cell r="C2816" t="str">
            <v/>
          </cell>
          <cell r="D2816" t="str">
            <v>NP</v>
          </cell>
          <cell r="E2816" t="str">
            <v>MIGUEL</v>
          </cell>
          <cell r="F2816" t="str">
            <v>LOTERO ROBLEDO</v>
          </cell>
          <cell r="G2816" t="str">
            <v>LOTERO ROBLEDO MIGUEL</v>
          </cell>
          <cell r="H2816" t="str">
            <v>RESI</v>
          </cell>
          <cell r="I2816" t="str">
            <v>REGIMEN SIMPLIFICADO</v>
          </cell>
          <cell r="J2816" t="str">
            <v>CL 68 4 52 AP 101</v>
          </cell>
          <cell r="K2816" t="str">
            <v>17001</v>
          </cell>
          <cell r="L2816" t="str">
            <v>MANIZALES</v>
          </cell>
          <cell r="M2816" t="str">
            <v>3176355503</v>
          </cell>
        </row>
        <row r="2817">
          <cell r="A2817">
            <v>99563440</v>
          </cell>
          <cell r="B2817" t="str">
            <v/>
          </cell>
          <cell r="C2817" t="str">
            <v/>
          </cell>
          <cell r="D2817" t="str">
            <v>NE</v>
          </cell>
          <cell r="E2817" t="str">
            <v/>
          </cell>
          <cell r="F2817" t="str">
            <v/>
          </cell>
          <cell r="G2817" t="str">
            <v>SCHENCK PROCESS AUTRAL S.A</v>
          </cell>
          <cell r="H2817" t="str">
            <v>EXTR</v>
          </cell>
          <cell r="I2817" t="str">
            <v>EXTRANJERO</v>
          </cell>
          <cell r="J2817" t="str">
            <v>AC ANTONIA LOPEZ DE BELLO    114 OF 301</v>
          </cell>
          <cell r="K2817" t="str">
            <v>11001</v>
          </cell>
          <cell r="L2817" t="str">
            <v>BOGOTA DC</v>
          </cell>
          <cell r="M2817" t="str">
            <v>229989900</v>
          </cell>
        </row>
        <row r="2818">
          <cell r="A2818">
            <v>104010575</v>
          </cell>
          <cell r="B2818" t="str">
            <v/>
          </cell>
          <cell r="C2818" t="str">
            <v/>
          </cell>
          <cell r="D2818" t="str">
            <v>NE</v>
          </cell>
          <cell r="E2818" t="str">
            <v/>
          </cell>
          <cell r="F2818" t="str">
            <v/>
          </cell>
          <cell r="G2818" t="str">
            <v>MITSUI &amp; CO.,PLANT SYSTEMS LTD.</v>
          </cell>
          <cell r="H2818" t="str">
            <v>EXTR</v>
          </cell>
          <cell r="I2818" t="str">
            <v>EXTRANJERO</v>
          </cell>
          <cell r="J2818" t="str">
            <v xml:space="preserve"> CL 1-9-2 HIGASHI SHIMBASHI MINATO -KU TOKIO</v>
          </cell>
          <cell r="K2818" t="str">
            <v>17001</v>
          </cell>
          <cell r="L2818" t="str">
            <v>MANIZALES</v>
          </cell>
          <cell r="M2818" t="str">
            <v>3107884441</v>
          </cell>
        </row>
        <row r="2819">
          <cell r="A2819">
            <v>201552207</v>
          </cell>
          <cell r="B2819" t="str">
            <v/>
          </cell>
          <cell r="C2819" t="str">
            <v/>
          </cell>
          <cell r="D2819" t="str">
            <v>NE</v>
          </cell>
          <cell r="E2819" t="str">
            <v/>
          </cell>
          <cell r="F2819" t="str">
            <v/>
          </cell>
          <cell r="G2819" t="str">
            <v xml:space="preserve"> WORLD CONFEDERATION OF BUSINESSES</v>
          </cell>
          <cell r="H2819" t="str">
            <v>EXTR</v>
          </cell>
          <cell r="I2819" t="str">
            <v>EXTRANJERO</v>
          </cell>
          <cell r="J2819" t="str">
            <v>2190 N  L  O  O  P  W  S  U  I  T  E 100</v>
          </cell>
          <cell r="K2819" t="str">
            <v>00</v>
          </cell>
          <cell r="L2819" t="str">
            <v>EXTERIOR</v>
          </cell>
          <cell r="M2819" t="str">
            <v>1-713-339-9900</v>
          </cell>
        </row>
        <row r="2820">
          <cell r="A2820">
            <v>444523526</v>
          </cell>
          <cell r="B2820" t="str">
            <v/>
          </cell>
          <cell r="C2820" t="str">
            <v/>
          </cell>
          <cell r="D2820" t="str">
            <v>NE</v>
          </cell>
          <cell r="E2820" t="str">
            <v/>
          </cell>
          <cell r="F2820" t="str">
            <v/>
          </cell>
          <cell r="G2820" t="str">
            <v>ARTELIA VILLE &amp; TRANSPORT</v>
          </cell>
          <cell r="H2820" t="str">
            <v>EXTR</v>
          </cell>
          <cell r="I2820" t="str">
            <v>EXTRANJERO</v>
          </cell>
          <cell r="J2820" t="str">
            <v xml:space="preserve"> CL 6 RUE DE LORRAINE 38130 ECHIROLES</v>
          </cell>
          <cell r="K2820" t="str">
            <v>11001</v>
          </cell>
          <cell r="L2820" t="str">
            <v>BOGOTA DC</v>
          </cell>
          <cell r="M2820" t="str">
            <v>177937850</v>
          </cell>
        </row>
        <row r="2821">
          <cell r="A2821">
            <v>463855090</v>
          </cell>
          <cell r="B2821" t="str">
            <v/>
          </cell>
          <cell r="C2821" t="str">
            <v/>
          </cell>
          <cell r="D2821" t="str">
            <v>CC</v>
          </cell>
          <cell r="E2821" t="str">
            <v>FABIOLA ESPERANZA</v>
          </cell>
          <cell r="F2821" t="str">
            <v>RAMIREZ MARTINEZ</v>
          </cell>
          <cell r="G2821" t="str">
            <v>RAMIREZ MARTINEZ FABIOLA ESPERANZA</v>
          </cell>
          <cell r="H2821" t="str">
            <v>FUNC</v>
          </cell>
          <cell r="I2821" t="str">
            <v>FUNCIONARIO</v>
          </cell>
          <cell r="J2821" t="str">
            <v>CRA 17 3 97</v>
          </cell>
          <cell r="K2821" t="str">
            <v>15238</v>
          </cell>
          <cell r="L2821" t="str">
            <v>DUITAMA</v>
          </cell>
          <cell r="M2821" t="str">
            <v>3203115211</v>
          </cell>
        </row>
        <row r="2822">
          <cell r="A2822">
            <v>592871699</v>
          </cell>
          <cell r="B2822" t="str">
            <v/>
          </cell>
          <cell r="C2822" t="str">
            <v/>
          </cell>
          <cell r="D2822" t="str">
            <v>NE</v>
          </cell>
          <cell r="E2822" t="str">
            <v/>
          </cell>
          <cell r="F2822" t="str">
            <v/>
          </cell>
          <cell r="G2822" t="str">
            <v>SOUTHERN ENVIRONMENTAL, INC.</v>
          </cell>
          <cell r="H2822" t="str">
            <v>EXTR</v>
          </cell>
          <cell r="I2822" t="str">
            <v>EXTRANJERO</v>
          </cell>
          <cell r="J2822" t="str">
            <v xml:space="preserve"> AC 6690WEST NINE MILE ROAD, POSTAL CODE: 32526</v>
          </cell>
          <cell r="K2822" t="str">
            <v>76275</v>
          </cell>
          <cell r="L2822" t="str">
            <v>FLORIDA</v>
          </cell>
          <cell r="M2822" t="str">
            <v>3103278582</v>
          </cell>
        </row>
        <row r="2823">
          <cell r="A2823">
            <v>610000000</v>
          </cell>
          <cell r="B2823" t="str">
            <v/>
          </cell>
          <cell r="C2823" t="str">
            <v/>
          </cell>
          <cell r="D2823" t="str">
            <v>NE</v>
          </cell>
          <cell r="E2823" t="str">
            <v/>
          </cell>
          <cell r="F2823" t="str">
            <v/>
          </cell>
          <cell r="G2823" t="str">
            <v>RESTAURANTE TIPICO DRAGON</v>
          </cell>
          <cell r="H2823" t="str">
            <v>RESI</v>
          </cell>
          <cell r="I2823" t="str">
            <v>REGIMEN SIMPLIFICADO</v>
          </cell>
          <cell r="J2823" t="str">
            <v>CR 26 N 66-20</v>
          </cell>
          <cell r="K2823" t="str">
            <v>17001</v>
          </cell>
          <cell r="L2823" t="str">
            <v>MANIZALES</v>
          </cell>
          <cell r="M2823" t="str">
            <v>8875406</v>
          </cell>
        </row>
        <row r="2824">
          <cell r="A2824">
            <v>610000006</v>
          </cell>
          <cell r="B2824" t="str">
            <v>7</v>
          </cell>
          <cell r="C2824" t="str">
            <v/>
          </cell>
          <cell r="D2824" t="str">
            <v>NP</v>
          </cell>
          <cell r="E2824" t="str">
            <v>XIU LIAN</v>
          </cell>
          <cell r="F2824" t="str">
            <v>CHEN</v>
          </cell>
          <cell r="G2824" t="str">
            <v>CHEN XIU LIAN</v>
          </cell>
          <cell r="H2824" t="str">
            <v>RESI</v>
          </cell>
          <cell r="I2824" t="str">
            <v>REGIMEN SIMPLIFICADO</v>
          </cell>
          <cell r="J2824" t="str">
            <v>CR 23   66   20</v>
          </cell>
          <cell r="K2824" t="str">
            <v>17001</v>
          </cell>
          <cell r="L2824" t="str">
            <v>MANIZALES</v>
          </cell>
          <cell r="M2824" t="str">
            <v>8875406</v>
          </cell>
        </row>
        <row r="2825">
          <cell r="A2825">
            <v>643000001</v>
          </cell>
          <cell r="B2825" t="str">
            <v>0</v>
          </cell>
          <cell r="C2825" t="str">
            <v/>
          </cell>
          <cell r="D2825" t="str">
            <v>NP</v>
          </cell>
          <cell r="E2825" t="str">
            <v>RAFAEL</v>
          </cell>
          <cell r="F2825" t="str">
            <v>TOCAGON</v>
          </cell>
          <cell r="G2825" t="str">
            <v>OTAVALO TOCAGON RAFAEL</v>
          </cell>
          <cell r="H2825" t="str">
            <v>RECO</v>
          </cell>
          <cell r="I2825" t="str">
            <v>REGIMEN COMUN</v>
          </cell>
          <cell r="J2825" t="str">
            <v>CL 16 5 44 BRR EL CENTRO</v>
          </cell>
          <cell r="K2825" t="str">
            <v>94001</v>
          </cell>
          <cell r="L2825" t="str">
            <v>INÍRIDA</v>
          </cell>
          <cell r="M2825" t="str">
            <v>3105771405</v>
          </cell>
        </row>
        <row r="2826">
          <cell r="A2826">
            <v>700001954</v>
          </cell>
          <cell r="B2826" t="str">
            <v/>
          </cell>
          <cell r="C2826" t="str">
            <v/>
          </cell>
          <cell r="D2826" t="str">
            <v>CE</v>
          </cell>
          <cell r="E2826" t="str">
            <v>JAQUELINE MARTIZA</v>
          </cell>
          <cell r="F2826" t="str">
            <v>LOO RIOS</v>
          </cell>
          <cell r="G2826" t="str">
            <v>LOO RIOS JAQUELINE MARTIZA</v>
          </cell>
          <cell r="H2826" t="str">
            <v>RESI</v>
          </cell>
          <cell r="I2826" t="str">
            <v>REGIMEN SIMPLIFICADO</v>
          </cell>
          <cell r="J2826" t="str">
            <v>CL 13   13   90 BRR CENTRO</v>
          </cell>
          <cell r="K2826" t="str">
            <v>97001</v>
          </cell>
          <cell r="L2826" t="str">
            <v>MITÚ</v>
          </cell>
          <cell r="M2826" t="str">
            <v>3138783968</v>
          </cell>
        </row>
        <row r="2827">
          <cell r="A2827">
            <v>700053432</v>
          </cell>
          <cell r="B2827" t="str">
            <v>5</v>
          </cell>
          <cell r="C2827" t="str">
            <v/>
          </cell>
          <cell r="D2827" t="str">
            <v>NP</v>
          </cell>
          <cell r="E2827" t="str">
            <v>TARQUINO</v>
          </cell>
          <cell r="F2827" t="str">
            <v>MENDEZ TOCAGON</v>
          </cell>
          <cell r="G2827" t="str">
            <v>MENDEZ TOCAGON TARQUINO</v>
          </cell>
          <cell r="H2827" t="str">
            <v>RECO</v>
          </cell>
          <cell r="I2827" t="str">
            <v>REGIMEN COMUN</v>
          </cell>
          <cell r="J2827" t="str">
            <v>CL 16 4 48 52 BRR CENTRO</v>
          </cell>
          <cell r="K2827" t="str">
            <v>94001</v>
          </cell>
          <cell r="L2827" t="str">
            <v>INÍRIDA</v>
          </cell>
          <cell r="M2827" t="str">
            <v>3124515413</v>
          </cell>
        </row>
        <row r="2828">
          <cell r="A2828">
            <v>700071349</v>
          </cell>
          <cell r="B2828" t="str">
            <v>8</v>
          </cell>
          <cell r="C2828" t="str">
            <v/>
          </cell>
          <cell r="D2828" t="str">
            <v>NP</v>
          </cell>
          <cell r="E2828" t="str">
            <v>WANXIN</v>
          </cell>
          <cell r="F2828" t="str">
            <v>CHEN</v>
          </cell>
          <cell r="G2828" t="str">
            <v>WANXIN CHEN</v>
          </cell>
          <cell r="H2828" t="str">
            <v>NORE</v>
          </cell>
          <cell r="I2828" t="str">
            <v>NO RESPONSABLE DE IVA</v>
          </cell>
          <cell r="J2828" t="str">
            <v>CR 23 66 20</v>
          </cell>
          <cell r="K2828" t="str">
            <v>17001</v>
          </cell>
          <cell r="L2828" t="str">
            <v>MANIZALES</v>
          </cell>
          <cell r="M2828" t="str">
            <v>8875406</v>
          </cell>
        </row>
        <row r="2829">
          <cell r="A2829">
            <v>700121446</v>
          </cell>
          <cell r="B2829" t="str">
            <v>1</v>
          </cell>
          <cell r="C2829" t="str">
            <v/>
          </cell>
          <cell r="D2829" t="str">
            <v>NP</v>
          </cell>
          <cell r="E2829" t="str">
            <v>LETICIA</v>
          </cell>
          <cell r="F2829" t="str">
            <v>FARDINI GISELA</v>
          </cell>
          <cell r="G2829" t="str">
            <v>FARDINI GISELA LETICIA</v>
          </cell>
          <cell r="H2829" t="str">
            <v>RESI</v>
          </cell>
          <cell r="I2829" t="str">
            <v>REGIMEN SIMPLIFICADO</v>
          </cell>
          <cell r="J2829" t="str">
            <v>CR 72 51-62 AP 100</v>
          </cell>
          <cell r="K2829" t="str">
            <v>17001</v>
          </cell>
          <cell r="L2829" t="str">
            <v>MANIZALES</v>
          </cell>
          <cell r="M2829" t="str">
            <v>4134475</v>
          </cell>
        </row>
        <row r="2830">
          <cell r="A2830">
            <v>700124073</v>
          </cell>
          <cell r="B2830" t="str">
            <v>1</v>
          </cell>
          <cell r="C2830" t="str">
            <v/>
          </cell>
          <cell r="D2830" t="str">
            <v>NP</v>
          </cell>
          <cell r="E2830" t="str">
            <v>MARIA FERNANDA</v>
          </cell>
          <cell r="F2830" t="str">
            <v>VILLA CASTAÑO</v>
          </cell>
          <cell r="G2830" t="str">
            <v>VILLA CASTAÑO MARIA FERNANDA</v>
          </cell>
          <cell r="H2830" t="str">
            <v>NORE</v>
          </cell>
          <cell r="I2830" t="str">
            <v>NO RESPONSABLE DE IVA</v>
          </cell>
          <cell r="J2830" t="str">
            <v>CL 41 25 23</v>
          </cell>
          <cell r="K2830" t="str">
            <v>17001</v>
          </cell>
          <cell r="L2830" t="str">
            <v>MANIZALES</v>
          </cell>
          <cell r="M2830" t="str">
            <v>3217802321</v>
          </cell>
        </row>
        <row r="2831">
          <cell r="A2831">
            <v>700139773</v>
          </cell>
          <cell r="B2831" t="str">
            <v>2</v>
          </cell>
          <cell r="C2831" t="str">
            <v/>
          </cell>
          <cell r="D2831" t="str">
            <v>NP</v>
          </cell>
          <cell r="E2831" t="str">
            <v>SABRINA</v>
          </cell>
          <cell r="F2831" t="str">
            <v>PAREDES MAYOR</v>
          </cell>
          <cell r="G2831" t="str">
            <v>PAREDES MAYOR SABRINA</v>
          </cell>
          <cell r="H2831" t="str">
            <v>RESI</v>
          </cell>
          <cell r="I2831" t="str">
            <v>REGIMEN SIMPLIFICADO</v>
          </cell>
          <cell r="J2831" t="str">
            <v>CL 41 3 15 BRR SANTA HELENA</v>
          </cell>
          <cell r="K2831" t="str">
            <v>73001</v>
          </cell>
          <cell r="L2831" t="str">
            <v>IBAGUÉ</v>
          </cell>
          <cell r="M2831" t="str">
            <v>30437370014</v>
          </cell>
        </row>
        <row r="2832">
          <cell r="A2832">
            <v>700149306</v>
          </cell>
          <cell r="B2832" t="str">
            <v>9</v>
          </cell>
          <cell r="C2832" t="str">
            <v/>
          </cell>
          <cell r="D2832" t="str">
            <v>NP</v>
          </cell>
          <cell r="E2832" t="str">
            <v>HUGO ANDERSON</v>
          </cell>
          <cell r="F2832" t="str">
            <v>ACEVEDO V</v>
          </cell>
          <cell r="G2832" t="str">
            <v>ACEVEDO V HUGO ANDERSON</v>
          </cell>
          <cell r="H2832" t="str">
            <v>RESI</v>
          </cell>
          <cell r="I2832" t="str">
            <v>REGIMEN SIMPLIFICADO</v>
          </cell>
          <cell r="J2832" t="str">
            <v>CR 13 N 8 28 BRR CENTRO</v>
          </cell>
          <cell r="K2832" t="str">
            <v>50568</v>
          </cell>
          <cell r="L2832" t="str">
            <v>PUERTO GAITÁN</v>
          </cell>
          <cell r="M2832" t="str">
            <v>3203005138</v>
          </cell>
        </row>
        <row r="2833">
          <cell r="A2833">
            <v>700159661</v>
          </cell>
          <cell r="B2833" t="str">
            <v>1</v>
          </cell>
          <cell r="C2833" t="str">
            <v/>
          </cell>
          <cell r="D2833" t="str">
            <v>NP</v>
          </cell>
          <cell r="E2833" t="str">
            <v>SEBASTIAN</v>
          </cell>
          <cell r="F2833" t="str">
            <v>GIRALDO HENAO</v>
          </cell>
          <cell r="G2833" t="str">
            <v>GIRALDO HENAO SEBASTIAN</v>
          </cell>
          <cell r="H2833" t="str">
            <v>RESI</v>
          </cell>
          <cell r="I2833" t="str">
            <v>REGIMEN SIMPLIFICADO</v>
          </cell>
          <cell r="J2833" t="str">
            <v>CL 18 24-06</v>
          </cell>
          <cell r="K2833" t="str">
            <v>17001</v>
          </cell>
          <cell r="L2833" t="str">
            <v>MANIZALES</v>
          </cell>
          <cell r="M2833" t="str">
            <v>8842229</v>
          </cell>
        </row>
        <row r="2834">
          <cell r="A2834">
            <v>700167740</v>
          </cell>
          <cell r="B2834" t="str">
            <v>9</v>
          </cell>
          <cell r="C2834" t="str">
            <v/>
          </cell>
          <cell r="D2834" t="str">
            <v>NP</v>
          </cell>
          <cell r="E2834" t="str">
            <v>YINA YOLANI</v>
          </cell>
          <cell r="F2834" t="str">
            <v>MORALES GARZON</v>
          </cell>
          <cell r="G2834" t="str">
            <v>MORALES GARZON YINA YOLANI</v>
          </cell>
          <cell r="H2834" t="str">
            <v>RESI</v>
          </cell>
          <cell r="I2834" t="str">
            <v>REGIMEN SIMPLIFICADO</v>
          </cell>
          <cell r="J2834" t="str">
            <v>KM 3  VIA PAIPA TUNJA</v>
          </cell>
          <cell r="K2834" t="str">
            <v>15516</v>
          </cell>
          <cell r="L2834" t="str">
            <v>PAIPA</v>
          </cell>
          <cell r="M2834" t="str">
            <v>3204663130</v>
          </cell>
        </row>
        <row r="2835">
          <cell r="A2835">
            <v>742996020</v>
          </cell>
          <cell r="B2835" t="str">
            <v>3</v>
          </cell>
          <cell r="C2835" t="str">
            <v/>
          </cell>
          <cell r="D2835" t="str">
            <v>NJ</v>
          </cell>
          <cell r="E2835" t="str">
            <v/>
          </cell>
          <cell r="F2835" t="str">
            <v/>
          </cell>
          <cell r="G2835" t="str">
            <v>MITSUBISHI POWER AMERICAS, INC.</v>
          </cell>
          <cell r="H2835" t="str">
            <v>EXTR</v>
          </cell>
          <cell r="I2835" t="str">
            <v>EXTRANJERO</v>
          </cell>
          <cell r="J2835" t="str">
            <v xml:space="preserve"> CL 400 COLONIAL PARK CENTER SUITE 400 LAKE MARY  FL 32746  USA</v>
          </cell>
          <cell r="K2835" t="str">
            <v>249</v>
          </cell>
          <cell r="L2835" t="str">
            <v>Estados Unidos EU</v>
          </cell>
          <cell r="M2835" t="str">
            <v>6886100</v>
          </cell>
        </row>
        <row r="2836">
          <cell r="A2836">
            <v>792996020</v>
          </cell>
          <cell r="B2836" t="str">
            <v/>
          </cell>
          <cell r="C2836" t="str">
            <v/>
          </cell>
          <cell r="D2836" t="str">
            <v>NE</v>
          </cell>
          <cell r="E2836" t="str">
            <v/>
          </cell>
          <cell r="F2836" t="str">
            <v/>
          </cell>
          <cell r="G2836" t="str">
            <v>MITSUBISHI HITACHI POWER SYSTEMS AMERICAS, INC.</v>
          </cell>
          <cell r="H2836" t="str">
            <v>EXTR</v>
          </cell>
          <cell r="I2836" t="str">
            <v>EXTRANJERO</v>
          </cell>
          <cell r="J2836" t="str">
            <v>400 COLONIAL PARK CENTER SUITE 400 LAKE MARY  FL 32746  USA</v>
          </cell>
          <cell r="K2836" t="str">
            <v>00</v>
          </cell>
          <cell r="L2836" t="str">
            <v>EXTERIOR</v>
          </cell>
          <cell r="M2836" t="str">
            <v>3173002655</v>
          </cell>
        </row>
        <row r="2837">
          <cell r="A2837">
            <v>800002030</v>
          </cell>
          <cell r="B2837" t="str">
            <v>2</v>
          </cell>
          <cell r="C2837" t="str">
            <v/>
          </cell>
          <cell r="D2837" t="str">
            <v>NJ</v>
          </cell>
          <cell r="E2837" t="str">
            <v/>
          </cell>
          <cell r="F2837" t="str">
            <v/>
          </cell>
          <cell r="G2837" t="str">
            <v>COLSEIN SAS</v>
          </cell>
          <cell r="H2837" t="str">
            <v>GRAU</v>
          </cell>
          <cell r="I2837" t="str">
            <v>GRAN CONTRIBUYENTE AUTORRETENEDO</v>
          </cell>
          <cell r="J2837" t="str">
            <v>PAR INDUSTRIAL GRAN SABANA ED 32</v>
          </cell>
          <cell r="K2837" t="str">
            <v>25817</v>
          </cell>
          <cell r="L2837" t="str">
            <v>TOCANCIPÁ</v>
          </cell>
          <cell r="M2837" t="str">
            <v>5190967</v>
          </cell>
        </row>
        <row r="2838">
          <cell r="A2838">
            <v>800002916</v>
          </cell>
          <cell r="B2838" t="str">
            <v>2</v>
          </cell>
          <cell r="C2838" t="str">
            <v>221317001</v>
          </cell>
          <cell r="D2838" t="str">
            <v>NJ</v>
          </cell>
          <cell r="E2838" t="str">
            <v/>
          </cell>
          <cell r="F2838" t="str">
            <v/>
          </cell>
          <cell r="G2838" t="str">
            <v xml:space="preserve">INSTITUTO DE VALORIZACION DE MANIZALES - INVAMA             </v>
          </cell>
          <cell r="H2838" t="str">
            <v>IMVE</v>
          </cell>
          <cell r="I2838" t="str">
            <v>IMPUESTO SOBRE LAS VENTAS</v>
          </cell>
          <cell r="J2838" t="str">
            <v>CL 03 C   22   92 BRR ALCAZARES</v>
          </cell>
          <cell r="K2838" t="str">
            <v>17001</v>
          </cell>
          <cell r="L2838" t="str">
            <v>MANIZALES</v>
          </cell>
          <cell r="M2838" t="str">
            <v>8891030</v>
          </cell>
        </row>
        <row r="2839">
          <cell r="A2839">
            <v>800003156</v>
          </cell>
          <cell r="B2839" t="str">
            <v>6</v>
          </cell>
          <cell r="C2839" t="str">
            <v/>
          </cell>
          <cell r="D2839" t="str">
            <v>NJ</v>
          </cell>
          <cell r="E2839" t="str">
            <v/>
          </cell>
          <cell r="F2839" t="str">
            <v/>
          </cell>
          <cell r="G2839" t="str">
            <v>ACTIVOS E INVENTARIOS LTDA</v>
          </cell>
          <cell r="H2839" t="str">
            <v>RECO</v>
          </cell>
          <cell r="I2839" t="str">
            <v>REGIMEN COMUN</v>
          </cell>
          <cell r="J2839" t="str">
            <v>CR 77B  45 G  45</v>
          </cell>
          <cell r="K2839" t="str">
            <v>05001</v>
          </cell>
          <cell r="L2839" t="str">
            <v>MEDELLÍN</v>
          </cell>
          <cell r="M2839" t="str">
            <v>4448075</v>
          </cell>
        </row>
        <row r="2840">
          <cell r="A2840">
            <v>800003781</v>
          </cell>
          <cell r="B2840" t="str">
            <v>1</v>
          </cell>
          <cell r="C2840" t="str">
            <v/>
          </cell>
          <cell r="D2840" t="str">
            <v>NJ</v>
          </cell>
          <cell r="E2840" t="str">
            <v/>
          </cell>
          <cell r="F2840" t="str">
            <v/>
          </cell>
          <cell r="G2840" t="str">
            <v>V.R INGENIERIA Y MERCADEO LTDA.</v>
          </cell>
          <cell r="H2840" t="str">
            <v>RECO</v>
          </cell>
          <cell r="I2840" t="str">
            <v>REGIMEN COMUN</v>
          </cell>
          <cell r="J2840" t="str">
            <v>CR 126 17 10</v>
          </cell>
          <cell r="K2840" t="str">
            <v>11001</v>
          </cell>
          <cell r="L2840" t="str">
            <v>BOGOTA DC</v>
          </cell>
          <cell r="M2840" t="str">
            <v>4263777</v>
          </cell>
        </row>
        <row r="2841">
          <cell r="A2841">
            <v>800006073</v>
          </cell>
          <cell r="B2841" t="str">
            <v>7</v>
          </cell>
          <cell r="C2841" t="str">
            <v/>
          </cell>
          <cell r="D2841" t="str">
            <v>NJ</v>
          </cell>
          <cell r="E2841" t="str">
            <v/>
          </cell>
          <cell r="F2841" t="str">
            <v/>
          </cell>
          <cell r="G2841" t="str">
            <v>HOTEL EL LAGO LTDA</v>
          </cell>
          <cell r="H2841" t="str">
            <v>RECO</v>
          </cell>
          <cell r="I2841" t="str">
            <v>REGIMEN COMUN</v>
          </cell>
          <cell r="J2841" t="str">
            <v>KM 1 VIA PISCINAS</v>
          </cell>
          <cell r="K2841" t="str">
            <v>15516</v>
          </cell>
          <cell r="L2841" t="str">
            <v>PAIPA</v>
          </cell>
          <cell r="M2841" t="str">
            <v>7850872</v>
          </cell>
        </row>
        <row r="2842">
          <cell r="A2842">
            <v>800006632</v>
          </cell>
          <cell r="B2842" t="str">
            <v>4</v>
          </cell>
          <cell r="C2842" t="str">
            <v/>
          </cell>
          <cell r="D2842" t="str">
            <v>NJ</v>
          </cell>
          <cell r="E2842" t="str">
            <v/>
          </cell>
          <cell r="F2842" t="str">
            <v/>
          </cell>
          <cell r="G2842" t="str">
            <v xml:space="preserve">AMC INMOBILIARIA LTDA                                       </v>
          </cell>
          <cell r="H2842" t="str">
            <v>RECO</v>
          </cell>
          <cell r="I2842" t="str">
            <v>REGIMEN COMUN</v>
          </cell>
          <cell r="J2842" t="str">
            <v xml:space="preserve">CR 14 N 86A 96                         </v>
          </cell>
          <cell r="K2842" t="str">
            <v>11001</v>
          </cell>
          <cell r="L2842" t="str">
            <v>BOGOTA DC</v>
          </cell>
          <cell r="M2842" t="str">
            <v>6224266</v>
          </cell>
        </row>
        <row r="2843">
          <cell r="A2843">
            <v>800007072</v>
          </cell>
          <cell r="B2843" t="str">
            <v>4</v>
          </cell>
          <cell r="C2843" t="str">
            <v/>
          </cell>
          <cell r="D2843" t="str">
            <v>NJ</v>
          </cell>
          <cell r="E2843" t="str">
            <v/>
          </cell>
          <cell r="F2843" t="str">
            <v/>
          </cell>
          <cell r="G2843" t="str">
            <v>LIGA CALDENSE DE PATINAJE</v>
          </cell>
          <cell r="H2843" t="str">
            <v>RECO</v>
          </cell>
          <cell r="I2843" t="str">
            <v>REGIMEN COMUN</v>
          </cell>
          <cell r="J2843" t="str">
            <v>UNIDAD DEPORTIVA PALOGRANDE</v>
          </cell>
          <cell r="K2843" t="str">
            <v>17001</v>
          </cell>
          <cell r="L2843" t="str">
            <v>MANIZALES</v>
          </cell>
          <cell r="M2843" t="str">
            <v>3116458948</v>
          </cell>
        </row>
        <row r="2844">
          <cell r="A2844">
            <v>800008116</v>
          </cell>
          <cell r="B2844" t="str">
            <v>4</v>
          </cell>
          <cell r="C2844" t="str">
            <v/>
          </cell>
          <cell r="D2844" t="str">
            <v>NJ</v>
          </cell>
          <cell r="E2844" t="str">
            <v/>
          </cell>
          <cell r="F2844" t="str">
            <v/>
          </cell>
          <cell r="G2844" t="str">
            <v>HORIZONTAL DE AVIACIÓN S.A.S. EN REORGANIZACIÓN</v>
          </cell>
          <cell r="H2844" t="str">
            <v>IMVE</v>
          </cell>
          <cell r="I2844" t="str">
            <v>IMPUESTO SOBRE LAS VENTAS</v>
          </cell>
          <cell r="J2844" t="str">
            <v>AER EL DORADO EN 6 IN 19</v>
          </cell>
          <cell r="K2844" t="str">
            <v>11001</v>
          </cell>
          <cell r="L2844" t="str">
            <v>BOGOTA DC</v>
          </cell>
          <cell r="M2844" t="str">
            <v>3208104959</v>
          </cell>
        </row>
        <row r="2845">
          <cell r="A2845">
            <v>800008151</v>
          </cell>
          <cell r="B2845" t="str">
            <v>2</v>
          </cell>
          <cell r="C2845" t="str">
            <v/>
          </cell>
          <cell r="D2845" t="str">
            <v>NJ</v>
          </cell>
          <cell r="E2845" t="str">
            <v/>
          </cell>
          <cell r="F2845" t="str">
            <v/>
          </cell>
          <cell r="G2845" t="str">
            <v>ELECTRICOS IMPORTADOS S.A. EIMPSA</v>
          </cell>
          <cell r="H2845" t="str">
            <v>IMVE</v>
          </cell>
          <cell r="I2845" t="str">
            <v>IMPUESTO SOBRE LAS VENTAS</v>
          </cell>
          <cell r="J2845" t="str">
            <v xml:space="preserve"> CR 63 17 70</v>
          </cell>
          <cell r="K2845" t="str">
            <v>11001</v>
          </cell>
          <cell r="L2845" t="str">
            <v>BOGOTA DC</v>
          </cell>
          <cell r="M2845" t="str">
            <v>3275222</v>
          </cell>
        </row>
        <row r="2846">
          <cell r="A2846">
            <v>800008639</v>
          </cell>
          <cell r="B2846" t="str">
            <v>4</v>
          </cell>
          <cell r="C2846" t="str">
            <v/>
          </cell>
          <cell r="D2846" t="str">
            <v>NJ</v>
          </cell>
          <cell r="E2846" t="str">
            <v/>
          </cell>
          <cell r="F2846" t="str">
            <v/>
          </cell>
          <cell r="G2846" t="str">
            <v>INGENIERIA ESPECIALIZADA SISTEMATIZACION DE MANTENIMIENTO LTDA</v>
          </cell>
          <cell r="H2846" t="str">
            <v>RECO</v>
          </cell>
          <cell r="I2846" t="str">
            <v>REGIMEN COMUN</v>
          </cell>
          <cell r="J2846" t="str">
            <v>CL 25 D 81 A 82</v>
          </cell>
          <cell r="K2846" t="str">
            <v>11001</v>
          </cell>
          <cell r="L2846" t="str">
            <v>BOGOTA DC</v>
          </cell>
          <cell r="M2846" t="str">
            <v>4162296</v>
          </cell>
        </row>
        <row r="2847">
          <cell r="A2847">
            <v>800009127</v>
          </cell>
          <cell r="B2847" t="str">
            <v>1</v>
          </cell>
          <cell r="C2847" t="str">
            <v/>
          </cell>
          <cell r="D2847" t="str">
            <v>NJ</v>
          </cell>
          <cell r="E2847" t="str">
            <v/>
          </cell>
          <cell r="F2847" t="str">
            <v/>
          </cell>
          <cell r="G2847" t="str">
            <v>FLEXILATINA DE COLOMBIA SAS</v>
          </cell>
          <cell r="H2847" t="str">
            <v>IMVE</v>
          </cell>
          <cell r="I2847" t="str">
            <v>IMPUESTO SOBRE LAS VENTAS</v>
          </cell>
          <cell r="J2847" t="str">
            <v>AV CR 40   20 A   53 P 2</v>
          </cell>
          <cell r="K2847" t="str">
            <v>11001</v>
          </cell>
          <cell r="L2847" t="str">
            <v>BOGOTA DC</v>
          </cell>
          <cell r="M2847" t="str">
            <v>2690950</v>
          </cell>
        </row>
        <row r="2848">
          <cell r="A2848">
            <v>800009283</v>
          </cell>
          <cell r="B2848" t="str">
            <v>0</v>
          </cell>
          <cell r="C2848" t="str">
            <v/>
          </cell>
          <cell r="D2848" t="str">
            <v>NJ</v>
          </cell>
          <cell r="E2848" t="str">
            <v/>
          </cell>
          <cell r="F2848" t="str">
            <v/>
          </cell>
          <cell r="G2848" t="str">
            <v>WELLQUEM DE COLOMBIA SAS</v>
          </cell>
          <cell r="H2848" t="str">
            <v>IMVE</v>
          </cell>
          <cell r="I2848" t="str">
            <v>IMPUESTO SOBRE LAS VENTAS</v>
          </cell>
          <cell r="J2848" t="str">
            <v>KM 2 5 BRR VIA SIBERIA A 200 M T BRR ENTRADA TITAN PAR INDUSTRIA</v>
          </cell>
          <cell r="K2848" t="str">
            <v>25214</v>
          </cell>
          <cell r="L2848" t="str">
            <v>COTA</v>
          </cell>
          <cell r="M2848" t="str">
            <v>4134404</v>
          </cell>
        </row>
        <row r="2849">
          <cell r="A2849">
            <v>800009633</v>
          </cell>
          <cell r="B2849" t="str">
            <v>5</v>
          </cell>
          <cell r="C2849" t="str">
            <v/>
          </cell>
          <cell r="D2849" t="str">
            <v>NJ</v>
          </cell>
          <cell r="E2849" t="str">
            <v/>
          </cell>
          <cell r="F2849" t="str">
            <v/>
          </cell>
          <cell r="G2849" t="str">
            <v>PROVICREDITO S.A.S</v>
          </cell>
          <cell r="H2849" t="str">
            <v>IMVE</v>
          </cell>
          <cell r="I2849" t="str">
            <v>IMPUESTO SOBRE LAS VENTAS</v>
          </cell>
          <cell r="J2849" t="str">
            <v>CL 33 A 71 A 07</v>
          </cell>
          <cell r="K2849" t="str">
            <v>05002</v>
          </cell>
          <cell r="L2849" t="str">
            <v>MEDELLIN</v>
          </cell>
          <cell r="M2849" t="str">
            <v>3218290701</v>
          </cell>
        </row>
        <row r="2850">
          <cell r="A2850">
            <v>800011189</v>
          </cell>
          <cell r="B2850" t="str">
            <v>2</v>
          </cell>
          <cell r="C2850" t="str">
            <v/>
          </cell>
          <cell r="D2850" t="str">
            <v>NJ</v>
          </cell>
          <cell r="E2850" t="str">
            <v/>
          </cell>
          <cell r="F2850" t="str">
            <v/>
          </cell>
          <cell r="G2850" t="str">
            <v>ASOCIACION COLOMBIANA DE MEDIANAS Y PEQUEÑAS INDUSTRIAS ACOPI -</v>
          </cell>
          <cell r="H2850" t="str">
            <v>IMVE</v>
          </cell>
          <cell r="I2850" t="str">
            <v>IMPUESTO SOBRE LAS VENTAS</v>
          </cell>
          <cell r="J2850" t="str">
            <v>CR 43 65 100 AV PANAMERICANA  ED CABLE AÉREO PRIMER PISO</v>
          </cell>
          <cell r="K2850" t="str">
            <v>17001</v>
          </cell>
          <cell r="L2850" t="str">
            <v>MANIZALES</v>
          </cell>
          <cell r="M2850" t="str">
            <v>3148236677</v>
          </cell>
        </row>
        <row r="2851">
          <cell r="A2851">
            <v>800011809</v>
          </cell>
          <cell r="B2851" t="str">
            <v>0</v>
          </cell>
          <cell r="C2851" t="str">
            <v/>
          </cell>
          <cell r="D2851" t="str">
            <v>NJ</v>
          </cell>
          <cell r="E2851" t="str">
            <v/>
          </cell>
          <cell r="F2851" t="str">
            <v/>
          </cell>
          <cell r="G2851" t="str">
            <v>SUMINISTRIS HIDRAULICOS SAS</v>
          </cell>
          <cell r="H2851" t="str">
            <v>IMVE</v>
          </cell>
          <cell r="I2851" t="str">
            <v>IMPUESTO SOBRE LAS VENTAS</v>
          </cell>
          <cell r="J2851" t="str">
            <v>CR 25 15 09</v>
          </cell>
          <cell r="K2851" t="str">
            <v>11001</v>
          </cell>
          <cell r="L2851" t="str">
            <v>BOGOTA DC</v>
          </cell>
          <cell r="M2851" t="str">
            <v>2474252</v>
          </cell>
        </row>
        <row r="2852">
          <cell r="A2852">
            <v>800011951</v>
          </cell>
          <cell r="B2852" t="str">
            <v>9</v>
          </cell>
          <cell r="C2852" t="str">
            <v/>
          </cell>
          <cell r="D2852" t="str">
            <v>NJ</v>
          </cell>
          <cell r="E2852" t="str">
            <v/>
          </cell>
          <cell r="F2852" t="str">
            <v/>
          </cell>
          <cell r="G2852" t="str">
            <v>CENTRO NACIONAL DE CONSULTORÍA S.A</v>
          </cell>
          <cell r="H2852" t="str">
            <v>RECO</v>
          </cell>
          <cell r="I2852" t="str">
            <v>REGIMEN COMUN</v>
          </cell>
          <cell r="J2852" t="str">
            <v>CL  34  5  27</v>
          </cell>
          <cell r="K2852" t="str">
            <v>11001</v>
          </cell>
          <cell r="L2852" t="str">
            <v>BOGOTA DC</v>
          </cell>
          <cell r="M2852" t="str">
            <v>3394888</v>
          </cell>
        </row>
        <row r="2853">
          <cell r="A2853">
            <v>800012638</v>
          </cell>
          <cell r="B2853" t="str">
            <v>2</v>
          </cell>
          <cell r="C2853" t="str">
            <v>212585125</v>
          </cell>
          <cell r="D2853" t="str">
            <v>NJ</v>
          </cell>
          <cell r="E2853" t="str">
            <v/>
          </cell>
          <cell r="F2853" t="str">
            <v/>
          </cell>
          <cell r="G2853" t="str">
            <v>MINICIPIO HATO COROZAL</v>
          </cell>
          <cell r="H2853" t="str">
            <v>COIM</v>
          </cell>
          <cell r="I2853" t="str">
            <v>CONTROL DE IMPUESTOS</v>
          </cell>
          <cell r="J2853" t="str">
            <v>CL 12 8-13</v>
          </cell>
          <cell r="K2853" t="str">
            <v>85125</v>
          </cell>
          <cell r="L2853" t="str">
            <v>HATO COROZAL</v>
          </cell>
          <cell r="M2853" t="str">
            <v>6378066</v>
          </cell>
        </row>
        <row r="2854">
          <cell r="A2854">
            <v>800012797</v>
          </cell>
          <cell r="B2854" t="str">
            <v>5</v>
          </cell>
          <cell r="C2854" t="str">
            <v/>
          </cell>
          <cell r="D2854" t="str">
            <v>NJ</v>
          </cell>
          <cell r="E2854" t="str">
            <v/>
          </cell>
          <cell r="F2854" t="str">
            <v/>
          </cell>
          <cell r="G2854" t="str">
            <v>CLIMATEC SERVICIOS SAS</v>
          </cell>
          <cell r="H2854" t="str">
            <v>IMVE</v>
          </cell>
          <cell r="I2854" t="str">
            <v>IMPUESTO SOBRE LAS VENTAS</v>
          </cell>
          <cell r="J2854" t="str">
            <v>CL 10 N 32 137</v>
          </cell>
          <cell r="K2854" t="str">
            <v>08296</v>
          </cell>
          <cell r="L2854" t="str">
            <v>GALAPA</v>
          </cell>
          <cell r="M2854" t="str">
            <v>3885160</v>
          </cell>
        </row>
        <row r="2855">
          <cell r="A2855">
            <v>800013469</v>
          </cell>
          <cell r="B2855" t="str">
            <v>9</v>
          </cell>
          <cell r="C2855" t="str">
            <v/>
          </cell>
          <cell r="D2855" t="str">
            <v>NJ</v>
          </cell>
          <cell r="E2855" t="str">
            <v/>
          </cell>
          <cell r="F2855" t="str">
            <v/>
          </cell>
          <cell r="G2855" t="str">
            <v>CAMARA DE COMERCIO DE CASANARE</v>
          </cell>
          <cell r="H2855" t="str">
            <v>RECO</v>
          </cell>
          <cell r="I2855" t="str">
            <v>REGIMEN COMUN</v>
          </cell>
          <cell r="J2855" t="str">
            <v>DG 16   14   08</v>
          </cell>
          <cell r="K2855" t="str">
            <v>85001</v>
          </cell>
          <cell r="L2855" t="str">
            <v>YOPAL</v>
          </cell>
          <cell r="M2855" t="str">
            <v>6358602</v>
          </cell>
        </row>
        <row r="2856">
          <cell r="A2856">
            <v>800013738</v>
          </cell>
          <cell r="B2856" t="str">
            <v>5</v>
          </cell>
          <cell r="C2856" t="str">
            <v/>
          </cell>
          <cell r="D2856" t="str">
            <v>NJ</v>
          </cell>
          <cell r="E2856" t="str">
            <v/>
          </cell>
          <cell r="F2856" t="str">
            <v/>
          </cell>
          <cell r="G2856" t="str">
            <v>SERVICIOS DE BUCEO Y TÉCNICOS  ESPECIALIZADOS SA -SEBUTE SA</v>
          </cell>
          <cell r="H2856" t="str">
            <v>IMVE</v>
          </cell>
          <cell r="I2856" t="str">
            <v>IMPUESTO SOBRE LAS VENTAS</v>
          </cell>
          <cell r="J2856" t="str">
            <v>BRR BELLAVISTA CR 7 A 57 27</v>
          </cell>
          <cell r="K2856" t="str">
            <v>13001</v>
          </cell>
          <cell r="L2856" t="str">
            <v>CARTAGENA</v>
          </cell>
          <cell r="M2856" t="str">
            <v>6672056</v>
          </cell>
        </row>
        <row r="2857">
          <cell r="A2857">
            <v>800013915</v>
          </cell>
          <cell r="B2857" t="str">
            <v>2</v>
          </cell>
          <cell r="C2857" t="str">
            <v/>
          </cell>
          <cell r="D2857" t="str">
            <v>NJ</v>
          </cell>
          <cell r="E2857" t="str">
            <v/>
          </cell>
          <cell r="F2857" t="str">
            <v/>
          </cell>
          <cell r="G2857" t="str">
            <v>AREC SAS</v>
          </cell>
          <cell r="H2857" t="str">
            <v>RECO</v>
          </cell>
          <cell r="I2857" t="str">
            <v>REGIMEN COMUN</v>
          </cell>
          <cell r="J2857" t="str">
            <v>CR 19 A 116 19 OF 102</v>
          </cell>
          <cell r="K2857" t="str">
            <v>11001</v>
          </cell>
          <cell r="L2857" t="str">
            <v>BOGOTA DC</v>
          </cell>
          <cell r="M2857" t="str">
            <v>2151217</v>
          </cell>
        </row>
        <row r="2858">
          <cell r="A2858">
            <v>800014322</v>
          </cell>
          <cell r="B2858" t="str">
            <v>1</v>
          </cell>
          <cell r="C2858" t="str">
            <v/>
          </cell>
          <cell r="D2858" t="str">
            <v>NJ</v>
          </cell>
          <cell r="E2858" t="str">
            <v/>
          </cell>
          <cell r="F2858" t="str">
            <v/>
          </cell>
          <cell r="G2858" t="str">
            <v>CORPORACIÓN COMITE MIXTO DE PROMOCION DEL ATLANTICO</v>
          </cell>
          <cell r="H2858" t="str">
            <v>RECO</v>
          </cell>
          <cell r="I2858" t="str">
            <v>REGIMEN COMUN</v>
          </cell>
          <cell r="J2858" t="str">
            <v>AER BARRANQUILLA</v>
          </cell>
          <cell r="K2858" t="str">
            <v>08001</v>
          </cell>
          <cell r="L2858" t="str">
            <v>BARRANQUILLA</v>
          </cell>
          <cell r="M2858" t="str">
            <v>33036858</v>
          </cell>
        </row>
        <row r="2859">
          <cell r="A2859">
            <v>800014898</v>
          </cell>
          <cell r="B2859" t="str">
            <v>1</v>
          </cell>
          <cell r="C2859" t="str">
            <v/>
          </cell>
          <cell r="D2859" t="str">
            <v>NJ</v>
          </cell>
          <cell r="E2859" t="str">
            <v/>
          </cell>
          <cell r="F2859" t="str">
            <v/>
          </cell>
          <cell r="G2859" t="str">
            <v>SERVIAGRICOLA LIMITADA</v>
          </cell>
          <cell r="H2859" t="str">
            <v>RECO</v>
          </cell>
          <cell r="I2859" t="str">
            <v>REGIMEN COMUN</v>
          </cell>
          <cell r="J2859" t="str">
            <v>CL 11 16 44</v>
          </cell>
          <cell r="K2859" t="str">
            <v>17001</v>
          </cell>
          <cell r="L2859" t="str">
            <v>MANIZALES</v>
          </cell>
          <cell r="M2859" t="str">
            <v>7704161</v>
          </cell>
        </row>
        <row r="2860">
          <cell r="A2860">
            <v>800015583</v>
          </cell>
          <cell r="B2860" t="str">
            <v>1</v>
          </cell>
          <cell r="C2860" t="str">
            <v/>
          </cell>
          <cell r="D2860" t="str">
            <v>NJ</v>
          </cell>
          <cell r="E2860" t="str">
            <v/>
          </cell>
          <cell r="F2860" t="str">
            <v/>
          </cell>
          <cell r="G2860" t="str">
            <v>COLOMBIANA DE SOFTWARE Y HARDWARE COLSOF S.A</v>
          </cell>
          <cell r="H2860" t="str">
            <v>GRCO</v>
          </cell>
          <cell r="I2860" t="str">
            <v>GRAN CONTRIBUYENTE</v>
          </cell>
          <cell r="J2860" t="str">
            <v>ZF METROPOLITANA COTA VDA VUELTA GRANDE PD SAN RAFAEL BG 55 56</v>
          </cell>
          <cell r="K2860" t="str">
            <v>25214</v>
          </cell>
          <cell r="L2860" t="str">
            <v>COTA</v>
          </cell>
          <cell r="M2860" t="str">
            <v>2912000</v>
          </cell>
        </row>
        <row r="2861">
          <cell r="A2861">
            <v>800017121</v>
          </cell>
          <cell r="B2861" t="str">
            <v>1</v>
          </cell>
          <cell r="C2861" t="str">
            <v/>
          </cell>
          <cell r="D2861" t="str">
            <v>NJ</v>
          </cell>
          <cell r="E2861" t="str">
            <v/>
          </cell>
          <cell r="F2861" t="str">
            <v/>
          </cell>
          <cell r="G2861" t="str">
            <v>INGEVIÑAS LTDA</v>
          </cell>
          <cell r="H2861" t="str">
            <v>RECO</v>
          </cell>
          <cell r="I2861" t="str">
            <v>REGIMEN COMUN</v>
          </cell>
          <cell r="J2861" t="str">
            <v>CR 43   74   28 IN 1</v>
          </cell>
          <cell r="K2861" t="str">
            <v>17001</v>
          </cell>
          <cell r="L2861" t="str">
            <v>MANIZALES</v>
          </cell>
          <cell r="M2861" t="str">
            <v>3402136</v>
          </cell>
        </row>
        <row r="2862">
          <cell r="A2862">
            <v>800017218</v>
          </cell>
          <cell r="B2862" t="str">
            <v>5</v>
          </cell>
          <cell r="C2862" t="str">
            <v/>
          </cell>
          <cell r="D2862" t="str">
            <v>NJ</v>
          </cell>
          <cell r="E2862" t="str">
            <v/>
          </cell>
          <cell r="F2862" t="str">
            <v/>
          </cell>
          <cell r="G2862" t="str">
            <v>ASSO LTDA ASESORIAS Y SERVICIOS EN SALUD OCUPACIONAL</v>
          </cell>
          <cell r="H2862" t="str">
            <v>RECO</v>
          </cell>
          <cell r="I2862" t="str">
            <v>REGIMEN COMUN</v>
          </cell>
          <cell r="J2862" t="str">
            <v>CL 119   7   14</v>
          </cell>
          <cell r="K2862" t="str">
            <v>11001</v>
          </cell>
          <cell r="L2862" t="str">
            <v>BOGOTA DC</v>
          </cell>
          <cell r="M2862" t="str">
            <v>2873029</v>
          </cell>
        </row>
        <row r="2863">
          <cell r="A2863">
            <v>800017584</v>
          </cell>
          <cell r="B2863" t="str">
            <v>6</v>
          </cell>
          <cell r="C2863" t="str">
            <v/>
          </cell>
          <cell r="D2863" t="str">
            <v>NJ</v>
          </cell>
          <cell r="E2863" t="str">
            <v/>
          </cell>
          <cell r="F2863" t="str">
            <v/>
          </cell>
          <cell r="G2863" t="str">
            <v>COMPAÑIA LIBERTADOR</v>
          </cell>
          <cell r="H2863" t="str">
            <v>RESI</v>
          </cell>
          <cell r="I2863" t="str">
            <v>REGIMEN SIMPLIFICADO</v>
          </cell>
          <cell r="J2863" t="str">
            <v>TER BARRANQUILLA</v>
          </cell>
          <cell r="K2863" t="str">
            <v>17001</v>
          </cell>
          <cell r="L2863" t="str">
            <v>MANIZALES</v>
          </cell>
          <cell r="M2863" t="str">
            <v>327800</v>
          </cell>
        </row>
        <row r="2864">
          <cell r="A2864">
            <v>800019344</v>
          </cell>
          <cell r="B2864" t="str">
            <v>4</v>
          </cell>
          <cell r="C2864" t="str">
            <v/>
          </cell>
          <cell r="D2864" t="str">
            <v>NJ</v>
          </cell>
          <cell r="E2864" t="str">
            <v/>
          </cell>
          <cell r="F2864" t="str">
            <v/>
          </cell>
          <cell r="G2864" t="str">
            <v>AEROLINEA DE ANTIOQUIA S.A</v>
          </cell>
          <cell r="H2864" t="str">
            <v>GRAU</v>
          </cell>
          <cell r="I2864" t="str">
            <v>GRAN CONTRIBUYENTE AUTORRETENEDO</v>
          </cell>
          <cell r="J2864" t="str">
            <v>CL 6 65 E 49 HG 7</v>
          </cell>
          <cell r="K2864" t="str">
            <v>05001</v>
          </cell>
          <cell r="L2864" t="str">
            <v>MEDELLÍN</v>
          </cell>
          <cell r="M2864" t="str">
            <v>4444232</v>
          </cell>
        </row>
        <row r="2865">
          <cell r="A2865">
            <v>800020706</v>
          </cell>
          <cell r="B2865" t="str">
            <v>9</v>
          </cell>
          <cell r="C2865" t="str">
            <v/>
          </cell>
          <cell r="D2865" t="str">
            <v>NJ</v>
          </cell>
          <cell r="E2865" t="str">
            <v/>
          </cell>
          <cell r="F2865" t="str">
            <v/>
          </cell>
          <cell r="G2865" t="str">
            <v>NALSANI SAS</v>
          </cell>
          <cell r="H2865" t="str">
            <v>GRAU</v>
          </cell>
          <cell r="I2865" t="str">
            <v>GRAN CONTRIBUYENTE AUTORRETENEDO</v>
          </cell>
          <cell r="J2865" t="str">
            <v>CR 43 A 20  C  55</v>
          </cell>
          <cell r="K2865" t="str">
            <v>11001</v>
          </cell>
          <cell r="L2865" t="str">
            <v>BOGOTA DC</v>
          </cell>
          <cell r="M2865" t="str">
            <v>6013444660</v>
          </cell>
        </row>
        <row r="2866">
          <cell r="A2866">
            <v>800021095</v>
          </cell>
          <cell r="B2866" t="str">
            <v>1</v>
          </cell>
          <cell r="C2866" t="str">
            <v/>
          </cell>
          <cell r="D2866" t="str">
            <v>NJ</v>
          </cell>
          <cell r="E2866" t="str">
            <v/>
          </cell>
          <cell r="F2866" t="str">
            <v/>
          </cell>
          <cell r="G2866" t="str">
            <v>MIRANDA VARGAS SAS</v>
          </cell>
          <cell r="H2866" t="str">
            <v>RECO</v>
          </cell>
          <cell r="I2866" t="str">
            <v>REGIMEN COMUN</v>
          </cell>
          <cell r="J2866" t="str">
            <v>CR 22   8   43</v>
          </cell>
          <cell r="K2866" t="str">
            <v>85001</v>
          </cell>
          <cell r="L2866" t="str">
            <v>YOPAL</v>
          </cell>
          <cell r="M2866" t="str">
            <v>3132613278</v>
          </cell>
        </row>
        <row r="2867">
          <cell r="A2867">
            <v>800021540</v>
          </cell>
          <cell r="B2867" t="str">
            <v>8</v>
          </cell>
          <cell r="C2867" t="str">
            <v/>
          </cell>
          <cell r="D2867" t="str">
            <v>NJ</v>
          </cell>
          <cell r="E2867" t="str">
            <v/>
          </cell>
          <cell r="F2867" t="str">
            <v/>
          </cell>
          <cell r="G2867" t="str">
            <v>CAMARA DE COMERCIO COLOMBO AMERICANA</v>
          </cell>
          <cell r="H2867" t="str">
            <v>RECO</v>
          </cell>
          <cell r="I2867" t="str">
            <v>REGIMEN COMUN</v>
          </cell>
          <cell r="J2867" t="str">
            <v>CL 4 SUR 43A 195 OF 163 D</v>
          </cell>
          <cell r="K2867" t="str">
            <v>05001</v>
          </cell>
          <cell r="L2867" t="str">
            <v>MEDELLÍN</v>
          </cell>
          <cell r="M2867" t="str">
            <v>2687491</v>
          </cell>
        </row>
        <row r="2868">
          <cell r="A2868">
            <v>800024394</v>
          </cell>
          <cell r="B2868" t="str">
            <v>2</v>
          </cell>
          <cell r="C2868" t="str">
            <v/>
          </cell>
          <cell r="D2868" t="str">
            <v>NJ</v>
          </cell>
          <cell r="E2868" t="str">
            <v/>
          </cell>
          <cell r="F2868" t="str">
            <v/>
          </cell>
          <cell r="G2868" t="str">
            <v>ESTAMPAR PUBLICIDAD SCREEN Y DIGITAL SAS</v>
          </cell>
          <cell r="H2868" t="str">
            <v>RECO</v>
          </cell>
          <cell r="I2868" t="str">
            <v>REGIMEN COMUN</v>
          </cell>
          <cell r="J2868" t="str">
            <v>CR 21  58   57</v>
          </cell>
          <cell r="K2868" t="str">
            <v>17001</v>
          </cell>
          <cell r="L2868" t="str">
            <v>MANIZALES</v>
          </cell>
          <cell r="M2868" t="str">
            <v>8867788</v>
          </cell>
        </row>
        <row r="2869">
          <cell r="A2869">
            <v>800024970</v>
          </cell>
          <cell r="B2869" t="str">
            <v>5</v>
          </cell>
          <cell r="C2869" t="str">
            <v/>
          </cell>
          <cell r="D2869" t="str">
            <v>NJ</v>
          </cell>
          <cell r="E2869" t="str">
            <v/>
          </cell>
          <cell r="F2869" t="str">
            <v/>
          </cell>
          <cell r="G2869" t="str">
            <v>INGELECTRICA SA</v>
          </cell>
          <cell r="H2869" t="str">
            <v>RECO</v>
          </cell>
          <cell r="I2869" t="str">
            <v>REGIMEN COMUN</v>
          </cell>
          <cell r="J2869" t="str">
            <v>CR 48 B  15 SUR 65</v>
          </cell>
          <cell r="K2869" t="str">
            <v>05001</v>
          </cell>
          <cell r="L2869" t="str">
            <v>MEDELLÍN</v>
          </cell>
          <cell r="M2869" t="str">
            <v>4444427</v>
          </cell>
        </row>
        <row r="2870">
          <cell r="A2870">
            <v>800025690</v>
          </cell>
          <cell r="B2870" t="str">
            <v>2</v>
          </cell>
          <cell r="C2870" t="str">
            <v/>
          </cell>
          <cell r="D2870" t="str">
            <v>NJ</v>
          </cell>
          <cell r="E2870" t="str">
            <v/>
          </cell>
          <cell r="F2870" t="str">
            <v/>
          </cell>
          <cell r="G2870" t="str">
            <v xml:space="preserve">TAX TURISTICO PAIPA S.A.                                    </v>
          </cell>
          <cell r="H2870" t="str">
            <v>RECO</v>
          </cell>
          <cell r="I2870" t="str">
            <v>REGIMEN COMUN</v>
          </cell>
          <cell r="J2870" t="str">
            <v xml:space="preserve"> AV LIBERTADORES  34 12</v>
          </cell>
          <cell r="K2870" t="str">
            <v>15516</v>
          </cell>
          <cell r="L2870" t="str">
            <v>PAIPA</v>
          </cell>
          <cell r="M2870" t="str">
            <v>7853578</v>
          </cell>
        </row>
        <row r="2871">
          <cell r="A2871">
            <v>800027813</v>
          </cell>
          <cell r="B2871" t="str">
            <v>0</v>
          </cell>
          <cell r="C2871" t="str">
            <v/>
          </cell>
          <cell r="D2871" t="str">
            <v>NJ</v>
          </cell>
          <cell r="E2871" t="str">
            <v/>
          </cell>
          <cell r="F2871" t="str">
            <v/>
          </cell>
          <cell r="G2871" t="str">
            <v>INGEOMEGA S.A.</v>
          </cell>
          <cell r="H2871" t="str">
            <v>GRCO</v>
          </cell>
          <cell r="I2871" t="str">
            <v>GRAN CONTRIBUYENTE</v>
          </cell>
          <cell r="J2871" t="str">
            <v>CL 7 SUR 42 70 OF 1309</v>
          </cell>
          <cell r="K2871" t="str">
            <v>05001</v>
          </cell>
          <cell r="L2871" t="str">
            <v>MEDELLÍN</v>
          </cell>
          <cell r="M2871" t="str">
            <v>3142462</v>
          </cell>
        </row>
        <row r="2872">
          <cell r="A2872">
            <v>800028582</v>
          </cell>
          <cell r="B2872" t="str">
            <v>9</v>
          </cell>
          <cell r="C2872" t="str">
            <v/>
          </cell>
          <cell r="D2872" t="str">
            <v>NJ</v>
          </cell>
          <cell r="E2872" t="str">
            <v/>
          </cell>
          <cell r="F2872" t="str">
            <v/>
          </cell>
          <cell r="G2872" t="str">
            <v>COOPERATIVA COLOMBIANA DE VIGILANCIA ESPECIALIZADA COOVISER C.T.</v>
          </cell>
          <cell r="H2872" t="str">
            <v>IMVE</v>
          </cell>
          <cell r="I2872" t="str">
            <v>IMPUESTO SOBRE LAS VENTAS</v>
          </cell>
          <cell r="J2872" t="str">
            <v>CL 68 69 I 11</v>
          </cell>
          <cell r="K2872" t="str">
            <v>11001</v>
          </cell>
          <cell r="L2872" t="str">
            <v>BOGOTA DC</v>
          </cell>
          <cell r="M2872" t="str">
            <v>8828840</v>
          </cell>
        </row>
        <row r="2873">
          <cell r="A2873">
            <v>800029113</v>
          </cell>
          <cell r="B2873" t="str">
            <v>2</v>
          </cell>
          <cell r="C2873" t="str">
            <v/>
          </cell>
          <cell r="D2873" t="str">
            <v>NJ</v>
          </cell>
          <cell r="E2873" t="str">
            <v/>
          </cell>
          <cell r="F2873" t="str">
            <v/>
          </cell>
          <cell r="G2873" t="str">
            <v xml:space="preserve">EL PODER ELECTRICO LTDA.                                    </v>
          </cell>
          <cell r="H2873" t="str">
            <v>RECO</v>
          </cell>
          <cell r="I2873" t="str">
            <v>REGIMEN COMUN</v>
          </cell>
          <cell r="J2873" t="str">
            <v xml:space="preserve">CR 25 17A 43 CALI                  </v>
          </cell>
          <cell r="K2873" t="str">
            <v>76001</v>
          </cell>
          <cell r="L2873" t="str">
            <v>CALI</v>
          </cell>
          <cell r="M2873" t="str">
            <v>3369022</v>
          </cell>
        </row>
        <row r="2874">
          <cell r="A2874">
            <v>800029447</v>
          </cell>
          <cell r="B2874" t="str">
            <v>7</v>
          </cell>
          <cell r="C2874" t="str">
            <v/>
          </cell>
          <cell r="D2874" t="str">
            <v>NJ</v>
          </cell>
          <cell r="E2874" t="str">
            <v/>
          </cell>
          <cell r="F2874" t="str">
            <v/>
          </cell>
          <cell r="G2874" t="str">
            <v>GE ENERGY COLOMBIA S.A</v>
          </cell>
          <cell r="H2874" t="str">
            <v>IMVE</v>
          </cell>
          <cell r="I2874" t="str">
            <v>IMPUESTO SOBRE LAS VENTAS</v>
          </cell>
          <cell r="J2874" t="str">
            <v>AC 72 80 94 OF 1201</v>
          </cell>
          <cell r="K2874" t="str">
            <v>11001</v>
          </cell>
          <cell r="L2874" t="str">
            <v>BOGOTA DC</v>
          </cell>
          <cell r="M2874" t="str">
            <v>6351227</v>
          </cell>
        </row>
        <row r="2875">
          <cell r="A2875">
            <v>800030235</v>
          </cell>
          <cell r="B2875" t="str">
            <v>4</v>
          </cell>
          <cell r="C2875" t="str">
            <v/>
          </cell>
          <cell r="D2875" t="str">
            <v>NJ</v>
          </cell>
          <cell r="E2875" t="str">
            <v/>
          </cell>
          <cell r="F2875" t="str">
            <v/>
          </cell>
          <cell r="G2875" t="str">
            <v>TRANSEQUIPOS S.A</v>
          </cell>
          <cell r="H2875" t="str">
            <v>IMVE</v>
          </cell>
          <cell r="I2875" t="str">
            <v>IMPUESTO SOBRE LAS VENTAS</v>
          </cell>
          <cell r="J2875" t="str">
            <v>KM 2 AUT MEDELLIN PAR INDUSTRIAL PORTOS SABANA 80 BG 6</v>
          </cell>
          <cell r="K2875" t="str">
            <v>25214</v>
          </cell>
          <cell r="L2875" t="str">
            <v>COTA</v>
          </cell>
          <cell r="M2875" t="str">
            <v>7434001</v>
          </cell>
        </row>
        <row r="2876">
          <cell r="A2876">
            <v>800031358</v>
          </cell>
          <cell r="B2876" t="str">
            <v>6</v>
          </cell>
          <cell r="C2876" t="str">
            <v/>
          </cell>
          <cell r="D2876" t="str">
            <v>NJ</v>
          </cell>
          <cell r="E2876" t="str">
            <v/>
          </cell>
          <cell r="F2876" t="str">
            <v/>
          </cell>
          <cell r="G2876" t="str">
            <v>ESTRATEGIAS SAS</v>
          </cell>
          <cell r="H2876" t="str">
            <v>IMVE</v>
          </cell>
          <cell r="I2876" t="str">
            <v>IMPUESTO SOBRE LAS VENTAS</v>
          </cell>
          <cell r="J2876" t="str">
            <v>NOMBRE VIA 40 69 58 D 8</v>
          </cell>
          <cell r="K2876" t="str">
            <v>08001</v>
          </cell>
          <cell r="L2876" t="str">
            <v>BARRANQUILLA</v>
          </cell>
          <cell r="M2876" t="str">
            <v>3691316</v>
          </cell>
        </row>
        <row r="2877">
          <cell r="A2877">
            <v>800031874</v>
          </cell>
          <cell r="B2877" t="str">
            <v>5</v>
          </cell>
          <cell r="C2877" t="str">
            <v>212419824</v>
          </cell>
          <cell r="D2877" t="str">
            <v>NJ</v>
          </cell>
          <cell r="E2877" t="str">
            <v/>
          </cell>
          <cell r="F2877" t="str">
            <v/>
          </cell>
          <cell r="G2877" t="str">
            <v>TOTORO</v>
          </cell>
          <cell r="H2877" t="str">
            <v>RECO</v>
          </cell>
          <cell r="I2877" t="str">
            <v>REGIMEN COMUN</v>
          </cell>
          <cell r="J2877" t="str">
            <v>CL PRINCIPAL ED CAM TOTORÓ</v>
          </cell>
          <cell r="K2877" t="str">
            <v>19824</v>
          </cell>
          <cell r="L2877" t="str">
            <v>TOTORÓ</v>
          </cell>
          <cell r="M2877" t="str">
            <v>8275023</v>
          </cell>
        </row>
        <row r="2878">
          <cell r="A2878">
            <v>800032069</v>
          </cell>
          <cell r="B2878" t="str">
            <v>7</v>
          </cell>
          <cell r="C2878" t="str">
            <v/>
          </cell>
          <cell r="D2878" t="str">
            <v>NJ</v>
          </cell>
          <cell r="E2878" t="str">
            <v/>
          </cell>
          <cell r="F2878" t="str">
            <v/>
          </cell>
          <cell r="G2878" t="str">
            <v>PLANTIDIESELES SAS</v>
          </cell>
          <cell r="H2878" t="str">
            <v>IMVE</v>
          </cell>
          <cell r="I2878" t="str">
            <v>IMPUESTO SOBRE LAS VENTAS</v>
          </cell>
          <cell r="J2878" t="str">
            <v>CRA 127 # 22 G 18 BODEGA 7</v>
          </cell>
          <cell r="K2878" t="str">
            <v>11001</v>
          </cell>
          <cell r="L2878" t="str">
            <v>BOGOTA DC</v>
          </cell>
          <cell r="M2878" t="str">
            <v>4185999</v>
          </cell>
        </row>
        <row r="2879">
          <cell r="A2879">
            <v>800033159</v>
          </cell>
          <cell r="B2879" t="str">
            <v>6</v>
          </cell>
          <cell r="C2879" t="str">
            <v/>
          </cell>
          <cell r="D2879" t="str">
            <v>NJ</v>
          </cell>
          <cell r="E2879" t="str">
            <v/>
          </cell>
          <cell r="F2879" t="str">
            <v/>
          </cell>
          <cell r="G2879" t="str">
            <v>TUBOTEC S.A.S</v>
          </cell>
          <cell r="H2879" t="str">
            <v>GRAU</v>
          </cell>
          <cell r="I2879" t="str">
            <v>GRAN CONTRIBUYENTE AUTORRETENEDO</v>
          </cell>
          <cell r="J2879" t="str">
            <v>KM  27 VIA FONTIBON - FACATATIVA</v>
          </cell>
          <cell r="K2879" t="str">
            <v>25430</v>
          </cell>
          <cell r="L2879" t="str">
            <v>MADRID</v>
          </cell>
          <cell r="M2879" t="str">
            <v>8200180</v>
          </cell>
        </row>
        <row r="2880">
          <cell r="A2880">
            <v>800033244</v>
          </cell>
          <cell r="B2880" t="str">
            <v>4</v>
          </cell>
          <cell r="C2880" t="str">
            <v/>
          </cell>
          <cell r="D2880" t="str">
            <v>NJ</v>
          </cell>
          <cell r="E2880" t="str">
            <v/>
          </cell>
          <cell r="F2880" t="str">
            <v/>
          </cell>
          <cell r="G2880" t="str">
            <v>EXPRESO LIBERTADOR LIMITADA</v>
          </cell>
          <cell r="H2880" t="str">
            <v>REOR</v>
          </cell>
          <cell r="I2880" t="str">
            <v>RENTA REGIMEN ORDINARIO</v>
          </cell>
          <cell r="J2880" t="str">
            <v>CR 7   3   4 BRR PALMAR</v>
          </cell>
          <cell r="K2880" t="str">
            <v>86219</v>
          </cell>
          <cell r="L2880" t="str">
            <v>COLÓN</v>
          </cell>
          <cell r="M2880" t="str">
            <v>3208592213</v>
          </cell>
        </row>
        <row r="2881">
          <cell r="A2881">
            <v>800033623</v>
          </cell>
          <cell r="B2881" t="str">
            <v>2</v>
          </cell>
          <cell r="C2881" t="str">
            <v/>
          </cell>
          <cell r="D2881" t="str">
            <v>NJ</v>
          </cell>
          <cell r="E2881" t="str">
            <v/>
          </cell>
          <cell r="F2881" t="str">
            <v/>
          </cell>
          <cell r="G2881" t="str">
            <v>EMPRESA DE ENERGIA DEL AMAZONAS - EEASA S.A. E.S.P.</v>
          </cell>
          <cell r="H2881" t="str">
            <v>GRCO</v>
          </cell>
          <cell r="I2881" t="str">
            <v>GRAN CONTRIBUYENTE</v>
          </cell>
          <cell r="J2881" t="str">
            <v xml:space="preserve">CR 6 N 8   81                      </v>
          </cell>
          <cell r="K2881" t="str">
            <v>91001</v>
          </cell>
          <cell r="L2881" t="str">
            <v>LETICIA</v>
          </cell>
          <cell r="M2881" t="str">
            <v>5927585</v>
          </cell>
        </row>
        <row r="2882">
          <cell r="A2882">
            <v>800035660</v>
          </cell>
          <cell r="B2882" t="str">
            <v>4</v>
          </cell>
          <cell r="C2882" t="str">
            <v/>
          </cell>
          <cell r="D2882" t="str">
            <v>NJ</v>
          </cell>
          <cell r="E2882" t="str">
            <v/>
          </cell>
          <cell r="F2882" t="str">
            <v/>
          </cell>
          <cell r="G2882" t="str">
            <v>COMERCIALIZADORA DE PRODUCTOS INDUSTRIALES COMPROIND LTDA</v>
          </cell>
          <cell r="H2882" t="str">
            <v>IMVE</v>
          </cell>
          <cell r="I2882" t="str">
            <v>IMPUESTO SOBRE LAS VENTAS</v>
          </cell>
          <cell r="J2882" t="str">
            <v>CR 126 A 17 90 IN 7 BRR HB FONTIBON</v>
          </cell>
          <cell r="K2882" t="str">
            <v>11001</v>
          </cell>
          <cell r="L2882" t="str">
            <v>BOGOTA DC</v>
          </cell>
          <cell r="M2882" t="str">
            <v>4217400</v>
          </cell>
        </row>
        <row r="2883">
          <cell r="A2883">
            <v>800035713</v>
          </cell>
          <cell r="B2883" t="str">
            <v>6</v>
          </cell>
          <cell r="C2883" t="str">
            <v/>
          </cell>
          <cell r="D2883" t="str">
            <v>NJ</v>
          </cell>
          <cell r="E2883" t="str">
            <v/>
          </cell>
          <cell r="F2883" t="str">
            <v/>
          </cell>
          <cell r="G2883" t="str">
            <v>DIMA COLOMBIA  SAS</v>
          </cell>
          <cell r="H2883" t="str">
            <v>IMVE</v>
          </cell>
          <cell r="I2883" t="str">
            <v>IMPUESTO SOBRE LAS VENTAS</v>
          </cell>
          <cell r="J2883" t="str">
            <v>PAR EMPRESARIAL SAN JUDAS AUT MEDELLIN KM 2 PN SIBERIA VIA LA VE</v>
          </cell>
          <cell r="K2883" t="str">
            <v>25799</v>
          </cell>
          <cell r="L2883" t="str">
            <v>TENJO</v>
          </cell>
          <cell r="M2883" t="str">
            <v>3167995910</v>
          </cell>
        </row>
        <row r="2884">
          <cell r="A2884">
            <v>800036578</v>
          </cell>
          <cell r="B2884" t="str">
            <v>2</v>
          </cell>
          <cell r="C2884" t="str">
            <v/>
          </cell>
          <cell r="D2884" t="str">
            <v>NJ</v>
          </cell>
          <cell r="E2884" t="str">
            <v/>
          </cell>
          <cell r="F2884" t="str">
            <v/>
          </cell>
          <cell r="G2884" t="str">
            <v>FUNDACION NIÑOS DE LOS ANDES</v>
          </cell>
          <cell r="H2884" t="str">
            <v>RECO</v>
          </cell>
          <cell r="I2884" t="str">
            <v>REGIMEN COMUN</v>
          </cell>
          <cell r="J2884" t="str">
            <v>CR 8 C  BIS A  164 51</v>
          </cell>
          <cell r="K2884" t="str">
            <v>11001</v>
          </cell>
          <cell r="L2884" t="str">
            <v>BOGOTA DC</v>
          </cell>
          <cell r="M2884" t="str">
            <v>8835565</v>
          </cell>
        </row>
        <row r="2885">
          <cell r="A2885">
            <v>800037800</v>
          </cell>
          <cell r="B2885" t="str">
            <v>8</v>
          </cell>
          <cell r="C2885" t="str">
            <v>69600000</v>
          </cell>
          <cell r="D2885" t="str">
            <v>NJ</v>
          </cell>
          <cell r="E2885" t="str">
            <v/>
          </cell>
          <cell r="F2885" t="str">
            <v/>
          </cell>
          <cell r="G2885" t="str">
            <v>BANCO AGRARIO DE COLOMBIA S.A.</v>
          </cell>
          <cell r="H2885" t="str">
            <v>GRAU</v>
          </cell>
          <cell r="I2885" t="str">
            <v>GRAN CONTRIBUYENTE AUTORRETENEDO</v>
          </cell>
          <cell r="J2885" t="str">
            <v>CL 23 21 45</v>
          </cell>
          <cell r="K2885" t="str">
            <v>17001</v>
          </cell>
          <cell r="L2885" t="str">
            <v>MANIZALES</v>
          </cell>
          <cell r="M2885" t="str">
            <v>8995000</v>
          </cell>
        </row>
        <row r="2886">
          <cell r="A2886">
            <v>800039213</v>
          </cell>
          <cell r="B2886" t="str">
            <v>3</v>
          </cell>
          <cell r="C2886" t="str">
            <v>219315693</v>
          </cell>
          <cell r="D2886" t="str">
            <v>NJ</v>
          </cell>
          <cell r="E2886" t="str">
            <v/>
          </cell>
          <cell r="F2886" t="str">
            <v/>
          </cell>
          <cell r="G2886" t="str">
            <v>MUNICIPIO DE SANTA ROSA DE VITERBO</v>
          </cell>
          <cell r="H2886" t="str">
            <v>COIM</v>
          </cell>
          <cell r="I2886" t="str">
            <v>CONTROL DE IMPUESTOS</v>
          </cell>
          <cell r="J2886" t="str">
            <v>CL 8 4 15</v>
          </cell>
          <cell r="K2886" t="str">
            <v>15693</v>
          </cell>
          <cell r="L2886" t="str">
            <v>SANTA ROSA DE VITERBO</v>
          </cell>
          <cell r="M2886" t="str">
            <v>7860031</v>
          </cell>
        </row>
        <row r="2887">
          <cell r="A2887">
            <v>800040640</v>
          </cell>
          <cell r="B2887" t="str">
            <v>7</v>
          </cell>
          <cell r="C2887" t="str">
            <v/>
          </cell>
          <cell r="D2887" t="str">
            <v>NJ</v>
          </cell>
          <cell r="E2887" t="str">
            <v/>
          </cell>
          <cell r="F2887" t="str">
            <v/>
          </cell>
          <cell r="G2887" t="str">
            <v>FUNDACIÓN PARA EL DESARROLLO COMUNITARIO DE SAMANA</v>
          </cell>
          <cell r="H2887" t="str">
            <v>RECO</v>
          </cell>
          <cell r="I2887" t="str">
            <v>REGIMEN COMUN</v>
          </cell>
          <cell r="J2887" t="str">
            <v>CL 7 2 02</v>
          </cell>
          <cell r="K2887" t="str">
            <v>17662</v>
          </cell>
          <cell r="L2887" t="str">
            <v>SAMANÁ</v>
          </cell>
          <cell r="M2887" t="str">
            <v>8658219</v>
          </cell>
        </row>
        <row r="2888">
          <cell r="A2888">
            <v>800042245</v>
          </cell>
          <cell r="B2888" t="str">
            <v>1</v>
          </cell>
          <cell r="C2888" t="str">
            <v/>
          </cell>
          <cell r="D2888" t="str">
            <v>NJ</v>
          </cell>
          <cell r="E2888" t="str">
            <v/>
          </cell>
          <cell r="F2888" t="str">
            <v/>
          </cell>
          <cell r="G2888" t="str">
            <v>MANGUERAS Y RACORES LTDA</v>
          </cell>
          <cell r="H2888" t="str">
            <v>RECO</v>
          </cell>
          <cell r="I2888" t="str">
            <v>REGIMEN COMUN</v>
          </cell>
          <cell r="J2888" t="str">
            <v>CL 15 27 12</v>
          </cell>
          <cell r="K2888" t="str">
            <v>11001</v>
          </cell>
          <cell r="L2888" t="str">
            <v>BOGOTA DC</v>
          </cell>
          <cell r="M2888" t="str">
            <v>2771624</v>
          </cell>
        </row>
        <row r="2889">
          <cell r="A2889">
            <v>800042471</v>
          </cell>
          <cell r="B2889" t="str">
            <v>8</v>
          </cell>
          <cell r="C2889" t="str">
            <v/>
          </cell>
          <cell r="D2889" t="str">
            <v>NJ</v>
          </cell>
          <cell r="E2889" t="str">
            <v/>
          </cell>
          <cell r="F2889" t="str">
            <v/>
          </cell>
          <cell r="G2889" t="str">
            <v>ARUS S.A.</v>
          </cell>
          <cell r="H2889" t="str">
            <v>GRAU</v>
          </cell>
          <cell r="I2889" t="str">
            <v>GRAN CONTRIBUYENTE AUTORRETENEDO</v>
          </cell>
          <cell r="J2889" t="str">
            <v>CL 19 43 G  169  P 7</v>
          </cell>
          <cell r="K2889" t="str">
            <v>05001</v>
          </cell>
          <cell r="L2889" t="str">
            <v>MEDELLÍN</v>
          </cell>
          <cell r="M2889" t="str">
            <v>3245225</v>
          </cell>
        </row>
        <row r="2890">
          <cell r="A2890">
            <v>800042900</v>
          </cell>
          <cell r="B2890" t="str">
            <v>6</v>
          </cell>
          <cell r="C2890" t="str">
            <v/>
          </cell>
          <cell r="D2890" t="str">
            <v>NJ</v>
          </cell>
          <cell r="E2890" t="str">
            <v/>
          </cell>
          <cell r="F2890" t="str">
            <v/>
          </cell>
          <cell r="G2890" t="str">
            <v xml:space="preserve">MULTIOBRAS LTDA                                             </v>
          </cell>
          <cell r="H2890" t="str">
            <v>RECO</v>
          </cell>
          <cell r="I2890" t="str">
            <v>REGIMEN COMUN</v>
          </cell>
          <cell r="J2890" t="str">
            <v>CR 20 73 56 OF 105</v>
          </cell>
          <cell r="K2890" t="str">
            <v>17001</v>
          </cell>
          <cell r="L2890" t="str">
            <v>MANIZALES</v>
          </cell>
          <cell r="M2890" t="str">
            <v>8721610</v>
          </cell>
        </row>
        <row r="2891">
          <cell r="A2891">
            <v>800043486</v>
          </cell>
          <cell r="B2891" t="str">
            <v>2</v>
          </cell>
          <cell r="C2891" t="str">
            <v>216713667</v>
          </cell>
          <cell r="D2891" t="str">
            <v>NJ</v>
          </cell>
          <cell r="E2891" t="str">
            <v/>
          </cell>
          <cell r="F2891" t="str">
            <v/>
          </cell>
          <cell r="G2891" t="str">
            <v>MUNICIPIO DE SAN MARTIN DE LOBA DPTO DE BOLIVAR</v>
          </cell>
          <cell r="H2891" t="str">
            <v>COIM</v>
          </cell>
          <cell r="I2891" t="str">
            <v>CONTROL DE IMPUESTOS</v>
          </cell>
          <cell r="J2891" t="str">
            <v>SEC PLAZA PRINCIPAL PALACIO MUNICIPAL</v>
          </cell>
          <cell r="K2891" t="str">
            <v>13667</v>
          </cell>
          <cell r="L2891" t="str">
            <v>SAN MARTÍN DE LOBA</v>
          </cell>
          <cell r="M2891" t="str">
            <v>3175150694</v>
          </cell>
        </row>
        <row r="2892">
          <cell r="A2892">
            <v>800043769</v>
          </cell>
          <cell r="B2892" t="str">
            <v>1</v>
          </cell>
          <cell r="C2892" t="str">
            <v/>
          </cell>
          <cell r="D2892" t="str">
            <v>NJ</v>
          </cell>
          <cell r="E2892" t="str">
            <v/>
          </cell>
          <cell r="F2892" t="str">
            <v/>
          </cell>
          <cell r="G2892" t="str">
            <v>SERVICIOS DE DRAGADOS Y CONSTRUCCIONES SAS</v>
          </cell>
          <cell r="H2892" t="str">
            <v>IMVE</v>
          </cell>
          <cell r="I2892" t="str">
            <v>IMPUESTO SOBRE LAS VENTAS</v>
          </cell>
          <cell r="J2892" t="str">
            <v>CL 37 46 60</v>
          </cell>
          <cell r="K2892" t="str">
            <v>08001</v>
          </cell>
          <cell r="L2892" t="str">
            <v>BARRANQUILLA</v>
          </cell>
          <cell r="M2892" t="str">
            <v>3720538</v>
          </cell>
        </row>
        <row r="2893">
          <cell r="A2893">
            <v>800043977</v>
          </cell>
          <cell r="B2893" t="str">
            <v>7</v>
          </cell>
          <cell r="C2893" t="str">
            <v/>
          </cell>
          <cell r="D2893" t="str">
            <v>NJ</v>
          </cell>
          <cell r="E2893" t="str">
            <v/>
          </cell>
          <cell r="F2893" t="str">
            <v/>
          </cell>
          <cell r="G2893" t="str">
            <v>COZADEL S.A.S</v>
          </cell>
          <cell r="H2893" t="str">
            <v>IMVE</v>
          </cell>
          <cell r="I2893" t="str">
            <v>IMPUESTO SOBRE LAS VENTAS</v>
          </cell>
          <cell r="J2893" t="str">
            <v xml:space="preserve"> C  L 76 7380 L  C 7</v>
          </cell>
          <cell r="K2893" t="str">
            <v>08001</v>
          </cell>
          <cell r="L2893" t="str">
            <v>BARRANQUILLA</v>
          </cell>
          <cell r="M2893" t="str">
            <v>3453180</v>
          </cell>
        </row>
        <row r="2894">
          <cell r="A2894">
            <v>800044364</v>
          </cell>
          <cell r="B2894" t="str">
            <v>7</v>
          </cell>
          <cell r="C2894" t="str">
            <v/>
          </cell>
          <cell r="D2894" t="str">
            <v>NJ</v>
          </cell>
          <cell r="E2894" t="str">
            <v/>
          </cell>
          <cell r="F2894" t="str">
            <v/>
          </cell>
          <cell r="G2894" t="str">
            <v>CRUZ ROJA COLOMBIANA UNIDAD MUNICIPAL DUITAMA</v>
          </cell>
          <cell r="H2894" t="str">
            <v>IMVE</v>
          </cell>
          <cell r="I2894" t="str">
            <v>IMPUESTO SOBRE LAS VENTAS</v>
          </cell>
          <cell r="J2894" t="str">
            <v>CR 16 A 10 26</v>
          </cell>
          <cell r="K2894" t="str">
            <v>15238</v>
          </cell>
          <cell r="L2894" t="str">
            <v>DUITAMA</v>
          </cell>
          <cell r="M2894" t="str">
            <v>3108521096</v>
          </cell>
        </row>
        <row r="2895">
          <cell r="A2895">
            <v>800046226</v>
          </cell>
          <cell r="B2895" t="str">
            <v>8</v>
          </cell>
          <cell r="C2895" t="str">
            <v/>
          </cell>
          <cell r="D2895" t="str">
            <v>NJ</v>
          </cell>
          <cell r="E2895" t="str">
            <v/>
          </cell>
          <cell r="F2895" t="str">
            <v/>
          </cell>
          <cell r="G2895" t="str">
            <v xml:space="preserve">HEINSOHN BUSINESS TECHNOLOGY S.A.                           </v>
          </cell>
          <cell r="H2895" t="str">
            <v>GRAU</v>
          </cell>
          <cell r="I2895" t="str">
            <v>GRAN CONTRIBUYENTE AUTORRETENEDO</v>
          </cell>
          <cell r="J2895" t="str">
            <v>CR 13   82   49 P 6</v>
          </cell>
          <cell r="K2895" t="str">
            <v>11001</v>
          </cell>
          <cell r="L2895" t="str">
            <v>BOGOTA DC</v>
          </cell>
          <cell r="M2895" t="str">
            <v>6337070</v>
          </cell>
        </row>
        <row r="2896">
          <cell r="A2896">
            <v>800046913</v>
          </cell>
          <cell r="B2896" t="str">
            <v>1</v>
          </cell>
          <cell r="C2896" t="str">
            <v/>
          </cell>
          <cell r="D2896" t="str">
            <v>NJ</v>
          </cell>
          <cell r="E2896" t="str">
            <v/>
          </cell>
          <cell r="F2896" t="str">
            <v/>
          </cell>
          <cell r="G2896" t="str">
            <v>ELECTRO PARRA LTDA</v>
          </cell>
          <cell r="H2896" t="str">
            <v>IMVE</v>
          </cell>
          <cell r="I2896" t="str">
            <v>IMPUESTO SOBRE LAS VENTAS</v>
          </cell>
          <cell r="J2896" t="str">
            <v>CR 17   10 33</v>
          </cell>
          <cell r="K2896" t="str">
            <v>15238</v>
          </cell>
          <cell r="L2896" t="str">
            <v>DUITAMA</v>
          </cell>
          <cell r="M2896" t="str">
            <v>7651959</v>
          </cell>
        </row>
        <row r="2897">
          <cell r="A2897">
            <v>800047879</v>
          </cell>
          <cell r="B2897" t="str">
            <v>1</v>
          </cell>
          <cell r="C2897" t="str">
            <v/>
          </cell>
          <cell r="D2897" t="str">
            <v>NJ</v>
          </cell>
          <cell r="E2897" t="str">
            <v/>
          </cell>
          <cell r="F2897" t="str">
            <v/>
          </cell>
          <cell r="G2897" t="str">
            <v>BANDAS Y CORREAS DE CUNDINAMARCA LTDA</v>
          </cell>
          <cell r="H2897" t="str">
            <v>RECO</v>
          </cell>
          <cell r="I2897" t="str">
            <v>REGIMEN COMUN</v>
          </cell>
          <cell r="J2897" t="str">
            <v>CL 63 BIS  70 24</v>
          </cell>
          <cell r="K2897" t="str">
            <v>11001</v>
          </cell>
          <cell r="L2897" t="str">
            <v>BOGOTA DC</v>
          </cell>
          <cell r="M2897" t="str">
            <v>4806823</v>
          </cell>
        </row>
        <row r="2898">
          <cell r="A2898">
            <v>800048974</v>
          </cell>
          <cell r="B2898" t="str">
            <v>8</v>
          </cell>
          <cell r="C2898" t="str">
            <v/>
          </cell>
          <cell r="D2898" t="str">
            <v>NJ</v>
          </cell>
          <cell r="E2898" t="str">
            <v/>
          </cell>
          <cell r="F2898" t="str">
            <v/>
          </cell>
          <cell r="G2898" t="str">
            <v>PSI FERRETERIA LTDA</v>
          </cell>
          <cell r="H2898" t="str">
            <v>IMVE</v>
          </cell>
          <cell r="I2898" t="str">
            <v>IMPUESTO SOBRE LAS VENTAS</v>
          </cell>
          <cell r="J2898" t="str">
            <v>CR 27  13  15 OF 302  CC PALOQUEMAO</v>
          </cell>
          <cell r="K2898" t="str">
            <v>11001</v>
          </cell>
          <cell r="L2898" t="str">
            <v>BOGOTA DC</v>
          </cell>
          <cell r="M2898" t="str">
            <v>3605949</v>
          </cell>
        </row>
        <row r="2899">
          <cell r="A2899">
            <v>800049017</v>
          </cell>
          <cell r="B2899" t="str">
            <v>9</v>
          </cell>
          <cell r="C2899" t="str">
            <v>218813688</v>
          </cell>
          <cell r="D2899" t="str">
            <v>NJ</v>
          </cell>
          <cell r="E2899" t="str">
            <v/>
          </cell>
          <cell r="F2899" t="str">
            <v/>
          </cell>
          <cell r="G2899" t="str">
            <v>MUNICIPIO DE SANTA ROSA DEL SUR DE BOLIVAR</v>
          </cell>
          <cell r="H2899" t="str">
            <v>GRCO</v>
          </cell>
          <cell r="I2899" t="str">
            <v>GRAN CONTRIBUYENTE</v>
          </cell>
          <cell r="J2899" t="str">
            <v>CR 12 A 11 26</v>
          </cell>
          <cell r="K2899" t="str">
            <v>13688</v>
          </cell>
          <cell r="L2899" t="str">
            <v>SANTA ROSA DEL SUR</v>
          </cell>
          <cell r="M2899" t="str">
            <v>5697214</v>
          </cell>
        </row>
        <row r="2900">
          <cell r="A2900">
            <v>800050903</v>
          </cell>
          <cell r="B2900" t="str">
            <v>1</v>
          </cell>
          <cell r="C2900" t="str">
            <v/>
          </cell>
          <cell r="D2900" t="str">
            <v>NJ</v>
          </cell>
          <cell r="E2900" t="str">
            <v/>
          </cell>
          <cell r="F2900" t="str">
            <v/>
          </cell>
          <cell r="G2900" t="str">
            <v>NESTOR BRAVO SA</v>
          </cell>
          <cell r="H2900" t="str">
            <v>RECO</v>
          </cell>
          <cell r="I2900" t="str">
            <v>REGIMEN COMUN</v>
          </cell>
          <cell r="J2900" t="str">
            <v>AV 30 DE AGOSTO  38 10</v>
          </cell>
          <cell r="K2900" t="str">
            <v>66001</v>
          </cell>
          <cell r="L2900" t="str">
            <v>PEREIRA</v>
          </cell>
          <cell r="M2900" t="str">
            <v>3119929</v>
          </cell>
        </row>
        <row r="2901">
          <cell r="A2901">
            <v>800051453</v>
          </cell>
          <cell r="B2901" t="str">
            <v>3</v>
          </cell>
          <cell r="C2901" t="str">
            <v/>
          </cell>
          <cell r="D2901" t="str">
            <v>NJ</v>
          </cell>
          <cell r="E2901" t="str">
            <v/>
          </cell>
          <cell r="F2901" t="str">
            <v/>
          </cell>
          <cell r="G2901" t="str">
            <v>LIXIS DE COLOMBIA SAS</v>
          </cell>
          <cell r="H2901" t="str">
            <v>IMVE</v>
          </cell>
          <cell r="I2901" t="str">
            <v>IMPUESTO SOBRE LAS VENTAS</v>
          </cell>
          <cell r="J2901" t="str">
            <v>TV 93 51 98 BG 30</v>
          </cell>
          <cell r="K2901" t="str">
            <v>11001</v>
          </cell>
          <cell r="L2901" t="str">
            <v>BOGOTA DC</v>
          </cell>
          <cell r="M2901" t="str">
            <v>882698517</v>
          </cell>
        </row>
        <row r="2902">
          <cell r="A2902">
            <v>800051829</v>
          </cell>
          <cell r="B2902" t="str">
            <v>9</v>
          </cell>
          <cell r="C2902" t="str">
            <v/>
          </cell>
          <cell r="D2902" t="str">
            <v>NJ</v>
          </cell>
          <cell r="E2902" t="str">
            <v/>
          </cell>
          <cell r="F2902" t="str">
            <v/>
          </cell>
          <cell r="G2902" t="str">
            <v>REMO REPRESENTACIONES  Y DISTRIBUCIONES LTDA</v>
          </cell>
          <cell r="H2902" t="str">
            <v>RECO</v>
          </cell>
          <cell r="I2902" t="str">
            <v>REGIMEN COMUN</v>
          </cell>
          <cell r="J2902" t="str">
            <v>CR 24 20 22</v>
          </cell>
          <cell r="K2902" t="str">
            <v>17001</v>
          </cell>
          <cell r="L2902" t="str">
            <v>MANIZALES</v>
          </cell>
          <cell r="M2902" t="str">
            <v>8806809</v>
          </cell>
        </row>
        <row r="2903">
          <cell r="A2903">
            <v>800052640</v>
          </cell>
          <cell r="B2903" t="str">
            <v>9</v>
          </cell>
          <cell r="C2903" t="str">
            <v>39363000</v>
          </cell>
          <cell r="D2903" t="str">
            <v>NJ</v>
          </cell>
          <cell r="E2903" t="str">
            <v/>
          </cell>
          <cell r="F2903" t="str">
            <v/>
          </cell>
          <cell r="G2903" t="str">
            <v>EMPRESA DE ENERGIA DEL QUINDIO S.A.  E.S.P. EMPRESA DE SERVICIOS</v>
          </cell>
          <cell r="H2903" t="str">
            <v>GRAU</v>
          </cell>
          <cell r="I2903" t="str">
            <v>GRAN CONTRIBUYENTE AUTORRETENEDO</v>
          </cell>
          <cell r="J2903" t="str">
            <v>CR 13  CL 14 ESQ</v>
          </cell>
          <cell r="K2903" t="str">
            <v>63001</v>
          </cell>
          <cell r="L2903" t="str">
            <v>ARMENIA</v>
          </cell>
          <cell r="M2903" t="str">
            <v>7413100</v>
          </cell>
        </row>
        <row r="2904">
          <cell r="A2904">
            <v>800052954</v>
          </cell>
          <cell r="B2904" t="str">
            <v>6</v>
          </cell>
          <cell r="C2904" t="str">
            <v/>
          </cell>
          <cell r="D2904" t="str">
            <v>NJ</v>
          </cell>
          <cell r="E2904" t="str">
            <v/>
          </cell>
          <cell r="F2904" t="str">
            <v/>
          </cell>
          <cell r="G2904" t="str">
            <v>CASYBER SAS</v>
          </cell>
          <cell r="H2904" t="str">
            <v>IMVE</v>
          </cell>
          <cell r="I2904" t="str">
            <v>IMPUESTO SOBRE LAS VENTAS</v>
          </cell>
          <cell r="J2904" t="str">
            <v>AV CR 45  100  12 P8 BRR CHICO NAVARRA</v>
          </cell>
          <cell r="K2904" t="str">
            <v>11001</v>
          </cell>
          <cell r="L2904" t="str">
            <v>BOGOTA DC</v>
          </cell>
          <cell r="M2904" t="str">
            <v>6166800</v>
          </cell>
        </row>
        <row r="2905">
          <cell r="A2905">
            <v>800053692</v>
          </cell>
          <cell r="B2905" t="str">
            <v>6</v>
          </cell>
          <cell r="C2905" t="str">
            <v/>
          </cell>
          <cell r="D2905" t="str">
            <v>NJ</v>
          </cell>
          <cell r="E2905" t="str">
            <v/>
          </cell>
          <cell r="F2905" t="str">
            <v/>
          </cell>
          <cell r="G2905" t="str">
            <v>CASSA CREATIVA SAS</v>
          </cell>
          <cell r="H2905" t="str">
            <v>RECO</v>
          </cell>
          <cell r="I2905" t="str">
            <v>REGIMEN COMUN</v>
          </cell>
          <cell r="J2905" t="str">
            <v>CL 25 B 40  73  OF  102</v>
          </cell>
          <cell r="K2905" t="str">
            <v>11001</v>
          </cell>
          <cell r="L2905" t="str">
            <v>BOGOTA DC</v>
          </cell>
          <cell r="M2905" t="str">
            <v>3108603918</v>
          </cell>
        </row>
        <row r="2906">
          <cell r="A2906">
            <v>800055803</v>
          </cell>
          <cell r="B2906" t="str">
            <v>6</v>
          </cell>
          <cell r="C2906" t="str">
            <v/>
          </cell>
          <cell r="D2906" t="str">
            <v>NJ</v>
          </cell>
          <cell r="E2906" t="str">
            <v/>
          </cell>
          <cell r="F2906" t="str">
            <v/>
          </cell>
          <cell r="G2906" t="str">
            <v>REPRESENTACIONES INDUSTRIALES RDV. LTDA.</v>
          </cell>
          <cell r="H2906" t="str">
            <v>IMVE</v>
          </cell>
          <cell r="I2906" t="str">
            <v>IMPUESTO SOBRE LAS VENTAS</v>
          </cell>
          <cell r="J2906" t="str">
            <v>CL 17 28 A 00</v>
          </cell>
          <cell r="K2906" t="str">
            <v>11001</v>
          </cell>
          <cell r="L2906" t="str">
            <v>BOGOTA DC</v>
          </cell>
          <cell r="M2906" t="str">
            <v>3607188</v>
          </cell>
        </row>
        <row r="2907">
          <cell r="A2907">
            <v>800055845</v>
          </cell>
          <cell r="B2907" t="str">
            <v>5</v>
          </cell>
          <cell r="C2907" t="str">
            <v/>
          </cell>
          <cell r="D2907" t="str">
            <v>NJ</v>
          </cell>
          <cell r="E2907" t="str">
            <v/>
          </cell>
          <cell r="F2907" t="str">
            <v/>
          </cell>
          <cell r="G2907" t="str">
            <v>PROTECCION Y CONTROLES ELECTRICOS Y ELECTRONICOS LTDA</v>
          </cell>
          <cell r="H2907" t="str">
            <v>RECO</v>
          </cell>
          <cell r="I2907" t="str">
            <v>REGIMEN COMUN</v>
          </cell>
          <cell r="J2907" t="str">
            <v>CL 54 A  4 A- 45</v>
          </cell>
          <cell r="K2907" t="str">
            <v>11001</v>
          </cell>
          <cell r="L2907" t="str">
            <v>BOGOTA DC</v>
          </cell>
          <cell r="M2907" t="str">
            <v>3100474</v>
          </cell>
        </row>
        <row r="2908">
          <cell r="A2908">
            <v>800058607</v>
          </cell>
          <cell r="B2908" t="str">
            <v>2</v>
          </cell>
          <cell r="C2908" t="str">
            <v/>
          </cell>
          <cell r="D2908" t="str">
            <v>NJ</v>
          </cell>
          <cell r="E2908" t="str">
            <v/>
          </cell>
          <cell r="F2908" t="str">
            <v/>
          </cell>
          <cell r="G2908" t="str">
            <v>CONTROLES EMPRESARIALES SAS</v>
          </cell>
          <cell r="H2908" t="str">
            <v>GRCO</v>
          </cell>
          <cell r="I2908" t="str">
            <v>GRAN CONTRIBUYENTE</v>
          </cell>
          <cell r="J2908" t="str">
            <v>CR 16 A 75 50</v>
          </cell>
          <cell r="K2908" t="str">
            <v>11001</v>
          </cell>
          <cell r="L2908" t="str">
            <v>BOGOTA DC</v>
          </cell>
          <cell r="M2908" t="str">
            <v>5462727</v>
          </cell>
        </row>
        <row r="2909">
          <cell r="A2909">
            <v>800059080</v>
          </cell>
          <cell r="B2909" t="str">
            <v>6</v>
          </cell>
          <cell r="C2909" t="str">
            <v/>
          </cell>
          <cell r="D2909" t="str">
            <v>NJ</v>
          </cell>
          <cell r="E2909" t="str">
            <v/>
          </cell>
          <cell r="F2909" t="str">
            <v/>
          </cell>
          <cell r="G2909" t="str">
            <v>VAI PLATOS ITALIANOS</v>
          </cell>
          <cell r="H2909" t="str">
            <v>RECO</v>
          </cell>
          <cell r="I2909" t="str">
            <v>REGIMEN COMUN</v>
          </cell>
          <cell r="J2909" t="str">
            <v>SD SALITRE  PLAZA</v>
          </cell>
          <cell r="K2909" t="str">
            <v>11001</v>
          </cell>
          <cell r="L2909" t="str">
            <v>BOGOTA DC</v>
          </cell>
          <cell r="M2909" t="str">
            <v>4137784</v>
          </cell>
        </row>
        <row r="2910">
          <cell r="A2910">
            <v>800061409</v>
          </cell>
          <cell r="B2910" t="str">
            <v>1</v>
          </cell>
          <cell r="C2910" t="str">
            <v/>
          </cell>
          <cell r="D2910" t="str">
            <v>NJ</v>
          </cell>
          <cell r="E2910" t="str">
            <v/>
          </cell>
          <cell r="F2910" t="str">
            <v/>
          </cell>
          <cell r="G2910" t="str">
            <v xml:space="preserve">BATEMAN INGENIERIA S.A.       </v>
          </cell>
          <cell r="H2910" t="str">
            <v>RECO</v>
          </cell>
          <cell r="I2910" t="str">
            <v>REGIMEN COMUN</v>
          </cell>
          <cell r="J2910" t="str">
            <v>CR 20 N  39 65</v>
          </cell>
          <cell r="K2910" t="str">
            <v>11001</v>
          </cell>
          <cell r="L2910" t="str">
            <v>BOGOTA DC</v>
          </cell>
          <cell r="M2910" t="str">
            <v>3204318</v>
          </cell>
        </row>
        <row r="2911">
          <cell r="A2911">
            <v>800061585</v>
          </cell>
          <cell r="B2911" t="str">
            <v>1</v>
          </cell>
          <cell r="C2911" t="str">
            <v/>
          </cell>
          <cell r="D2911" t="str">
            <v>NJ</v>
          </cell>
          <cell r="E2911" t="str">
            <v/>
          </cell>
          <cell r="F2911" t="str">
            <v/>
          </cell>
          <cell r="G2911" t="str">
            <v xml:space="preserve">FESTO LTDA                    </v>
          </cell>
          <cell r="H2911" t="str">
            <v>GRAU</v>
          </cell>
          <cell r="I2911" t="str">
            <v>GRAN CONTRIBUYENTE AUTORRETENEDO</v>
          </cell>
          <cell r="J2911" t="str">
            <v>VRD LA PUNTA AUT MEDELLIN KM 6   3  C SUR</v>
          </cell>
          <cell r="K2911" t="str">
            <v>25799</v>
          </cell>
          <cell r="L2911" t="str">
            <v>TENJO</v>
          </cell>
          <cell r="M2911" t="str">
            <v>865 77 90</v>
          </cell>
        </row>
        <row r="2912">
          <cell r="A2912">
            <v>800062326</v>
          </cell>
          <cell r="B2912" t="str">
            <v>3</v>
          </cell>
          <cell r="C2912" t="str">
            <v/>
          </cell>
          <cell r="D2912" t="str">
            <v>NJ</v>
          </cell>
          <cell r="E2912" t="str">
            <v/>
          </cell>
          <cell r="F2912" t="str">
            <v/>
          </cell>
          <cell r="G2912" t="str">
            <v>COMPA¿IA SUMINISTRADORA DE ASESORIAS Y REPUESTOS AUTOINDU LTDA</v>
          </cell>
          <cell r="H2912" t="str">
            <v>RECO</v>
          </cell>
          <cell r="I2912" t="str">
            <v>REGIMEN COMUN</v>
          </cell>
          <cell r="J2912" t="str">
            <v>CL 22 C 28 21 IN 2 AP 104</v>
          </cell>
          <cell r="K2912" t="str">
            <v>03</v>
          </cell>
          <cell r="L2912" t="str">
            <v>BOGOTA</v>
          </cell>
          <cell r="M2912" t="str">
            <v>3154085886</v>
          </cell>
        </row>
        <row r="2913">
          <cell r="A2913">
            <v>800062338</v>
          </cell>
          <cell r="B2913" t="str">
            <v>1</v>
          </cell>
          <cell r="C2913" t="str">
            <v/>
          </cell>
          <cell r="D2913" t="str">
            <v>NJ</v>
          </cell>
          <cell r="E2913" t="str">
            <v/>
          </cell>
          <cell r="F2913" t="str">
            <v/>
          </cell>
          <cell r="G2913" t="str">
            <v>NUTRIR</v>
          </cell>
          <cell r="H2913" t="str">
            <v>IMVE</v>
          </cell>
          <cell r="I2913" t="str">
            <v>IMPUESTO SOBRE LAS VENTAS</v>
          </cell>
          <cell r="J2913" t="str">
            <v xml:space="preserve">CR 19  N 72A  18                   </v>
          </cell>
          <cell r="K2913" t="str">
            <v>17001</v>
          </cell>
          <cell r="L2913" t="str">
            <v>MANIZALES</v>
          </cell>
          <cell r="M2913" t="str">
            <v>8867000</v>
          </cell>
        </row>
        <row r="2914">
          <cell r="A2914">
            <v>800065855</v>
          </cell>
          <cell r="B2914" t="str">
            <v>1</v>
          </cell>
          <cell r="C2914" t="str">
            <v/>
          </cell>
          <cell r="D2914" t="str">
            <v>NJ</v>
          </cell>
          <cell r="E2914" t="str">
            <v/>
          </cell>
          <cell r="F2914" t="str">
            <v/>
          </cell>
          <cell r="G2914" t="str">
            <v>VALVECO S.A.S.</v>
          </cell>
          <cell r="H2914" t="str">
            <v>IMVE</v>
          </cell>
          <cell r="I2914" t="str">
            <v>IMPUESTO SOBRE LAS VENTAS</v>
          </cell>
          <cell r="J2914" t="str">
            <v>CL 16 20 A 26</v>
          </cell>
          <cell r="K2914" t="str">
            <v>11001</v>
          </cell>
          <cell r="L2914" t="str">
            <v>BOGOTA DC</v>
          </cell>
          <cell r="M2914" t="str">
            <v>3600217</v>
          </cell>
        </row>
        <row r="2915">
          <cell r="A2915">
            <v>800067307</v>
          </cell>
          <cell r="B2915" t="str">
            <v>6</v>
          </cell>
          <cell r="C2915" t="str">
            <v/>
          </cell>
          <cell r="D2915" t="str">
            <v>NJ</v>
          </cell>
          <cell r="E2915" t="str">
            <v/>
          </cell>
          <cell r="F2915" t="str">
            <v/>
          </cell>
          <cell r="G2915" t="str">
            <v>CIVILES Y ELECTROMECANICOS INGENIEROS CONTRATISTAS CIVELMEC LTDA</v>
          </cell>
          <cell r="H2915" t="str">
            <v>IMVE</v>
          </cell>
          <cell r="I2915" t="str">
            <v>IMPUESTO SOBRE LAS VENTAS</v>
          </cell>
          <cell r="J2915" t="str">
            <v xml:space="preserve">CR 30   5   81 </v>
          </cell>
          <cell r="K2915" t="str">
            <v>15238</v>
          </cell>
          <cell r="L2915" t="str">
            <v>DUITAMA</v>
          </cell>
          <cell r="M2915" t="str">
            <v>7600582</v>
          </cell>
        </row>
        <row r="2916">
          <cell r="A2916">
            <v>800068036</v>
          </cell>
          <cell r="B2916" t="str">
            <v>1</v>
          </cell>
          <cell r="C2916" t="str">
            <v/>
          </cell>
          <cell r="D2916" t="str">
            <v>NJ</v>
          </cell>
          <cell r="E2916" t="str">
            <v/>
          </cell>
          <cell r="F2916" t="str">
            <v/>
          </cell>
          <cell r="G2916" t="str">
            <v>COLTURBINAS LTDA.</v>
          </cell>
          <cell r="H2916" t="str">
            <v>IMVE</v>
          </cell>
          <cell r="I2916" t="str">
            <v>IMPUESTO SOBRE LAS VENTAS</v>
          </cell>
          <cell r="J2916" t="str">
            <v>KM 5 VÍA JUAN MINA</v>
          </cell>
          <cell r="K2916" t="str">
            <v>08001</v>
          </cell>
          <cell r="L2916" t="str">
            <v>BARRANQUILLA</v>
          </cell>
          <cell r="M2916" t="str">
            <v>3145426327</v>
          </cell>
        </row>
        <row r="2917">
          <cell r="A2917">
            <v>800068234</v>
          </cell>
          <cell r="B2917" t="str">
            <v>1</v>
          </cell>
          <cell r="C2917" t="str">
            <v/>
          </cell>
          <cell r="D2917" t="str">
            <v>NJ</v>
          </cell>
          <cell r="E2917" t="str">
            <v/>
          </cell>
          <cell r="F2917" t="str">
            <v/>
          </cell>
          <cell r="G2917" t="str">
            <v>INGENIERÍA ESPECIALIZADA S.A.</v>
          </cell>
          <cell r="H2917" t="str">
            <v>IMVE</v>
          </cell>
          <cell r="I2917" t="str">
            <v>IMPUESTO SOBRE LAS VENTAS</v>
          </cell>
          <cell r="J2917" t="str">
            <v>CALLE 8B #65-191</v>
          </cell>
          <cell r="K2917" t="str">
            <v>05001</v>
          </cell>
          <cell r="L2917" t="str">
            <v>MEDELLÍN</v>
          </cell>
          <cell r="M2917" t="str">
            <v>6043272</v>
          </cell>
        </row>
        <row r="2918">
          <cell r="A2918">
            <v>800070993</v>
          </cell>
          <cell r="B2918" t="str">
            <v>1</v>
          </cell>
          <cell r="C2918" t="str">
            <v/>
          </cell>
          <cell r="D2918" t="str">
            <v>NJ</v>
          </cell>
          <cell r="E2918" t="str">
            <v/>
          </cell>
          <cell r="F2918" t="str">
            <v/>
          </cell>
          <cell r="G2918" t="str">
            <v>EMPRESA INTERNACIONAL DE SOLUCIONES DE ENERGIA ELECTRICA TEMPORA</v>
          </cell>
          <cell r="H2918" t="str">
            <v>IMVE</v>
          </cell>
          <cell r="I2918" t="str">
            <v>IMPUESTO SOBRE LAS VENTAS</v>
          </cell>
          <cell r="J2918" t="str">
            <v>CR 25 A 36 D SUR 68 IN 103</v>
          </cell>
          <cell r="K2918" t="str">
            <v>05266</v>
          </cell>
          <cell r="L2918" t="str">
            <v>ENVIGADO</v>
          </cell>
          <cell r="M2918" t="str">
            <v>4480321</v>
          </cell>
        </row>
        <row r="2919">
          <cell r="A2919">
            <v>800071479</v>
          </cell>
          <cell r="B2919" t="str">
            <v>1</v>
          </cell>
          <cell r="C2919" t="str">
            <v/>
          </cell>
          <cell r="D2919" t="str">
            <v>NJ</v>
          </cell>
          <cell r="E2919" t="str">
            <v/>
          </cell>
          <cell r="F2919" t="str">
            <v/>
          </cell>
          <cell r="G2919" t="str">
            <v>FRIGIDAL Y COMPAÑIA LTDA. INDUSTRIAS FRIGIDAIRE</v>
          </cell>
          <cell r="H2919" t="str">
            <v>RECO</v>
          </cell>
          <cell r="I2919" t="str">
            <v>REGIMEN COMUN</v>
          </cell>
          <cell r="J2919" t="str">
            <v>CR 45  43 46</v>
          </cell>
          <cell r="K2919" t="str">
            <v>08001</v>
          </cell>
          <cell r="L2919" t="str">
            <v>BARRANQUILLA</v>
          </cell>
          <cell r="M2919" t="str">
            <v>3511050</v>
          </cell>
        </row>
        <row r="2920">
          <cell r="A2920">
            <v>800071617</v>
          </cell>
          <cell r="B2920" t="str">
            <v>1</v>
          </cell>
          <cell r="C2920" t="str">
            <v/>
          </cell>
          <cell r="D2920" t="str">
            <v>NJ</v>
          </cell>
          <cell r="E2920" t="str">
            <v/>
          </cell>
          <cell r="F2920" t="str">
            <v/>
          </cell>
          <cell r="G2920" t="str">
            <v>CUMMINS DE LOS ANDES SA</v>
          </cell>
          <cell r="H2920" t="str">
            <v>GRAU</v>
          </cell>
          <cell r="I2920" t="str">
            <v>GRAN CONTRIBUYENTE AUTORRETENEDO</v>
          </cell>
          <cell r="J2920" t="str">
            <v>AV TRONCAL DE OCCIDENTE 29 88 ESTE KM 2 5 VIA BOGOTA MOSQUERA</v>
          </cell>
          <cell r="K2920" t="str">
            <v>25473</v>
          </cell>
          <cell r="L2920" t="str">
            <v>MOSQUERA</v>
          </cell>
          <cell r="M2920" t="str">
            <v>2948444</v>
          </cell>
        </row>
        <row r="2921">
          <cell r="A2921">
            <v>800071960</v>
          </cell>
          <cell r="B2921" t="str">
            <v>1</v>
          </cell>
          <cell r="C2921" t="str">
            <v/>
          </cell>
          <cell r="D2921" t="str">
            <v>NJ</v>
          </cell>
          <cell r="E2921" t="str">
            <v/>
          </cell>
          <cell r="F2921" t="str">
            <v/>
          </cell>
          <cell r="G2921" t="str">
            <v>CASANAREÑA DE COMUNICACIONES LTDA</v>
          </cell>
          <cell r="H2921" t="str">
            <v>RECO</v>
          </cell>
          <cell r="I2921" t="str">
            <v>REGIMEN COMUN</v>
          </cell>
          <cell r="J2921" t="str">
            <v>CL 9   22   75</v>
          </cell>
          <cell r="K2921" t="str">
            <v>85001</v>
          </cell>
          <cell r="L2921" t="str">
            <v>YOPAL</v>
          </cell>
          <cell r="M2921" t="str">
            <v>6358254</v>
          </cell>
        </row>
        <row r="2922">
          <cell r="A2922">
            <v>800072172</v>
          </cell>
          <cell r="B2922" t="str">
            <v>9</v>
          </cell>
          <cell r="C2922" t="str">
            <v/>
          </cell>
          <cell r="D2922" t="str">
            <v>NJ</v>
          </cell>
          <cell r="E2922" t="str">
            <v/>
          </cell>
          <cell r="F2922" t="str">
            <v/>
          </cell>
          <cell r="G2922" t="str">
            <v>INGENIERIA Y TELEMATICA GYC SAS</v>
          </cell>
          <cell r="H2922" t="str">
            <v>IMVE</v>
          </cell>
          <cell r="I2922" t="str">
            <v>IMPUESTO SOBRE LAS VENTAS</v>
          </cell>
          <cell r="J2922" t="str">
            <v>CR 49 A 91 85</v>
          </cell>
          <cell r="K2922" t="str">
            <v>11001</v>
          </cell>
          <cell r="L2922" t="str">
            <v>BOGOTA DC</v>
          </cell>
          <cell r="M2922" t="str">
            <v>5330033</v>
          </cell>
        </row>
        <row r="2923">
          <cell r="A2923">
            <v>800072453</v>
          </cell>
          <cell r="B2923" t="str">
            <v>3</v>
          </cell>
          <cell r="C2923" t="str">
            <v/>
          </cell>
          <cell r="D2923" t="str">
            <v>NJ</v>
          </cell>
          <cell r="E2923" t="str">
            <v/>
          </cell>
          <cell r="F2923" t="str">
            <v/>
          </cell>
          <cell r="G2923" t="str">
            <v>JORGE LEON BEDOYA MARIN Y CIA LTDA</v>
          </cell>
          <cell r="H2923" t="str">
            <v>RECO</v>
          </cell>
          <cell r="I2923" t="str">
            <v>REGIMEN COMUN</v>
          </cell>
          <cell r="J2923" t="str">
            <v>CL 42 44 51</v>
          </cell>
          <cell r="K2923" t="str">
            <v>08001</v>
          </cell>
          <cell r="L2923" t="str">
            <v>BARRANQUILLA</v>
          </cell>
          <cell r="M2923" t="str">
            <v>3404892</v>
          </cell>
        </row>
        <row r="2924">
          <cell r="A2924">
            <v>800073264</v>
          </cell>
          <cell r="B2924" t="str">
            <v>2</v>
          </cell>
          <cell r="C2924" t="str">
            <v/>
          </cell>
          <cell r="D2924" t="str">
            <v>NJ</v>
          </cell>
          <cell r="E2924" t="str">
            <v/>
          </cell>
          <cell r="F2924" t="str">
            <v/>
          </cell>
          <cell r="G2924" t="str">
            <v>COOTRALLANERO LTDA.</v>
          </cell>
          <cell r="H2924" t="str">
            <v>RECO</v>
          </cell>
          <cell r="I2924" t="str">
            <v>REGIMEN COMUN</v>
          </cell>
          <cell r="J2924" t="str">
            <v>CL 24 17 A 15 P 2</v>
          </cell>
          <cell r="K2924" t="str">
            <v>85001</v>
          </cell>
          <cell r="L2924" t="str">
            <v>YOPAL</v>
          </cell>
          <cell r="M2924" t="str">
            <v>6348618</v>
          </cell>
        </row>
        <row r="2925">
          <cell r="A2925">
            <v>800074033</v>
          </cell>
          <cell r="B2925" t="str">
            <v>2</v>
          </cell>
          <cell r="C2925" t="str">
            <v/>
          </cell>
          <cell r="D2925" t="str">
            <v>NJ</v>
          </cell>
          <cell r="E2925" t="str">
            <v/>
          </cell>
          <cell r="F2925" t="str">
            <v/>
          </cell>
          <cell r="G2925" t="str">
            <v>COMPAÑIAS ASOCIADAS DE GAS SA ESP</v>
          </cell>
          <cell r="H2925" t="str">
            <v>GRCO</v>
          </cell>
          <cell r="I2925" t="str">
            <v>GRAN CONTRIBUYENTE</v>
          </cell>
          <cell r="J2925" t="str">
            <v>KM 4 VIA A LA MESA VDA BALSILLAS</v>
          </cell>
          <cell r="K2925" t="str">
            <v>52473</v>
          </cell>
          <cell r="L2925" t="str">
            <v>MOSQUERA</v>
          </cell>
          <cell r="M2925" t="str">
            <v>7451521</v>
          </cell>
        </row>
        <row r="2926">
          <cell r="A2926">
            <v>800076770</v>
          </cell>
          <cell r="B2926" t="str">
            <v>1</v>
          </cell>
          <cell r="C2926" t="str">
            <v/>
          </cell>
          <cell r="D2926" t="str">
            <v>NJ</v>
          </cell>
          <cell r="E2926" t="str">
            <v/>
          </cell>
          <cell r="F2926" t="str">
            <v/>
          </cell>
          <cell r="G2926" t="str">
            <v>CORRIENTE ALTERNA S.A.S</v>
          </cell>
          <cell r="H2926" t="str">
            <v>IMVE</v>
          </cell>
          <cell r="I2926" t="str">
            <v>IMPUESTO SOBRE LAS VENTAS</v>
          </cell>
          <cell r="J2926" t="str">
            <v xml:space="preserve"> CR  71 D  51 42</v>
          </cell>
          <cell r="K2926" t="str">
            <v>11001</v>
          </cell>
          <cell r="L2926" t="str">
            <v>BOGOTA DC</v>
          </cell>
          <cell r="M2926" t="str">
            <v>4299112</v>
          </cell>
        </row>
        <row r="2927">
          <cell r="A2927">
            <v>800078269</v>
          </cell>
          <cell r="B2927" t="str">
            <v>1</v>
          </cell>
          <cell r="C2927" t="str">
            <v/>
          </cell>
          <cell r="D2927" t="str">
            <v>NJ</v>
          </cell>
          <cell r="E2927" t="str">
            <v/>
          </cell>
          <cell r="F2927" t="str">
            <v/>
          </cell>
          <cell r="G2927" t="str">
            <v>RODANDO SAS BIC</v>
          </cell>
          <cell r="H2927" t="str">
            <v>IMVE</v>
          </cell>
          <cell r="I2927" t="str">
            <v>IMPUESTO SOBRE LAS VENTAS</v>
          </cell>
          <cell r="J2927" t="str">
            <v>CL 45  60  26</v>
          </cell>
          <cell r="K2927" t="str">
            <v>17001</v>
          </cell>
          <cell r="L2927" t="str">
            <v>MANIZALES</v>
          </cell>
          <cell r="M2927" t="str">
            <v>3042975398</v>
          </cell>
        </row>
        <row r="2928">
          <cell r="A2928">
            <v>800078611</v>
          </cell>
          <cell r="B2928" t="str">
            <v>8</v>
          </cell>
          <cell r="C2928" t="str">
            <v/>
          </cell>
          <cell r="D2928" t="str">
            <v>NJ</v>
          </cell>
          <cell r="E2928" t="str">
            <v/>
          </cell>
          <cell r="F2928" t="str">
            <v/>
          </cell>
          <cell r="G2928" t="str">
            <v xml:space="preserve">JUANTA DE ACCION COMUNAL SAN MIGUEL ANTIOQUIA               </v>
          </cell>
          <cell r="H2928" t="str">
            <v>RECO</v>
          </cell>
          <cell r="I2928" t="str">
            <v>REGIMEN COMUN</v>
          </cell>
          <cell r="J2928" t="str">
            <v xml:space="preserve">SAN MIGUEL ANTIOQUIA                    </v>
          </cell>
          <cell r="K2928" t="str">
            <v>05001</v>
          </cell>
          <cell r="L2928" t="str">
            <v>MEDELLÍN</v>
          </cell>
          <cell r="M2928" t="str">
            <v>8324107</v>
          </cell>
        </row>
        <row r="2929">
          <cell r="A2929">
            <v>800078935</v>
          </cell>
          <cell r="B2929" t="str">
            <v>9</v>
          </cell>
          <cell r="C2929" t="str">
            <v/>
          </cell>
          <cell r="D2929" t="str">
            <v>NJ</v>
          </cell>
          <cell r="E2929" t="str">
            <v/>
          </cell>
          <cell r="F2929" t="str">
            <v/>
          </cell>
          <cell r="G2929" t="str">
            <v>IMPORTADORA INDUSTRIAL COLOMBIANA LIMITADA IMPORINCO LTDA</v>
          </cell>
          <cell r="H2929" t="str">
            <v>IMVE</v>
          </cell>
          <cell r="I2929" t="str">
            <v>IMPUESTO SOBRE LAS VENTAS</v>
          </cell>
          <cell r="J2929" t="str">
            <v>CR 68   13 24 BRR ZONA INDUSTRIAL MONTEVIDEO</v>
          </cell>
          <cell r="K2929" t="str">
            <v>11001</v>
          </cell>
          <cell r="L2929" t="str">
            <v>BOGOTA DC</v>
          </cell>
          <cell r="M2929" t="str">
            <v>4176666</v>
          </cell>
        </row>
        <row r="2930">
          <cell r="A2930">
            <v>800079759</v>
          </cell>
          <cell r="B2930" t="str">
            <v>3</v>
          </cell>
          <cell r="C2930" t="str">
            <v/>
          </cell>
          <cell r="D2930" t="str">
            <v>NJ</v>
          </cell>
          <cell r="E2930" t="str">
            <v/>
          </cell>
          <cell r="F2930" t="str">
            <v/>
          </cell>
          <cell r="G2930" t="str">
            <v>HOTEL HACARITAMA</v>
          </cell>
          <cell r="H2930" t="str">
            <v>RECO</v>
          </cell>
          <cell r="I2930" t="str">
            <v>REGIMEN COMUN</v>
          </cell>
          <cell r="J2930" t="str">
            <v>CL 10 12-57</v>
          </cell>
          <cell r="K2930" t="str">
            <v>17001</v>
          </cell>
          <cell r="L2930" t="str">
            <v>MANIZALES</v>
          </cell>
          <cell r="M2930" t="str">
            <v>5690580</v>
          </cell>
        </row>
        <row r="2931">
          <cell r="A2931">
            <v>800079939</v>
          </cell>
          <cell r="B2931" t="str">
            <v>2</v>
          </cell>
          <cell r="C2931" t="str">
            <v/>
          </cell>
          <cell r="D2931" t="str">
            <v>NJ</v>
          </cell>
          <cell r="E2931" t="str">
            <v/>
          </cell>
          <cell r="F2931" t="str">
            <v/>
          </cell>
          <cell r="G2931" t="str">
            <v>SUCOMPUTO SAS SUCOMPUTO INFRAESTRUCTURA TECNOLOGICA SAS</v>
          </cell>
          <cell r="H2931" t="str">
            <v>RECO</v>
          </cell>
          <cell r="I2931" t="str">
            <v>REGIMEN COMUN</v>
          </cell>
          <cell r="J2931" t="str">
            <v>CR 22 86 28 BRR EL POLO</v>
          </cell>
          <cell r="K2931" t="str">
            <v>11001</v>
          </cell>
          <cell r="L2931" t="str">
            <v>BOGOTA DC</v>
          </cell>
          <cell r="M2931" t="str">
            <v>3102827499</v>
          </cell>
        </row>
        <row r="2932">
          <cell r="A2932">
            <v>800080807</v>
          </cell>
          <cell r="B2932" t="str">
            <v>0</v>
          </cell>
          <cell r="C2932" t="str">
            <v/>
          </cell>
          <cell r="D2932" t="str">
            <v>NJ</v>
          </cell>
          <cell r="E2932" t="str">
            <v/>
          </cell>
          <cell r="F2932" t="str">
            <v/>
          </cell>
          <cell r="G2932" t="str">
            <v>PROYECTOS INTERVENTORIAS Y CONSTRUCCIONES SAS PROITECO SAS</v>
          </cell>
          <cell r="H2932" t="str">
            <v>IMVE</v>
          </cell>
          <cell r="I2932" t="str">
            <v>IMPUESTO SOBRE LAS VENTAS</v>
          </cell>
          <cell r="J2932" t="str">
            <v>CR 5 41 70 BRR SANTA INES</v>
          </cell>
          <cell r="K2932" t="str">
            <v>15001</v>
          </cell>
          <cell r="L2932" t="str">
            <v>TUNJA</v>
          </cell>
          <cell r="M2932" t="str">
            <v>7428628</v>
          </cell>
        </row>
        <row r="2933">
          <cell r="A2933">
            <v>800080917</v>
          </cell>
          <cell r="B2933" t="str">
            <v>2</v>
          </cell>
          <cell r="C2933" t="str">
            <v/>
          </cell>
          <cell r="D2933" t="str">
            <v>NJ</v>
          </cell>
          <cell r="E2933" t="str">
            <v/>
          </cell>
          <cell r="F2933" t="str">
            <v/>
          </cell>
          <cell r="G2933" t="str">
            <v>DIMEL INGENIERIA S.A.</v>
          </cell>
          <cell r="H2933" t="str">
            <v>GRCO</v>
          </cell>
          <cell r="I2933" t="str">
            <v>GRAN CONTRIBUYENTE</v>
          </cell>
          <cell r="J2933" t="str">
            <v>CL 22 N 5 B N 76</v>
          </cell>
          <cell r="K2933" t="str">
            <v>76001</v>
          </cell>
          <cell r="L2933" t="str">
            <v>CALI</v>
          </cell>
          <cell r="M2933" t="str">
            <v>4359900</v>
          </cell>
        </row>
        <row r="2934">
          <cell r="A2934">
            <v>800081201</v>
          </cell>
          <cell r="B2934" t="str">
            <v>2</v>
          </cell>
          <cell r="C2934" t="str">
            <v/>
          </cell>
          <cell r="D2934" t="str">
            <v>NJ</v>
          </cell>
          <cell r="E2934" t="str">
            <v/>
          </cell>
          <cell r="F2934" t="str">
            <v/>
          </cell>
          <cell r="G2934" t="str">
            <v>REDITEC LTDA</v>
          </cell>
          <cell r="H2934" t="str">
            <v>RECO</v>
          </cell>
          <cell r="I2934" t="str">
            <v>REGIMEN COMUN</v>
          </cell>
          <cell r="J2934" t="str">
            <v>CL 13   16 06</v>
          </cell>
          <cell r="K2934" t="str">
            <v>15238</v>
          </cell>
          <cell r="L2934" t="str">
            <v>DUITAMA</v>
          </cell>
          <cell r="M2934" t="str">
            <v>7602779</v>
          </cell>
        </row>
        <row r="2935">
          <cell r="A2935">
            <v>800081453</v>
          </cell>
          <cell r="B2935" t="str">
            <v>1</v>
          </cell>
          <cell r="C2935" t="str">
            <v/>
          </cell>
          <cell r="D2935" t="str">
            <v>NJ</v>
          </cell>
          <cell r="E2935" t="str">
            <v/>
          </cell>
          <cell r="F2935" t="str">
            <v/>
          </cell>
          <cell r="G2935" t="str">
            <v>INSTRUMENTOS Y AUTOMATISMOS S.A.S.</v>
          </cell>
          <cell r="H2935" t="str">
            <v>RECO</v>
          </cell>
          <cell r="I2935" t="str">
            <v>REGIMEN COMUN</v>
          </cell>
          <cell r="J2935" t="str">
            <v>CR 47 A  91 86</v>
          </cell>
          <cell r="K2935" t="str">
            <v>11001</v>
          </cell>
          <cell r="L2935" t="str">
            <v>BOGOTA DC</v>
          </cell>
          <cell r="M2935" t="str">
            <v>6164169</v>
          </cell>
        </row>
        <row r="2936">
          <cell r="A2936">
            <v>800083329</v>
          </cell>
          <cell r="B2936" t="str">
            <v>5</v>
          </cell>
          <cell r="C2936" t="str">
            <v/>
          </cell>
          <cell r="D2936" t="str">
            <v>NJ</v>
          </cell>
          <cell r="E2936" t="str">
            <v/>
          </cell>
          <cell r="F2936" t="str">
            <v/>
          </cell>
          <cell r="G2936" t="str">
            <v>INGENIERIAS Y SERVICIOS S.A.S. INCER S.A.S.</v>
          </cell>
          <cell r="H2936" t="str">
            <v>IMVE</v>
          </cell>
          <cell r="I2936" t="str">
            <v>IMPUESTO SOBRE LAS VENTAS</v>
          </cell>
          <cell r="J2936" t="str">
            <v>CL 94 A   13   91 OF 404</v>
          </cell>
          <cell r="K2936" t="str">
            <v>11001</v>
          </cell>
          <cell r="L2936" t="str">
            <v>BOGOTA DC</v>
          </cell>
          <cell r="M2936" t="str">
            <v>916115960</v>
          </cell>
        </row>
        <row r="2937">
          <cell r="A2937">
            <v>800084378</v>
          </cell>
          <cell r="B2937" t="str">
            <v>0</v>
          </cell>
          <cell r="C2937" t="str">
            <v>211819318</v>
          </cell>
          <cell r="D2937" t="str">
            <v>NJ</v>
          </cell>
          <cell r="E2937" t="str">
            <v/>
          </cell>
          <cell r="F2937" t="str">
            <v/>
          </cell>
          <cell r="G2937" t="str">
            <v xml:space="preserve">MUNICIPIO DE GUAPI            </v>
          </cell>
          <cell r="H2937" t="str">
            <v>RECO</v>
          </cell>
          <cell r="I2937" t="str">
            <v>REGIMEN COMUN</v>
          </cell>
          <cell r="J2937" t="str">
            <v>MCP GUAPI</v>
          </cell>
          <cell r="K2937" t="str">
            <v>19318</v>
          </cell>
          <cell r="L2937" t="str">
            <v>GUAPI</v>
          </cell>
          <cell r="M2937" t="str">
            <v>8400488</v>
          </cell>
        </row>
        <row r="2938">
          <cell r="A2938">
            <v>800086107</v>
          </cell>
          <cell r="B2938" t="str">
            <v>0</v>
          </cell>
          <cell r="C2938" t="str">
            <v/>
          </cell>
          <cell r="D2938" t="str">
            <v>NJ</v>
          </cell>
          <cell r="E2938" t="str">
            <v/>
          </cell>
          <cell r="F2938" t="str">
            <v/>
          </cell>
          <cell r="G2938" t="str">
            <v>AEROVIAS REGIONALES DEL ORIENTE S.A.S</v>
          </cell>
          <cell r="H2938" t="str">
            <v>REOR</v>
          </cell>
          <cell r="I2938" t="str">
            <v>RENTA REGIMEN ORDINARIO</v>
          </cell>
          <cell r="J2938" t="str">
            <v>AEROPUERTO VANGUARDIA ENTRADA UNO PLATAFORMA AERONAVES BRR VANG</v>
          </cell>
          <cell r="K2938" t="str">
            <v>50001</v>
          </cell>
          <cell r="L2938" t="str">
            <v>VILLAVICENCIO</v>
          </cell>
          <cell r="M2938" t="str">
            <v>6648003</v>
          </cell>
        </row>
        <row r="2939">
          <cell r="A2939">
            <v>800087219</v>
          </cell>
          <cell r="B2939" t="str">
            <v>1</v>
          </cell>
          <cell r="C2939" t="str">
            <v/>
          </cell>
          <cell r="D2939" t="str">
            <v>NJ</v>
          </cell>
          <cell r="E2939" t="str">
            <v/>
          </cell>
          <cell r="F2939" t="str">
            <v/>
          </cell>
          <cell r="G2939" t="str">
            <v>ZURICH DE OCCIDENTE S.A.</v>
          </cell>
          <cell r="H2939" t="str">
            <v>RCAU</v>
          </cell>
          <cell r="I2939" t="str">
            <v>RESPONSABLE IVA - AUTORETENEDOR</v>
          </cell>
          <cell r="J2939" t="str">
            <v xml:space="preserve"> CL 72  5 83 P 11</v>
          </cell>
          <cell r="K2939" t="str">
            <v>11001</v>
          </cell>
          <cell r="L2939" t="str">
            <v>BOGOTA DC</v>
          </cell>
          <cell r="M2939" t="str">
            <v>2553580</v>
          </cell>
        </row>
        <row r="2940">
          <cell r="A2940">
            <v>800087401</v>
          </cell>
          <cell r="B2940" t="str">
            <v>6</v>
          </cell>
          <cell r="C2940" t="str">
            <v/>
          </cell>
          <cell r="D2940" t="str">
            <v>NJ</v>
          </cell>
          <cell r="E2940" t="str">
            <v/>
          </cell>
          <cell r="F2940" t="str">
            <v/>
          </cell>
          <cell r="G2940" t="str">
            <v>COMPUCENTRO SAS</v>
          </cell>
          <cell r="H2940" t="str">
            <v>IMVE</v>
          </cell>
          <cell r="I2940" t="str">
            <v>IMPUESTO SOBRE LAS VENTAS</v>
          </cell>
          <cell r="J2940" t="str">
            <v>CL 28 11-22 P 1</v>
          </cell>
          <cell r="K2940" t="str">
            <v>15001</v>
          </cell>
          <cell r="L2940" t="str">
            <v>TUNJA</v>
          </cell>
          <cell r="M2940" t="str">
            <v>7402547</v>
          </cell>
        </row>
        <row r="2941">
          <cell r="A2941">
            <v>800088202</v>
          </cell>
          <cell r="B2941" t="str">
            <v>1</v>
          </cell>
          <cell r="C2941" t="str">
            <v/>
          </cell>
          <cell r="D2941" t="str">
            <v>NJ</v>
          </cell>
          <cell r="E2941" t="str">
            <v/>
          </cell>
          <cell r="F2941" t="str">
            <v/>
          </cell>
          <cell r="G2941" t="str">
            <v>SAN LUIS DISTRIBUIDORA DE VIDRIO LTDA</v>
          </cell>
          <cell r="H2941" t="str">
            <v>RECO</v>
          </cell>
          <cell r="I2941" t="str">
            <v>REGIMEN COMUN</v>
          </cell>
          <cell r="J2941" t="str">
            <v>CL 20 28 21</v>
          </cell>
          <cell r="K2941" t="str">
            <v>15238</v>
          </cell>
          <cell r="L2941" t="str">
            <v>DUITAMA</v>
          </cell>
          <cell r="M2941" t="str">
            <v>7602692</v>
          </cell>
        </row>
        <row r="2942">
          <cell r="A2942">
            <v>800088357</v>
          </cell>
          <cell r="B2942" t="str">
            <v>4</v>
          </cell>
          <cell r="C2942" t="str">
            <v/>
          </cell>
          <cell r="D2942" t="str">
            <v>NJ</v>
          </cell>
          <cell r="E2942" t="str">
            <v/>
          </cell>
          <cell r="F2942" t="str">
            <v/>
          </cell>
          <cell r="G2942" t="str">
            <v>NEXIA INTERNATIONAL MONTES &amp; ASOCIADOS SAS</v>
          </cell>
          <cell r="H2942" t="str">
            <v>RECO</v>
          </cell>
          <cell r="I2942" t="str">
            <v>REGIMEN COMUN</v>
          </cell>
          <cell r="J2942" t="str">
            <v>CR 13  A 97 54</v>
          </cell>
          <cell r="K2942" t="str">
            <v>11001</v>
          </cell>
          <cell r="L2942" t="str">
            <v>BOGOTA DC</v>
          </cell>
          <cell r="M2942" t="str">
            <v>3216467993</v>
          </cell>
        </row>
        <row r="2943">
          <cell r="A2943">
            <v>800088702</v>
          </cell>
          <cell r="B2943" t="str">
            <v>2</v>
          </cell>
          <cell r="C2943" t="str">
            <v/>
          </cell>
          <cell r="D2943" t="str">
            <v>NJ</v>
          </cell>
          <cell r="E2943" t="str">
            <v/>
          </cell>
          <cell r="F2943" t="str">
            <v/>
          </cell>
          <cell r="G2943" t="str">
            <v>EPS Y MEDICINA PREPAGADA  SURAMERICANA S.A</v>
          </cell>
          <cell r="H2943" t="str">
            <v>GRCO</v>
          </cell>
          <cell r="I2943" t="str">
            <v>GRAN CONTRIBUYENTE</v>
          </cell>
          <cell r="J2943" t="str">
            <v xml:space="preserve">CR 23 75 68                            </v>
          </cell>
          <cell r="K2943" t="str">
            <v>17001</v>
          </cell>
          <cell r="L2943" t="str">
            <v>MANIZALES</v>
          </cell>
          <cell r="M2943" t="str">
            <v>8869292</v>
          </cell>
        </row>
        <row r="2944">
          <cell r="A2944">
            <v>800090833</v>
          </cell>
          <cell r="B2944" t="str">
            <v>5</v>
          </cell>
          <cell r="C2944" t="str">
            <v>217717877</v>
          </cell>
          <cell r="D2944" t="str">
            <v>NJ</v>
          </cell>
          <cell r="E2944" t="str">
            <v/>
          </cell>
          <cell r="F2944" t="str">
            <v/>
          </cell>
          <cell r="G2944" t="str">
            <v>MUNICIPIO DE VITERBO</v>
          </cell>
          <cell r="H2944" t="str">
            <v>RECO</v>
          </cell>
          <cell r="I2944" t="str">
            <v>REGIMEN COMUN</v>
          </cell>
          <cell r="J2944" t="str">
            <v>ALCALDIA CR 8 7 63 P 2</v>
          </cell>
          <cell r="K2944" t="str">
            <v>17877</v>
          </cell>
          <cell r="L2944" t="str">
            <v>VITERBO</v>
          </cell>
          <cell r="M2944" t="str">
            <v>3128318054</v>
          </cell>
        </row>
        <row r="2945">
          <cell r="A2945">
            <v>800091162</v>
          </cell>
          <cell r="B2945" t="str">
            <v>6</v>
          </cell>
          <cell r="C2945" t="str">
            <v/>
          </cell>
          <cell r="D2945" t="str">
            <v>NJ</v>
          </cell>
          <cell r="E2945" t="str">
            <v/>
          </cell>
          <cell r="F2945" t="str">
            <v/>
          </cell>
          <cell r="G2945" t="str">
            <v>SOPORTE Y CIA. S . A . S</v>
          </cell>
          <cell r="H2945" t="str">
            <v>IMVE</v>
          </cell>
          <cell r="I2945" t="str">
            <v>IMPUESTO SOBRE LAS VENTAS</v>
          </cell>
          <cell r="J2945" t="str">
            <v xml:space="preserve"> CL 4 SUR 43 A A 30 OF 604</v>
          </cell>
          <cell r="K2945" t="str">
            <v>05001</v>
          </cell>
          <cell r="L2945" t="str">
            <v>MEDELLÍN</v>
          </cell>
          <cell r="M2945" t="str">
            <v>3166860</v>
          </cell>
        </row>
        <row r="2946">
          <cell r="A2946">
            <v>800091418</v>
          </cell>
          <cell r="B2946" t="str">
            <v>6</v>
          </cell>
          <cell r="C2946" t="str">
            <v/>
          </cell>
          <cell r="D2946" t="str">
            <v>NJ</v>
          </cell>
          <cell r="E2946" t="str">
            <v/>
          </cell>
          <cell r="F2946" t="str">
            <v/>
          </cell>
          <cell r="G2946" t="str">
            <v>AGROFILTER LTDA.</v>
          </cell>
          <cell r="H2946" t="str">
            <v>IMVE</v>
          </cell>
          <cell r="I2946" t="str">
            <v>IMPUESTO SOBRE LAS VENTAS</v>
          </cell>
          <cell r="J2946" t="str">
            <v>CLL 11  18  29</v>
          </cell>
          <cell r="K2946" t="str">
            <v>15238</v>
          </cell>
          <cell r="L2946" t="str">
            <v>DUITAMA</v>
          </cell>
          <cell r="M2946" t="str">
            <v>7602071</v>
          </cell>
        </row>
        <row r="2947">
          <cell r="A2947">
            <v>800093320</v>
          </cell>
          <cell r="B2947" t="str">
            <v>2</v>
          </cell>
          <cell r="C2947" t="str">
            <v/>
          </cell>
          <cell r="D2947" t="str">
            <v>NJ</v>
          </cell>
          <cell r="E2947" t="str">
            <v/>
          </cell>
          <cell r="F2947" t="str">
            <v/>
          </cell>
          <cell r="G2947" t="str">
            <v>PROYECTOS DE INGENIERIA S.A. PROING S.A.</v>
          </cell>
          <cell r="H2947" t="str">
            <v>GRCO</v>
          </cell>
          <cell r="I2947" t="str">
            <v>GRAN CONTRIBUYENTE</v>
          </cell>
          <cell r="J2947" t="str">
            <v>CR  38 15 229 BRR ACOPI</v>
          </cell>
          <cell r="K2947" t="str">
            <v>76892</v>
          </cell>
          <cell r="L2947" t="str">
            <v>YUMBO</v>
          </cell>
          <cell r="M2947" t="str">
            <v>6544436</v>
          </cell>
        </row>
        <row r="2948">
          <cell r="A2948">
            <v>800094067</v>
          </cell>
          <cell r="B2948" t="str">
            <v>8</v>
          </cell>
          <cell r="C2948" t="str">
            <v>119999000</v>
          </cell>
          <cell r="D2948" t="str">
            <v>NJ</v>
          </cell>
          <cell r="E2948" t="str">
            <v/>
          </cell>
          <cell r="F2948" t="str">
            <v/>
          </cell>
          <cell r="G2948" t="str">
            <v>DEPARTAMENTO DEL VICHADA</v>
          </cell>
          <cell r="H2948" t="str">
            <v>REIC</v>
          </cell>
          <cell r="I2948" t="str">
            <v>RENTA REGIMEN ESPECIAL</v>
          </cell>
          <cell r="J2948" t="str">
            <v>CALLE BARRIO EL CENTRO 18 # 7 - 48</v>
          </cell>
          <cell r="K2948" t="str">
            <v>99001</v>
          </cell>
          <cell r="L2948" t="str">
            <v>PUERTO CARREÑO</v>
          </cell>
          <cell r="M2948" t="str">
            <v>3212038731</v>
          </cell>
        </row>
        <row r="2949">
          <cell r="A2949">
            <v>800094654</v>
          </cell>
          <cell r="B2949" t="str">
            <v>1</v>
          </cell>
          <cell r="C2949" t="str">
            <v/>
          </cell>
          <cell r="D2949" t="str">
            <v>NJ</v>
          </cell>
          <cell r="E2949" t="str">
            <v/>
          </cell>
          <cell r="F2949" t="str">
            <v/>
          </cell>
          <cell r="G2949" t="str">
            <v>MEDICION Y CONTROL S.A.S</v>
          </cell>
          <cell r="H2949" t="str">
            <v>RECO</v>
          </cell>
          <cell r="I2949" t="str">
            <v>REGIMEN COMUN</v>
          </cell>
          <cell r="J2949" t="str">
            <v xml:space="preserve"> CL 11 C SUR  48 B  06 SEC AGUACATALA 2</v>
          </cell>
          <cell r="K2949" t="str">
            <v>05001</v>
          </cell>
          <cell r="L2949" t="str">
            <v>MEDELLÍN</v>
          </cell>
          <cell r="M2949" t="str">
            <v>4482986</v>
          </cell>
        </row>
        <row r="2950">
          <cell r="A2950">
            <v>800095786</v>
          </cell>
          <cell r="B2950" t="str">
            <v>1</v>
          </cell>
          <cell r="C2950" t="str">
            <v>215618756</v>
          </cell>
          <cell r="D2950" t="str">
            <v>NJ</v>
          </cell>
          <cell r="E2950" t="str">
            <v/>
          </cell>
          <cell r="F2950" t="str">
            <v/>
          </cell>
          <cell r="G2950" t="str">
            <v>MUNICIPIO DE SOLANO</v>
          </cell>
          <cell r="H2950" t="str">
            <v>COIM</v>
          </cell>
          <cell r="I2950" t="str">
            <v>CONTROL DE IMPUESTOS</v>
          </cell>
          <cell r="J2950" t="str">
            <v>CR 4 7 36 BRR BELLA VISTA</v>
          </cell>
          <cell r="K2950" t="str">
            <v>18756</v>
          </cell>
          <cell r="L2950" t="str">
            <v>SOLANO</v>
          </cell>
          <cell r="M2950" t="str">
            <v>3208719363</v>
          </cell>
        </row>
        <row r="2951">
          <cell r="A2951">
            <v>800096772</v>
          </cell>
          <cell r="B2951" t="str">
            <v>1</v>
          </cell>
          <cell r="C2951" t="str">
            <v>218023580</v>
          </cell>
          <cell r="D2951" t="str">
            <v>NJ</v>
          </cell>
          <cell r="E2951" t="str">
            <v/>
          </cell>
          <cell r="F2951" t="str">
            <v/>
          </cell>
          <cell r="G2951" t="str">
            <v>MUNICIPIO DE PUERTO LIBERTADOR</v>
          </cell>
          <cell r="H2951" t="str">
            <v>COIM</v>
          </cell>
          <cell r="I2951" t="str">
            <v>CONTROL DE IMPUESTOS</v>
          </cell>
          <cell r="J2951" t="str">
            <v>CR 9 9 33 BRR AGUAS VIVAS</v>
          </cell>
          <cell r="K2951" t="str">
            <v>23580</v>
          </cell>
          <cell r="L2951" t="str">
            <v>PUERTO LIBERTADOR</v>
          </cell>
          <cell r="M2951" t="str">
            <v>3134367137</v>
          </cell>
        </row>
        <row r="2952">
          <cell r="A2952">
            <v>800096808</v>
          </cell>
          <cell r="B2952" t="str">
            <v>8</v>
          </cell>
          <cell r="C2952" t="str">
            <v>215523855</v>
          </cell>
          <cell r="D2952" t="str">
            <v>NJ</v>
          </cell>
          <cell r="E2952" t="str">
            <v/>
          </cell>
          <cell r="F2952" t="str">
            <v/>
          </cell>
          <cell r="G2952" t="str">
            <v>MUNICIPIO DE VALENCIA</v>
          </cell>
          <cell r="H2952" t="str">
            <v>COIM</v>
          </cell>
          <cell r="I2952" t="str">
            <v>CONTROL DE IMPUESTOS</v>
          </cell>
          <cell r="J2952" t="str">
            <v>CR 15 11 2 EL CENTRO</v>
          </cell>
          <cell r="K2952" t="str">
            <v>23855</v>
          </cell>
          <cell r="L2952" t="str">
            <v>VALENCIA</v>
          </cell>
          <cell r="M2952" t="str">
            <v>7773071</v>
          </cell>
        </row>
        <row r="2953">
          <cell r="A2953">
            <v>800098195</v>
          </cell>
          <cell r="B2953" t="str">
            <v>0</v>
          </cell>
          <cell r="C2953" t="str">
            <v>219050590</v>
          </cell>
          <cell r="D2953" t="str">
            <v>NJ</v>
          </cell>
          <cell r="E2953" t="str">
            <v/>
          </cell>
          <cell r="F2953" t="str">
            <v/>
          </cell>
          <cell r="G2953" t="str">
            <v>MUNICIPIO DE PUERTO RICO</v>
          </cell>
          <cell r="H2953" t="str">
            <v>RECO</v>
          </cell>
          <cell r="I2953" t="str">
            <v>REGIMEN COMUN</v>
          </cell>
          <cell r="J2953" t="str">
            <v>CR 3   13 37</v>
          </cell>
          <cell r="K2953" t="str">
            <v>50590</v>
          </cell>
          <cell r="L2953" t="str">
            <v>PUERTO RICO</v>
          </cell>
          <cell r="M2953" t="str">
            <v>6596101</v>
          </cell>
        </row>
        <row r="2954">
          <cell r="A2954">
            <v>800098205</v>
          </cell>
          <cell r="B2954" t="str">
            <v>6</v>
          </cell>
          <cell r="C2954" t="str">
            <v>218350683</v>
          </cell>
          <cell r="D2954" t="str">
            <v>NJ</v>
          </cell>
          <cell r="E2954" t="str">
            <v/>
          </cell>
          <cell r="F2954" t="str">
            <v/>
          </cell>
          <cell r="G2954" t="str">
            <v>MUNICIPIO DE SAN JUAN DE ARAMA</v>
          </cell>
          <cell r="H2954" t="str">
            <v>COIM</v>
          </cell>
          <cell r="I2954" t="str">
            <v>CONTROL DE IMPUESTOS</v>
          </cell>
          <cell r="J2954" t="str">
            <v>CR 9 11 25 BRR CENTRO</v>
          </cell>
          <cell r="K2954" t="str">
            <v>50683</v>
          </cell>
          <cell r="L2954" t="str">
            <v>SAN JUAN DE ARAMA</v>
          </cell>
          <cell r="M2954" t="str">
            <v>3105673513</v>
          </cell>
        </row>
        <row r="2955">
          <cell r="A2955">
            <v>800099238</v>
          </cell>
          <cell r="B2955" t="str">
            <v>3</v>
          </cell>
          <cell r="C2955" t="str">
            <v>214554245</v>
          </cell>
          <cell r="D2955" t="str">
            <v>NJ</v>
          </cell>
          <cell r="E2955" t="str">
            <v/>
          </cell>
          <cell r="F2955" t="str">
            <v/>
          </cell>
          <cell r="G2955" t="str">
            <v>MUNICIPIO EL CARMEN</v>
          </cell>
          <cell r="H2955" t="str">
            <v>COIM</v>
          </cell>
          <cell r="I2955" t="str">
            <v>CONTROL DE IMPUESTOS</v>
          </cell>
          <cell r="J2955" t="str">
            <v>CR 3 6 33 BRR CALLE BOLIVAR</v>
          </cell>
          <cell r="K2955" t="str">
            <v>54245</v>
          </cell>
          <cell r="L2955" t="str">
            <v>EL CARMEN</v>
          </cell>
          <cell r="M2955" t="str">
            <v>3108027631</v>
          </cell>
        </row>
        <row r="2956">
          <cell r="A2956">
            <v>800099425</v>
          </cell>
          <cell r="B2956" t="str">
            <v>4</v>
          </cell>
          <cell r="C2956" t="str">
            <v>212585225</v>
          </cell>
          <cell r="D2956" t="str">
            <v>NJ</v>
          </cell>
          <cell r="E2956" t="str">
            <v/>
          </cell>
          <cell r="F2956" t="str">
            <v/>
          </cell>
          <cell r="G2956" t="str">
            <v>MUNICIPIO DE NUNCHIA</v>
          </cell>
          <cell r="H2956" t="str">
            <v>COIM</v>
          </cell>
          <cell r="I2956" t="str">
            <v>CONTROL DE IMPUESTOS</v>
          </cell>
          <cell r="J2956" t="str">
            <v>CR 5   7   44</v>
          </cell>
          <cell r="K2956" t="str">
            <v>85225</v>
          </cell>
          <cell r="L2956" t="str">
            <v>NUNCHÍA</v>
          </cell>
          <cell r="M2956" t="str">
            <v>6352010</v>
          </cell>
        </row>
        <row r="2957">
          <cell r="A2957">
            <v>800099431</v>
          </cell>
          <cell r="B2957" t="str">
            <v>9</v>
          </cell>
          <cell r="C2957" t="str">
            <v>210085400</v>
          </cell>
          <cell r="D2957" t="str">
            <v>NJ</v>
          </cell>
          <cell r="E2957" t="str">
            <v/>
          </cell>
          <cell r="F2957" t="str">
            <v/>
          </cell>
          <cell r="G2957" t="str">
            <v>MUNICIPIO DE TAMARA</v>
          </cell>
          <cell r="H2957" t="str">
            <v>COIM</v>
          </cell>
          <cell r="I2957" t="str">
            <v>CONTROL DE IMPUESTOS</v>
          </cell>
          <cell r="J2957" t="str">
            <v>BRR CENTRO</v>
          </cell>
          <cell r="K2957" t="str">
            <v>85400</v>
          </cell>
          <cell r="L2957" t="str">
            <v>TÁMARA</v>
          </cell>
          <cell r="M2957" t="str">
            <v>3125308558</v>
          </cell>
        </row>
        <row r="2958">
          <cell r="A2958">
            <v>800099460</v>
          </cell>
          <cell r="B2958" t="str">
            <v>2</v>
          </cell>
          <cell r="C2958" t="str">
            <v/>
          </cell>
          <cell r="D2958" t="str">
            <v>NJ</v>
          </cell>
          <cell r="E2958" t="str">
            <v/>
          </cell>
          <cell r="F2958" t="str">
            <v/>
          </cell>
          <cell r="G2958" t="str">
            <v>SOLUCIONES AUTOMÁTICAS LTDA.</v>
          </cell>
          <cell r="H2958" t="str">
            <v>IMVE</v>
          </cell>
          <cell r="I2958" t="str">
            <v>IMPUESTO SOBRE LAS VENTAS</v>
          </cell>
          <cell r="J2958" t="str">
            <v>CL 155 A 7 H 19</v>
          </cell>
          <cell r="K2958" t="str">
            <v>11001</v>
          </cell>
          <cell r="L2958" t="str">
            <v>BOGOTA DC</v>
          </cell>
          <cell r="M2958" t="str">
            <v>4674838</v>
          </cell>
        </row>
        <row r="2959">
          <cell r="A2959">
            <v>800100136</v>
          </cell>
          <cell r="B2959" t="str">
            <v>4</v>
          </cell>
          <cell r="C2959" t="str">
            <v>214773547</v>
          </cell>
          <cell r="D2959" t="str">
            <v>NJ</v>
          </cell>
          <cell r="E2959" t="str">
            <v/>
          </cell>
          <cell r="F2959" t="str">
            <v/>
          </cell>
          <cell r="G2959" t="str">
            <v>MUNICIPIO DE PIEDRAS</v>
          </cell>
          <cell r="H2959" t="str">
            <v>COIM</v>
          </cell>
          <cell r="I2959" t="str">
            <v>CONTROL DE IMPUESTOS</v>
          </cell>
          <cell r="J2959" t="str">
            <v>MCP DE PIEDRAS</v>
          </cell>
          <cell r="K2959" t="str">
            <v>73547</v>
          </cell>
          <cell r="L2959" t="str">
            <v>PIEDRAS</v>
          </cell>
          <cell r="M2959" t="str">
            <v>2834264</v>
          </cell>
        </row>
        <row r="2960">
          <cell r="A2960">
            <v>800100138</v>
          </cell>
          <cell r="B2960" t="str">
            <v>9</v>
          </cell>
          <cell r="C2960" t="str">
            <v>212473624</v>
          </cell>
          <cell r="D2960" t="str">
            <v>NJ</v>
          </cell>
          <cell r="E2960" t="str">
            <v/>
          </cell>
          <cell r="F2960" t="str">
            <v/>
          </cell>
          <cell r="G2960" t="str">
            <v>MUNICIPIO DE ROVIRA</v>
          </cell>
          <cell r="H2960" t="str">
            <v>GRAU</v>
          </cell>
          <cell r="I2960" t="str">
            <v>GRAN CONTRIBUYENTE AUTORRETENEDO</v>
          </cell>
          <cell r="J2960" t="str">
            <v>MCP ROVIRA</v>
          </cell>
          <cell r="K2960" t="str">
            <v>73624</v>
          </cell>
          <cell r="L2960" t="str">
            <v>ROVIRA</v>
          </cell>
          <cell r="M2960" t="str">
            <v>8</v>
          </cell>
        </row>
        <row r="2961">
          <cell r="A2961">
            <v>800101441</v>
          </cell>
          <cell r="B2961" t="str">
            <v>0</v>
          </cell>
          <cell r="C2961" t="str">
            <v>923273096</v>
          </cell>
          <cell r="D2961" t="str">
            <v>NJ</v>
          </cell>
          <cell r="E2961" t="str">
            <v/>
          </cell>
          <cell r="F2961" t="str">
            <v/>
          </cell>
          <cell r="G2961" t="str">
            <v>CONTRALORIA MUNICIPAL DE MANIZALES</v>
          </cell>
          <cell r="H2961" t="str">
            <v>FUNC</v>
          </cell>
          <cell r="I2961" t="str">
            <v>FUNCIONARIO</v>
          </cell>
          <cell r="J2961" t="str">
            <v>CRA 23 No 64B 33</v>
          </cell>
          <cell r="K2961" t="str">
            <v>17001</v>
          </cell>
          <cell r="L2961" t="str">
            <v>MANIZALES</v>
          </cell>
          <cell r="M2961" t="str">
            <v>8756262</v>
          </cell>
        </row>
        <row r="2962">
          <cell r="A2962">
            <v>800102838</v>
          </cell>
          <cell r="B2962" t="str">
            <v>5</v>
          </cell>
          <cell r="C2962" t="str">
            <v>118181000</v>
          </cell>
          <cell r="D2962" t="str">
            <v>NJ</v>
          </cell>
          <cell r="E2962" t="str">
            <v/>
          </cell>
          <cell r="F2962" t="str">
            <v/>
          </cell>
          <cell r="G2962" t="str">
            <v>DEPARTAMENTO DEL ARAUCA</v>
          </cell>
          <cell r="H2962" t="str">
            <v>REIC</v>
          </cell>
          <cell r="I2962" t="str">
            <v>RENTA REGIMEN ESPECIAL</v>
          </cell>
          <cell r="J2962" t="str">
            <v>CR 20 CL 21 ESQ</v>
          </cell>
          <cell r="K2962" t="str">
            <v>81001</v>
          </cell>
          <cell r="L2962" t="str">
            <v>ARAUCA</v>
          </cell>
          <cell r="M2962" t="str">
            <v>8851719</v>
          </cell>
        </row>
        <row r="2963">
          <cell r="A2963">
            <v>800103052</v>
          </cell>
          <cell r="B2963" t="str">
            <v>8</v>
          </cell>
          <cell r="C2963" t="str">
            <v/>
          </cell>
          <cell r="D2963" t="str">
            <v>NJ</v>
          </cell>
          <cell r="E2963" t="str">
            <v/>
          </cell>
          <cell r="F2963" t="str">
            <v/>
          </cell>
          <cell r="G2963" t="str">
            <v xml:space="preserve">ORACLE COLOMBIA LTDA.         </v>
          </cell>
          <cell r="H2963" t="str">
            <v>GRCO</v>
          </cell>
          <cell r="I2963" t="str">
            <v>GRAN CONTRIBUYENTE</v>
          </cell>
          <cell r="J2963" t="str">
            <v>CL 127 a 53 a 45 p 9</v>
          </cell>
          <cell r="K2963" t="str">
            <v>11001</v>
          </cell>
          <cell r="L2963" t="str">
            <v>BOGOTA DC</v>
          </cell>
          <cell r="M2963" t="str">
            <v>6119600</v>
          </cell>
        </row>
        <row r="2964">
          <cell r="A2964">
            <v>800103180</v>
          </cell>
          <cell r="B2964" t="str">
            <v>2</v>
          </cell>
          <cell r="C2964" t="str">
            <v>210195001</v>
          </cell>
          <cell r="D2964" t="str">
            <v>NJ</v>
          </cell>
          <cell r="E2964" t="str">
            <v/>
          </cell>
          <cell r="F2964" t="str">
            <v/>
          </cell>
          <cell r="G2964" t="str">
            <v>MUNICIPIO DE SAN JOSE DEL GUAVIARE</v>
          </cell>
          <cell r="H2964" t="str">
            <v>COIM</v>
          </cell>
          <cell r="I2964" t="str">
            <v>CONTROL DE IMPUESTOS</v>
          </cell>
          <cell r="J2964" t="str">
            <v>CL 8 23 87 BRR CENTRO</v>
          </cell>
          <cell r="K2964" t="str">
            <v>95001</v>
          </cell>
          <cell r="L2964" t="str">
            <v>SAN JOSÉ DEL GUAVIARE</v>
          </cell>
          <cell r="M2964" t="str">
            <v>5840402</v>
          </cell>
        </row>
        <row r="2965">
          <cell r="A2965">
            <v>800103196</v>
          </cell>
          <cell r="B2965" t="str">
            <v>1</v>
          </cell>
          <cell r="C2965" t="str">
            <v>119595000</v>
          </cell>
          <cell r="D2965" t="str">
            <v>NJ</v>
          </cell>
          <cell r="E2965" t="str">
            <v/>
          </cell>
          <cell r="F2965" t="str">
            <v/>
          </cell>
          <cell r="G2965" t="str">
            <v>AEROPUERTO CT. JORGE ENRIQUE GONZALEZ TORRES</v>
          </cell>
          <cell r="H2965" t="str">
            <v>REIC</v>
          </cell>
          <cell r="I2965" t="str">
            <v>RENTA REGIMEN ESPECIAL</v>
          </cell>
          <cell r="J2965" t="str">
            <v>DPTO SAN JOSE DEL GUAVIARE</v>
          </cell>
          <cell r="K2965" t="str">
            <v>95001</v>
          </cell>
          <cell r="L2965" t="str">
            <v>SAN JOSÉ DEL GUAVIARE</v>
          </cell>
          <cell r="M2965" t="str">
            <v>3103222421</v>
          </cell>
        </row>
        <row r="2966">
          <cell r="A2966">
            <v>800103198</v>
          </cell>
          <cell r="B2966" t="str">
            <v>4</v>
          </cell>
          <cell r="C2966" t="str">
            <v>210095200</v>
          </cell>
          <cell r="D2966" t="str">
            <v>NJ</v>
          </cell>
          <cell r="E2966" t="str">
            <v/>
          </cell>
          <cell r="F2966" t="str">
            <v/>
          </cell>
          <cell r="G2966" t="str">
            <v>MUNICIPIO DE MIRAFLORES</v>
          </cell>
          <cell r="H2966" t="str">
            <v>COIM</v>
          </cell>
          <cell r="I2966" t="str">
            <v>CONTROL DE IMPUESTOS</v>
          </cell>
          <cell r="J2966" t="str">
            <v>ALCALDIA DE MIRAFLORES</v>
          </cell>
          <cell r="K2966" t="str">
            <v>95200</v>
          </cell>
          <cell r="L2966" t="str">
            <v>MIRAFLORES</v>
          </cell>
          <cell r="M2966" t="str">
            <v>3114620947</v>
          </cell>
        </row>
        <row r="2967">
          <cell r="A2967">
            <v>800103308</v>
          </cell>
          <cell r="B2967" t="str">
            <v>8</v>
          </cell>
          <cell r="C2967" t="str">
            <v>212499524</v>
          </cell>
          <cell r="D2967" t="str">
            <v>NJ</v>
          </cell>
          <cell r="E2967" t="str">
            <v/>
          </cell>
          <cell r="F2967" t="str">
            <v/>
          </cell>
          <cell r="G2967" t="str">
            <v>MUNICIPIO DE LA PRIMAVERA</v>
          </cell>
          <cell r="H2967" t="str">
            <v>COIM</v>
          </cell>
          <cell r="I2967" t="str">
            <v>CONTROL DE IMPUESTOS</v>
          </cell>
          <cell r="J2967" t="str">
            <v>MCP LA PRIMAVERA</v>
          </cell>
          <cell r="K2967" t="str">
            <v>17001</v>
          </cell>
          <cell r="L2967" t="str">
            <v>MANIZALES</v>
          </cell>
          <cell r="M2967" t="str">
            <v>3175432487</v>
          </cell>
        </row>
        <row r="2968">
          <cell r="A2968">
            <v>800103318</v>
          </cell>
          <cell r="B2968" t="str">
            <v>1</v>
          </cell>
          <cell r="C2968" t="str">
            <v>212499624</v>
          </cell>
          <cell r="D2968" t="str">
            <v>NJ</v>
          </cell>
          <cell r="E2968" t="str">
            <v/>
          </cell>
          <cell r="F2968" t="str">
            <v/>
          </cell>
          <cell r="G2968" t="str">
            <v>MUNICIPIO  DE SANTA ROSALIA</v>
          </cell>
          <cell r="H2968" t="str">
            <v>COIM</v>
          </cell>
          <cell r="I2968" t="str">
            <v>CONTROL DE IMPUESTOS</v>
          </cell>
          <cell r="J2968" t="str">
            <v>CR 7   7   15 BRR CENTRO</v>
          </cell>
          <cell r="K2968" t="str">
            <v>99624</v>
          </cell>
          <cell r="L2968" t="str">
            <v>SANTA ROSALÍA</v>
          </cell>
          <cell r="M2968" t="str">
            <v>3202851309</v>
          </cell>
        </row>
        <row r="2969">
          <cell r="A2969">
            <v>800103659</v>
          </cell>
          <cell r="B2969" t="str">
            <v>8</v>
          </cell>
          <cell r="C2969" t="str">
            <v>215085250</v>
          </cell>
          <cell r="D2969" t="str">
            <v>NJ</v>
          </cell>
          <cell r="E2969" t="str">
            <v/>
          </cell>
          <cell r="F2969" t="str">
            <v/>
          </cell>
          <cell r="G2969" t="str">
            <v>MUNICIPIO DE PAZ DE ARIPORO</v>
          </cell>
          <cell r="H2969" t="str">
            <v>COIM</v>
          </cell>
          <cell r="I2969" t="str">
            <v>CONTROL DE IMPUESTOS</v>
          </cell>
          <cell r="J2969" t="str">
            <v>CL 10 8 07 ED ALCALDIA</v>
          </cell>
          <cell r="K2969" t="str">
            <v>17001</v>
          </cell>
          <cell r="L2969" t="str">
            <v>MANIZALES</v>
          </cell>
          <cell r="M2969" t="str">
            <v>3125463231</v>
          </cell>
        </row>
        <row r="2970">
          <cell r="A2970">
            <v>800103720</v>
          </cell>
          <cell r="B2970" t="str">
            <v>1</v>
          </cell>
          <cell r="C2970" t="str">
            <v>212585325</v>
          </cell>
          <cell r="D2970" t="str">
            <v>NJ</v>
          </cell>
          <cell r="E2970" t="str">
            <v/>
          </cell>
          <cell r="F2970" t="str">
            <v/>
          </cell>
          <cell r="G2970" t="str">
            <v>ALCALDÍA SAN LUIS DE PALENQUE</v>
          </cell>
          <cell r="H2970" t="str">
            <v>COIM</v>
          </cell>
          <cell r="I2970" t="str">
            <v>CONTROL DE IMPUESTOS</v>
          </cell>
          <cell r="J2970" t="str">
            <v>CL 2   5   60 ED ALCALDIA MUNICIPAL</v>
          </cell>
          <cell r="K2970" t="str">
            <v>85325</v>
          </cell>
          <cell r="L2970" t="str">
            <v>SAN LUIS DE PALENQUE</v>
          </cell>
          <cell r="M2970" t="str">
            <v>6370017</v>
          </cell>
        </row>
        <row r="2971">
          <cell r="A2971">
            <v>800103851</v>
          </cell>
          <cell r="B2971" t="str">
            <v>6</v>
          </cell>
          <cell r="C2971" t="str">
            <v/>
          </cell>
          <cell r="D2971" t="str">
            <v>NJ</v>
          </cell>
          <cell r="E2971" t="str">
            <v/>
          </cell>
          <cell r="F2971" t="str">
            <v/>
          </cell>
          <cell r="G2971" t="str">
            <v>CUSTODIAR LIMITADA</v>
          </cell>
          <cell r="H2971" t="str">
            <v>IMVE</v>
          </cell>
          <cell r="I2971" t="str">
            <v>IMPUESTO SOBRE LAS VENTAS</v>
          </cell>
          <cell r="J2971" t="str">
            <v xml:space="preserve"> CL 73 20 B 39 BRR SAN FELIPE</v>
          </cell>
          <cell r="K2971" t="str">
            <v>11001</v>
          </cell>
          <cell r="L2971" t="str">
            <v>BOGOTA DC</v>
          </cell>
          <cell r="M2971" t="str">
            <v>6060060</v>
          </cell>
        </row>
        <row r="2972">
          <cell r="A2972">
            <v>800103920</v>
          </cell>
          <cell r="B2972" t="str">
            <v>6</v>
          </cell>
          <cell r="C2972" t="str">
            <v>114747000</v>
          </cell>
          <cell r="D2972" t="str">
            <v>NJ</v>
          </cell>
          <cell r="E2972" t="str">
            <v/>
          </cell>
          <cell r="F2972" t="str">
            <v/>
          </cell>
          <cell r="G2972" t="str">
            <v>GOBERNACION DEL MAGDALENA</v>
          </cell>
          <cell r="H2972" t="str">
            <v>RECO</v>
          </cell>
          <cell r="I2972" t="str">
            <v>REGIMEN COMUN</v>
          </cell>
          <cell r="J2972" t="str">
            <v>CR 01 C   15   16 ZN PALACIO TAYRONA</v>
          </cell>
          <cell r="K2972" t="str">
            <v>13001</v>
          </cell>
          <cell r="L2972" t="str">
            <v>CARTAGENA</v>
          </cell>
          <cell r="M2972" t="str">
            <v>4381147</v>
          </cell>
        </row>
        <row r="2973">
          <cell r="A2973">
            <v>800103927</v>
          </cell>
          <cell r="B2973" t="str">
            <v>7</v>
          </cell>
          <cell r="C2973" t="str">
            <v>115454000</v>
          </cell>
          <cell r="D2973" t="str">
            <v>NJ</v>
          </cell>
          <cell r="E2973" t="str">
            <v/>
          </cell>
          <cell r="F2973" t="str">
            <v/>
          </cell>
          <cell r="G2973" t="str">
            <v xml:space="preserve">GOBERNACION NORTE DE SANTANDER                              </v>
          </cell>
          <cell r="H2973" t="str">
            <v>RECO</v>
          </cell>
          <cell r="I2973" t="str">
            <v>REGIMEN COMUN</v>
          </cell>
          <cell r="J2973" t="str">
            <v xml:space="preserve">AV 5 CL 13 Y 14 CUCUTA          </v>
          </cell>
          <cell r="K2973" t="str">
            <v>54001</v>
          </cell>
          <cell r="L2973" t="str">
            <v>CÚCUTA</v>
          </cell>
          <cell r="M2973" t="str">
            <v>5710290</v>
          </cell>
        </row>
        <row r="2974">
          <cell r="A2974">
            <v>800105706</v>
          </cell>
          <cell r="B2974" t="str">
            <v>5</v>
          </cell>
          <cell r="C2974" t="str">
            <v/>
          </cell>
          <cell r="D2974" t="str">
            <v>NJ</v>
          </cell>
          <cell r="E2974" t="str">
            <v/>
          </cell>
          <cell r="F2974" t="str">
            <v/>
          </cell>
          <cell r="G2974" t="str">
            <v>UPSISTEMAS S.A.S</v>
          </cell>
          <cell r="H2974" t="str">
            <v>GRAU</v>
          </cell>
          <cell r="I2974" t="str">
            <v>GRAN CONTRIBUYENTE AUTORRETENEDO</v>
          </cell>
          <cell r="J2974" t="str">
            <v>AC 24   95   12 BG  53</v>
          </cell>
          <cell r="K2974" t="str">
            <v>11001</v>
          </cell>
          <cell r="L2974" t="str">
            <v>BOGOTA DC</v>
          </cell>
          <cell r="M2974" t="str">
            <v>7422333</v>
          </cell>
        </row>
        <row r="2975">
          <cell r="A2975">
            <v>800106774</v>
          </cell>
          <cell r="B2975" t="str">
            <v>0</v>
          </cell>
          <cell r="C2975" t="str">
            <v/>
          </cell>
          <cell r="D2975" t="str">
            <v>NJ</v>
          </cell>
          <cell r="E2975" t="str">
            <v/>
          </cell>
          <cell r="F2975" t="str">
            <v/>
          </cell>
          <cell r="G2975" t="str">
            <v>MERCADO ZAPATOCA SA</v>
          </cell>
          <cell r="H2975" t="str">
            <v>GRCO</v>
          </cell>
          <cell r="I2975" t="str">
            <v>GRAN CONTRIBUYENTE</v>
          </cell>
          <cell r="J2975" t="str">
            <v>CR 3   22   01</v>
          </cell>
          <cell r="K2975" t="str">
            <v>11001</v>
          </cell>
          <cell r="L2975" t="str">
            <v>BOGOTA DC</v>
          </cell>
          <cell r="M2975" t="str">
            <v>8931754</v>
          </cell>
        </row>
        <row r="2976">
          <cell r="A2976">
            <v>800108156</v>
          </cell>
          <cell r="B2976" t="str">
            <v>8</v>
          </cell>
          <cell r="C2976" t="str">
            <v/>
          </cell>
          <cell r="D2976" t="str">
            <v>NJ</v>
          </cell>
          <cell r="E2976" t="str">
            <v/>
          </cell>
          <cell r="F2976" t="str">
            <v/>
          </cell>
          <cell r="G2976" t="str">
            <v>PANATEL S.A.S</v>
          </cell>
          <cell r="H2976" t="str">
            <v>RECO</v>
          </cell>
          <cell r="I2976" t="str">
            <v>REGIMEN COMUN</v>
          </cell>
          <cell r="J2976" t="str">
            <v>CR 9   71 38 OF 401 BRR QUINTA CAMACHO</v>
          </cell>
          <cell r="K2976" t="str">
            <v>11001</v>
          </cell>
          <cell r="L2976" t="str">
            <v>BOGOTA DC</v>
          </cell>
          <cell r="M2976" t="str">
            <v>(571) 326 22 00</v>
          </cell>
        </row>
        <row r="2977">
          <cell r="A2977">
            <v>800108661</v>
          </cell>
          <cell r="B2977" t="str">
            <v>6</v>
          </cell>
          <cell r="C2977" t="str">
            <v/>
          </cell>
          <cell r="D2977" t="str">
            <v>NJ</v>
          </cell>
          <cell r="E2977" t="str">
            <v/>
          </cell>
          <cell r="F2977" t="str">
            <v/>
          </cell>
          <cell r="G2977" t="str">
            <v>LIGA CALDENSE DE VOLEIBOL</v>
          </cell>
          <cell r="H2977" t="str">
            <v>RERE</v>
          </cell>
          <cell r="I2977" t="str">
            <v>RENTA REGIMEN ESPECIAL NO IVA</v>
          </cell>
          <cell r="J2977" t="str">
            <v>CL 67 33 A 23</v>
          </cell>
          <cell r="K2977" t="str">
            <v>17001</v>
          </cell>
          <cell r="L2977" t="str">
            <v>MANIZALES</v>
          </cell>
          <cell r="M2977" t="str">
            <v>3216339617</v>
          </cell>
        </row>
        <row r="2978">
          <cell r="A2978">
            <v>800109537</v>
          </cell>
          <cell r="B2978" t="str">
            <v>5</v>
          </cell>
          <cell r="C2978" t="str">
            <v/>
          </cell>
          <cell r="D2978" t="str">
            <v>NJ</v>
          </cell>
          <cell r="E2978" t="str">
            <v/>
          </cell>
          <cell r="F2978" t="str">
            <v/>
          </cell>
          <cell r="G2978" t="str">
            <v>ITEMS TECNOLOGIA LIMITADA</v>
          </cell>
          <cell r="H2978" t="str">
            <v>IMVE</v>
          </cell>
          <cell r="I2978" t="str">
            <v>IMPUESTO SOBRE LAS VENTAS</v>
          </cell>
          <cell r="J2978" t="str">
            <v xml:space="preserve"> CL 69 B  70 C  35</v>
          </cell>
          <cell r="K2978" t="str">
            <v>17001</v>
          </cell>
          <cell r="L2978" t="str">
            <v>MANIZALES</v>
          </cell>
          <cell r="M2978" t="str">
            <v>3135027147</v>
          </cell>
        </row>
        <row r="2979">
          <cell r="A2979">
            <v>800109793</v>
          </cell>
          <cell r="B2979" t="str">
            <v>4</v>
          </cell>
          <cell r="C2979" t="str">
            <v/>
          </cell>
          <cell r="D2979" t="str">
            <v>NJ</v>
          </cell>
          <cell r="E2979" t="str">
            <v/>
          </cell>
          <cell r="F2979" t="str">
            <v/>
          </cell>
          <cell r="G2979" t="str">
            <v>FERRETERIA PASCO LTDA.</v>
          </cell>
          <cell r="H2979" t="str">
            <v>RECO</v>
          </cell>
          <cell r="I2979" t="str">
            <v>REGIMEN COMUN</v>
          </cell>
          <cell r="J2979" t="str">
            <v xml:space="preserve"> CR 25  13 12</v>
          </cell>
          <cell r="K2979" t="str">
            <v>11001</v>
          </cell>
          <cell r="L2979" t="str">
            <v>BOGOTA DC</v>
          </cell>
          <cell r="M2979" t="str">
            <v>2371004</v>
          </cell>
        </row>
        <row r="2980">
          <cell r="A2980">
            <v>800109940</v>
          </cell>
          <cell r="B2980" t="str">
            <v>0</v>
          </cell>
          <cell r="C2980" t="str">
            <v/>
          </cell>
          <cell r="D2980" t="str">
            <v>NJ</v>
          </cell>
          <cell r="E2980" t="str">
            <v/>
          </cell>
          <cell r="F2980" t="str">
            <v/>
          </cell>
          <cell r="G2980" t="str">
            <v>TECOLAP LTDA</v>
          </cell>
          <cell r="H2980" t="str">
            <v>IMVE</v>
          </cell>
          <cell r="I2980" t="str">
            <v>IMPUESTO SOBRE LAS VENTAS</v>
          </cell>
          <cell r="J2980" t="str">
            <v>CL 81  11  68  OF 415</v>
          </cell>
          <cell r="K2980" t="str">
            <v>11001</v>
          </cell>
          <cell r="L2980" t="str">
            <v>BOGOTA DC</v>
          </cell>
          <cell r="M2980" t="str">
            <v>3134518585</v>
          </cell>
        </row>
        <row r="2981">
          <cell r="A2981">
            <v>800111946</v>
          </cell>
          <cell r="B2981" t="str">
            <v>0</v>
          </cell>
          <cell r="C2981" t="str">
            <v/>
          </cell>
          <cell r="D2981" t="str">
            <v>NJ</v>
          </cell>
          <cell r="E2981" t="str">
            <v/>
          </cell>
          <cell r="F2981" t="str">
            <v/>
          </cell>
          <cell r="G2981" t="str">
            <v>TRILLIANT NETWORKS COLOMBIA S.A.S.</v>
          </cell>
          <cell r="H2981" t="str">
            <v>IMVE</v>
          </cell>
          <cell r="I2981" t="str">
            <v>IMPUESTO SOBRE LAS VENTAS</v>
          </cell>
          <cell r="J2981" t="str">
            <v xml:space="preserve"> CR 7 156 68 OF 2903 2902</v>
          </cell>
          <cell r="K2981" t="str">
            <v>11001</v>
          </cell>
          <cell r="L2981" t="str">
            <v>BOGOTA DC</v>
          </cell>
          <cell r="M2981" t="str">
            <v>3563500</v>
          </cell>
        </row>
        <row r="2982">
          <cell r="A2982">
            <v>800112440</v>
          </cell>
          <cell r="B2982" t="str">
            <v>0</v>
          </cell>
          <cell r="C2982" t="str">
            <v/>
          </cell>
          <cell r="D2982" t="str">
            <v>NJ</v>
          </cell>
          <cell r="E2982" t="str">
            <v/>
          </cell>
          <cell r="F2982" t="str">
            <v/>
          </cell>
          <cell r="G2982" t="str">
            <v xml:space="preserve">TORNILLOS Y PARTES PLAZA S.A.                               </v>
          </cell>
          <cell r="H2982" t="str">
            <v>RCAU</v>
          </cell>
          <cell r="I2982" t="str">
            <v>RESPONSABLE IVA - AUTORETENEDOR</v>
          </cell>
          <cell r="J2982" t="str">
            <v>CR 25   13   77</v>
          </cell>
          <cell r="K2982" t="str">
            <v>11001</v>
          </cell>
          <cell r="L2982" t="str">
            <v>BOGOTA DC</v>
          </cell>
          <cell r="M2982" t="str">
            <v>2379700</v>
          </cell>
        </row>
        <row r="2983">
          <cell r="A2983">
            <v>800113478</v>
          </cell>
          <cell r="B2983" t="str">
            <v>4</v>
          </cell>
          <cell r="C2983" t="str">
            <v/>
          </cell>
          <cell r="D2983" t="str">
            <v>NJ</v>
          </cell>
          <cell r="E2983" t="str">
            <v/>
          </cell>
          <cell r="F2983" t="str">
            <v/>
          </cell>
          <cell r="G2983" t="str">
            <v>TMI MECANICA INDUSTRIAL LTDA</v>
          </cell>
          <cell r="H2983" t="str">
            <v>RECO</v>
          </cell>
          <cell r="I2983" t="str">
            <v>REGIMEN COMUN</v>
          </cell>
          <cell r="J2983" t="str">
            <v>CR 24  33 A  10</v>
          </cell>
          <cell r="K2983" t="str">
            <v>17001</v>
          </cell>
          <cell r="L2983" t="str">
            <v>MANIZALES</v>
          </cell>
          <cell r="M2983" t="str">
            <v>8742172</v>
          </cell>
        </row>
        <row r="2984">
          <cell r="A2984">
            <v>800114709</v>
          </cell>
          <cell r="B2984" t="str">
            <v>5</v>
          </cell>
          <cell r="C2984" t="str">
            <v/>
          </cell>
          <cell r="D2984" t="str">
            <v>NJ</v>
          </cell>
          <cell r="E2984" t="str">
            <v/>
          </cell>
          <cell r="F2984" t="str">
            <v/>
          </cell>
          <cell r="G2984" t="str">
            <v xml:space="preserve">MEDARDO MENDEZ Y CIA LTDA                                   </v>
          </cell>
          <cell r="H2984" t="str">
            <v>RECO</v>
          </cell>
          <cell r="I2984" t="str">
            <v>REGIMEN COMUN</v>
          </cell>
          <cell r="J2984" t="str">
            <v>CR 26   78 60</v>
          </cell>
          <cell r="K2984" t="str">
            <v>11001</v>
          </cell>
          <cell r="L2984" t="str">
            <v>BOGOTA DC</v>
          </cell>
          <cell r="M2984" t="str">
            <v>3116932</v>
          </cell>
        </row>
        <row r="2985">
          <cell r="A2985">
            <v>800116217</v>
          </cell>
          <cell r="B2985" t="str">
            <v>2</v>
          </cell>
          <cell r="C2985" t="str">
            <v/>
          </cell>
          <cell r="D2985" t="str">
            <v>NJ</v>
          </cell>
          <cell r="E2985" t="str">
            <v/>
          </cell>
          <cell r="F2985" t="str">
            <v/>
          </cell>
          <cell r="G2985" t="str">
            <v>CORPORACION UNIVERSITARIA MINUTO DE DIOS</v>
          </cell>
          <cell r="H2985" t="str">
            <v>IMVE</v>
          </cell>
          <cell r="I2985" t="str">
            <v>IMPUESTO SOBRE LAS VENTAS</v>
          </cell>
          <cell r="J2985" t="str">
            <v>CR 73 A 81 B 70</v>
          </cell>
          <cell r="K2985" t="str">
            <v>11001</v>
          </cell>
          <cell r="L2985" t="str">
            <v>BOGOTA DC</v>
          </cell>
          <cell r="M2985" t="str">
            <v>2916520</v>
          </cell>
        </row>
        <row r="2986">
          <cell r="A2986">
            <v>800116871</v>
          </cell>
          <cell r="B2986" t="str">
            <v>1</v>
          </cell>
          <cell r="C2986" t="str">
            <v/>
          </cell>
          <cell r="D2986" t="str">
            <v>NJ</v>
          </cell>
          <cell r="E2986" t="str">
            <v/>
          </cell>
          <cell r="F2986" t="str">
            <v/>
          </cell>
          <cell r="G2986" t="str">
            <v>C.I. IMPORTEX SA</v>
          </cell>
          <cell r="H2986" t="str">
            <v>GRCO</v>
          </cell>
          <cell r="I2986" t="str">
            <v>GRAN CONTRIBUYENTE</v>
          </cell>
          <cell r="J2986" t="str">
            <v>CR 16 A 78 11 OF 501</v>
          </cell>
          <cell r="K2986" t="str">
            <v>11001</v>
          </cell>
          <cell r="L2986" t="str">
            <v>BOGOTA DC</v>
          </cell>
          <cell r="M2986" t="str">
            <v>2369689</v>
          </cell>
        </row>
        <row r="2987">
          <cell r="A2987">
            <v>800119214</v>
          </cell>
          <cell r="B2987" t="str">
            <v>4</v>
          </cell>
          <cell r="C2987" t="str">
            <v/>
          </cell>
          <cell r="D2987" t="str">
            <v>NJ</v>
          </cell>
          <cell r="E2987" t="str">
            <v/>
          </cell>
          <cell r="F2987" t="str">
            <v/>
          </cell>
          <cell r="G2987" t="str">
            <v>PROYECTAR INGENIERIA S.A.S.</v>
          </cell>
          <cell r="H2987" t="str">
            <v>IMVE</v>
          </cell>
          <cell r="I2987" t="str">
            <v>IMPUESTO SOBRE LAS VENTAS</v>
          </cell>
          <cell r="J2987" t="str">
            <v>CR 100 11 90 OF 807 CC HOLGUINES TRADE CENTER</v>
          </cell>
          <cell r="K2987" t="str">
            <v>76001</v>
          </cell>
          <cell r="L2987" t="str">
            <v>CALI</v>
          </cell>
          <cell r="M2987" t="str">
            <v>3399929</v>
          </cell>
        </row>
        <row r="2988">
          <cell r="A2988">
            <v>800120466</v>
          </cell>
          <cell r="B2988" t="str">
            <v>5</v>
          </cell>
          <cell r="C2988" t="str">
            <v/>
          </cell>
          <cell r="D2988" t="str">
            <v>NJ</v>
          </cell>
          <cell r="E2988" t="str">
            <v/>
          </cell>
          <cell r="F2988" t="str">
            <v/>
          </cell>
          <cell r="G2988" t="str">
            <v>SURESCO LIMITADA</v>
          </cell>
          <cell r="H2988" t="str">
            <v>IMVE</v>
          </cell>
          <cell r="I2988" t="str">
            <v>IMPUESTO SOBRE LAS VENTAS</v>
          </cell>
          <cell r="J2988" t="str">
            <v>1 VIA LA ARGENTINA COM INDUSTRIAL EL DORADO BG 76</v>
          </cell>
          <cell r="K2988" t="str">
            <v>25286</v>
          </cell>
          <cell r="L2988" t="str">
            <v>FUNZA</v>
          </cell>
          <cell r="M2988" t="str">
            <v>8966465</v>
          </cell>
        </row>
        <row r="2989">
          <cell r="A2989">
            <v>800120590</v>
          </cell>
          <cell r="B2989" t="str">
            <v>0</v>
          </cell>
          <cell r="C2989" t="str">
            <v/>
          </cell>
          <cell r="D2989" t="str">
            <v>NJ</v>
          </cell>
          <cell r="E2989" t="str">
            <v/>
          </cell>
          <cell r="F2989" t="str">
            <v/>
          </cell>
          <cell r="G2989" t="str">
            <v>FERRELECTRICOS EL PROVEEDOR DEL NORTE SAS</v>
          </cell>
          <cell r="H2989" t="str">
            <v>RECO</v>
          </cell>
          <cell r="I2989" t="str">
            <v>REGIMEN COMUN</v>
          </cell>
          <cell r="J2989" t="str">
            <v>CR 15   95   19</v>
          </cell>
          <cell r="K2989" t="str">
            <v>11001</v>
          </cell>
          <cell r="L2989" t="str">
            <v>BOGOTA DC</v>
          </cell>
          <cell r="M2989" t="str">
            <v>2365655</v>
          </cell>
        </row>
        <row r="2990">
          <cell r="A2990">
            <v>800120981</v>
          </cell>
          <cell r="B2990" t="str">
            <v>7</v>
          </cell>
          <cell r="C2990" t="str">
            <v/>
          </cell>
          <cell r="D2990" t="str">
            <v>NJ</v>
          </cell>
          <cell r="E2990" t="str">
            <v/>
          </cell>
          <cell r="F2990" t="str">
            <v/>
          </cell>
          <cell r="G2990" t="str">
            <v xml:space="preserve"> VICARIATO APOSTOLICO DE GUAPI</v>
          </cell>
          <cell r="H2990" t="str">
            <v>REIC</v>
          </cell>
          <cell r="I2990" t="str">
            <v>RENTA REGIMEN ESPECIAL</v>
          </cell>
          <cell r="J2990" t="str">
            <v>CRT 2 7 27</v>
          </cell>
          <cell r="K2990" t="str">
            <v>19318</v>
          </cell>
          <cell r="L2990" t="str">
            <v>GUAPI</v>
          </cell>
          <cell r="M2990" t="str">
            <v>8400633</v>
          </cell>
        </row>
        <row r="2991">
          <cell r="A2991">
            <v>800121118</v>
          </cell>
          <cell r="B2991" t="str">
            <v>1</v>
          </cell>
          <cell r="C2991" t="str">
            <v/>
          </cell>
          <cell r="D2991" t="str">
            <v>NJ</v>
          </cell>
          <cell r="E2991" t="str">
            <v/>
          </cell>
          <cell r="F2991" t="str">
            <v/>
          </cell>
          <cell r="G2991" t="str">
            <v>ELEMENTOS ELECTRICOS SA</v>
          </cell>
          <cell r="H2991" t="str">
            <v>GRCO</v>
          </cell>
          <cell r="I2991" t="str">
            <v>GRAN CONTRIBUYENTE</v>
          </cell>
          <cell r="J2991" t="str">
            <v>CL 20 4 30</v>
          </cell>
          <cell r="K2991" t="str">
            <v>76001</v>
          </cell>
          <cell r="L2991" t="str">
            <v>CALI</v>
          </cell>
          <cell r="M2991" t="str">
            <v>3165866296</v>
          </cell>
        </row>
        <row r="2992">
          <cell r="A2992">
            <v>800122217</v>
          </cell>
          <cell r="B2992" t="str">
            <v>7</v>
          </cell>
          <cell r="C2992" t="str">
            <v/>
          </cell>
          <cell r="D2992" t="str">
            <v>NJ</v>
          </cell>
          <cell r="E2992" t="str">
            <v/>
          </cell>
          <cell r="F2992" t="str">
            <v/>
          </cell>
          <cell r="G2992" t="str">
            <v>D.S.I  S.A</v>
          </cell>
          <cell r="H2992" t="str">
            <v>RECO</v>
          </cell>
          <cell r="I2992" t="str">
            <v>REGIMEN COMUN</v>
          </cell>
          <cell r="J2992" t="str">
            <v>CR 68 28  A 27</v>
          </cell>
          <cell r="K2992" t="str">
            <v>17001</v>
          </cell>
          <cell r="L2992" t="str">
            <v>MANIZALES</v>
          </cell>
          <cell r="M2992" t="str">
            <v>8872112</v>
          </cell>
        </row>
        <row r="2993">
          <cell r="A2993">
            <v>800122234</v>
          </cell>
          <cell r="B2993" t="str">
            <v>2</v>
          </cell>
          <cell r="C2993" t="str">
            <v/>
          </cell>
          <cell r="D2993" t="str">
            <v>NJ</v>
          </cell>
          <cell r="E2993" t="str">
            <v/>
          </cell>
          <cell r="F2993" t="str">
            <v/>
          </cell>
          <cell r="G2993" t="str">
            <v>IDATOS LIMITADA</v>
          </cell>
          <cell r="H2993" t="str">
            <v>RST</v>
          </cell>
          <cell r="I2993" t="str">
            <v>REGIMEN SIMPLE DE TRIBUTACION</v>
          </cell>
          <cell r="J2993" t="str">
            <v>CR 24  22 02 OF 701  ED PLAZA CENTRO</v>
          </cell>
          <cell r="K2993" t="str">
            <v>17001</v>
          </cell>
          <cell r="L2993" t="str">
            <v>MANIZALES</v>
          </cell>
          <cell r="M2993" t="str">
            <v>8847010</v>
          </cell>
        </row>
        <row r="2994">
          <cell r="A2994">
            <v>800124196</v>
          </cell>
          <cell r="B2994" t="str">
            <v>1</v>
          </cell>
          <cell r="C2994" t="str">
            <v/>
          </cell>
          <cell r="D2994" t="str">
            <v>NJ</v>
          </cell>
          <cell r="E2994" t="str">
            <v/>
          </cell>
          <cell r="F2994" t="str">
            <v/>
          </cell>
          <cell r="G2994" t="str">
            <v>COOPERATIVA INTEGRAL DE TRANSPORTADORES DE URABA</v>
          </cell>
          <cell r="H2994" t="str">
            <v>REIC</v>
          </cell>
          <cell r="I2994" t="str">
            <v>RENTA REGIMEN ESPECIAL</v>
          </cell>
          <cell r="J2994" t="str">
            <v>CL 91 96 A 27 BRR MANZANARES</v>
          </cell>
          <cell r="K2994" t="str">
            <v>17001</v>
          </cell>
          <cell r="L2994" t="str">
            <v>MANIZALES</v>
          </cell>
          <cell r="M2994" t="str">
            <v>3113890923</v>
          </cell>
        </row>
        <row r="2995">
          <cell r="A2995">
            <v>800126506</v>
          </cell>
          <cell r="B2995" t="str">
            <v>9</v>
          </cell>
          <cell r="C2995" t="str">
            <v/>
          </cell>
          <cell r="D2995" t="str">
            <v>NJ</v>
          </cell>
          <cell r="E2995" t="str">
            <v/>
          </cell>
          <cell r="F2995" t="str">
            <v/>
          </cell>
          <cell r="G2995" t="str">
            <v>IMCOMELEC INGENIEROS SAS</v>
          </cell>
          <cell r="H2995" t="str">
            <v>IMVE</v>
          </cell>
          <cell r="I2995" t="str">
            <v>IMPUESTO SOBRE LAS VENTAS</v>
          </cell>
          <cell r="J2995" t="str">
            <v>AUT MEDELLIN KM 7 COSTADO OCCIDENTAL PAR INDUSTRIAL</v>
          </cell>
          <cell r="K2995" t="str">
            <v>25286</v>
          </cell>
          <cell r="L2995" t="str">
            <v>FUNZA</v>
          </cell>
          <cell r="M2995" t="str">
            <v>8234000</v>
          </cell>
        </row>
        <row r="2996">
          <cell r="A2996">
            <v>800128428</v>
          </cell>
          <cell r="B2996" t="str">
            <v>1</v>
          </cell>
          <cell r="C2996" t="str">
            <v>217050370</v>
          </cell>
          <cell r="D2996" t="str">
            <v>NJ</v>
          </cell>
          <cell r="E2996" t="str">
            <v/>
          </cell>
          <cell r="F2996" t="str">
            <v/>
          </cell>
          <cell r="G2996" t="str">
            <v>MUNICIPIO DE URIBE</v>
          </cell>
          <cell r="H2996" t="str">
            <v>COIM</v>
          </cell>
          <cell r="I2996" t="str">
            <v>CONTROL DE IMPUESTOS</v>
          </cell>
          <cell r="J2996" t="str">
            <v>MCP ALCALDÍA DE URIBE</v>
          </cell>
          <cell r="K2996" t="str">
            <v>50370</v>
          </cell>
          <cell r="L2996" t="str">
            <v>URIBE</v>
          </cell>
          <cell r="M2996" t="str">
            <v>31363068332</v>
          </cell>
        </row>
        <row r="2997">
          <cell r="A2997">
            <v>800128709</v>
          </cell>
          <cell r="B2997" t="str">
            <v>6</v>
          </cell>
          <cell r="C2997" t="str">
            <v/>
          </cell>
          <cell r="D2997" t="str">
            <v>NJ</v>
          </cell>
          <cell r="E2997" t="str">
            <v/>
          </cell>
          <cell r="F2997" t="str">
            <v/>
          </cell>
          <cell r="G2997" t="str">
            <v>BASILIO KLONIS Y CIA S.A</v>
          </cell>
          <cell r="H2997" t="str">
            <v>RECO</v>
          </cell>
          <cell r="I2997" t="str">
            <v>REGIMEN COMUN</v>
          </cell>
          <cell r="J2997" t="str">
            <v>AV COLOMBIA 4 OESTE 49 BRR EL PEÑON</v>
          </cell>
          <cell r="K2997" t="str">
            <v>76001</v>
          </cell>
          <cell r="L2997" t="str">
            <v>CALI</v>
          </cell>
          <cell r="M2997" t="str">
            <v>8933019</v>
          </cell>
        </row>
        <row r="2998">
          <cell r="A2998">
            <v>800128835</v>
          </cell>
          <cell r="B2998" t="str">
            <v>6</v>
          </cell>
          <cell r="C2998" t="str">
            <v>822300000</v>
          </cell>
          <cell r="D2998" t="str">
            <v>NJ</v>
          </cell>
          <cell r="E2998" t="str">
            <v/>
          </cell>
          <cell r="F2998" t="str">
            <v/>
          </cell>
          <cell r="G2998" t="str">
            <v>ARCHIVO GENERAL DE LA NACIÓN</v>
          </cell>
          <cell r="H2998" t="str">
            <v>RECO</v>
          </cell>
          <cell r="I2998" t="str">
            <v>REGIMEN COMUN</v>
          </cell>
          <cell r="J2998" t="str">
            <v>CR 6   6   91</v>
          </cell>
          <cell r="K2998" t="str">
            <v>11001</v>
          </cell>
          <cell r="L2998" t="str">
            <v>BOGOTA DC</v>
          </cell>
          <cell r="M2998" t="str">
            <v>3282888</v>
          </cell>
        </row>
        <row r="2999">
          <cell r="A2999">
            <v>800129263</v>
          </cell>
          <cell r="B2999" t="str">
            <v>8</v>
          </cell>
          <cell r="C2999" t="str">
            <v/>
          </cell>
          <cell r="D2999" t="str">
            <v>NJ</v>
          </cell>
          <cell r="E2999" t="str">
            <v/>
          </cell>
          <cell r="F2999" t="str">
            <v/>
          </cell>
          <cell r="G2999" t="str">
            <v>VEHICULOS DE CALDAS S.A. VEHICALDAS S.A.</v>
          </cell>
          <cell r="H2999" t="str">
            <v>IMVE</v>
          </cell>
          <cell r="I2999" t="str">
            <v>IMPUESTO SOBRE LAS VENTAS</v>
          </cell>
          <cell r="J2999" t="str">
            <v xml:space="preserve"> CR 23 34 37 SEC CENTRO</v>
          </cell>
          <cell r="K2999" t="str">
            <v>17001</v>
          </cell>
          <cell r="L2999" t="str">
            <v>MANIZALES</v>
          </cell>
          <cell r="M2999" t="str">
            <v>8846666</v>
          </cell>
        </row>
        <row r="3000">
          <cell r="A3000">
            <v>800130426</v>
          </cell>
          <cell r="B3000" t="str">
            <v>3</v>
          </cell>
          <cell r="C3000" t="str">
            <v/>
          </cell>
          <cell r="D3000" t="str">
            <v>NJ</v>
          </cell>
          <cell r="E3000" t="str">
            <v/>
          </cell>
          <cell r="F3000" t="str">
            <v/>
          </cell>
          <cell r="G3000" t="str">
            <v>G Y J FERRETERIAS S A</v>
          </cell>
          <cell r="H3000" t="str">
            <v>GRAU</v>
          </cell>
          <cell r="I3000" t="str">
            <v>GRAN CONTRIBUYENTE AUTORRETENEDO</v>
          </cell>
          <cell r="J3000" t="str">
            <v>CR 65 B 12 93</v>
          </cell>
          <cell r="K3000" t="str">
            <v>11001</v>
          </cell>
          <cell r="L3000" t="str">
            <v>BOGOTA DC</v>
          </cell>
          <cell r="M3000" t="str">
            <v>2600783</v>
          </cell>
        </row>
        <row r="3001">
          <cell r="A3001">
            <v>800130742</v>
          </cell>
          <cell r="B3001" t="str">
            <v>6</v>
          </cell>
          <cell r="C3001" t="str">
            <v/>
          </cell>
          <cell r="D3001" t="str">
            <v>NJ</v>
          </cell>
          <cell r="E3001" t="str">
            <v/>
          </cell>
          <cell r="F3001" t="str">
            <v/>
          </cell>
          <cell r="G3001" t="str">
            <v>CENTRO COMERCIAL NOVACENTRO - PROPIEDAD HORIZONTAL</v>
          </cell>
          <cell r="H3001" t="str">
            <v>RECO</v>
          </cell>
          <cell r="I3001" t="str">
            <v>REGIMEN COMUN</v>
          </cell>
          <cell r="J3001" t="str">
            <v>calle 19 nO 5-48lc 309 cc NOVACENTRO</v>
          </cell>
          <cell r="K3001" t="str">
            <v>17001</v>
          </cell>
          <cell r="L3001" t="str">
            <v>MANIZALES</v>
          </cell>
          <cell r="M3001" t="str">
            <v>3346333</v>
          </cell>
        </row>
        <row r="3002">
          <cell r="A3002">
            <v>800130904</v>
          </cell>
          <cell r="B3002" t="str">
            <v>2</v>
          </cell>
          <cell r="C3002" t="str">
            <v/>
          </cell>
          <cell r="D3002" t="str">
            <v>NJ</v>
          </cell>
          <cell r="E3002" t="str">
            <v/>
          </cell>
          <cell r="F3002" t="str">
            <v/>
          </cell>
          <cell r="G3002" t="str">
            <v>FERNANDO BOHÓRQUEZ Y CIA SAS</v>
          </cell>
          <cell r="H3002" t="str">
            <v>IMVE</v>
          </cell>
          <cell r="I3002" t="str">
            <v>IMPUESTO SOBRE LAS VENTAS</v>
          </cell>
          <cell r="J3002" t="str">
            <v>AV NORTE 50 39 BRR LA GRANJA</v>
          </cell>
          <cell r="K3002" t="str">
            <v>15001</v>
          </cell>
          <cell r="L3002" t="str">
            <v>TUNJA</v>
          </cell>
          <cell r="M3002" t="str">
            <v>7407810</v>
          </cell>
        </row>
        <row r="3003">
          <cell r="A3003">
            <v>800130907</v>
          </cell>
          <cell r="B3003" t="str">
            <v>4</v>
          </cell>
          <cell r="C3003" t="str">
            <v/>
          </cell>
          <cell r="D3003" t="str">
            <v>NJ</v>
          </cell>
          <cell r="E3003" t="str">
            <v/>
          </cell>
          <cell r="F3003" t="str">
            <v/>
          </cell>
          <cell r="G3003" t="str">
            <v xml:space="preserve">SALUD TOTAL S.A ENTIDAD PROMOTORA DE SALUD                  </v>
          </cell>
          <cell r="H3003" t="str">
            <v>GRCO</v>
          </cell>
          <cell r="I3003" t="str">
            <v>GRAN CONTRIBUYENTE</v>
          </cell>
          <cell r="J3003" t="str">
            <v xml:space="preserve">CLL 65 N24 B 02 FAX8875682             </v>
          </cell>
          <cell r="K3003" t="str">
            <v>17001</v>
          </cell>
          <cell r="L3003" t="str">
            <v>MANIZALES</v>
          </cell>
          <cell r="M3003" t="str">
            <v>8863399</v>
          </cell>
        </row>
        <row r="3004">
          <cell r="A3004">
            <v>800131648</v>
          </cell>
          <cell r="B3004" t="str">
            <v>6</v>
          </cell>
          <cell r="C3004" t="str">
            <v>820200000</v>
          </cell>
          <cell r="D3004" t="str">
            <v>NJ</v>
          </cell>
          <cell r="E3004" t="str">
            <v/>
          </cell>
          <cell r="F3004" t="str">
            <v/>
          </cell>
          <cell r="G3004" t="str">
            <v>FONDO DE TECNOLOGIAS DE LA INFORMACIÓN Y LAS COMUNICACIONES</v>
          </cell>
          <cell r="H3004" t="str">
            <v>REIC</v>
          </cell>
          <cell r="I3004" t="str">
            <v>RENTA REGIMEN ESPECIAL</v>
          </cell>
          <cell r="J3004" t="str">
            <v>ED MURILLO TORO P 3 CL 12 Y 13 CR 7 Y 8</v>
          </cell>
          <cell r="K3004" t="str">
            <v>11001</v>
          </cell>
          <cell r="L3004" t="str">
            <v>BOGOTA DC</v>
          </cell>
          <cell r="M3004" t="str">
            <v>3443460</v>
          </cell>
        </row>
        <row r="3005">
          <cell r="A3005">
            <v>800134731</v>
          </cell>
          <cell r="B3005" t="str">
            <v>3</v>
          </cell>
          <cell r="C3005" t="str">
            <v/>
          </cell>
          <cell r="D3005" t="str">
            <v>NJ</v>
          </cell>
          <cell r="E3005" t="str">
            <v/>
          </cell>
          <cell r="F3005" t="str">
            <v/>
          </cell>
          <cell r="G3005" t="str">
            <v>INGENIEROS DE LUBRICACION S.A.S.</v>
          </cell>
          <cell r="H3005" t="str">
            <v>IMVE</v>
          </cell>
          <cell r="I3005" t="str">
            <v>IMPUESTO SOBRE LAS VENTAS</v>
          </cell>
          <cell r="J3005" t="str">
            <v>CL 5 SUR 32 283 IN 701 TO 1</v>
          </cell>
          <cell r="K3005" t="str">
            <v>05002</v>
          </cell>
          <cell r="L3005" t="str">
            <v>MEDELLIN</v>
          </cell>
          <cell r="M3005" t="str">
            <v>4443877</v>
          </cell>
        </row>
        <row r="3006">
          <cell r="A3006">
            <v>800134773</v>
          </cell>
          <cell r="B3006" t="str">
            <v>2</v>
          </cell>
          <cell r="C3006" t="str">
            <v/>
          </cell>
          <cell r="D3006" t="str">
            <v>NJ</v>
          </cell>
          <cell r="E3006" t="str">
            <v/>
          </cell>
          <cell r="F3006" t="str">
            <v/>
          </cell>
          <cell r="G3006" t="str">
            <v>SOLINOFF CORPORATION S.AA</v>
          </cell>
          <cell r="H3006" t="str">
            <v>RECO</v>
          </cell>
          <cell r="I3006" t="str">
            <v>REGIMEN COMUN</v>
          </cell>
          <cell r="J3006" t="str">
            <v>KM3 VIA FUNZA-SIBERIA MZ BG6 PAR INDUSTRIAL GALICIA</v>
          </cell>
          <cell r="K3006" t="str">
            <v>25286</v>
          </cell>
          <cell r="L3006" t="str">
            <v>FUNZA</v>
          </cell>
          <cell r="M3006" t="str">
            <v>4463822</v>
          </cell>
        </row>
        <row r="3007">
          <cell r="A3007">
            <v>800135051</v>
          </cell>
          <cell r="B3007" t="str">
            <v>8</v>
          </cell>
          <cell r="C3007" t="str">
            <v/>
          </cell>
          <cell r="D3007" t="str">
            <v>NJ</v>
          </cell>
          <cell r="E3007" t="str">
            <v/>
          </cell>
          <cell r="F3007" t="str">
            <v/>
          </cell>
          <cell r="G3007" t="str">
            <v>HOTEL ALAMEDA DE LA 10 S.A.S</v>
          </cell>
          <cell r="H3007" t="str">
            <v>RECO</v>
          </cell>
          <cell r="I3007" t="str">
            <v>REGIMEN COMUN</v>
          </cell>
          <cell r="J3007" t="str">
            <v>CL 10 43 F 18</v>
          </cell>
          <cell r="K3007" t="str">
            <v>05001</v>
          </cell>
          <cell r="L3007" t="str">
            <v>MEDELLÍN</v>
          </cell>
          <cell r="M3007" t="str">
            <v>3541590</v>
          </cell>
        </row>
        <row r="3008">
          <cell r="A3008">
            <v>800135124</v>
          </cell>
          <cell r="B3008" t="str">
            <v>7</v>
          </cell>
          <cell r="C3008" t="str">
            <v/>
          </cell>
          <cell r="D3008" t="str">
            <v>NJ</v>
          </cell>
          <cell r="E3008" t="str">
            <v/>
          </cell>
          <cell r="F3008" t="str">
            <v/>
          </cell>
          <cell r="G3008" t="str">
            <v xml:space="preserve">FUNDACION ERIGAIE                                           </v>
          </cell>
          <cell r="H3008" t="str">
            <v>IMVE</v>
          </cell>
          <cell r="I3008" t="str">
            <v>IMPUESTO SOBRE LAS VENTAS</v>
          </cell>
          <cell r="J3008" t="str">
            <v>CL 10  3  76</v>
          </cell>
          <cell r="K3008" t="str">
            <v>11001</v>
          </cell>
          <cell r="L3008" t="str">
            <v>BOGOTA DC</v>
          </cell>
          <cell r="M3008" t="str">
            <v>2558692</v>
          </cell>
        </row>
        <row r="3009">
          <cell r="A3009">
            <v>800136310</v>
          </cell>
          <cell r="B3009" t="str">
            <v>5</v>
          </cell>
          <cell r="C3009" t="str">
            <v/>
          </cell>
          <cell r="D3009" t="str">
            <v>NJ</v>
          </cell>
          <cell r="E3009" t="str">
            <v/>
          </cell>
          <cell r="F3009" t="str">
            <v/>
          </cell>
          <cell r="G3009" t="str">
            <v>INVERTRAC S.A.</v>
          </cell>
          <cell r="H3009" t="str">
            <v>GRCO</v>
          </cell>
          <cell r="I3009" t="str">
            <v>GRAN CONTRIBUYENTE</v>
          </cell>
          <cell r="J3009" t="str">
            <v>AV CIUDAD DE CALI 10 A 42 I N 6 BG 3</v>
          </cell>
          <cell r="K3009" t="str">
            <v>03</v>
          </cell>
          <cell r="L3009" t="str">
            <v>BOGOTA</v>
          </cell>
          <cell r="M3009" t="str">
            <v>3187288064</v>
          </cell>
        </row>
        <row r="3010">
          <cell r="A3010">
            <v>800136458</v>
          </cell>
          <cell r="B3010" t="str">
            <v>6</v>
          </cell>
          <cell r="C3010" t="str">
            <v>212550325</v>
          </cell>
          <cell r="D3010" t="str">
            <v>NJ</v>
          </cell>
          <cell r="E3010" t="str">
            <v/>
          </cell>
          <cell r="F3010" t="str">
            <v/>
          </cell>
          <cell r="G3010" t="str">
            <v>MUNICIPIO DE MAPIRIPAN</v>
          </cell>
          <cell r="H3010" t="str">
            <v>COIM</v>
          </cell>
          <cell r="I3010" t="str">
            <v>CONTROL DE IMPUESTOS</v>
          </cell>
          <cell r="J3010" t="str">
            <v>CL 5 21 28 BRR CENTRO</v>
          </cell>
          <cell r="K3010" t="str">
            <v>50325</v>
          </cell>
          <cell r="L3010" t="str">
            <v>MAPIRIPÁN</v>
          </cell>
          <cell r="M3010" t="str">
            <v>3212659922</v>
          </cell>
        </row>
        <row r="3011">
          <cell r="A3011">
            <v>800136505</v>
          </cell>
          <cell r="B3011" t="str">
            <v>4</v>
          </cell>
          <cell r="C3011" t="str">
            <v/>
          </cell>
          <cell r="D3011" t="str">
            <v>NJ</v>
          </cell>
          <cell r="E3011" t="str">
            <v/>
          </cell>
          <cell r="F3011" t="str">
            <v/>
          </cell>
          <cell r="G3011" t="str">
            <v>DATECSA S.A.</v>
          </cell>
          <cell r="H3011" t="str">
            <v>GRAU</v>
          </cell>
          <cell r="I3011" t="str">
            <v>GRAN CONTRIBUYENTE AUTORRETENEDO</v>
          </cell>
          <cell r="J3011" t="str">
            <v xml:space="preserve"> CL 15 29A 11  MD  C  PAR LOGISTICO SERVICOMEX   KM 5  AUT CALI-</v>
          </cell>
          <cell r="K3011" t="str">
            <v>76892</v>
          </cell>
          <cell r="L3011" t="str">
            <v>YUMBO</v>
          </cell>
          <cell r="M3011" t="str">
            <v>8928222</v>
          </cell>
        </row>
        <row r="3012">
          <cell r="A3012">
            <v>800136835</v>
          </cell>
          <cell r="B3012" t="str">
            <v>1</v>
          </cell>
          <cell r="C3012" t="str">
            <v/>
          </cell>
          <cell r="D3012" t="str">
            <v>NJ</v>
          </cell>
          <cell r="E3012" t="str">
            <v/>
          </cell>
          <cell r="F3012" t="str">
            <v/>
          </cell>
          <cell r="G3012" t="str">
            <v>LEVEL 3 COLOMBIA S.A.</v>
          </cell>
          <cell r="H3012" t="str">
            <v>GRAU</v>
          </cell>
          <cell r="I3012" t="str">
            <v>GRAN CONTRIBUYENTE AUTORRETENEDO</v>
          </cell>
          <cell r="J3012" t="str">
            <v>CC SANTA FE TO EMPRESARIAL CL 185   45 -03 P 4-5</v>
          </cell>
          <cell r="K3012" t="str">
            <v>11001</v>
          </cell>
          <cell r="L3012" t="str">
            <v>BOGOTA DC</v>
          </cell>
          <cell r="M3012" t="str">
            <v>6119000</v>
          </cell>
        </row>
        <row r="3013">
          <cell r="A3013">
            <v>800137460</v>
          </cell>
          <cell r="B3013" t="str">
            <v>6</v>
          </cell>
          <cell r="C3013" t="str">
            <v/>
          </cell>
          <cell r="D3013" t="str">
            <v>NJ</v>
          </cell>
          <cell r="E3013" t="str">
            <v/>
          </cell>
          <cell r="F3013" t="str">
            <v/>
          </cell>
          <cell r="G3013" t="str">
            <v>ESPECTRUM LTDA</v>
          </cell>
          <cell r="H3013" t="str">
            <v>IMVE</v>
          </cell>
          <cell r="I3013" t="str">
            <v>IMPUESTO SOBRE LAS VENTAS</v>
          </cell>
          <cell r="J3013" t="str">
            <v>AV TRV 54. NO. 30 -403 CONJUNTO SANTILLANA DE LOS PATIOS OF. 50</v>
          </cell>
          <cell r="K3013" t="str">
            <v>13001</v>
          </cell>
          <cell r="L3013" t="str">
            <v>CARTAGENA</v>
          </cell>
          <cell r="M3013" t="str">
            <v>3157436200</v>
          </cell>
        </row>
        <row r="3014">
          <cell r="A3014">
            <v>800139778</v>
          </cell>
          <cell r="B3014" t="str">
            <v>1</v>
          </cell>
          <cell r="C3014" t="str">
            <v/>
          </cell>
          <cell r="D3014" t="str">
            <v>NJ</v>
          </cell>
          <cell r="E3014" t="str">
            <v/>
          </cell>
          <cell r="F3014" t="str">
            <v/>
          </cell>
          <cell r="G3014" t="str">
            <v>CORPORACION CONCURSO NACIONAL DE BANDAS MUSICALES DE PAIPA/CORPO</v>
          </cell>
          <cell r="H3014" t="str">
            <v>IMVE</v>
          </cell>
          <cell r="I3014" t="str">
            <v>IMPUESTO SOBRE LAS VENTAS</v>
          </cell>
          <cell r="J3014" t="str">
            <v>ED CONCHA ACUSTICA</v>
          </cell>
          <cell r="K3014" t="str">
            <v>15516</v>
          </cell>
          <cell r="L3014" t="str">
            <v>PAIPA</v>
          </cell>
          <cell r="M3014" t="str">
            <v>7850390</v>
          </cell>
        </row>
        <row r="3015">
          <cell r="A3015">
            <v>800140887</v>
          </cell>
          <cell r="B3015" t="str">
            <v>8</v>
          </cell>
          <cell r="C3015" t="str">
            <v/>
          </cell>
          <cell r="D3015" t="str">
            <v>NJ</v>
          </cell>
          <cell r="E3015" t="str">
            <v/>
          </cell>
          <cell r="F3015" t="str">
            <v/>
          </cell>
          <cell r="G3015" t="str">
            <v>FIDUCIARIA CORFICOLOMBIA</v>
          </cell>
          <cell r="H3015" t="str">
            <v>GRCO</v>
          </cell>
          <cell r="I3015" t="str">
            <v>GRAN CONTRIBUYENTE</v>
          </cell>
          <cell r="J3015" t="str">
            <v>PRJ BETANIA NOMBRE VIA MCP TULUA</v>
          </cell>
          <cell r="K3015" t="str">
            <v>17001</v>
          </cell>
          <cell r="L3015" t="str">
            <v>MANIZALES</v>
          </cell>
          <cell r="M3015" t="str">
            <v>2238660</v>
          </cell>
        </row>
        <row r="3016">
          <cell r="A3016">
            <v>800140949</v>
          </cell>
          <cell r="B3016" t="str">
            <v>6</v>
          </cell>
          <cell r="C3016" t="str">
            <v/>
          </cell>
          <cell r="D3016" t="str">
            <v>NJ</v>
          </cell>
          <cell r="E3016" t="str">
            <v/>
          </cell>
          <cell r="F3016" t="str">
            <v/>
          </cell>
          <cell r="G3016" t="str">
            <v xml:space="preserve">CAFESALUD MEDICINA PREPAGADA S A                            </v>
          </cell>
          <cell r="H3016" t="str">
            <v>RECO</v>
          </cell>
          <cell r="I3016" t="str">
            <v>REGIMEN COMUN</v>
          </cell>
          <cell r="J3016" t="str">
            <v xml:space="preserve">CR 23 N46 91 FAX8810114               </v>
          </cell>
          <cell r="K3016" t="str">
            <v>17001</v>
          </cell>
          <cell r="L3016" t="str">
            <v>MANIZALES</v>
          </cell>
          <cell r="M3016" t="str">
            <v>8811596</v>
          </cell>
        </row>
        <row r="3017">
          <cell r="A3017">
            <v>800140973</v>
          </cell>
          <cell r="B3017" t="str">
            <v>3</v>
          </cell>
          <cell r="C3017" t="str">
            <v/>
          </cell>
          <cell r="D3017" t="str">
            <v>NJ</v>
          </cell>
          <cell r="E3017" t="str">
            <v/>
          </cell>
          <cell r="F3017" t="str">
            <v/>
          </cell>
          <cell r="G3017" t="str">
            <v>CORPORACION CARIBA</v>
          </cell>
          <cell r="H3017" t="str">
            <v>RECO</v>
          </cell>
          <cell r="I3017" t="str">
            <v>REGIMEN COMUN</v>
          </cell>
          <cell r="J3017" t="str">
            <v>CR 25 62 70 COLISEO MENOR RAMON MARIN VARGAS</v>
          </cell>
          <cell r="K3017" t="str">
            <v>17001</v>
          </cell>
          <cell r="L3017" t="str">
            <v>MANIZALES</v>
          </cell>
          <cell r="M3017" t="str">
            <v>8876416</v>
          </cell>
        </row>
        <row r="3018">
          <cell r="A3018">
            <v>800141021</v>
          </cell>
          <cell r="B3018" t="str">
            <v>1</v>
          </cell>
          <cell r="C3018" t="str">
            <v/>
          </cell>
          <cell r="D3018" t="str">
            <v>NJ</v>
          </cell>
          <cell r="E3018" t="str">
            <v/>
          </cell>
          <cell r="F3018" t="str">
            <v/>
          </cell>
          <cell r="G3018" t="str">
            <v>ITAU ASSET MANAGEMENT  COLOMBIA S.A. SOCIEDAD FIDUCIARIA</v>
          </cell>
          <cell r="H3018" t="str">
            <v>GRAU</v>
          </cell>
          <cell r="I3018" t="str">
            <v>GRAN CONTRIBUYENTE AUTORRETENEDO</v>
          </cell>
          <cell r="J3018" t="str">
            <v>CL 22 N 6 A 24 OF 201</v>
          </cell>
          <cell r="K3018" t="str">
            <v>76001</v>
          </cell>
          <cell r="L3018" t="str">
            <v>CALI</v>
          </cell>
          <cell r="M3018" t="str">
            <v>4861818 EXT 3243</v>
          </cell>
        </row>
        <row r="3019">
          <cell r="A3019">
            <v>800141235</v>
          </cell>
          <cell r="B3019" t="str">
            <v>0</v>
          </cell>
          <cell r="C3019" t="str">
            <v/>
          </cell>
          <cell r="D3019" t="str">
            <v>NJ</v>
          </cell>
          <cell r="E3019" t="str">
            <v/>
          </cell>
          <cell r="F3019" t="str">
            <v/>
          </cell>
          <cell r="G3019" t="str">
            <v>FIDUCIARIA POPULAR S.A</v>
          </cell>
          <cell r="H3019" t="str">
            <v>GRAU</v>
          </cell>
          <cell r="I3019" t="str">
            <v>GRAN CONTRIBUYENTE AUTORRETENEDO</v>
          </cell>
          <cell r="J3019" t="str">
            <v>CR 50 50 14 P 16</v>
          </cell>
          <cell r="K3019" t="str">
            <v>05001</v>
          </cell>
          <cell r="L3019" t="str">
            <v>MEDELLÍN</v>
          </cell>
          <cell r="M3019" t="str">
            <v>5135533</v>
          </cell>
        </row>
        <row r="3020">
          <cell r="A3020">
            <v>800141903</v>
          </cell>
          <cell r="B3020" t="str">
            <v>2</v>
          </cell>
          <cell r="C3020" t="str">
            <v/>
          </cell>
          <cell r="D3020" t="str">
            <v>NJ</v>
          </cell>
          <cell r="E3020" t="str">
            <v/>
          </cell>
          <cell r="F3020" t="str">
            <v/>
          </cell>
          <cell r="G3020" t="str">
            <v>QUIMICOS INDUSTRIALES ASOCIADOS S.A.S</v>
          </cell>
          <cell r="H3020" t="str">
            <v>IMVE</v>
          </cell>
          <cell r="I3020" t="str">
            <v>IMPUESTO SOBRE LAS VENTAS</v>
          </cell>
          <cell r="J3020" t="str">
            <v>KM 2 VIA PAIPA DUITAMA</v>
          </cell>
          <cell r="K3020" t="str">
            <v>15516</v>
          </cell>
          <cell r="L3020" t="str">
            <v>PAIPA</v>
          </cell>
          <cell r="M3020" t="str">
            <v>7850148</v>
          </cell>
        </row>
        <row r="3021">
          <cell r="A3021">
            <v>800142383</v>
          </cell>
          <cell r="B3021" t="str">
            <v>7</v>
          </cell>
          <cell r="C3021" t="str">
            <v/>
          </cell>
          <cell r="D3021" t="str">
            <v>NJ</v>
          </cell>
          <cell r="E3021" t="str">
            <v/>
          </cell>
          <cell r="F3021" t="str">
            <v/>
          </cell>
          <cell r="G3021" t="str">
            <v>FIDUCIARIA BOGOTA S.A.</v>
          </cell>
          <cell r="H3021" t="str">
            <v>GRCO</v>
          </cell>
          <cell r="I3021" t="str">
            <v>GRAN CONTRIBUYENTE</v>
          </cell>
          <cell r="J3021" t="str">
            <v>CL 67   7  37</v>
          </cell>
          <cell r="K3021" t="str">
            <v>11001</v>
          </cell>
          <cell r="L3021" t="str">
            <v>BOGOTA DC</v>
          </cell>
          <cell r="M3021" t="str">
            <v>3485400</v>
          </cell>
        </row>
        <row r="3022">
          <cell r="A3022">
            <v>800143157</v>
          </cell>
          <cell r="B3022" t="str">
            <v>3</v>
          </cell>
          <cell r="C3022" t="str">
            <v/>
          </cell>
          <cell r="D3022" t="str">
            <v>NJ</v>
          </cell>
          <cell r="E3022" t="str">
            <v/>
          </cell>
          <cell r="F3022" t="str">
            <v/>
          </cell>
          <cell r="G3022" t="str">
            <v>FIDUCIARIA DE OCCIDENTE S.A. FIDUOCCIDENTE S.A.</v>
          </cell>
          <cell r="H3022" t="str">
            <v>GRAU</v>
          </cell>
          <cell r="I3022" t="str">
            <v>GRAN CONTRIBUYENTE AUTORRETENEDO</v>
          </cell>
          <cell r="J3022" t="str">
            <v>CR 13 26 A 47 P 9</v>
          </cell>
          <cell r="K3022" t="str">
            <v>03</v>
          </cell>
          <cell r="L3022" t="str">
            <v>BOGOTA</v>
          </cell>
          <cell r="M3022" t="str">
            <v>2973030</v>
          </cell>
        </row>
        <row r="3023">
          <cell r="A3023">
            <v>800144164</v>
          </cell>
          <cell r="B3023" t="str">
            <v>1</v>
          </cell>
          <cell r="C3023" t="str">
            <v/>
          </cell>
          <cell r="D3023" t="str">
            <v>NJ</v>
          </cell>
          <cell r="E3023" t="str">
            <v/>
          </cell>
          <cell r="F3023" t="str">
            <v/>
          </cell>
          <cell r="G3023" t="str">
            <v>FIDUCIARIA CAFETERA FIDUCAFE S.A.</v>
          </cell>
          <cell r="H3023" t="str">
            <v>GRAU</v>
          </cell>
          <cell r="I3023" t="str">
            <v>GRAN CONTRIBUYENTE AUTORRETENEDO</v>
          </cell>
          <cell r="J3023" t="str">
            <v>AV EL DORADO   68 B 85</v>
          </cell>
          <cell r="K3023" t="str">
            <v>11001</v>
          </cell>
          <cell r="L3023" t="str">
            <v>BOGOTA DC</v>
          </cell>
          <cell r="M3023" t="str">
            <v>3264210</v>
          </cell>
        </row>
        <row r="3024">
          <cell r="A3024">
            <v>800145302</v>
          </cell>
          <cell r="B3024" t="str">
            <v>4</v>
          </cell>
          <cell r="C3024" t="str">
            <v/>
          </cell>
          <cell r="D3024" t="str">
            <v>NJ</v>
          </cell>
          <cell r="E3024" t="str">
            <v/>
          </cell>
          <cell r="F3024" t="str">
            <v/>
          </cell>
          <cell r="G3024" t="str">
            <v>IMPORTADORA SABYS GARCIA Y CIA  LTDA</v>
          </cell>
          <cell r="H3024" t="str">
            <v>RECO</v>
          </cell>
          <cell r="I3024" t="str">
            <v>REGIMEN COMUN</v>
          </cell>
          <cell r="J3024" t="str">
            <v>CR 74  82 23 BRR PARAISO</v>
          </cell>
          <cell r="K3024" t="str">
            <v>11001</v>
          </cell>
          <cell r="L3024" t="str">
            <v>BOGOTA DC</v>
          </cell>
          <cell r="M3024" t="str">
            <v>3404833</v>
          </cell>
        </row>
        <row r="3025">
          <cell r="A3025">
            <v>800145904</v>
          </cell>
          <cell r="B3025" t="str">
            <v>8</v>
          </cell>
          <cell r="C3025" t="str">
            <v/>
          </cell>
          <cell r="D3025" t="str">
            <v>NJ</v>
          </cell>
          <cell r="E3025" t="str">
            <v/>
          </cell>
          <cell r="F3025" t="str">
            <v/>
          </cell>
          <cell r="G3025" t="str">
            <v xml:space="preserve">COOPROVAL                                                   </v>
          </cell>
          <cell r="H3025" t="str">
            <v>RECO</v>
          </cell>
          <cell r="I3025" t="str">
            <v>REGIMEN COMUN</v>
          </cell>
          <cell r="J3025" t="str">
            <v>KM 6 VIA PAZ DE RIO A SOCHA</v>
          </cell>
          <cell r="K3025" t="str">
            <v>15757</v>
          </cell>
          <cell r="L3025" t="str">
            <v>SOCHA</v>
          </cell>
          <cell r="M3025" t="str">
            <v>3107852453</v>
          </cell>
        </row>
        <row r="3026">
          <cell r="A3026">
            <v>800146455</v>
          </cell>
          <cell r="B3026" t="str">
            <v>7</v>
          </cell>
          <cell r="C3026" t="str">
            <v/>
          </cell>
          <cell r="D3026" t="str">
            <v>NJ</v>
          </cell>
          <cell r="E3026" t="str">
            <v/>
          </cell>
          <cell r="F3026" t="str">
            <v/>
          </cell>
          <cell r="G3026" t="str">
            <v>INSTITUCION EDUCATIVA ESCUELA NORMAL SUPERIOR SAGRADO CORAZON</v>
          </cell>
          <cell r="H3026" t="str">
            <v>REIC</v>
          </cell>
          <cell r="I3026" t="str">
            <v>RENTA REGIMEN ESPECIAL</v>
          </cell>
          <cell r="J3026" t="str">
            <v>CL 11 7  03</v>
          </cell>
          <cell r="K3026" t="str">
            <v>27615</v>
          </cell>
          <cell r="L3026" t="str">
            <v>RIOSUCIO</v>
          </cell>
          <cell r="M3026" t="str">
            <v>3155408653</v>
          </cell>
        </row>
        <row r="3027">
          <cell r="A3027">
            <v>800147348</v>
          </cell>
          <cell r="B3027" t="str">
            <v>1</v>
          </cell>
          <cell r="C3027" t="str">
            <v/>
          </cell>
          <cell r="D3027" t="str">
            <v>NJ</v>
          </cell>
          <cell r="E3027" t="str">
            <v/>
          </cell>
          <cell r="F3027" t="str">
            <v/>
          </cell>
          <cell r="G3027" t="str">
            <v>COMITE DEPARTAMENTAQL DE GANADEROS</v>
          </cell>
          <cell r="H3027" t="str">
            <v>RECO</v>
          </cell>
          <cell r="I3027" t="str">
            <v>REGIMEN COMUN</v>
          </cell>
          <cell r="J3027" t="str">
            <v>CARRERA 22 No 67A-196</v>
          </cell>
          <cell r="K3027" t="str">
            <v>17001</v>
          </cell>
          <cell r="L3027" t="str">
            <v>MANIZALES</v>
          </cell>
          <cell r="M3027" t="str">
            <v>8865772</v>
          </cell>
        </row>
        <row r="3028">
          <cell r="A3028">
            <v>800148514</v>
          </cell>
          <cell r="B3028" t="str">
            <v>2</v>
          </cell>
          <cell r="C3028" t="str">
            <v/>
          </cell>
          <cell r="D3028" t="str">
            <v>NJ</v>
          </cell>
          <cell r="E3028" t="str">
            <v/>
          </cell>
          <cell r="F3028" t="str">
            <v/>
          </cell>
          <cell r="G3028" t="str">
            <v xml:space="preserve">SKANDIA PENSIONES                                           </v>
          </cell>
          <cell r="H3028" t="str">
            <v>GRCO</v>
          </cell>
          <cell r="I3028" t="str">
            <v>GRAN CONTRIBUYENTE</v>
          </cell>
          <cell r="J3028" t="str">
            <v xml:space="preserve">CR 23A  N 74  71                   </v>
          </cell>
          <cell r="K3028" t="str">
            <v>17001</v>
          </cell>
          <cell r="L3028" t="str">
            <v>MANIZALES</v>
          </cell>
          <cell r="M3028" t="str">
            <v>8872660</v>
          </cell>
        </row>
        <row r="3029">
          <cell r="A3029">
            <v>800149496</v>
          </cell>
          <cell r="B3029" t="str">
            <v>2</v>
          </cell>
          <cell r="C3029" t="str">
            <v/>
          </cell>
          <cell r="D3029" t="str">
            <v>NJ</v>
          </cell>
          <cell r="E3029" t="str">
            <v/>
          </cell>
          <cell r="F3029" t="str">
            <v/>
          </cell>
          <cell r="G3029" t="str">
            <v>COLFONDOS</v>
          </cell>
          <cell r="H3029" t="str">
            <v>GRCO</v>
          </cell>
          <cell r="I3029" t="str">
            <v>GRAN CONTRIBUYENTE</v>
          </cell>
          <cell r="J3029" t="str">
            <v>CL 67   07   94</v>
          </cell>
          <cell r="K3029" t="str">
            <v>11001</v>
          </cell>
          <cell r="L3029" t="str">
            <v>BOGOTA DC</v>
          </cell>
          <cell r="M3029" t="str">
            <v>3765155</v>
          </cell>
        </row>
        <row r="3030">
          <cell r="A3030">
            <v>800149537</v>
          </cell>
          <cell r="B3030" t="str">
            <v>6</v>
          </cell>
          <cell r="C3030" t="str">
            <v/>
          </cell>
          <cell r="D3030" t="str">
            <v>NJ</v>
          </cell>
          <cell r="E3030" t="str">
            <v/>
          </cell>
          <cell r="F3030" t="str">
            <v/>
          </cell>
          <cell r="G3030" t="str">
            <v>PROMOTORA DE ENERGIA DE CARTAGENA &amp; CIA SCA E.S.P</v>
          </cell>
          <cell r="H3030" t="str">
            <v>GRCO</v>
          </cell>
          <cell r="I3030" t="str">
            <v>GRAN CONTRIBUYENTE</v>
          </cell>
          <cell r="J3030" t="str">
            <v>KM 5 MAMONAL</v>
          </cell>
          <cell r="K3030" t="str">
            <v>13001</v>
          </cell>
          <cell r="L3030" t="str">
            <v>CARTAGENA</v>
          </cell>
          <cell r="M3030" t="str">
            <v>6686276</v>
          </cell>
        </row>
        <row r="3031">
          <cell r="A3031">
            <v>800149695</v>
          </cell>
          <cell r="B3031" t="str">
            <v>1</v>
          </cell>
          <cell r="C3031" t="str">
            <v/>
          </cell>
          <cell r="D3031" t="str">
            <v>NJ</v>
          </cell>
          <cell r="E3031" t="str">
            <v/>
          </cell>
          <cell r="F3031" t="str">
            <v/>
          </cell>
          <cell r="G3031" t="str">
            <v>DROGUERIAS Y FARMACIAS CRUZ VERDE SAS</v>
          </cell>
          <cell r="H3031" t="str">
            <v>GRCO</v>
          </cell>
          <cell r="I3031" t="str">
            <v>GRAN CONTRIBUYENTE</v>
          </cell>
          <cell r="J3031" t="str">
            <v>CL 97 13 14</v>
          </cell>
          <cell r="K3031" t="str">
            <v>11001</v>
          </cell>
          <cell r="L3031" t="str">
            <v>BOGOTA DC</v>
          </cell>
          <cell r="M3031" t="str">
            <v>5111022</v>
          </cell>
        </row>
        <row r="3032">
          <cell r="A3032">
            <v>800149871</v>
          </cell>
          <cell r="B3032" t="str">
            <v>1</v>
          </cell>
          <cell r="C3032" t="str">
            <v/>
          </cell>
          <cell r="D3032" t="str">
            <v>NJ</v>
          </cell>
          <cell r="E3032" t="str">
            <v/>
          </cell>
          <cell r="F3032" t="str">
            <v/>
          </cell>
          <cell r="G3032" t="str">
            <v>ELECMER SOCIEDAD POR ACCIONES SIMPLIFICADA</v>
          </cell>
          <cell r="H3032" t="str">
            <v>IMVE</v>
          </cell>
          <cell r="I3032" t="str">
            <v>IMPUESTO SOBRE LAS VENTAS</v>
          </cell>
          <cell r="J3032" t="str">
            <v>CL 11 A  28  66</v>
          </cell>
          <cell r="K3032" t="str">
            <v>15238</v>
          </cell>
          <cell r="L3032" t="str">
            <v>DUITAMA</v>
          </cell>
          <cell r="M3032" t="str">
            <v>7602468</v>
          </cell>
        </row>
        <row r="3033">
          <cell r="A3033">
            <v>800150073</v>
          </cell>
          <cell r="B3033" t="str">
            <v>2</v>
          </cell>
          <cell r="C3033" t="str">
            <v/>
          </cell>
          <cell r="D3033" t="str">
            <v>NJ</v>
          </cell>
          <cell r="E3033" t="str">
            <v/>
          </cell>
          <cell r="F3033" t="str">
            <v/>
          </cell>
          <cell r="G3033" t="str">
            <v>COMERCIAL LEOSAN S.A.S</v>
          </cell>
          <cell r="H3033" t="str">
            <v>RECO</v>
          </cell>
          <cell r="I3033" t="str">
            <v>REGIMEN COMUN</v>
          </cell>
          <cell r="J3033" t="str">
            <v>CL 12 BIS   71 F 46 BRR SAN JOSE DE BAVARIA OCC</v>
          </cell>
          <cell r="K3033" t="str">
            <v>11001</v>
          </cell>
          <cell r="L3033" t="str">
            <v>BOGOTA DC</v>
          </cell>
          <cell r="M3033" t="str">
            <v>4245558</v>
          </cell>
        </row>
        <row r="3034">
          <cell r="A3034">
            <v>800150280</v>
          </cell>
          <cell r="B3034" t="str">
            <v>0</v>
          </cell>
          <cell r="C3034" t="str">
            <v/>
          </cell>
          <cell r="D3034" t="str">
            <v>NJ</v>
          </cell>
          <cell r="E3034" t="str">
            <v/>
          </cell>
          <cell r="F3034" t="str">
            <v/>
          </cell>
          <cell r="G3034" t="str">
            <v>FIDUCIARIA BANCOLOMBIA  SA SOCIEDAD  FIDUCIARIA</v>
          </cell>
          <cell r="H3034" t="str">
            <v>GRAU</v>
          </cell>
          <cell r="I3034" t="str">
            <v>GRAN CONTRIBUYENTE AUTORRETENEDO</v>
          </cell>
          <cell r="J3034" t="str">
            <v>AV CIRCUNVALAR 5 20 P 7 CC ARBOLEDA</v>
          </cell>
          <cell r="K3034" t="str">
            <v>66001</v>
          </cell>
          <cell r="L3034" t="str">
            <v>PEREIRA</v>
          </cell>
          <cell r="M3034" t="str">
            <v>3169700 EX 25436</v>
          </cell>
        </row>
        <row r="3035">
          <cell r="A3035">
            <v>800152028</v>
          </cell>
          <cell r="B3035" t="str">
            <v>1</v>
          </cell>
          <cell r="C3035" t="str">
            <v/>
          </cell>
          <cell r="D3035" t="str">
            <v>NJ</v>
          </cell>
          <cell r="E3035" t="str">
            <v/>
          </cell>
          <cell r="F3035" t="str">
            <v/>
          </cell>
          <cell r="G3035" t="str">
            <v>COOPERATIVAS DE TRANSPORTADORES EL MOTILON LIMITADA</v>
          </cell>
          <cell r="H3035" t="str">
            <v>REIC</v>
          </cell>
          <cell r="I3035" t="str">
            <v>RENTA REGIMEN ESPECIAL</v>
          </cell>
          <cell r="J3035" t="str">
            <v>CR 9 2 127 BRR CAMELLON</v>
          </cell>
          <cell r="K3035" t="str">
            <v>54518</v>
          </cell>
          <cell r="L3035" t="str">
            <v>PAMPLONA</v>
          </cell>
          <cell r="M3035" t="str">
            <v>5684015</v>
          </cell>
        </row>
        <row r="3036">
          <cell r="A3036">
            <v>800152208</v>
          </cell>
          <cell r="B3036" t="str">
            <v>9</v>
          </cell>
          <cell r="C3036" t="str">
            <v/>
          </cell>
          <cell r="D3036" t="str">
            <v>NJ</v>
          </cell>
          <cell r="E3036" t="str">
            <v/>
          </cell>
          <cell r="F3036" t="str">
            <v/>
          </cell>
          <cell r="G3036" t="str">
            <v>FUREL SA</v>
          </cell>
          <cell r="H3036" t="str">
            <v>GRCO</v>
          </cell>
          <cell r="I3036" t="str">
            <v>GRAN CONTRIBUYENTE</v>
          </cell>
          <cell r="J3036" t="str">
            <v>CL 79 A   18 41 OF 401  ED MONSERRATE</v>
          </cell>
          <cell r="K3036" t="str">
            <v>11001</v>
          </cell>
          <cell r="L3036" t="str">
            <v>BOGOTA DC</v>
          </cell>
          <cell r="M3036" t="str">
            <v>3113034507</v>
          </cell>
        </row>
        <row r="3037">
          <cell r="A3037">
            <v>800153686</v>
          </cell>
          <cell r="B3037" t="str">
            <v>0</v>
          </cell>
          <cell r="C3037" t="str">
            <v/>
          </cell>
          <cell r="D3037" t="str">
            <v>NJ</v>
          </cell>
          <cell r="E3037" t="str">
            <v/>
          </cell>
          <cell r="F3037" t="str">
            <v/>
          </cell>
          <cell r="G3037" t="str">
            <v>SOLDA EQUIPOS SAS</v>
          </cell>
          <cell r="H3037" t="str">
            <v>RECO</v>
          </cell>
          <cell r="I3037" t="str">
            <v>REGIMEN COMUN</v>
          </cell>
          <cell r="J3037" t="str">
            <v>CL 17 23  51  BRR SAN ANTONIO</v>
          </cell>
          <cell r="K3037" t="str">
            <v>17001</v>
          </cell>
          <cell r="L3037" t="str">
            <v>MANIZALES</v>
          </cell>
          <cell r="M3037" t="str">
            <v>8846470</v>
          </cell>
        </row>
        <row r="3038">
          <cell r="A3038">
            <v>800153993</v>
          </cell>
          <cell r="B3038" t="str">
            <v>7</v>
          </cell>
          <cell r="C3038" t="str">
            <v/>
          </cell>
          <cell r="D3038" t="str">
            <v>NJ</v>
          </cell>
          <cell r="E3038" t="str">
            <v/>
          </cell>
          <cell r="F3038" t="str">
            <v/>
          </cell>
          <cell r="G3038" t="str">
            <v xml:space="preserve">COMCEL S.A                                                  </v>
          </cell>
          <cell r="H3038" t="str">
            <v>GRAU</v>
          </cell>
          <cell r="I3038" t="str">
            <v>GRAN CONTRIBUYENTE AUTORRETENEDO</v>
          </cell>
          <cell r="J3038" t="str">
            <v>CR 13   2 B 04</v>
          </cell>
          <cell r="K3038" t="str">
            <v>66001</v>
          </cell>
          <cell r="L3038" t="str">
            <v>PEREIRA</v>
          </cell>
          <cell r="M3038" t="str">
            <v>6181818</v>
          </cell>
        </row>
        <row r="3039">
          <cell r="A3039">
            <v>800154351</v>
          </cell>
          <cell r="B3039" t="str">
            <v>3</v>
          </cell>
          <cell r="C3039" t="str">
            <v/>
          </cell>
          <cell r="D3039" t="str">
            <v>NJ</v>
          </cell>
          <cell r="E3039" t="str">
            <v/>
          </cell>
          <cell r="F3039" t="str">
            <v/>
          </cell>
          <cell r="G3039" t="str">
            <v>BLAMIS DOTACIONES LABORATORIO SAS</v>
          </cell>
          <cell r="H3039" t="str">
            <v>IMVE</v>
          </cell>
          <cell r="I3039" t="str">
            <v>IMPUESTO SOBRE LAS VENTAS</v>
          </cell>
          <cell r="J3039" t="str">
            <v xml:space="preserve"> CR  47 94 A 06</v>
          </cell>
          <cell r="K3039" t="str">
            <v>11001</v>
          </cell>
          <cell r="L3039" t="str">
            <v>BOGOTA DC</v>
          </cell>
          <cell r="M3039" t="str">
            <v>6111851</v>
          </cell>
        </row>
        <row r="3040">
          <cell r="A3040">
            <v>800154428</v>
          </cell>
          <cell r="B3040" t="str">
            <v>1</v>
          </cell>
          <cell r="C3040" t="str">
            <v/>
          </cell>
          <cell r="D3040" t="str">
            <v>NJ</v>
          </cell>
          <cell r="E3040" t="str">
            <v/>
          </cell>
          <cell r="F3040" t="str">
            <v/>
          </cell>
          <cell r="G3040" t="str">
            <v>INDUSTRIAS ECTRICOL SAS</v>
          </cell>
          <cell r="H3040" t="str">
            <v>IMVE</v>
          </cell>
          <cell r="I3040" t="str">
            <v>IMPUESTO SOBRE LAS VENTAS</v>
          </cell>
          <cell r="J3040" t="str">
            <v>KM 7 1 AUT MEDELLIN PAR INDUSTRIAL CELTA TRADE PARK LT 119</v>
          </cell>
          <cell r="K3040" t="str">
            <v>25286</v>
          </cell>
          <cell r="L3040" t="str">
            <v>FUNZA</v>
          </cell>
          <cell r="M3040" t="str">
            <v>7431415</v>
          </cell>
        </row>
        <row r="3041">
          <cell r="A3041">
            <v>800155057</v>
          </cell>
          <cell r="B3041" t="str">
            <v>7</v>
          </cell>
          <cell r="C3041" t="str">
            <v/>
          </cell>
          <cell r="D3041" t="str">
            <v>NJ</v>
          </cell>
          <cell r="E3041" t="str">
            <v/>
          </cell>
          <cell r="F3041" t="str">
            <v/>
          </cell>
          <cell r="G3041" t="str">
            <v>SEM INGENIERIA SAS</v>
          </cell>
          <cell r="H3041" t="str">
            <v>IMVE</v>
          </cell>
          <cell r="I3041" t="str">
            <v>IMPUESTO SOBRE LAS VENTAS</v>
          </cell>
          <cell r="J3041" t="str">
            <v xml:space="preserve"> CL 7 13 A 81 89</v>
          </cell>
          <cell r="K3041" t="str">
            <v>52473</v>
          </cell>
          <cell r="L3041" t="str">
            <v>MOSQUERA</v>
          </cell>
          <cell r="M3041" t="str">
            <v>8941041</v>
          </cell>
        </row>
        <row r="3042">
          <cell r="A3042">
            <v>800155565</v>
          </cell>
          <cell r="B3042" t="str">
            <v>7</v>
          </cell>
          <cell r="C3042" t="str">
            <v/>
          </cell>
          <cell r="D3042" t="str">
            <v>NJ</v>
          </cell>
          <cell r="E3042" t="str">
            <v/>
          </cell>
          <cell r="F3042" t="str">
            <v/>
          </cell>
          <cell r="G3042" t="str">
            <v>HIGH TECH FILTRACION INDUSTRIAL SAS</v>
          </cell>
          <cell r="H3042" t="str">
            <v>IMVE</v>
          </cell>
          <cell r="I3042" t="str">
            <v>IMPUESTO SOBRE LAS VENTAS</v>
          </cell>
          <cell r="J3042" t="str">
            <v>CL 37 A SUR 72 L 19</v>
          </cell>
          <cell r="K3042" t="str">
            <v>11001</v>
          </cell>
          <cell r="L3042" t="str">
            <v>BOGOTA DC</v>
          </cell>
          <cell r="M3042" t="str">
            <v>7435930</v>
          </cell>
        </row>
        <row r="3043">
          <cell r="A3043">
            <v>800157023</v>
          </cell>
          <cell r="B3043" t="str">
            <v>6</v>
          </cell>
          <cell r="C3043" t="str">
            <v/>
          </cell>
          <cell r="D3043" t="str">
            <v>NJ</v>
          </cell>
          <cell r="E3043" t="str">
            <v/>
          </cell>
          <cell r="F3043" t="str">
            <v/>
          </cell>
          <cell r="G3043" t="str">
            <v>ENGICAST SOCIEDAD POR ACCIONES SIMPLIFICADA</v>
          </cell>
          <cell r="H3043" t="str">
            <v>RECO</v>
          </cell>
          <cell r="I3043" t="str">
            <v>REGIMEN COMUN</v>
          </cell>
          <cell r="J3043" t="str">
            <v>AUT BOGOTA MEDELLIN KM 2 7 PAR INDUSTRIAL LOS NOGALES BG 9</v>
          </cell>
          <cell r="K3043" t="str">
            <v>25214</v>
          </cell>
          <cell r="L3043" t="str">
            <v>COTA</v>
          </cell>
          <cell r="M3043" t="str">
            <v>3105599837</v>
          </cell>
        </row>
        <row r="3044">
          <cell r="A3044">
            <v>800157339</v>
          </cell>
          <cell r="B3044" t="str">
            <v>8</v>
          </cell>
          <cell r="C3044" t="str">
            <v/>
          </cell>
          <cell r="D3044" t="str">
            <v>NJ</v>
          </cell>
          <cell r="E3044" t="str">
            <v/>
          </cell>
          <cell r="F3044" t="str">
            <v/>
          </cell>
          <cell r="G3044" t="str">
            <v>MULTIELECTRICOS SAS</v>
          </cell>
          <cell r="H3044" t="str">
            <v>RECO</v>
          </cell>
          <cell r="I3044" t="str">
            <v>REGIMEN COMUN</v>
          </cell>
          <cell r="J3044" t="str">
            <v>CR 19 12 A 12</v>
          </cell>
          <cell r="K3044" t="str">
            <v>15238</v>
          </cell>
          <cell r="L3044" t="str">
            <v>DUITAMA</v>
          </cell>
          <cell r="M3044" t="str">
            <v>3102574237</v>
          </cell>
        </row>
        <row r="3045">
          <cell r="A3045">
            <v>800157551</v>
          </cell>
          <cell r="B3045" t="str">
            <v>3</v>
          </cell>
          <cell r="C3045" t="str">
            <v/>
          </cell>
          <cell r="D3045" t="str">
            <v>NJ</v>
          </cell>
          <cell r="E3045" t="str">
            <v/>
          </cell>
          <cell r="F3045" t="str">
            <v/>
          </cell>
          <cell r="G3045" t="str">
            <v>FONDO COMUN ORDINARIO RENTACAF</v>
          </cell>
          <cell r="H3045" t="str">
            <v>RECO</v>
          </cell>
          <cell r="I3045" t="str">
            <v>REGIMEN COMUN</v>
          </cell>
          <cell r="J3045" t="str">
            <v xml:space="preserve">CR 23   64 B   33   </v>
          </cell>
          <cell r="K3045" t="str">
            <v>17001</v>
          </cell>
          <cell r="L3045" t="str">
            <v>MANIZALES</v>
          </cell>
          <cell r="M3045" t="str">
            <v>8842300</v>
          </cell>
        </row>
        <row r="3046">
          <cell r="A3046">
            <v>800160233</v>
          </cell>
          <cell r="B3046" t="str">
            <v>7</v>
          </cell>
          <cell r="C3046" t="str">
            <v/>
          </cell>
          <cell r="D3046" t="str">
            <v>NJ</v>
          </cell>
          <cell r="E3046" t="str">
            <v/>
          </cell>
          <cell r="F3046" t="str">
            <v/>
          </cell>
          <cell r="G3046" t="str">
            <v>EME ESTRUCTURAS METALICAS S.A.</v>
          </cell>
          <cell r="H3046" t="str">
            <v>RECO</v>
          </cell>
          <cell r="I3046" t="str">
            <v>REGIMEN COMUN</v>
          </cell>
          <cell r="J3046" t="str">
            <v>BG LA ISLA 02 PN ACCESO VILLAMARÍA</v>
          </cell>
          <cell r="K3046" t="str">
            <v>17873</v>
          </cell>
          <cell r="L3046" t="str">
            <v>VILLAMARÍA</v>
          </cell>
          <cell r="M3046" t="str">
            <v xml:space="preserve">8772006	</v>
          </cell>
        </row>
        <row r="3047">
          <cell r="A3047">
            <v>800163216</v>
          </cell>
          <cell r="B3047" t="str">
            <v>5</v>
          </cell>
          <cell r="C3047" t="str">
            <v/>
          </cell>
          <cell r="D3047" t="str">
            <v>NJ</v>
          </cell>
          <cell r="E3047" t="str">
            <v/>
          </cell>
          <cell r="F3047" t="str">
            <v/>
          </cell>
          <cell r="G3047" t="str">
            <v>LRG INGENIERIA  SAS</v>
          </cell>
          <cell r="H3047" t="str">
            <v>RECO</v>
          </cell>
          <cell r="I3047" t="str">
            <v>REGIMEN COMUN</v>
          </cell>
          <cell r="J3047" t="str">
            <v>BRR BOSTON AV PEDRO DE HEREDIA 44 225</v>
          </cell>
          <cell r="K3047" t="str">
            <v>13001</v>
          </cell>
          <cell r="L3047" t="str">
            <v>CARTAGENA</v>
          </cell>
          <cell r="M3047" t="str">
            <v>3205436310</v>
          </cell>
        </row>
        <row r="3048">
          <cell r="A3048">
            <v>800164421</v>
          </cell>
          <cell r="B3048" t="str">
            <v>3</v>
          </cell>
          <cell r="C3048" t="str">
            <v/>
          </cell>
          <cell r="D3048" t="str">
            <v>NJ</v>
          </cell>
          <cell r="E3048" t="str">
            <v/>
          </cell>
          <cell r="F3048" t="str">
            <v/>
          </cell>
          <cell r="G3048" t="str">
            <v>SERVITRONICS SAS</v>
          </cell>
          <cell r="H3048" t="str">
            <v>IMVE</v>
          </cell>
          <cell r="I3048" t="str">
            <v>IMPUESTO SOBRE LAS VENTAS</v>
          </cell>
          <cell r="J3048" t="str">
            <v>AV ESTACION 5 B 27</v>
          </cell>
          <cell r="K3048" t="str">
            <v>76001</v>
          </cell>
          <cell r="L3048" t="str">
            <v>CALI</v>
          </cell>
          <cell r="M3048" t="str">
            <v>3166173212</v>
          </cell>
        </row>
        <row r="3049">
          <cell r="A3049">
            <v>800165804</v>
          </cell>
          <cell r="B3049" t="str">
            <v>5</v>
          </cell>
          <cell r="C3049" t="str">
            <v/>
          </cell>
          <cell r="D3049" t="str">
            <v>NJ</v>
          </cell>
          <cell r="E3049" t="str">
            <v/>
          </cell>
          <cell r="F3049" t="str">
            <v/>
          </cell>
          <cell r="G3049" t="str">
            <v>DIRECCION EJECUTIVA DE ADMINISTRACION JUDICIAL SECCIONAL TUNJA</v>
          </cell>
          <cell r="H3049" t="str">
            <v>ENSA</v>
          </cell>
          <cell r="I3049" t="str">
            <v>ENTIDADES SIN ANIMO DE LUCRO</v>
          </cell>
          <cell r="J3049" t="str">
            <v>SE CREA SIN RUT</v>
          </cell>
          <cell r="K3049" t="str">
            <v>15001</v>
          </cell>
          <cell r="L3049" t="str">
            <v>TUNJA</v>
          </cell>
          <cell r="M3049" t="str">
            <v>SIN RUT</v>
          </cell>
        </row>
        <row r="3050">
          <cell r="A3050">
            <v>800165850</v>
          </cell>
          <cell r="B3050" t="str">
            <v>4</v>
          </cell>
          <cell r="C3050" t="str">
            <v/>
          </cell>
          <cell r="D3050" t="str">
            <v>NJ</v>
          </cell>
          <cell r="E3050" t="str">
            <v/>
          </cell>
          <cell r="F3050" t="str">
            <v/>
          </cell>
          <cell r="G3050" t="str">
            <v>RAMA JUDICIAL DIRECCION SECCIONAL DE ADMINISTRACIÓN JUDICIAL CAL</v>
          </cell>
          <cell r="H3050" t="str">
            <v>REIC</v>
          </cell>
          <cell r="I3050" t="str">
            <v>RENTA REGIMEN ESPECIAL</v>
          </cell>
          <cell r="J3050" t="str">
            <v>CL 27 17 19 P 9 ED CONSEJO SECCIONAL DE LA JUDICATURA</v>
          </cell>
          <cell r="K3050" t="str">
            <v>17001</v>
          </cell>
          <cell r="L3050" t="str">
            <v>MANIZALES</v>
          </cell>
          <cell r="M3050" t="str">
            <v>8848884</v>
          </cell>
        </row>
        <row r="3051">
          <cell r="A3051">
            <v>800165862</v>
          </cell>
          <cell r="B3051" t="str">
            <v>2</v>
          </cell>
          <cell r="C3051" t="str">
            <v/>
          </cell>
          <cell r="D3051" t="str">
            <v>NJ</v>
          </cell>
          <cell r="E3051" t="str">
            <v/>
          </cell>
          <cell r="F3051" t="str">
            <v/>
          </cell>
          <cell r="G3051" t="str">
            <v>DIRECCION EJECUTIVA SECCIONAL DE ADMINISTARCION JUDICIAL BOGOTA</v>
          </cell>
          <cell r="H3051" t="str">
            <v>GRCO</v>
          </cell>
          <cell r="I3051" t="str">
            <v>GRAN CONTRIBUYENTE</v>
          </cell>
          <cell r="J3051" t="str">
            <v>CR 10 14 33 P 17</v>
          </cell>
          <cell r="K3051" t="str">
            <v>11001</v>
          </cell>
          <cell r="L3051" t="str">
            <v>BOGOTA DC</v>
          </cell>
          <cell r="M3051" t="str">
            <v>3532666</v>
          </cell>
        </row>
        <row r="3052">
          <cell r="A3052">
            <v>800165944</v>
          </cell>
          <cell r="B3052" t="str">
            <v>8</v>
          </cell>
          <cell r="C3052" t="str">
            <v/>
          </cell>
          <cell r="D3052" t="str">
            <v>NJ</v>
          </cell>
          <cell r="E3052" t="str">
            <v/>
          </cell>
          <cell r="F3052" t="str">
            <v/>
          </cell>
          <cell r="G3052" t="str">
            <v>DIRECCION SECCIONAL DE ADMINISTARCIÓN JUDICIAL DE SUCRE</v>
          </cell>
          <cell r="H3052" t="str">
            <v>GRCO</v>
          </cell>
          <cell r="I3052" t="str">
            <v>GRAN CONTRIBUYENTE</v>
          </cell>
          <cell r="J3052" t="str">
            <v>CL 22 16 40  P 1</v>
          </cell>
          <cell r="K3052" t="str">
            <v>70001</v>
          </cell>
          <cell r="L3052" t="str">
            <v>SINCELEJO</v>
          </cell>
          <cell r="M3052" t="str">
            <v>2810156</v>
          </cell>
        </row>
        <row r="3053">
          <cell r="A3053">
            <v>800166172</v>
          </cell>
          <cell r="B3053" t="str">
            <v>3</v>
          </cell>
          <cell r="C3053" t="str">
            <v/>
          </cell>
          <cell r="D3053" t="str">
            <v>NJ</v>
          </cell>
          <cell r="E3053" t="str">
            <v/>
          </cell>
          <cell r="F3053" t="str">
            <v/>
          </cell>
          <cell r="G3053" t="str">
            <v>SUMICALI SAS</v>
          </cell>
          <cell r="H3053" t="str">
            <v>IMVE</v>
          </cell>
          <cell r="I3053" t="str">
            <v>IMPUESTO SOBRE LAS VENTAS</v>
          </cell>
          <cell r="J3053" t="str">
            <v>CR 1 30 31</v>
          </cell>
          <cell r="K3053" t="str">
            <v>76001</v>
          </cell>
          <cell r="L3053" t="str">
            <v>CALI</v>
          </cell>
          <cell r="M3053" t="str">
            <v>4418890</v>
          </cell>
        </row>
        <row r="3054">
          <cell r="A3054">
            <v>800166199</v>
          </cell>
          <cell r="B3054" t="str">
            <v>1</v>
          </cell>
          <cell r="C3054" t="str">
            <v/>
          </cell>
          <cell r="D3054" t="str">
            <v>NJ</v>
          </cell>
          <cell r="E3054" t="str">
            <v/>
          </cell>
          <cell r="F3054" t="str">
            <v/>
          </cell>
          <cell r="G3054" t="str">
            <v>DELTEC S.A.</v>
          </cell>
          <cell r="H3054" t="str">
            <v>GRCO</v>
          </cell>
          <cell r="I3054" t="str">
            <v>GRAN CONTRIBUYENTE</v>
          </cell>
          <cell r="J3054" t="str">
            <v>CR 65  9  30 BRR LIMONAR</v>
          </cell>
          <cell r="K3054" t="str">
            <v>76001</v>
          </cell>
          <cell r="L3054" t="str">
            <v>CALI</v>
          </cell>
          <cell r="M3054" t="str">
            <v>3309194</v>
          </cell>
        </row>
        <row r="3055">
          <cell r="A3055">
            <v>800166315</v>
          </cell>
          <cell r="B3055" t="str">
            <v>1</v>
          </cell>
          <cell r="C3055" t="str">
            <v/>
          </cell>
          <cell r="D3055" t="str">
            <v>NJ</v>
          </cell>
          <cell r="E3055" t="str">
            <v/>
          </cell>
          <cell r="F3055" t="str">
            <v/>
          </cell>
          <cell r="G3055" t="str">
            <v>TRANSPORTES  PROTURISBOY O.C.</v>
          </cell>
          <cell r="H3055" t="str">
            <v>REIC</v>
          </cell>
          <cell r="I3055" t="str">
            <v>RENTA REGIMEN ESPECIAL</v>
          </cell>
          <cell r="J3055" t="str">
            <v>CL 25  21 18 OF 201</v>
          </cell>
          <cell r="K3055" t="str">
            <v>15516</v>
          </cell>
          <cell r="L3055" t="str">
            <v>PAIPA</v>
          </cell>
          <cell r="M3055" t="str">
            <v>7852877</v>
          </cell>
        </row>
        <row r="3056">
          <cell r="A3056">
            <v>800167410</v>
          </cell>
          <cell r="B3056" t="str">
            <v>6</v>
          </cell>
          <cell r="C3056" t="str">
            <v/>
          </cell>
          <cell r="D3056" t="str">
            <v>NJ</v>
          </cell>
          <cell r="E3056" t="str">
            <v/>
          </cell>
          <cell r="F3056" t="str">
            <v/>
          </cell>
          <cell r="G3056" t="str">
            <v>DML INGENIEROS CONSULTORES SOCIEDAD POR ACCIONES SIMPLIFICADA</v>
          </cell>
          <cell r="H3056" t="str">
            <v>RECO</v>
          </cell>
          <cell r="I3056" t="str">
            <v>REGIMEN COMUN</v>
          </cell>
          <cell r="J3056" t="str">
            <v>AV 2 BIS NORTE 31 121</v>
          </cell>
          <cell r="K3056" t="str">
            <v>76001</v>
          </cell>
          <cell r="L3056" t="str">
            <v>CALI</v>
          </cell>
          <cell r="M3056" t="str">
            <v>6612408</v>
          </cell>
        </row>
        <row r="3057">
          <cell r="A3057">
            <v>800168763</v>
          </cell>
          <cell r="B3057" t="str">
            <v>5</v>
          </cell>
          <cell r="C3057" t="str">
            <v/>
          </cell>
          <cell r="D3057" t="str">
            <v>NJ</v>
          </cell>
          <cell r="E3057" t="str">
            <v/>
          </cell>
          <cell r="F3057" t="str">
            <v/>
          </cell>
          <cell r="G3057" t="str">
            <v>SERVITRUST GNB SUDAMERIS</v>
          </cell>
          <cell r="H3057" t="str">
            <v>GRAU</v>
          </cell>
          <cell r="I3057" t="str">
            <v>GRAN CONTRIBUYENTE AUTORRETENEDO</v>
          </cell>
          <cell r="J3057" t="str">
            <v>CR 7   75   85 P 10</v>
          </cell>
          <cell r="K3057" t="str">
            <v>11001</v>
          </cell>
          <cell r="L3057" t="str">
            <v>BOGOTA DC</v>
          </cell>
          <cell r="M3057" t="str">
            <v>4390000</v>
          </cell>
        </row>
        <row r="3058">
          <cell r="A3058">
            <v>800169799</v>
          </cell>
          <cell r="B3058" t="str">
            <v>4</v>
          </cell>
          <cell r="C3058" t="str">
            <v/>
          </cell>
          <cell r="D3058" t="str">
            <v>NJ</v>
          </cell>
          <cell r="E3058" t="str">
            <v/>
          </cell>
          <cell r="F3058" t="str">
            <v/>
          </cell>
          <cell r="G3058" t="str">
            <v>CELAR LTDA</v>
          </cell>
          <cell r="H3058" t="str">
            <v>RCAU</v>
          </cell>
          <cell r="I3058" t="str">
            <v>RESPONSABLE IVA - AUTORETENEDOR</v>
          </cell>
          <cell r="J3058" t="str">
            <v xml:space="preserve"> CL127 B  46 31</v>
          </cell>
          <cell r="K3058" t="str">
            <v>11001</v>
          </cell>
          <cell r="L3058" t="str">
            <v>BOGOTA DC</v>
          </cell>
          <cell r="M3058" t="str">
            <v>6068918493</v>
          </cell>
        </row>
        <row r="3059">
          <cell r="A3059">
            <v>800170043</v>
          </cell>
          <cell r="B3059" t="str">
            <v>7</v>
          </cell>
          <cell r="C3059" t="str">
            <v/>
          </cell>
          <cell r="D3059" t="str">
            <v>NJ</v>
          </cell>
          <cell r="E3059" t="str">
            <v/>
          </cell>
          <cell r="F3059" t="str">
            <v/>
          </cell>
          <cell r="G3059" t="str">
            <v>PORVENIR FONDOS DE PENSIONES Y CESANTIAS</v>
          </cell>
          <cell r="H3059" t="str">
            <v>RECO</v>
          </cell>
          <cell r="I3059" t="str">
            <v>REGIMEN COMUN</v>
          </cell>
          <cell r="J3059" t="str">
            <v>CR 23   75   68</v>
          </cell>
          <cell r="K3059" t="str">
            <v>17001</v>
          </cell>
          <cell r="L3059" t="str">
            <v>MANIZALES</v>
          </cell>
          <cell r="M3059" t="str">
            <v>847211</v>
          </cell>
        </row>
        <row r="3060">
          <cell r="A3060">
            <v>800170481</v>
          </cell>
          <cell r="B3060" t="str">
            <v>1</v>
          </cell>
          <cell r="C3060" t="str">
            <v/>
          </cell>
          <cell r="D3060" t="str">
            <v>NJ</v>
          </cell>
          <cell r="E3060" t="str">
            <v/>
          </cell>
          <cell r="F3060" t="str">
            <v/>
          </cell>
          <cell r="G3060" t="str">
            <v>INDUSTRIAS GYB LTDA</v>
          </cell>
          <cell r="H3060" t="str">
            <v>IMVE</v>
          </cell>
          <cell r="I3060" t="str">
            <v>IMPUESTO SOBRE LAS VENTAS</v>
          </cell>
          <cell r="J3060" t="str">
            <v>CR  35  3  235</v>
          </cell>
          <cell r="K3060" t="str">
            <v>15238</v>
          </cell>
          <cell r="L3060" t="str">
            <v>DUITAMA</v>
          </cell>
          <cell r="M3060" t="str">
            <v>3133501538</v>
          </cell>
        </row>
        <row r="3061">
          <cell r="A3061">
            <v>800170494</v>
          </cell>
          <cell r="B3061" t="str">
            <v>5</v>
          </cell>
          <cell r="C3061" t="str">
            <v/>
          </cell>
          <cell r="D3061" t="str">
            <v>NJ</v>
          </cell>
          <cell r="E3061" t="str">
            <v/>
          </cell>
          <cell r="F3061" t="str">
            <v/>
          </cell>
          <cell r="G3061" t="str">
            <v>PROTECCION FONDO DE PENSIONES Y CESANTIAS</v>
          </cell>
          <cell r="H3061" t="str">
            <v>GRCO</v>
          </cell>
          <cell r="I3061" t="str">
            <v>GRAN CONTRIBUYENTE</v>
          </cell>
          <cell r="J3061" t="str">
            <v>CR 24   64   51</v>
          </cell>
          <cell r="K3061" t="str">
            <v>17001</v>
          </cell>
          <cell r="L3061" t="str">
            <v>MANIZALES</v>
          </cell>
          <cell r="M3061" t="str">
            <v>8928276</v>
          </cell>
        </row>
        <row r="3062">
          <cell r="A3062">
            <v>800171127</v>
          </cell>
          <cell r="B3062" t="str">
            <v>1</v>
          </cell>
          <cell r="C3062" t="str">
            <v/>
          </cell>
          <cell r="D3062" t="str">
            <v>NJ</v>
          </cell>
          <cell r="E3062" t="str">
            <v/>
          </cell>
          <cell r="F3062" t="str">
            <v/>
          </cell>
          <cell r="G3062" t="str">
            <v>SOLUCIONES  AUTOMATIZADAS INTEGRALES SAI LTDA</v>
          </cell>
          <cell r="H3062" t="str">
            <v>RECO</v>
          </cell>
          <cell r="I3062" t="str">
            <v>REGIMEN COMUN</v>
          </cell>
          <cell r="J3062" t="str">
            <v>CR 11 17 23</v>
          </cell>
          <cell r="K3062" t="str">
            <v>15001</v>
          </cell>
          <cell r="L3062" t="str">
            <v>TUNJA</v>
          </cell>
          <cell r="M3062" t="str">
            <v>7403451</v>
          </cell>
        </row>
        <row r="3063">
          <cell r="A3063">
            <v>800171222</v>
          </cell>
          <cell r="B3063" t="str">
            <v>3</v>
          </cell>
          <cell r="C3063" t="str">
            <v/>
          </cell>
          <cell r="D3063" t="str">
            <v>NJ</v>
          </cell>
          <cell r="E3063" t="str">
            <v/>
          </cell>
          <cell r="F3063" t="str">
            <v/>
          </cell>
          <cell r="G3063" t="str">
            <v>GARPER ENERGY SOLUTIONS COLOMBIA SAS</v>
          </cell>
          <cell r="H3063" t="str">
            <v>RECO</v>
          </cell>
          <cell r="I3063" t="str">
            <v>REGIMEN COMUN</v>
          </cell>
          <cell r="J3063" t="str">
            <v>CL 93 18 81</v>
          </cell>
          <cell r="K3063" t="str">
            <v>11001</v>
          </cell>
          <cell r="L3063" t="str">
            <v>BOGOTA DC</v>
          </cell>
          <cell r="M3063" t="str">
            <v>3106255267</v>
          </cell>
        </row>
        <row r="3064">
          <cell r="A3064">
            <v>800172158</v>
          </cell>
          <cell r="B3064" t="str">
            <v>4</v>
          </cell>
          <cell r="C3064" t="str">
            <v/>
          </cell>
          <cell r="D3064" t="str">
            <v>NJ</v>
          </cell>
          <cell r="E3064" t="str">
            <v/>
          </cell>
          <cell r="F3064" t="str">
            <v/>
          </cell>
          <cell r="G3064" t="str">
            <v>TREANSPORTES Y MUDANZAS CHICO SAS</v>
          </cell>
          <cell r="H3064" t="str">
            <v>IMVE</v>
          </cell>
          <cell r="I3064" t="str">
            <v>IMPUESTO SOBRE LAS VENTAS</v>
          </cell>
          <cell r="J3064" t="str">
            <v>CR 55 A 75 50 BRR GAITAN</v>
          </cell>
          <cell r="K3064" t="str">
            <v>17001</v>
          </cell>
          <cell r="L3064" t="str">
            <v>MANIZALES</v>
          </cell>
          <cell r="M3064" t="str">
            <v>3224645183</v>
          </cell>
        </row>
        <row r="3065">
          <cell r="A3065">
            <v>800172301</v>
          </cell>
          <cell r="B3065" t="str">
            <v>1</v>
          </cell>
          <cell r="C3065" t="str">
            <v/>
          </cell>
          <cell r="D3065" t="str">
            <v>NJ</v>
          </cell>
          <cell r="E3065" t="str">
            <v/>
          </cell>
          <cell r="F3065" t="str">
            <v/>
          </cell>
          <cell r="G3065" t="str">
            <v>TRASEGAR S.A</v>
          </cell>
          <cell r="H3065" t="str">
            <v>RECO</v>
          </cell>
          <cell r="I3065" t="str">
            <v>REGIMEN COMUN</v>
          </cell>
          <cell r="J3065" t="str">
            <v>CL 18  65 17</v>
          </cell>
          <cell r="K3065" t="str">
            <v>05001</v>
          </cell>
          <cell r="L3065" t="str">
            <v>MEDELLÍN</v>
          </cell>
          <cell r="M3065" t="str">
            <v>2658486</v>
          </cell>
        </row>
        <row r="3066">
          <cell r="A3066">
            <v>800172871</v>
          </cell>
          <cell r="B3066" t="str">
            <v>8</v>
          </cell>
          <cell r="C3066" t="str">
            <v/>
          </cell>
          <cell r="D3066" t="str">
            <v>NJ</v>
          </cell>
          <cell r="E3066" t="str">
            <v/>
          </cell>
          <cell r="F3066" t="str">
            <v/>
          </cell>
          <cell r="G3066" t="str">
            <v>GEOCOL CONSULTORES S.A</v>
          </cell>
          <cell r="H3066" t="str">
            <v>RECO</v>
          </cell>
          <cell r="I3066" t="str">
            <v>REGIMEN COMUN</v>
          </cell>
          <cell r="J3066" t="str">
            <v>CL 142 20 51</v>
          </cell>
          <cell r="K3066" t="str">
            <v>11001</v>
          </cell>
          <cell r="L3066" t="str">
            <v>BOGOTA DC</v>
          </cell>
          <cell r="M3066" t="str">
            <v>2141666</v>
          </cell>
        </row>
        <row r="3067">
          <cell r="A3067">
            <v>800174156</v>
          </cell>
          <cell r="B3067" t="str">
            <v>9</v>
          </cell>
          <cell r="C3067" t="str">
            <v/>
          </cell>
          <cell r="D3067" t="str">
            <v>NJ</v>
          </cell>
          <cell r="E3067" t="str">
            <v/>
          </cell>
          <cell r="F3067" t="str">
            <v/>
          </cell>
          <cell r="G3067" t="str">
            <v>COOTRANSBOL LTDA</v>
          </cell>
          <cell r="H3067" t="str">
            <v>RESI</v>
          </cell>
          <cell r="I3067" t="str">
            <v>REGIMEN SIMPLIFICADO</v>
          </cell>
          <cell r="J3067" t="str">
            <v>BOGOTA</v>
          </cell>
          <cell r="K3067" t="str">
            <v>11001</v>
          </cell>
          <cell r="L3067" t="str">
            <v>BOGOTA DC</v>
          </cell>
          <cell r="M3067" t="str">
            <v>(098)7610717</v>
          </cell>
        </row>
        <row r="3068">
          <cell r="A3068">
            <v>800175746</v>
          </cell>
          <cell r="B3068" t="str">
            <v>9</v>
          </cell>
          <cell r="C3068" t="str">
            <v>35923000</v>
          </cell>
          <cell r="D3068" t="str">
            <v>NJ</v>
          </cell>
          <cell r="E3068" t="str">
            <v/>
          </cell>
          <cell r="F3068" t="str">
            <v/>
          </cell>
          <cell r="G3068" t="str">
            <v xml:space="preserve">EMPRESA URRA S.A. E.S.P.                                    </v>
          </cell>
          <cell r="H3068" t="str">
            <v>GRCO</v>
          </cell>
          <cell r="I3068" t="str">
            <v>GRAN CONTRIBUYENTE</v>
          </cell>
          <cell r="J3068" t="str">
            <v>CR 2   48   08</v>
          </cell>
          <cell r="K3068" t="str">
            <v>23001</v>
          </cell>
          <cell r="L3068" t="str">
            <v>MONTERÍA</v>
          </cell>
          <cell r="M3068" t="str">
            <v>7851475</v>
          </cell>
        </row>
        <row r="3069">
          <cell r="A3069">
            <v>800176089</v>
          </cell>
          <cell r="B3069" t="str">
            <v>2</v>
          </cell>
          <cell r="C3069" t="str">
            <v>12800000</v>
          </cell>
          <cell r="D3069" t="str">
            <v>NJ</v>
          </cell>
          <cell r="E3069" t="str">
            <v/>
          </cell>
          <cell r="F3069" t="str">
            <v/>
          </cell>
          <cell r="G3069" t="str">
            <v>SUPERINTENDENCIA DE INDUSTRIA Y COMERCIO</v>
          </cell>
          <cell r="H3069" t="str">
            <v>RECO</v>
          </cell>
          <cell r="I3069" t="str">
            <v>REGIMEN COMUN</v>
          </cell>
          <cell r="J3069" t="str">
            <v>CR 13 27 00 P 5</v>
          </cell>
          <cell r="K3069" t="str">
            <v>11001</v>
          </cell>
          <cell r="L3069" t="str">
            <v>BOGOTA DC</v>
          </cell>
          <cell r="M3069" t="str">
            <v>5920400</v>
          </cell>
        </row>
        <row r="3070">
          <cell r="A3070">
            <v>800176581</v>
          </cell>
          <cell r="B3070" t="str">
            <v>5</v>
          </cell>
          <cell r="C3070" t="str">
            <v/>
          </cell>
          <cell r="D3070" t="str">
            <v>NJ</v>
          </cell>
          <cell r="E3070" t="str">
            <v/>
          </cell>
          <cell r="F3070" t="str">
            <v/>
          </cell>
          <cell r="G3070" t="str">
            <v>FULGOR SAS</v>
          </cell>
          <cell r="H3070" t="str">
            <v>IMVE</v>
          </cell>
          <cell r="I3070" t="str">
            <v>IMPUESTO SOBRE LAS VENTAS</v>
          </cell>
          <cell r="J3070" t="str">
            <v xml:space="preserve"> CR 27 A 78 58 BRR SANTA SOFIA</v>
          </cell>
          <cell r="K3070" t="str">
            <v>11001</v>
          </cell>
          <cell r="L3070" t="str">
            <v>BOGOTA DC</v>
          </cell>
          <cell r="M3070" t="str">
            <v>3110200</v>
          </cell>
        </row>
        <row r="3071">
          <cell r="A3071">
            <v>800176621</v>
          </cell>
          <cell r="B3071" t="str">
            <v>1</v>
          </cell>
          <cell r="C3071" t="str">
            <v/>
          </cell>
          <cell r="D3071" t="str">
            <v>NJ</v>
          </cell>
          <cell r="E3071" t="str">
            <v/>
          </cell>
          <cell r="F3071" t="str">
            <v/>
          </cell>
          <cell r="G3071" t="str">
            <v>NAGA S.A.</v>
          </cell>
          <cell r="H3071" t="str">
            <v>RECO</v>
          </cell>
          <cell r="I3071" t="str">
            <v>REGIMEN COMUN</v>
          </cell>
          <cell r="J3071" t="str">
            <v>BRR BOCAGRANDE   CR 2  12  125 AP 02  ED MINARETE</v>
          </cell>
          <cell r="K3071" t="str">
            <v>13001</v>
          </cell>
          <cell r="L3071" t="str">
            <v>CARTAGENA</v>
          </cell>
          <cell r="M3071" t="str">
            <v>6550648</v>
          </cell>
        </row>
        <row r="3072">
          <cell r="A3072">
            <v>800176830</v>
          </cell>
          <cell r="B3072" t="str">
            <v>4</v>
          </cell>
          <cell r="C3072" t="str">
            <v/>
          </cell>
          <cell r="D3072" t="str">
            <v>NJ</v>
          </cell>
          <cell r="E3072" t="str">
            <v/>
          </cell>
          <cell r="F3072" t="str">
            <v/>
          </cell>
          <cell r="G3072" t="str">
            <v>REPRESENTACIONES Y CONSTRUCCIONES PAI LTDA</v>
          </cell>
          <cell r="H3072" t="str">
            <v>RECO</v>
          </cell>
          <cell r="I3072" t="str">
            <v>REGIMEN COMUN</v>
          </cell>
          <cell r="J3072" t="str">
            <v>CL 36 13 68</v>
          </cell>
          <cell r="K3072" t="str">
            <v>66001</v>
          </cell>
          <cell r="L3072" t="str">
            <v>PEREIRA</v>
          </cell>
          <cell r="M3072" t="str">
            <v>3368929</v>
          </cell>
        </row>
        <row r="3073">
          <cell r="A3073">
            <v>800177419</v>
          </cell>
          <cell r="B3073" t="str">
            <v>4</v>
          </cell>
          <cell r="C3073" t="str">
            <v/>
          </cell>
          <cell r="D3073" t="str">
            <v>NJ</v>
          </cell>
          <cell r="E3073" t="str">
            <v/>
          </cell>
          <cell r="F3073" t="str">
            <v/>
          </cell>
          <cell r="G3073" t="str">
            <v>MULTIPROCESOS SIG SA</v>
          </cell>
          <cell r="H3073" t="str">
            <v>IMVE</v>
          </cell>
          <cell r="I3073" t="str">
            <v>IMPUESTO SOBRE LAS VENTAS</v>
          </cell>
          <cell r="J3073" t="str">
            <v xml:space="preserve"> CL 88 22 74 BRR DIAMANTE 2</v>
          </cell>
          <cell r="K3073" t="str">
            <v>17001</v>
          </cell>
          <cell r="L3073" t="str">
            <v>MANIZALES</v>
          </cell>
          <cell r="M3073" t="str">
            <v>3174012300</v>
          </cell>
        </row>
        <row r="3074">
          <cell r="A3074">
            <v>800177871</v>
          </cell>
          <cell r="B3074" t="str">
            <v>0</v>
          </cell>
          <cell r="C3074" t="str">
            <v/>
          </cell>
          <cell r="D3074" t="str">
            <v>NJ</v>
          </cell>
          <cell r="E3074" t="str">
            <v/>
          </cell>
          <cell r="F3074" t="str">
            <v/>
          </cell>
          <cell r="G3074" t="str">
            <v xml:space="preserve">SEMMCO LTDA                                                 </v>
          </cell>
          <cell r="H3074" t="str">
            <v>RECO</v>
          </cell>
          <cell r="I3074" t="str">
            <v>REGIMEN COMUN</v>
          </cell>
          <cell r="J3074" t="str">
            <v>CL 10 A 14 A 15</v>
          </cell>
          <cell r="K3074" t="str">
            <v>17001</v>
          </cell>
          <cell r="L3074" t="str">
            <v>MANIZALES</v>
          </cell>
          <cell r="M3074" t="str">
            <v>7735468</v>
          </cell>
        </row>
        <row r="3075">
          <cell r="A3075">
            <v>800180198</v>
          </cell>
          <cell r="B3075" t="str">
            <v>2</v>
          </cell>
          <cell r="C3075" t="str">
            <v/>
          </cell>
          <cell r="D3075" t="str">
            <v>NJ</v>
          </cell>
          <cell r="E3075" t="str">
            <v/>
          </cell>
          <cell r="F3075" t="str">
            <v/>
          </cell>
          <cell r="G3075" t="str">
            <v>TENETRÓN LTDA</v>
          </cell>
          <cell r="H3075" t="str">
            <v>RECO</v>
          </cell>
          <cell r="I3075" t="str">
            <v>REGIMEN COMUN</v>
          </cell>
          <cell r="J3075" t="str">
            <v>CR 7 N 73 55 P 7</v>
          </cell>
          <cell r="K3075" t="str">
            <v>11001</v>
          </cell>
          <cell r="L3075" t="str">
            <v>BOGOTA DC</v>
          </cell>
          <cell r="M3075" t="str">
            <v>3220386</v>
          </cell>
        </row>
        <row r="3076">
          <cell r="A3076">
            <v>800180223</v>
          </cell>
          <cell r="B3076" t="str">
            <v>9</v>
          </cell>
          <cell r="C3076" t="str">
            <v/>
          </cell>
          <cell r="D3076" t="str">
            <v>NJ</v>
          </cell>
          <cell r="E3076" t="str">
            <v/>
          </cell>
          <cell r="F3076" t="str">
            <v/>
          </cell>
          <cell r="G3076" t="str">
            <v xml:space="preserve">LONJA DE PROPIEDAD RAIZ DE CALDAS                           </v>
          </cell>
          <cell r="H3076" t="str">
            <v>RECO</v>
          </cell>
          <cell r="I3076" t="str">
            <v>REGIMEN COMUN</v>
          </cell>
          <cell r="J3076" t="str">
            <v xml:space="preserve"> CR 23  25 61 OF 1205</v>
          </cell>
          <cell r="K3076" t="str">
            <v>17001</v>
          </cell>
          <cell r="L3076" t="str">
            <v>MANIZALES</v>
          </cell>
          <cell r="M3076" t="str">
            <v>8842031</v>
          </cell>
        </row>
        <row r="3077">
          <cell r="A3077">
            <v>800180375</v>
          </cell>
          <cell r="B3077" t="str">
            <v>1</v>
          </cell>
          <cell r="C3077" t="str">
            <v/>
          </cell>
          <cell r="D3077" t="str">
            <v>NJ</v>
          </cell>
          <cell r="E3077" t="str">
            <v/>
          </cell>
          <cell r="F3077" t="str">
            <v/>
          </cell>
          <cell r="G3077" t="str">
            <v>ADMINISTRADORA HOTELERA DANN LTDA</v>
          </cell>
          <cell r="H3077" t="str">
            <v>GRAU</v>
          </cell>
          <cell r="I3077" t="str">
            <v>GRAN CONTRIBUYENTE AUTORRETENEDO</v>
          </cell>
          <cell r="J3077" t="str">
            <v>CL 93 B 19 44</v>
          </cell>
          <cell r="K3077" t="str">
            <v>11001</v>
          </cell>
          <cell r="L3077" t="str">
            <v>BOGOTA DC</v>
          </cell>
          <cell r="M3077" t="str">
            <v>6461885</v>
          </cell>
        </row>
        <row r="3078">
          <cell r="A3078">
            <v>800180748</v>
          </cell>
          <cell r="B3078" t="str">
            <v>3</v>
          </cell>
          <cell r="C3078" t="str">
            <v/>
          </cell>
          <cell r="D3078" t="str">
            <v>NJ</v>
          </cell>
          <cell r="E3078" t="str">
            <v/>
          </cell>
          <cell r="F3078" t="str">
            <v/>
          </cell>
          <cell r="G3078" t="str">
            <v>CASA DEL BOMBILLO No.3 SAS</v>
          </cell>
          <cell r="H3078" t="str">
            <v>GRCO</v>
          </cell>
          <cell r="I3078" t="str">
            <v>GRAN CONTRIBUYENTE</v>
          </cell>
          <cell r="J3078" t="str">
            <v>AV SANTANDER   02 E 50</v>
          </cell>
          <cell r="K3078" t="str">
            <v>66001</v>
          </cell>
          <cell r="L3078" t="str">
            <v>PEREIRA</v>
          </cell>
          <cell r="M3078" t="str">
            <v>3314531</v>
          </cell>
        </row>
        <row r="3079">
          <cell r="A3079">
            <v>800180787</v>
          </cell>
          <cell r="B3079" t="str">
            <v>0</v>
          </cell>
          <cell r="C3079" t="str">
            <v/>
          </cell>
          <cell r="D3079" t="str">
            <v>NJ</v>
          </cell>
          <cell r="E3079" t="str">
            <v/>
          </cell>
          <cell r="F3079" t="str">
            <v/>
          </cell>
          <cell r="G3079" t="str">
            <v>ESPINOSA INGENIERIA SAS</v>
          </cell>
          <cell r="H3079" t="str">
            <v>RECO</v>
          </cell>
          <cell r="I3079" t="str">
            <v>REGIMEN COMUN</v>
          </cell>
          <cell r="J3079" t="str">
            <v>CR 4 E  S  T  A  D  I  O  39 107</v>
          </cell>
          <cell r="K3079" t="str">
            <v>73001</v>
          </cell>
          <cell r="L3079" t="str">
            <v>IBAGUÉ</v>
          </cell>
          <cell r="M3079" t="str">
            <v>2643023</v>
          </cell>
        </row>
        <row r="3080">
          <cell r="A3080">
            <v>800181509</v>
          </cell>
          <cell r="B3080" t="str">
            <v>4</v>
          </cell>
          <cell r="C3080" t="str">
            <v/>
          </cell>
          <cell r="D3080" t="str">
            <v>NJ</v>
          </cell>
          <cell r="E3080" t="str">
            <v/>
          </cell>
          <cell r="F3080" t="str">
            <v/>
          </cell>
          <cell r="G3080" t="str">
            <v>HERRAMIENTAS Y SEGURIDAD SA</v>
          </cell>
          <cell r="H3080" t="str">
            <v>RCAU</v>
          </cell>
          <cell r="I3080" t="str">
            <v>RESPONSABLE IVA - AUTORETENEDOR</v>
          </cell>
          <cell r="J3080" t="str">
            <v>CR 28 A  15 28</v>
          </cell>
          <cell r="K3080" t="str">
            <v>11001</v>
          </cell>
          <cell r="L3080" t="str">
            <v>BOGOTA DC</v>
          </cell>
          <cell r="M3080" t="str">
            <v>3708675</v>
          </cell>
        </row>
        <row r="3081">
          <cell r="A3081">
            <v>800182281</v>
          </cell>
          <cell r="B3081" t="str">
            <v>5</v>
          </cell>
          <cell r="C3081" t="str">
            <v/>
          </cell>
          <cell r="D3081" t="str">
            <v>NJ</v>
          </cell>
          <cell r="E3081" t="str">
            <v/>
          </cell>
          <cell r="F3081" t="str">
            <v/>
          </cell>
          <cell r="G3081" t="str">
            <v>FIDUCIARIA DAVIVIENDA SA</v>
          </cell>
          <cell r="H3081" t="str">
            <v>GRAU</v>
          </cell>
          <cell r="I3081" t="str">
            <v>GRAN CONTRIBUYENTE AUTORRETENEDO</v>
          </cell>
          <cell r="J3081" t="str">
            <v>AV EL DORADO   68 B 85 P 2</v>
          </cell>
          <cell r="K3081" t="str">
            <v>11001</v>
          </cell>
          <cell r="L3081" t="str">
            <v>BOGOTA DC</v>
          </cell>
          <cell r="M3081" t="str">
            <v>3300000 ext 9233</v>
          </cell>
        </row>
        <row r="3082">
          <cell r="A3082">
            <v>800183887</v>
          </cell>
          <cell r="B3082" t="str">
            <v>2</v>
          </cell>
          <cell r="C3082" t="str">
            <v/>
          </cell>
          <cell r="D3082" t="str">
            <v>NJ</v>
          </cell>
          <cell r="E3082" t="str">
            <v/>
          </cell>
          <cell r="F3082" t="str">
            <v/>
          </cell>
          <cell r="G3082" t="str">
            <v>TMI DE COLOMBIA LTDA</v>
          </cell>
          <cell r="H3082" t="str">
            <v>RECO</v>
          </cell>
          <cell r="I3082" t="str">
            <v>REGIMEN COMUN</v>
          </cell>
          <cell r="J3082" t="str">
            <v xml:space="preserve"> CL 2 T  2    135 PARCELACIÓN LA DOLORES</v>
          </cell>
          <cell r="K3082" t="str">
            <v>76520</v>
          </cell>
          <cell r="L3082" t="str">
            <v>PALMIRA</v>
          </cell>
          <cell r="M3082" t="str">
            <v>6669123</v>
          </cell>
        </row>
        <row r="3083">
          <cell r="A3083">
            <v>800184195</v>
          </cell>
          <cell r="B3083" t="str">
            <v>9</v>
          </cell>
          <cell r="C3083" t="str">
            <v/>
          </cell>
          <cell r="D3083" t="str">
            <v>NJ</v>
          </cell>
          <cell r="E3083" t="str">
            <v/>
          </cell>
          <cell r="F3083" t="str">
            <v/>
          </cell>
          <cell r="G3083" t="str">
            <v>BUREAU VERITAS COLOMBIA LTDA</v>
          </cell>
          <cell r="H3083" t="str">
            <v>GRAU</v>
          </cell>
          <cell r="I3083" t="str">
            <v>GRAN CONTRIBUYENTE AUTORRETENEDO</v>
          </cell>
          <cell r="J3083" t="str">
            <v>CR 16 97 40 TO 1 OF 401 ED TORRE 97</v>
          </cell>
          <cell r="K3083" t="str">
            <v>11001</v>
          </cell>
          <cell r="L3083" t="str">
            <v>BOGOTA DC</v>
          </cell>
          <cell r="M3083" t="str">
            <v>3129191</v>
          </cell>
        </row>
        <row r="3084">
          <cell r="A3084">
            <v>800185008</v>
          </cell>
          <cell r="B3084" t="str">
            <v>4</v>
          </cell>
          <cell r="C3084" t="str">
            <v/>
          </cell>
          <cell r="D3084" t="str">
            <v>NJ</v>
          </cell>
          <cell r="E3084" t="str">
            <v/>
          </cell>
          <cell r="F3084" t="str">
            <v/>
          </cell>
          <cell r="G3084" t="str">
            <v>THOMAS INSTRUMENTS S A</v>
          </cell>
          <cell r="H3084" t="str">
            <v>GRCO</v>
          </cell>
          <cell r="I3084" t="str">
            <v>GRAN CONTRIBUYENTE</v>
          </cell>
          <cell r="J3084" t="str">
            <v>CL 67   7-35 P 9</v>
          </cell>
          <cell r="K3084" t="str">
            <v>03</v>
          </cell>
          <cell r="L3084" t="str">
            <v>BOGOTA</v>
          </cell>
          <cell r="M3084" t="str">
            <v>3469590</v>
          </cell>
        </row>
        <row r="3085">
          <cell r="A3085">
            <v>800185306</v>
          </cell>
          <cell r="B3085" t="str">
            <v>4</v>
          </cell>
          <cell r="C3085" t="str">
            <v/>
          </cell>
          <cell r="D3085" t="str">
            <v>NJ</v>
          </cell>
          <cell r="E3085" t="str">
            <v/>
          </cell>
          <cell r="F3085" t="str">
            <v/>
          </cell>
          <cell r="G3085" t="str">
            <v>COLVANES SAS</v>
          </cell>
          <cell r="H3085" t="str">
            <v>GRAU</v>
          </cell>
          <cell r="I3085" t="str">
            <v>GRAN CONTRIBUYENTE AUTORRETENEDO</v>
          </cell>
          <cell r="J3085" t="str">
            <v>TV 60   114   59</v>
          </cell>
          <cell r="K3085" t="str">
            <v>11001</v>
          </cell>
          <cell r="L3085" t="str">
            <v>BOGOTA DC</v>
          </cell>
          <cell r="M3085" t="str">
            <v>4239666</v>
          </cell>
        </row>
        <row r="3086">
          <cell r="A3086">
            <v>800185336</v>
          </cell>
          <cell r="B3086" t="str">
            <v>5</v>
          </cell>
          <cell r="C3086" t="str">
            <v/>
          </cell>
          <cell r="D3086" t="str">
            <v>NJ</v>
          </cell>
          <cell r="E3086" t="str">
            <v/>
          </cell>
          <cell r="F3086" t="str">
            <v/>
          </cell>
          <cell r="G3086" t="str">
            <v>INGEOYSIS SA</v>
          </cell>
          <cell r="H3086" t="str">
            <v>IMVE</v>
          </cell>
          <cell r="I3086" t="str">
            <v>IMPUESTO SOBRE LAS VENTAS</v>
          </cell>
          <cell r="J3086" t="str">
            <v>CR 27 N 81 C 04 C A 21 CON RINCON DEL TREBOL</v>
          </cell>
          <cell r="K3086" t="str">
            <v>17001</v>
          </cell>
          <cell r="L3086" t="str">
            <v>MANIZALES</v>
          </cell>
          <cell r="M3086" t="str">
            <v>3012230419</v>
          </cell>
        </row>
        <row r="3087">
          <cell r="A3087">
            <v>800185534</v>
          </cell>
          <cell r="B3087" t="str">
            <v>7</v>
          </cell>
          <cell r="C3087" t="str">
            <v/>
          </cell>
          <cell r="D3087" t="str">
            <v>NJ</v>
          </cell>
          <cell r="E3087" t="str">
            <v/>
          </cell>
          <cell r="F3087" t="str">
            <v/>
          </cell>
          <cell r="G3087" t="str">
            <v>APLICACIONES TECNICAS E INVERSIONES S.A.S.</v>
          </cell>
          <cell r="H3087" t="str">
            <v>IMVE</v>
          </cell>
          <cell r="I3087" t="str">
            <v>IMPUESTO SOBRE LAS VENTAS</v>
          </cell>
          <cell r="J3087" t="str">
            <v>CR 67 A  94 A 40</v>
          </cell>
          <cell r="K3087" t="str">
            <v>11001</v>
          </cell>
          <cell r="L3087" t="str">
            <v>BOGOTA DC</v>
          </cell>
          <cell r="M3087" t="str">
            <v>6139880</v>
          </cell>
        </row>
        <row r="3088">
          <cell r="A3088">
            <v>800188154</v>
          </cell>
          <cell r="B3088" t="str">
            <v>5</v>
          </cell>
          <cell r="C3088" t="str">
            <v/>
          </cell>
          <cell r="D3088" t="str">
            <v>NJ</v>
          </cell>
          <cell r="E3088" t="str">
            <v/>
          </cell>
          <cell r="F3088" t="str">
            <v/>
          </cell>
          <cell r="G3088" t="str">
            <v>COOPERATIVA DE TRANSPORTADORES ESCOLARES Y ESPECIALES DE CALDAS</v>
          </cell>
          <cell r="H3088" t="str">
            <v>IMVE</v>
          </cell>
          <cell r="I3088" t="str">
            <v>IMPUESTO SOBRE LAS VENTAS</v>
          </cell>
          <cell r="J3088" t="str">
            <v>CL 7 A 9 31 BRR CHIPRE</v>
          </cell>
          <cell r="K3088" t="str">
            <v>17001</v>
          </cell>
          <cell r="L3088" t="str">
            <v>MANIZALES</v>
          </cell>
          <cell r="M3088" t="str">
            <v>3217375381</v>
          </cell>
        </row>
        <row r="3089">
          <cell r="A3089">
            <v>800188175</v>
          </cell>
          <cell r="B3089" t="str">
            <v>1</v>
          </cell>
          <cell r="C3089" t="str">
            <v/>
          </cell>
          <cell r="D3089" t="str">
            <v>NJ</v>
          </cell>
          <cell r="E3089" t="str">
            <v/>
          </cell>
          <cell r="F3089" t="str">
            <v/>
          </cell>
          <cell r="G3089" t="str">
            <v>COMPAÑIA TECNICA EN MONTAJES INDUSTRIALES E INTERVE</v>
          </cell>
          <cell r="H3089" t="str">
            <v>IMVE</v>
          </cell>
          <cell r="I3089" t="str">
            <v>IMPUESTO SOBRE LAS VENTAS</v>
          </cell>
          <cell r="J3089" t="str">
            <v>CL 128 B BIS 49  27</v>
          </cell>
          <cell r="K3089" t="str">
            <v>11001</v>
          </cell>
          <cell r="L3089" t="str">
            <v>BOGOTA DC</v>
          </cell>
          <cell r="M3089" t="str">
            <v>2587518</v>
          </cell>
        </row>
        <row r="3090">
          <cell r="A3090">
            <v>800188412</v>
          </cell>
          <cell r="B3090" t="str">
            <v>0</v>
          </cell>
          <cell r="C3090" t="str">
            <v/>
          </cell>
          <cell r="D3090" t="str">
            <v>NJ</v>
          </cell>
          <cell r="E3090" t="str">
            <v/>
          </cell>
          <cell r="F3090" t="str">
            <v/>
          </cell>
          <cell r="G3090" t="str">
            <v>SANOHA MINERIA, MEDIO AMBIENTE Y FORESTAL S.A.S EN REORGANIZACIO</v>
          </cell>
          <cell r="H3090" t="str">
            <v>IMVE</v>
          </cell>
          <cell r="I3090" t="str">
            <v>IMPUESTO SOBRE LAS VENTAS</v>
          </cell>
          <cell r="J3090" t="str">
            <v>KM 4 VIA SOGAMOSO NOBSA</v>
          </cell>
          <cell r="K3090" t="str">
            <v>15491</v>
          </cell>
          <cell r="L3090" t="str">
            <v>NOBSA</v>
          </cell>
          <cell r="M3090" t="str">
            <v>8756262</v>
          </cell>
        </row>
        <row r="3091">
          <cell r="A3091">
            <v>800189010</v>
          </cell>
          <cell r="B3091" t="str">
            <v>8</v>
          </cell>
          <cell r="C3091" t="str">
            <v/>
          </cell>
          <cell r="D3091" t="str">
            <v>NJ</v>
          </cell>
          <cell r="E3091" t="str">
            <v/>
          </cell>
          <cell r="F3091" t="str">
            <v/>
          </cell>
          <cell r="G3091" t="str">
            <v>SOPORTE A LA INGENIERIA LTDA</v>
          </cell>
          <cell r="H3091" t="str">
            <v>RECO</v>
          </cell>
          <cell r="I3091" t="str">
            <v>REGIMEN COMUN</v>
          </cell>
          <cell r="J3091" t="str">
            <v>CR 1 39 15</v>
          </cell>
          <cell r="K3091" t="str">
            <v>76001</v>
          </cell>
          <cell r="L3091" t="str">
            <v>CALI</v>
          </cell>
          <cell r="M3091" t="str">
            <v>6823018</v>
          </cell>
        </row>
        <row r="3092">
          <cell r="A3092">
            <v>800189971</v>
          </cell>
          <cell r="B3092" t="str">
            <v>0</v>
          </cell>
          <cell r="C3092" t="str">
            <v/>
          </cell>
          <cell r="D3092" t="str">
            <v>NJ</v>
          </cell>
          <cell r="E3092" t="str">
            <v/>
          </cell>
          <cell r="F3092" t="str">
            <v/>
          </cell>
          <cell r="G3092" t="str">
            <v xml:space="preserve">KARFIL LTDA.                  </v>
          </cell>
          <cell r="H3092" t="str">
            <v>RECO</v>
          </cell>
          <cell r="I3092" t="str">
            <v>REGIMEN COMUN</v>
          </cell>
          <cell r="J3092" t="str">
            <v xml:space="preserve">CR 28   70   45   </v>
          </cell>
          <cell r="K3092" t="str">
            <v>11001</v>
          </cell>
          <cell r="L3092" t="str">
            <v>BOGOTA DC</v>
          </cell>
          <cell r="M3092" t="str">
            <v>8756262</v>
          </cell>
        </row>
        <row r="3093">
          <cell r="A3093">
            <v>800190665</v>
          </cell>
          <cell r="B3093" t="str">
            <v>3</v>
          </cell>
          <cell r="C3093" t="str">
            <v/>
          </cell>
          <cell r="D3093" t="str">
            <v>NJ</v>
          </cell>
          <cell r="E3093" t="str">
            <v/>
          </cell>
          <cell r="F3093" t="str">
            <v/>
          </cell>
          <cell r="G3093" t="str">
            <v>COMERCIALIZADORA S&amp;E Y CIA. S.A.</v>
          </cell>
          <cell r="H3093" t="str">
            <v>GRAU</v>
          </cell>
          <cell r="I3093" t="str">
            <v>GRAN CONTRIBUYENTE AUTORRETENEDO</v>
          </cell>
          <cell r="J3093" t="str">
            <v>CR 42  24 12</v>
          </cell>
          <cell r="K3093" t="str">
            <v>05360</v>
          </cell>
          <cell r="L3093" t="str">
            <v>ITAGUI</v>
          </cell>
          <cell r="M3093" t="str">
            <v>3528585</v>
          </cell>
        </row>
        <row r="3094">
          <cell r="A3094">
            <v>800191309</v>
          </cell>
          <cell r="B3094" t="str">
            <v>0</v>
          </cell>
          <cell r="C3094" t="str">
            <v/>
          </cell>
          <cell r="D3094" t="str">
            <v>NJ</v>
          </cell>
          <cell r="E3094" t="str">
            <v/>
          </cell>
          <cell r="F3094" t="str">
            <v/>
          </cell>
          <cell r="G3094" t="str">
            <v>SERVICIO INMEDIATO NACIONAL</v>
          </cell>
          <cell r="H3094" t="str">
            <v>RECO</v>
          </cell>
          <cell r="I3094" t="str">
            <v>REGIMEN COMUN</v>
          </cell>
          <cell r="J3094" t="str">
            <v>CL 7 26-42</v>
          </cell>
          <cell r="K3094" t="str">
            <v>94001</v>
          </cell>
          <cell r="L3094" t="str">
            <v>INÍRIDA</v>
          </cell>
          <cell r="M3094" t="str">
            <v>4856161</v>
          </cell>
        </row>
        <row r="3095">
          <cell r="A3095">
            <v>800191427</v>
          </cell>
          <cell r="B3095" t="str">
            <v>1</v>
          </cell>
          <cell r="C3095" t="str">
            <v>212595025</v>
          </cell>
          <cell r="D3095" t="str">
            <v>NJ</v>
          </cell>
          <cell r="E3095" t="str">
            <v/>
          </cell>
          <cell r="F3095" t="str">
            <v/>
          </cell>
          <cell r="G3095" t="str">
            <v>MUNICIPIO DE EL RETORNO</v>
          </cell>
          <cell r="H3095" t="str">
            <v>COIM</v>
          </cell>
          <cell r="I3095" t="str">
            <v>CONTROL DE IMPUESTOS</v>
          </cell>
          <cell r="J3095" t="str">
            <v>CL 13 7 13 BRR EL CENTRO</v>
          </cell>
          <cell r="K3095" t="str">
            <v>95025</v>
          </cell>
          <cell r="L3095" t="str">
            <v>EL RETORNO</v>
          </cell>
          <cell r="M3095" t="str">
            <v>3202138806</v>
          </cell>
        </row>
        <row r="3096">
          <cell r="A3096">
            <v>800192105</v>
          </cell>
          <cell r="B3096" t="str">
            <v>1</v>
          </cell>
          <cell r="C3096" t="str">
            <v/>
          </cell>
          <cell r="D3096" t="str">
            <v>NJ</v>
          </cell>
          <cell r="E3096" t="str">
            <v/>
          </cell>
          <cell r="F3096" t="str">
            <v/>
          </cell>
          <cell r="G3096" t="str">
            <v>RECORDAR PREVISION EXEQUIAL TOTAL S.A.S</v>
          </cell>
          <cell r="H3096" t="str">
            <v>REOR</v>
          </cell>
          <cell r="I3096" t="str">
            <v>RENTA REGIMEN ORDINARIO</v>
          </cell>
          <cell r="J3096" t="str">
            <v>CL 127 A 45 TO 2 OF 303 CEN ED COLPATRIA</v>
          </cell>
          <cell r="K3096" t="str">
            <v>03</v>
          </cell>
          <cell r="L3096" t="str">
            <v>BOGOTA</v>
          </cell>
          <cell r="M3096" t="str">
            <v>4898500 ext.6011</v>
          </cell>
        </row>
        <row r="3097">
          <cell r="A3097">
            <v>800192687</v>
          </cell>
          <cell r="B3097" t="str">
            <v>4</v>
          </cell>
          <cell r="C3097" t="str">
            <v/>
          </cell>
          <cell r="D3097" t="str">
            <v>NJ</v>
          </cell>
          <cell r="E3097" t="str">
            <v/>
          </cell>
          <cell r="F3097" t="str">
            <v/>
          </cell>
          <cell r="G3097" t="str">
            <v>CASTILLO ASOCIADOS LTDA</v>
          </cell>
          <cell r="H3097" t="str">
            <v>REOR</v>
          </cell>
          <cell r="I3097" t="str">
            <v>RENTA REGIMEN ORDINARIO</v>
          </cell>
          <cell r="J3097" t="str">
            <v>TV 7 6 F 28</v>
          </cell>
          <cell r="K3097" t="str">
            <v>15759</v>
          </cell>
          <cell r="L3097" t="str">
            <v>SOGAMOSO</v>
          </cell>
          <cell r="M3097" t="str">
            <v>7723463</v>
          </cell>
        </row>
        <row r="3098">
          <cell r="A3098">
            <v>800192969</v>
          </cell>
          <cell r="B3098" t="str">
            <v>6</v>
          </cell>
          <cell r="C3098" t="str">
            <v/>
          </cell>
          <cell r="D3098" t="str">
            <v>NJ</v>
          </cell>
          <cell r="E3098" t="str">
            <v/>
          </cell>
          <cell r="F3098" t="str">
            <v/>
          </cell>
          <cell r="G3098" t="str">
            <v>PROMOTORA PICCOLO S.A</v>
          </cell>
          <cell r="H3098" t="str">
            <v>RECO</v>
          </cell>
          <cell r="I3098" t="str">
            <v>REGIMEN COMUN</v>
          </cell>
          <cell r="J3098" t="str">
            <v>CL 9   13 B 43 OF 201</v>
          </cell>
          <cell r="K3098" t="str">
            <v>05001</v>
          </cell>
          <cell r="L3098" t="str">
            <v>MEDELLÍN</v>
          </cell>
          <cell r="M3098" t="str">
            <v>3115841</v>
          </cell>
        </row>
        <row r="3099">
          <cell r="A3099">
            <v>800193265</v>
          </cell>
          <cell r="B3099" t="str">
            <v>4</v>
          </cell>
          <cell r="C3099" t="str">
            <v/>
          </cell>
          <cell r="D3099" t="str">
            <v>NJ</v>
          </cell>
          <cell r="E3099" t="str">
            <v/>
          </cell>
          <cell r="F3099" t="str">
            <v/>
          </cell>
          <cell r="G3099" t="str">
            <v>KREIS MASCHINEN SOCIEDAD POR ACCIONES SIMPLIFICADAS</v>
          </cell>
          <cell r="H3099" t="str">
            <v>IMVE</v>
          </cell>
          <cell r="I3099" t="str">
            <v>IMPUESTO SOBRE LAS VENTAS</v>
          </cell>
          <cell r="J3099" t="str">
            <v>TV 60 AV SUBA 115 58 TO B OF 613</v>
          </cell>
          <cell r="K3099" t="str">
            <v>11001</v>
          </cell>
          <cell r="L3099" t="str">
            <v>BOGOTA DC</v>
          </cell>
          <cell r="M3099" t="str">
            <v>2268056</v>
          </cell>
        </row>
        <row r="3100">
          <cell r="A3100">
            <v>800193759</v>
          </cell>
          <cell r="B3100" t="str">
            <v>0</v>
          </cell>
          <cell r="C3100" t="str">
            <v/>
          </cell>
          <cell r="D3100" t="str">
            <v>NJ</v>
          </cell>
          <cell r="E3100" t="str">
            <v/>
          </cell>
          <cell r="F3100" t="str">
            <v/>
          </cell>
          <cell r="G3100" t="str">
            <v>INGENIERIA Y REPRESENTACIONES S.A.</v>
          </cell>
          <cell r="H3100" t="str">
            <v>RECO</v>
          </cell>
          <cell r="I3100" t="str">
            <v>REGIMEN COMUN</v>
          </cell>
          <cell r="J3100" t="str">
            <v>CL 41 N  1 N  03</v>
          </cell>
          <cell r="K3100" t="str">
            <v>76001</v>
          </cell>
          <cell r="L3100" t="str">
            <v>CALI</v>
          </cell>
          <cell r="M3100" t="str">
            <v>4359426</v>
          </cell>
        </row>
        <row r="3101">
          <cell r="A3101">
            <v>800194208</v>
          </cell>
          <cell r="B3101" t="str">
            <v>9</v>
          </cell>
          <cell r="C3101" t="str">
            <v>54617000</v>
          </cell>
          <cell r="D3101" t="str">
            <v>NJ</v>
          </cell>
          <cell r="E3101" t="str">
            <v/>
          </cell>
          <cell r="F3101" t="str">
            <v/>
          </cell>
          <cell r="G3101" t="str">
            <v>GESTION ENERGETICA S.A. E.S.P</v>
          </cell>
          <cell r="H3101" t="str">
            <v>GRAU</v>
          </cell>
          <cell r="I3101" t="str">
            <v>GRAN CONTRIBUYENTE AUTORRETENEDO</v>
          </cell>
          <cell r="J3101" t="str">
            <v>CR 23 64 B 33 BRR LAURELES</v>
          </cell>
          <cell r="K3101" t="str">
            <v>17001</v>
          </cell>
          <cell r="L3101" t="str">
            <v>MANIZALES</v>
          </cell>
          <cell r="M3101" t="str">
            <v>8756262</v>
          </cell>
        </row>
        <row r="3102">
          <cell r="A3102">
            <v>800194630</v>
          </cell>
          <cell r="B3102" t="str">
            <v>4</v>
          </cell>
          <cell r="C3102" t="str">
            <v/>
          </cell>
          <cell r="D3102" t="str">
            <v>NJ</v>
          </cell>
          <cell r="E3102" t="str">
            <v/>
          </cell>
          <cell r="F3102" t="str">
            <v/>
          </cell>
          <cell r="G3102" t="str">
            <v>SATELITE SEGURIDAD INDUSTRIAL SAS</v>
          </cell>
          <cell r="H3102" t="str">
            <v>IMVE</v>
          </cell>
          <cell r="I3102" t="str">
            <v>IMPUESTO SOBRE LAS VENTAS</v>
          </cell>
          <cell r="J3102" t="str">
            <v>CR 21   32   65</v>
          </cell>
          <cell r="K3102" t="str">
            <v>17001</v>
          </cell>
          <cell r="L3102" t="str">
            <v>MANIZALES</v>
          </cell>
          <cell r="M3102" t="str">
            <v>8848405</v>
          </cell>
        </row>
        <row r="3103">
          <cell r="A3103">
            <v>800195723</v>
          </cell>
          <cell r="B3103" t="str">
            <v>5</v>
          </cell>
          <cell r="C3103" t="str">
            <v/>
          </cell>
          <cell r="D3103" t="str">
            <v>NJ</v>
          </cell>
          <cell r="E3103" t="str">
            <v/>
          </cell>
          <cell r="F3103" t="str">
            <v/>
          </cell>
          <cell r="G3103" t="str">
            <v>FUSION F &amp; G S.A.S</v>
          </cell>
          <cell r="H3103" t="str">
            <v>RECO</v>
          </cell>
          <cell r="I3103" t="str">
            <v>REGIMEN COMUN</v>
          </cell>
          <cell r="J3103" t="str">
            <v xml:space="preserve">CL 64 24 61                          </v>
          </cell>
          <cell r="K3103" t="str">
            <v>17001</v>
          </cell>
          <cell r="L3103" t="str">
            <v>MANIZALES</v>
          </cell>
          <cell r="M3103" t="str">
            <v>8859669</v>
          </cell>
        </row>
        <row r="3104">
          <cell r="A3104">
            <v>800196048</v>
          </cell>
          <cell r="B3104" t="str">
            <v>6</v>
          </cell>
          <cell r="C3104" t="str">
            <v/>
          </cell>
          <cell r="D3104" t="str">
            <v>NJ</v>
          </cell>
          <cell r="E3104" t="str">
            <v/>
          </cell>
          <cell r="F3104" t="str">
            <v/>
          </cell>
          <cell r="G3104" t="str">
            <v>TEKTRON COMUNICACIONES LTDA.</v>
          </cell>
          <cell r="H3104" t="str">
            <v>IMVE</v>
          </cell>
          <cell r="I3104" t="str">
            <v>IMPUESTO SOBRE LAS VENTAS</v>
          </cell>
          <cell r="J3104" t="str">
            <v>CL 169 B 75 60 T 1 OF 101</v>
          </cell>
          <cell r="K3104" t="str">
            <v>11001</v>
          </cell>
          <cell r="L3104" t="str">
            <v>BOGOTA DC</v>
          </cell>
          <cell r="M3104" t="str">
            <v>6354082</v>
          </cell>
        </row>
        <row r="3105">
          <cell r="A3105">
            <v>800197268</v>
          </cell>
          <cell r="B3105" t="str">
            <v>4</v>
          </cell>
          <cell r="C3105" t="str">
            <v>910300000</v>
          </cell>
          <cell r="D3105" t="str">
            <v>NJ</v>
          </cell>
          <cell r="E3105" t="str">
            <v/>
          </cell>
          <cell r="F3105" t="str">
            <v/>
          </cell>
          <cell r="G3105" t="str">
            <v>DIRECCION DE IMPUESTOS Y ADUANAS NACIONALES</v>
          </cell>
          <cell r="H3105" t="str">
            <v>COIM</v>
          </cell>
          <cell r="I3105" t="str">
            <v>CONTROL DE IMPUESTOS</v>
          </cell>
          <cell r="J3105" t="str">
            <v>CL 22 23 17</v>
          </cell>
          <cell r="K3105" t="str">
            <v>11001</v>
          </cell>
          <cell r="L3105" t="str">
            <v>BOGOTA DC</v>
          </cell>
          <cell r="M3105" t="str">
            <v>8854643</v>
          </cell>
        </row>
        <row r="3106">
          <cell r="A3106">
            <v>800198281</v>
          </cell>
          <cell r="B3106" t="str">
            <v>5</v>
          </cell>
          <cell r="C3106" t="str">
            <v/>
          </cell>
          <cell r="D3106" t="str">
            <v>NJ</v>
          </cell>
          <cell r="E3106" t="str">
            <v/>
          </cell>
          <cell r="F3106" t="str">
            <v/>
          </cell>
          <cell r="G3106" t="str">
            <v xml:space="preserve">PENSIONES Y CESANTIAS PROTECCION                            </v>
          </cell>
          <cell r="H3106" t="str">
            <v>RECO</v>
          </cell>
          <cell r="I3106" t="str">
            <v>REGIMEN COMUN</v>
          </cell>
          <cell r="J3106" t="str">
            <v xml:space="preserve">CR 23  N 63 15                     </v>
          </cell>
          <cell r="K3106" t="str">
            <v>17001</v>
          </cell>
          <cell r="L3106" t="str">
            <v>MANIZALES</v>
          </cell>
          <cell r="M3106" t="str">
            <v>8861917</v>
          </cell>
        </row>
        <row r="3107">
          <cell r="A3107">
            <v>800198644</v>
          </cell>
          <cell r="B3107" t="str">
            <v>5</v>
          </cell>
          <cell r="C3107" t="str">
            <v/>
          </cell>
          <cell r="D3107" t="str">
            <v>NJ</v>
          </cell>
          <cell r="E3107" t="str">
            <v/>
          </cell>
          <cell r="F3107" t="str">
            <v/>
          </cell>
          <cell r="G3107" t="str">
            <v>COLFONDOS SA PENSIONES Y CESANTIAS</v>
          </cell>
          <cell r="H3107" t="str">
            <v>RECO</v>
          </cell>
          <cell r="I3107" t="str">
            <v>REGIMEN COMUN</v>
          </cell>
          <cell r="J3107" t="str">
            <v>CL 62   24</v>
          </cell>
          <cell r="K3107" t="str">
            <v>17001</v>
          </cell>
          <cell r="L3107" t="str">
            <v>MANIZALES</v>
          </cell>
          <cell r="M3107" t="str">
            <v>8888888</v>
          </cell>
        </row>
        <row r="3108">
          <cell r="A3108">
            <v>800199501</v>
          </cell>
          <cell r="B3108" t="str">
            <v>5</v>
          </cell>
          <cell r="C3108" t="str">
            <v/>
          </cell>
          <cell r="D3108" t="str">
            <v>NJ</v>
          </cell>
          <cell r="E3108" t="str">
            <v/>
          </cell>
          <cell r="F3108" t="str">
            <v/>
          </cell>
          <cell r="G3108" t="str">
            <v xml:space="preserve">CENTRO COMERCIAL DE DE NEGOCIOS ANDINO                      </v>
          </cell>
          <cell r="H3108" t="str">
            <v>RECO</v>
          </cell>
          <cell r="I3108" t="str">
            <v>REGIMEN COMUN</v>
          </cell>
          <cell r="J3108" t="str">
            <v xml:space="preserve">CARRERA 11 BOGOTA                       </v>
          </cell>
          <cell r="K3108" t="str">
            <v>11001</v>
          </cell>
          <cell r="L3108" t="str">
            <v>BOGOTA DC</v>
          </cell>
          <cell r="M3108" t="str">
            <v>6213111</v>
          </cell>
        </row>
        <row r="3109">
          <cell r="A3109">
            <v>800199713</v>
          </cell>
          <cell r="B3109" t="str">
            <v>1</v>
          </cell>
          <cell r="C3109" t="str">
            <v/>
          </cell>
          <cell r="D3109" t="str">
            <v>NJ</v>
          </cell>
          <cell r="E3109" t="str">
            <v/>
          </cell>
          <cell r="F3109" t="str">
            <v/>
          </cell>
          <cell r="G3109" t="str">
            <v>FIPRO LTDA</v>
          </cell>
          <cell r="H3109" t="str">
            <v>RECO</v>
          </cell>
          <cell r="I3109" t="str">
            <v>REGIMEN COMUN</v>
          </cell>
          <cell r="J3109" t="str">
            <v xml:space="preserve"> AUT NORTE  KM 7</v>
          </cell>
          <cell r="K3109" t="str">
            <v>15238</v>
          </cell>
          <cell r="L3109" t="str">
            <v>DUITAMA</v>
          </cell>
          <cell r="M3109" t="str">
            <v>3105758718</v>
          </cell>
        </row>
        <row r="3110">
          <cell r="A3110">
            <v>800200388</v>
          </cell>
          <cell r="B3110" t="str">
            <v>2</v>
          </cell>
          <cell r="C3110" t="str">
            <v/>
          </cell>
          <cell r="D3110" t="str">
            <v>NJ</v>
          </cell>
          <cell r="E3110" t="str">
            <v/>
          </cell>
          <cell r="F3110" t="str">
            <v/>
          </cell>
          <cell r="G3110" t="str">
            <v>CONTROL E INSTRUMENTACION INDUSTRIAL DE COLOMBIA SAS</v>
          </cell>
          <cell r="H3110" t="str">
            <v>RECO</v>
          </cell>
          <cell r="I3110" t="str">
            <v>REGIMEN COMUN</v>
          </cell>
          <cell r="J3110" t="str">
            <v>CL 28 N 6 B N 11 BRR SANTA MONICA RESIDENCIAL</v>
          </cell>
          <cell r="K3110" t="str">
            <v>76001</v>
          </cell>
          <cell r="L3110" t="str">
            <v>CALI</v>
          </cell>
          <cell r="M3110" t="str">
            <v>5240161</v>
          </cell>
        </row>
        <row r="3111">
          <cell r="A3111">
            <v>800200439</v>
          </cell>
          <cell r="B3111" t="str">
            <v>1</v>
          </cell>
          <cell r="C3111" t="str">
            <v/>
          </cell>
          <cell r="D3111" t="str">
            <v>NJ</v>
          </cell>
          <cell r="E3111" t="str">
            <v/>
          </cell>
          <cell r="F3111" t="str">
            <v/>
          </cell>
          <cell r="G3111" t="str">
            <v>UNIVERSAL DE PRODUCTOS Y SERVICIOS SAS</v>
          </cell>
          <cell r="H3111" t="str">
            <v>IMVE</v>
          </cell>
          <cell r="I3111" t="str">
            <v>IMPUESTO SOBRE LAS VENTAS</v>
          </cell>
          <cell r="J3111" t="str">
            <v>AUT SUR CR 7 39 A 119</v>
          </cell>
          <cell r="K3111" t="str">
            <v>25754</v>
          </cell>
          <cell r="L3111" t="str">
            <v>SOACHA</v>
          </cell>
          <cell r="M3111" t="str">
            <v>7764528</v>
          </cell>
        </row>
        <row r="3112">
          <cell r="A3112">
            <v>800201888</v>
          </cell>
          <cell r="B3112" t="str">
            <v>8</v>
          </cell>
          <cell r="C3112" t="str">
            <v/>
          </cell>
          <cell r="D3112" t="str">
            <v>NJ</v>
          </cell>
          <cell r="E3112" t="str">
            <v/>
          </cell>
          <cell r="F3112" t="str">
            <v/>
          </cell>
          <cell r="G3112" t="str">
            <v>DISEÑOS CASA REAL LTDA</v>
          </cell>
          <cell r="H3112" t="str">
            <v>RECO</v>
          </cell>
          <cell r="I3112" t="str">
            <v>REGIMEN COMUN</v>
          </cell>
          <cell r="J3112" t="str">
            <v>CL 128 B 58 C 50 IN 8 OF 403</v>
          </cell>
          <cell r="K3112" t="str">
            <v>11001</v>
          </cell>
          <cell r="L3112" t="str">
            <v>BOGOTA DC</v>
          </cell>
          <cell r="M3112" t="str">
            <v>3148867789</v>
          </cell>
        </row>
        <row r="3113">
          <cell r="A3113">
            <v>800203168</v>
          </cell>
          <cell r="B3113" t="str">
            <v>2</v>
          </cell>
          <cell r="C3113" t="str">
            <v/>
          </cell>
          <cell r="D3113" t="str">
            <v>NJ</v>
          </cell>
          <cell r="E3113" t="str">
            <v/>
          </cell>
          <cell r="F3113" t="str">
            <v/>
          </cell>
          <cell r="G3113" t="str">
            <v xml:space="preserve">Z COMUNICACIONES S.A                                        </v>
          </cell>
          <cell r="H3113" t="str">
            <v>IMVE</v>
          </cell>
          <cell r="I3113" t="str">
            <v>IMPUESTO SOBRE LAS VENTAS</v>
          </cell>
          <cell r="J3113" t="str">
            <v>CR 48 26 SUR 181 LC 103</v>
          </cell>
          <cell r="K3113" t="str">
            <v>05266</v>
          </cell>
          <cell r="L3113" t="str">
            <v>ENVIGADO</v>
          </cell>
          <cell r="M3113" t="str">
            <v>4442626</v>
          </cell>
        </row>
        <row r="3114">
          <cell r="A3114">
            <v>800204305</v>
          </cell>
          <cell r="B3114" t="str">
            <v>1</v>
          </cell>
          <cell r="C3114" t="str">
            <v/>
          </cell>
          <cell r="D3114" t="str">
            <v>NJ</v>
          </cell>
          <cell r="E3114" t="str">
            <v/>
          </cell>
          <cell r="F3114" t="str">
            <v/>
          </cell>
          <cell r="G3114" t="str">
            <v>SERVICIOS GENERALES MANTENIMIENTO Y CONSTRUCCIONES LTDA</v>
          </cell>
          <cell r="H3114" t="str">
            <v>IMVE</v>
          </cell>
          <cell r="I3114" t="str">
            <v>IMPUESTO SOBRE LAS VENTAS</v>
          </cell>
          <cell r="J3114" t="str">
            <v>PAR INDUSTRIAL Y ARTESANAL DE PAIPA KM 5 VIA PAIPA</v>
          </cell>
          <cell r="K3114" t="str">
            <v>15516</v>
          </cell>
          <cell r="L3114" t="str">
            <v>PAIPA</v>
          </cell>
          <cell r="M3114" t="str">
            <v>3163968432</v>
          </cell>
        </row>
        <row r="3115">
          <cell r="A3115">
            <v>800204837</v>
          </cell>
          <cell r="B3115" t="str">
            <v>6</v>
          </cell>
          <cell r="C3115" t="str">
            <v/>
          </cell>
          <cell r="D3115" t="str">
            <v>NJ</v>
          </cell>
          <cell r="E3115" t="str">
            <v/>
          </cell>
          <cell r="F3115" t="str">
            <v/>
          </cell>
          <cell r="G3115" t="str">
            <v>NEUMAIR REPRESENTACIONES SAS</v>
          </cell>
          <cell r="H3115" t="str">
            <v>RECO</v>
          </cell>
          <cell r="I3115" t="str">
            <v>REGIMEN COMUN</v>
          </cell>
          <cell r="J3115" t="str">
            <v>CR 20 169 19</v>
          </cell>
          <cell r="K3115" t="str">
            <v>11001</v>
          </cell>
          <cell r="L3115" t="str">
            <v>BOGOTA DC</v>
          </cell>
          <cell r="M3115" t="str">
            <v>4747012</v>
          </cell>
        </row>
        <row r="3116">
          <cell r="A3116">
            <v>800209088</v>
          </cell>
          <cell r="B3116" t="str">
            <v>9</v>
          </cell>
          <cell r="C3116" t="str">
            <v/>
          </cell>
          <cell r="D3116" t="str">
            <v>NJ</v>
          </cell>
          <cell r="E3116" t="str">
            <v/>
          </cell>
          <cell r="F3116" t="str">
            <v/>
          </cell>
          <cell r="G3116" t="str">
            <v>VIPERS LTDA</v>
          </cell>
          <cell r="H3116" t="str">
            <v>RECO</v>
          </cell>
          <cell r="I3116" t="str">
            <v>REGIMEN COMUN</v>
          </cell>
          <cell r="J3116" t="str">
            <v>CL 29 18 81 BRR SAN JOSE</v>
          </cell>
          <cell r="K3116" t="str">
            <v>23001</v>
          </cell>
          <cell r="L3116" t="str">
            <v>MONTERÍA</v>
          </cell>
          <cell r="M3116" t="str">
            <v>3126869608</v>
          </cell>
        </row>
        <row r="3117">
          <cell r="A3117">
            <v>800209493</v>
          </cell>
          <cell r="B3117" t="str">
            <v>9</v>
          </cell>
          <cell r="C3117" t="str">
            <v/>
          </cell>
          <cell r="D3117" t="str">
            <v>NJ</v>
          </cell>
          <cell r="E3117" t="str">
            <v/>
          </cell>
          <cell r="F3117" t="str">
            <v/>
          </cell>
          <cell r="G3117" t="str">
            <v>COMERCIALIZADORA ELECTRONICA BOGOTA SAS</v>
          </cell>
          <cell r="H3117" t="str">
            <v>RECO</v>
          </cell>
          <cell r="I3117" t="str">
            <v>REGIMEN COMUN</v>
          </cell>
          <cell r="J3117" t="str">
            <v>CR 9 21 72</v>
          </cell>
          <cell r="K3117" t="str">
            <v>11001</v>
          </cell>
          <cell r="L3117" t="str">
            <v>BOGOTA DC</v>
          </cell>
          <cell r="M3117" t="str">
            <v>3424091</v>
          </cell>
        </row>
        <row r="3118">
          <cell r="A3118">
            <v>800209719</v>
          </cell>
          <cell r="B3118" t="str">
            <v>8</v>
          </cell>
          <cell r="C3118" t="str">
            <v/>
          </cell>
          <cell r="D3118" t="str">
            <v>NJ</v>
          </cell>
          <cell r="E3118" t="str">
            <v/>
          </cell>
          <cell r="F3118" t="str">
            <v/>
          </cell>
          <cell r="G3118" t="str">
            <v>AEROLINEAS PETROLERAS S.A.S</v>
          </cell>
          <cell r="H3118" t="str">
            <v>RECO</v>
          </cell>
          <cell r="I3118" t="str">
            <v>REGIMEN COMUN</v>
          </cell>
          <cell r="J3118" t="str">
            <v>AER EL ALCARAVAN</v>
          </cell>
          <cell r="K3118" t="str">
            <v>85001</v>
          </cell>
          <cell r="L3118" t="str">
            <v>YOPAL</v>
          </cell>
          <cell r="M3118" t="str">
            <v>6349375</v>
          </cell>
        </row>
        <row r="3119">
          <cell r="A3119">
            <v>800212914</v>
          </cell>
          <cell r="B3119" t="str">
            <v>9</v>
          </cell>
          <cell r="C3119" t="str">
            <v/>
          </cell>
          <cell r="D3119" t="str">
            <v>NJ</v>
          </cell>
          <cell r="E3119" t="str">
            <v/>
          </cell>
          <cell r="F3119" t="str">
            <v/>
          </cell>
          <cell r="G3119" t="str">
            <v>DISAMETALES SAS</v>
          </cell>
          <cell r="H3119" t="str">
            <v>IMVE</v>
          </cell>
          <cell r="I3119" t="str">
            <v>IMPUESTO SOBRE LAS VENTAS</v>
          </cell>
          <cell r="J3119" t="str">
            <v xml:space="preserve">CL 13 56 71                            </v>
          </cell>
          <cell r="K3119" t="str">
            <v>11001</v>
          </cell>
          <cell r="L3119" t="str">
            <v>BOGOTA DC</v>
          </cell>
          <cell r="M3119" t="str">
            <v>4206624</v>
          </cell>
        </row>
        <row r="3120">
          <cell r="A3120">
            <v>800213470</v>
          </cell>
          <cell r="B3120" t="str">
            <v>5</v>
          </cell>
          <cell r="C3120" t="str">
            <v/>
          </cell>
          <cell r="D3120" t="str">
            <v>NJ</v>
          </cell>
          <cell r="E3120" t="str">
            <v/>
          </cell>
          <cell r="F3120" t="str">
            <v/>
          </cell>
          <cell r="G3120" t="str">
            <v>DAPHNIA LTDA.</v>
          </cell>
          <cell r="H3120" t="str">
            <v>RECO</v>
          </cell>
          <cell r="I3120" t="str">
            <v>REGIMEN COMUN</v>
          </cell>
          <cell r="J3120" t="str">
            <v xml:space="preserve"> CR  4 57 08</v>
          </cell>
          <cell r="K3120" t="str">
            <v>11001</v>
          </cell>
          <cell r="L3120" t="str">
            <v>BOGOTA DC</v>
          </cell>
          <cell r="M3120" t="str">
            <v>2496118</v>
          </cell>
        </row>
        <row r="3121">
          <cell r="A3121">
            <v>800213903</v>
          </cell>
          <cell r="B3121" t="str">
            <v>2</v>
          </cell>
          <cell r="C3121" t="str">
            <v/>
          </cell>
          <cell r="D3121" t="str">
            <v>NJ</v>
          </cell>
          <cell r="E3121" t="str">
            <v/>
          </cell>
          <cell r="F3121" t="str">
            <v/>
          </cell>
          <cell r="G3121" t="str">
            <v>CEDHITOURS S A S</v>
          </cell>
          <cell r="H3121" t="str">
            <v>RECO</v>
          </cell>
          <cell r="I3121" t="str">
            <v>REGIMEN COMUN</v>
          </cell>
          <cell r="J3121" t="str">
            <v>CR 67 100 20 OF 305</v>
          </cell>
          <cell r="K3121" t="str">
            <v>17001</v>
          </cell>
          <cell r="L3121" t="str">
            <v>MANIZALES</v>
          </cell>
          <cell r="M3121" t="str">
            <v>3563911</v>
          </cell>
        </row>
        <row r="3122">
          <cell r="A3122">
            <v>800214001</v>
          </cell>
          <cell r="B3122" t="str">
            <v>9</v>
          </cell>
          <cell r="C3122" t="str">
            <v/>
          </cell>
          <cell r="D3122" t="str">
            <v>NJ</v>
          </cell>
          <cell r="E3122" t="str">
            <v/>
          </cell>
          <cell r="F3122" t="str">
            <v/>
          </cell>
          <cell r="G3122" t="str">
            <v>FITCH RATINGS COLOMBIA S.A.</v>
          </cell>
          <cell r="H3122" t="str">
            <v>RCAU</v>
          </cell>
          <cell r="I3122" t="str">
            <v>RESPONSABLE IVA - AUTORETENEDOR</v>
          </cell>
          <cell r="J3122" t="str">
            <v>CL 69 A  9 85</v>
          </cell>
          <cell r="K3122" t="str">
            <v>11001</v>
          </cell>
          <cell r="L3122" t="str">
            <v>BOGOTA DC</v>
          </cell>
          <cell r="M3122" t="str">
            <v>48467701640</v>
          </cell>
        </row>
        <row r="3123">
          <cell r="A3123">
            <v>800214065</v>
          </cell>
          <cell r="B3123" t="str">
            <v>1</v>
          </cell>
          <cell r="C3123" t="str">
            <v/>
          </cell>
          <cell r="D3123" t="str">
            <v>NJ</v>
          </cell>
          <cell r="E3123" t="str">
            <v/>
          </cell>
          <cell r="F3123" t="str">
            <v/>
          </cell>
          <cell r="G3123" t="str">
            <v>QUIMICA NIELS LTDA</v>
          </cell>
          <cell r="H3123" t="str">
            <v>RECO</v>
          </cell>
          <cell r="I3123" t="str">
            <v>REGIMEN COMUN</v>
          </cell>
          <cell r="J3123" t="str">
            <v>CL 65 A 76 28</v>
          </cell>
          <cell r="K3123" t="str">
            <v>11001</v>
          </cell>
          <cell r="L3123" t="str">
            <v>BOGOTA DC</v>
          </cell>
          <cell r="M3123" t="str">
            <v>3114628224</v>
          </cell>
        </row>
        <row r="3124">
          <cell r="A3124">
            <v>800214071</v>
          </cell>
          <cell r="B3124" t="str">
            <v>4</v>
          </cell>
          <cell r="C3124" t="str">
            <v/>
          </cell>
          <cell r="D3124" t="str">
            <v>NJ</v>
          </cell>
          <cell r="E3124" t="str">
            <v/>
          </cell>
          <cell r="F3124" t="str">
            <v/>
          </cell>
          <cell r="G3124" t="str">
            <v>RENA  WARE DE COLOMBIA S.A.S</v>
          </cell>
          <cell r="H3124" t="str">
            <v>RECO</v>
          </cell>
          <cell r="I3124" t="str">
            <v>REGIMEN COMUN</v>
          </cell>
          <cell r="J3124" t="str">
            <v>CL 78 12 A 30</v>
          </cell>
          <cell r="K3124" t="str">
            <v>11001</v>
          </cell>
          <cell r="L3124" t="str">
            <v>BOGOTA DC</v>
          </cell>
          <cell r="M3124" t="str">
            <v>6376088</v>
          </cell>
        </row>
        <row r="3125">
          <cell r="A3125">
            <v>800214444</v>
          </cell>
          <cell r="B3125" t="str">
            <v>8</v>
          </cell>
          <cell r="C3125" t="str">
            <v/>
          </cell>
          <cell r="D3125" t="str">
            <v>NJ</v>
          </cell>
          <cell r="E3125" t="str">
            <v/>
          </cell>
          <cell r="F3125" t="str">
            <v/>
          </cell>
          <cell r="G3125" t="str">
            <v>TRANSPORTES REINA S.A</v>
          </cell>
          <cell r="H3125" t="str">
            <v>RECO</v>
          </cell>
          <cell r="I3125" t="str">
            <v>REGIMEN COMUN</v>
          </cell>
          <cell r="J3125" t="str">
            <v>TER CE TRANSPORTE DE BOGOTA - TAQUILLA</v>
          </cell>
          <cell r="K3125" t="str">
            <v>11001</v>
          </cell>
          <cell r="L3125" t="str">
            <v>BOGOTA DC</v>
          </cell>
          <cell r="M3125" t="str">
            <v>2630794</v>
          </cell>
        </row>
        <row r="3126">
          <cell r="A3126">
            <v>800214589</v>
          </cell>
          <cell r="B3126" t="str">
            <v>7</v>
          </cell>
          <cell r="C3126" t="str">
            <v/>
          </cell>
          <cell r="D3126" t="str">
            <v>NJ</v>
          </cell>
          <cell r="E3126" t="str">
            <v/>
          </cell>
          <cell r="F3126" t="str">
            <v/>
          </cell>
          <cell r="G3126" t="str">
            <v>AGROINDUSTRIALES CAÑAVERALEJO S.A.S</v>
          </cell>
          <cell r="H3126" t="str">
            <v>RCAU</v>
          </cell>
          <cell r="I3126" t="str">
            <v>RESPONSABLE IVA - AUTORETENEDOR</v>
          </cell>
          <cell r="J3126" t="str">
            <v>CL 13 A 100 35 OF 904 ED TORRE EMPRESARIAL</v>
          </cell>
          <cell r="K3126" t="str">
            <v>76001</v>
          </cell>
          <cell r="L3126" t="str">
            <v>CALI</v>
          </cell>
          <cell r="M3126" t="str">
            <v>4188455</v>
          </cell>
        </row>
        <row r="3127">
          <cell r="A3127">
            <v>800214674</v>
          </cell>
          <cell r="B3127" t="str">
            <v>5</v>
          </cell>
          <cell r="C3127" t="str">
            <v/>
          </cell>
          <cell r="D3127" t="str">
            <v>NJ</v>
          </cell>
          <cell r="E3127" t="str">
            <v/>
          </cell>
          <cell r="F3127" t="str">
            <v/>
          </cell>
          <cell r="G3127" t="str">
            <v>FUNDACION BATUTA</v>
          </cell>
          <cell r="H3127" t="str">
            <v>IMVE</v>
          </cell>
          <cell r="I3127" t="str">
            <v>IMPUESTO SOBRE LAS VENTAS</v>
          </cell>
          <cell r="J3127" t="str">
            <v xml:space="preserve"> CR  22 70 B 31</v>
          </cell>
          <cell r="K3127" t="str">
            <v>17001</v>
          </cell>
          <cell r="L3127" t="str">
            <v>MANIZALES</v>
          </cell>
          <cell r="M3127" t="str">
            <v>3173317186</v>
          </cell>
        </row>
        <row r="3128">
          <cell r="A3128">
            <v>800215284</v>
          </cell>
          <cell r="B3128" t="str">
            <v>0</v>
          </cell>
          <cell r="C3128" t="str">
            <v/>
          </cell>
          <cell r="D3128" t="str">
            <v>NJ</v>
          </cell>
          <cell r="E3128" t="str">
            <v/>
          </cell>
          <cell r="F3128" t="str">
            <v/>
          </cell>
          <cell r="G3128" t="str">
            <v>SOCIEDAD EXPRESO CAFETERO S.A.S</v>
          </cell>
          <cell r="H3128" t="str">
            <v>IMVE</v>
          </cell>
          <cell r="I3128" t="str">
            <v>IMPUESTO SOBRE LAS VENTAS</v>
          </cell>
          <cell r="J3128" t="str">
            <v>CL 36 6 65</v>
          </cell>
          <cell r="K3128" t="str">
            <v>76001</v>
          </cell>
          <cell r="L3128" t="str">
            <v>CALI</v>
          </cell>
          <cell r="M3128" t="str">
            <v>3087250</v>
          </cell>
        </row>
        <row r="3129">
          <cell r="A3129">
            <v>800215496</v>
          </cell>
          <cell r="B3129" t="str">
            <v>5</v>
          </cell>
          <cell r="C3129" t="str">
            <v/>
          </cell>
          <cell r="D3129" t="str">
            <v>NJ</v>
          </cell>
          <cell r="E3129" t="str">
            <v/>
          </cell>
          <cell r="F3129" t="str">
            <v/>
          </cell>
          <cell r="G3129" t="str">
            <v>MARKIA SA MARKALI</v>
          </cell>
          <cell r="H3129" t="str">
            <v>RECO</v>
          </cell>
          <cell r="I3129" t="str">
            <v>REGIMEN COMUN</v>
          </cell>
          <cell r="J3129" t="str">
            <v>CL 35   7   83</v>
          </cell>
          <cell r="K3129" t="str">
            <v>11001</v>
          </cell>
          <cell r="L3129" t="str">
            <v>BOGOTA DC</v>
          </cell>
          <cell r="M3129" t="str">
            <v>3275000</v>
          </cell>
        </row>
        <row r="3130">
          <cell r="A3130">
            <v>800215562</v>
          </cell>
          <cell r="B3130" t="str">
            <v>3</v>
          </cell>
          <cell r="C3130" t="str">
            <v/>
          </cell>
          <cell r="D3130" t="str">
            <v>NJ</v>
          </cell>
          <cell r="E3130" t="str">
            <v/>
          </cell>
          <cell r="F3130" t="str">
            <v/>
          </cell>
          <cell r="G3130" t="str">
            <v>LUBRIRETENES Y RODAMIENTOS S.A.S</v>
          </cell>
          <cell r="H3130" t="str">
            <v>IMVE</v>
          </cell>
          <cell r="I3130" t="str">
            <v>IMPUESTO SOBRE LAS VENTAS</v>
          </cell>
          <cell r="J3130" t="str">
            <v>CR 9 123 86 OF 501</v>
          </cell>
          <cell r="K3130" t="str">
            <v>11001</v>
          </cell>
          <cell r="L3130" t="str">
            <v>BOGOTA DC</v>
          </cell>
          <cell r="M3130" t="str">
            <v>7604284</v>
          </cell>
        </row>
        <row r="3131">
          <cell r="A3131">
            <v>800215807</v>
          </cell>
          <cell r="B3131" t="str">
            <v>2</v>
          </cell>
          <cell r="C3131" t="str">
            <v>23500000</v>
          </cell>
          <cell r="D3131" t="str">
            <v>NJ</v>
          </cell>
          <cell r="E3131" t="str">
            <v/>
          </cell>
          <cell r="F3131" t="str">
            <v/>
          </cell>
          <cell r="G3131" t="str">
            <v>INSTITUTO NACIONAL DE VIAS</v>
          </cell>
          <cell r="H3131" t="str">
            <v>GRCO</v>
          </cell>
          <cell r="I3131" t="str">
            <v>GRAN CONTRIBUYENTE</v>
          </cell>
          <cell r="J3131" t="str">
            <v xml:space="preserve">BOGOTA                                  </v>
          </cell>
          <cell r="K3131" t="str">
            <v>11001</v>
          </cell>
          <cell r="L3131" t="str">
            <v>BOGOTA DC</v>
          </cell>
          <cell r="M3131" t="str">
            <v>3240800</v>
          </cell>
        </row>
        <row r="3132">
          <cell r="A3132">
            <v>800216251</v>
          </cell>
          <cell r="B3132" t="str">
            <v>2</v>
          </cell>
          <cell r="C3132" t="str">
            <v/>
          </cell>
          <cell r="D3132" t="str">
            <v>NJ</v>
          </cell>
          <cell r="E3132" t="str">
            <v/>
          </cell>
          <cell r="F3132" t="str">
            <v/>
          </cell>
          <cell r="G3132" t="str">
            <v>INMAQ LTDA</v>
          </cell>
          <cell r="H3132" t="str">
            <v>RECO</v>
          </cell>
          <cell r="I3132" t="str">
            <v>REGIMEN COMUN</v>
          </cell>
          <cell r="J3132" t="str">
            <v>CR 24 15 27</v>
          </cell>
          <cell r="K3132" t="str">
            <v>70708</v>
          </cell>
          <cell r="L3132" t="str">
            <v>SAN MARCOS</v>
          </cell>
          <cell r="M3132" t="str">
            <v>2953041</v>
          </cell>
        </row>
        <row r="3133">
          <cell r="A3133">
            <v>800216274</v>
          </cell>
          <cell r="B3133" t="str">
            <v>1</v>
          </cell>
          <cell r="C3133" t="str">
            <v/>
          </cell>
          <cell r="D3133" t="str">
            <v>NJ</v>
          </cell>
          <cell r="E3133" t="str">
            <v/>
          </cell>
          <cell r="F3133" t="str">
            <v/>
          </cell>
          <cell r="G3133" t="str">
            <v>MECANIZADOS EL MICROMETRO LTDA</v>
          </cell>
          <cell r="H3133" t="str">
            <v>RECO</v>
          </cell>
          <cell r="I3133" t="str">
            <v>REGIMEN COMUN</v>
          </cell>
          <cell r="J3133" t="str">
            <v>CR 20 7 A 101</v>
          </cell>
          <cell r="K3133" t="str">
            <v>15759</v>
          </cell>
          <cell r="L3133" t="str">
            <v>SOGAMOSO</v>
          </cell>
          <cell r="M3133" t="str">
            <v>7705930</v>
          </cell>
        </row>
        <row r="3134">
          <cell r="A3134">
            <v>800216382</v>
          </cell>
          <cell r="B3134" t="str">
            <v>9</v>
          </cell>
          <cell r="C3134" t="str">
            <v/>
          </cell>
          <cell r="D3134" t="str">
            <v>NJ</v>
          </cell>
          <cell r="E3134" t="str">
            <v/>
          </cell>
          <cell r="F3134" t="str">
            <v/>
          </cell>
          <cell r="G3134" t="str">
            <v>TRANSPORTES LA ESPERANZA S.A.</v>
          </cell>
          <cell r="H3134" t="str">
            <v>REOR</v>
          </cell>
          <cell r="I3134" t="str">
            <v>RENTA REGIMEN ORDINARIO</v>
          </cell>
          <cell r="J3134" t="str">
            <v>DG 23 69 60 OF 201</v>
          </cell>
          <cell r="K3134" t="str">
            <v>11001</v>
          </cell>
          <cell r="L3134" t="str">
            <v>BOGOTA DC</v>
          </cell>
          <cell r="M3134" t="str">
            <v>2639225</v>
          </cell>
        </row>
        <row r="3135">
          <cell r="A3135">
            <v>800216575</v>
          </cell>
          <cell r="B3135" t="str">
            <v>3</v>
          </cell>
          <cell r="C3135" t="str">
            <v/>
          </cell>
          <cell r="D3135" t="str">
            <v>NJ</v>
          </cell>
          <cell r="E3135" t="str">
            <v/>
          </cell>
          <cell r="F3135" t="str">
            <v/>
          </cell>
          <cell r="G3135" t="str">
            <v>COUNTRY INTERNATIONAL HOTEL LTDA</v>
          </cell>
          <cell r="H3135" t="str">
            <v>RECO</v>
          </cell>
          <cell r="I3135" t="str">
            <v>REGIMEN COMUN</v>
          </cell>
          <cell r="J3135" t="str">
            <v>CR 52 75 30</v>
          </cell>
          <cell r="K3135" t="str">
            <v>08001</v>
          </cell>
          <cell r="L3135" t="str">
            <v>BARRANQUILLA</v>
          </cell>
          <cell r="M3135" t="str">
            <v>3695900</v>
          </cell>
        </row>
        <row r="3136">
          <cell r="A3136">
            <v>800216724</v>
          </cell>
          <cell r="B3136" t="str">
            <v>4</v>
          </cell>
          <cell r="C3136" t="str">
            <v/>
          </cell>
          <cell r="D3136" t="str">
            <v>NJ</v>
          </cell>
          <cell r="E3136" t="str">
            <v/>
          </cell>
          <cell r="F3136" t="str">
            <v/>
          </cell>
          <cell r="G3136" t="str">
            <v>LEGARCHIVO S.A.S.</v>
          </cell>
          <cell r="H3136" t="str">
            <v>RECO</v>
          </cell>
          <cell r="I3136" t="str">
            <v>REGIMEN COMUN</v>
          </cell>
          <cell r="J3136" t="str">
            <v>CR 59 5 C 51</v>
          </cell>
          <cell r="K3136" t="str">
            <v>03</v>
          </cell>
          <cell r="L3136" t="str">
            <v>BOGOTA</v>
          </cell>
          <cell r="M3136" t="str">
            <v>4144590</v>
          </cell>
        </row>
        <row r="3137">
          <cell r="A3137">
            <v>800217978</v>
          </cell>
          <cell r="B3137" t="str">
            <v>2</v>
          </cell>
          <cell r="C3137" t="str">
            <v/>
          </cell>
          <cell r="D3137" t="str">
            <v>NJ</v>
          </cell>
          <cell r="E3137" t="str">
            <v/>
          </cell>
          <cell r="F3137" t="str">
            <v/>
          </cell>
          <cell r="G3137" t="str">
            <v>HOTEL TORREON</v>
          </cell>
          <cell r="H3137" t="str">
            <v>RECO</v>
          </cell>
          <cell r="I3137" t="str">
            <v>REGIMEN COMUN</v>
          </cell>
          <cell r="J3137" t="str">
            <v>AV 30  DE AGOSTO  41   37</v>
          </cell>
          <cell r="K3137" t="str">
            <v>11001</v>
          </cell>
          <cell r="L3137" t="str">
            <v>BOGOTA DC</v>
          </cell>
          <cell r="M3137" t="str">
            <v>3360340</v>
          </cell>
        </row>
        <row r="3138">
          <cell r="A3138">
            <v>800218012</v>
          </cell>
          <cell r="B3138" t="str">
            <v>8</v>
          </cell>
          <cell r="C3138" t="str">
            <v/>
          </cell>
          <cell r="D3138" t="str">
            <v>NJ</v>
          </cell>
          <cell r="E3138" t="str">
            <v/>
          </cell>
          <cell r="F3138" t="str">
            <v/>
          </cell>
          <cell r="G3138" t="str">
            <v>COOPERATIVA MULTIACTIVA JUVENIL DE TOPAGA "CRECER LTDA"</v>
          </cell>
          <cell r="H3138" t="str">
            <v>RECO</v>
          </cell>
          <cell r="I3138" t="str">
            <v>REGIMEN COMUN</v>
          </cell>
          <cell r="J3138" t="str">
            <v>DG 2  3-20</v>
          </cell>
          <cell r="K3138" t="str">
            <v>15820</v>
          </cell>
          <cell r="L3138" t="str">
            <v>TÓPAGA</v>
          </cell>
          <cell r="M3138" t="str">
            <v>3118106999</v>
          </cell>
        </row>
        <row r="3139">
          <cell r="A3139">
            <v>800218864</v>
          </cell>
          <cell r="B3139" t="str">
            <v>6</v>
          </cell>
          <cell r="C3139" t="str">
            <v/>
          </cell>
          <cell r="D3139" t="str">
            <v>NJ</v>
          </cell>
          <cell r="E3139" t="str">
            <v/>
          </cell>
          <cell r="F3139" t="str">
            <v/>
          </cell>
          <cell r="G3139" t="str">
            <v>TE.EI. ELECTRICISTAS SOCIEDAD LIMITADA</v>
          </cell>
          <cell r="H3139" t="str">
            <v>IMVE</v>
          </cell>
          <cell r="I3139" t="str">
            <v>IMPUESTO SOBRE LAS VENTAS</v>
          </cell>
          <cell r="J3139" t="str">
            <v>CL 19  19-15</v>
          </cell>
          <cell r="K3139" t="str">
            <v>15238</v>
          </cell>
          <cell r="L3139" t="str">
            <v>DUITAMA</v>
          </cell>
          <cell r="M3139" t="str">
            <v>6087641684</v>
          </cell>
        </row>
        <row r="3140">
          <cell r="A3140">
            <v>800219876</v>
          </cell>
          <cell r="B3140" t="str">
            <v>9</v>
          </cell>
          <cell r="C3140" t="str">
            <v/>
          </cell>
          <cell r="D3140" t="str">
            <v>NJ</v>
          </cell>
          <cell r="E3140" t="str">
            <v/>
          </cell>
          <cell r="F3140" t="str">
            <v/>
          </cell>
          <cell r="G3140" t="str">
            <v>SODEXO SOLUCIONES DE BENEFICIOS E INCETIVOS COLOMBIA S.A.</v>
          </cell>
          <cell r="H3140" t="str">
            <v>GRAU</v>
          </cell>
          <cell r="I3140" t="str">
            <v>GRAN CONTRIBUYENTE AUTORRETENEDO</v>
          </cell>
          <cell r="J3140" t="str">
            <v>AUT NORTE 114  44 P 4</v>
          </cell>
          <cell r="K3140" t="str">
            <v>11001</v>
          </cell>
          <cell r="L3140" t="str">
            <v>BOGOTA DC</v>
          </cell>
          <cell r="M3140" t="str">
            <v>6414100</v>
          </cell>
        </row>
        <row r="3141">
          <cell r="A3141">
            <v>800219925</v>
          </cell>
          <cell r="B3141" t="str">
            <v>1</v>
          </cell>
          <cell r="C3141" t="str">
            <v/>
          </cell>
          <cell r="D3141" t="str">
            <v>NJ</v>
          </cell>
          <cell r="E3141" t="str">
            <v/>
          </cell>
          <cell r="F3141" t="str">
            <v/>
          </cell>
          <cell r="G3141" t="str">
            <v>COMPAÑÍA ELÉCTRICA DE SOCHAGOTA S.A. E.S.P.</v>
          </cell>
          <cell r="H3141" t="str">
            <v>GRCO</v>
          </cell>
          <cell r="I3141" t="str">
            <v>GRAN CONTRIBUYENTE</v>
          </cell>
          <cell r="J3141" t="str">
            <v>CR 14 N 20 21 CC PLAZA REAL</v>
          </cell>
          <cell r="K3141" t="str">
            <v>15001</v>
          </cell>
          <cell r="L3141" t="str">
            <v>TUNJA</v>
          </cell>
          <cell r="M3141" t="str">
            <v>7430717</v>
          </cell>
        </row>
        <row r="3142">
          <cell r="A3142">
            <v>800220708</v>
          </cell>
          <cell r="B3142" t="str">
            <v>1</v>
          </cell>
          <cell r="C3142" t="str">
            <v/>
          </cell>
          <cell r="D3142" t="str">
            <v>NJ</v>
          </cell>
          <cell r="E3142" t="str">
            <v/>
          </cell>
          <cell r="F3142" t="str">
            <v/>
          </cell>
          <cell r="G3142" t="str">
            <v>SISTECONTROL LTDA</v>
          </cell>
          <cell r="H3142" t="str">
            <v>RECO</v>
          </cell>
          <cell r="I3142" t="str">
            <v>REGIMEN COMUN</v>
          </cell>
          <cell r="J3142" t="str">
            <v>CR 27 A  74 07 BRR ALCAZARES</v>
          </cell>
          <cell r="K3142" t="str">
            <v>11001</v>
          </cell>
          <cell r="L3142" t="str">
            <v>BOGOTA DC</v>
          </cell>
          <cell r="M3142" t="str">
            <v>3115237</v>
          </cell>
        </row>
        <row r="3143">
          <cell r="A3143">
            <v>800221916</v>
          </cell>
          <cell r="B3143" t="str">
            <v>1</v>
          </cell>
          <cell r="C3143" t="str">
            <v/>
          </cell>
          <cell r="D3143" t="str">
            <v>NJ</v>
          </cell>
          <cell r="E3143" t="str">
            <v/>
          </cell>
          <cell r="F3143" t="str">
            <v/>
          </cell>
          <cell r="G3143" t="str">
            <v>FUSIBLES JAVISAR SAS</v>
          </cell>
          <cell r="H3143" t="str">
            <v>RECO</v>
          </cell>
          <cell r="I3143" t="str">
            <v>REGIMEN COMUN</v>
          </cell>
          <cell r="J3143" t="str">
            <v>CR 3 B 22 BRR CHAPINERO</v>
          </cell>
          <cell r="K3143" t="str">
            <v>11001</v>
          </cell>
          <cell r="L3143" t="str">
            <v>BOGOTA DC</v>
          </cell>
          <cell r="M3143" t="str">
            <v>2492246</v>
          </cell>
        </row>
        <row r="3144">
          <cell r="A3144">
            <v>800224724</v>
          </cell>
          <cell r="B3144" t="str">
            <v>8</v>
          </cell>
          <cell r="C3144" t="str">
            <v/>
          </cell>
          <cell r="D3144" t="str">
            <v>NJ</v>
          </cell>
          <cell r="E3144" t="str">
            <v/>
          </cell>
          <cell r="F3144" t="str">
            <v/>
          </cell>
          <cell r="G3144" t="str">
            <v xml:space="preserve">CONSORCIO JULIO ROBLEDO Y                                   </v>
          </cell>
          <cell r="H3144" t="str">
            <v>RECO</v>
          </cell>
          <cell r="I3144" t="str">
            <v>REGIMEN COMUN</v>
          </cell>
          <cell r="J3144" t="str">
            <v xml:space="preserve">TRV 72 N20 24 M LES                    </v>
          </cell>
          <cell r="K3144" t="str">
            <v>17001</v>
          </cell>
          <cell r="L3144" t="str">
            <v>MANIZALES</v>
          </cell>
          <cell r="M3144" t="str">
            <v>8864639</v>
          </cell>
        </row>
        <row r="3145">
          <cell r="A3145">
            <v>800224808</v>
          </cell>
          <cell r="B3145" t="str">
            <v>8</v>
          </cell>
          <cell r="C3145" t="str">
            <v/>
          </cell>
          <cell r="D3145" t="str">
            <v>NJ</v>
          </cell>
          <cell r="E3145" t="str">
            <v/>
          </cell>
          <cell r="F3145" t="str">
            <v/>
          </cell>
          <cell r="G3145" t="str">
            <v xml:space="preserve">FONDO DE PENSIONES PORVENIR                                 </v>
          </cell>
          <cell r="H3145" t="str">
            <v>GRCO</v>
          </cell>
          <cell r="I3145" t="str">
            <v>GRAN CONTRIBUYENTE</v>
          </cell>
          <cell r="J3145" t="str">
            <v xml:space="preserve">CR 23 75 68                            </v>
          </cell>
          <cell r="K3145" t="str">
            <v>17001</v>
          </cell>
          <cell r="L3145" t="str">
            <v>MANIZALES</v>
          </cell>
          <cell r="M3145" t="str">
            <v>847211</v>
          </cell>
        </row>
        <row r="3146">
          <cell r="A3146">
            <v>800226175</v>
          </cell>
          <cell r="B3146" t="str">
            <v>3</v>
          </cell>
          <cell r="C3146" t="str">
            <v/>
          </cell>
          <cell r="D3146" t="str">
            <v>NJ</v>
          </cell>
          <cell r="E3146" t="str">
            <v/>
          </cell>
          <cell r="F3146" t="str">
            <v/>
          </cell>
          <cell r="G3146" t="str">
            <v>COMPAÑIA DE SEGUROS DE VIDA COLMENA SA</v>
          </cell>
          <cell r="H3146" t="str">
            <v>GRCO</v>
          </cell>
          <cell r="I3146" t="str">
            <v>GRAN CONTRIBUYENTE</v>
          </cell>
          <cell r="J3146" t="str">
            <v>CL 72 10 71 P 6</v>
          </cell>
          <cell r="K3146" t="str">
            <v>11001</v>
          </cell>
          <cell r="L3146" t="str">
            <v>BOGOTA DC</v>
          </cell>
          <cell r="M3146" t="str">
            <v>3241111</v>
          </cell>
        </row>
        <row r="3147">
          <cell r="A3147">
            <v>800226784</v>
          </cell>
          <cell r="B3147" t="str">
            <v>9</v>
          </cell>
          <cell r="C3147" t="str">
            <v/>
          </cell>
          <cell r="D3147" t="str">
            <v>NJ</v>
          </cell>
          <cell r="E3147" t="str">
            <v/>
          </cell>
          <cell r="F3147" t="str">
            <v/>
          </cell>
          <cell r="G3147" t="str">
            <v>COMPUTAR SAS</v>
          </cell>
          <cell r="H3147" t="str">
            <v>IMVE</v>
          </cell>
          <cell r="I3147" t="str">
            <v>IMPUESTO SOBRE LAS VENTAS</v>
          </cell>
          <cell r="J3147" t="str">
            <v>KM 4 BG 9 A PAR PARQUE CENTRO</v>
          </cell>
          <cell r="K3147" t="str">
            <v>17001</v>
          </cell>
          <cell r="L3147" t="str">
            <v>MANIZALES</v>
          </cell>
          <cell r="M3147" t="str">
            <v>6068720562</v>
          </cell>
        </row>
        <row r="3148">
          <cell r="A3148">
            <v>800226923</v>
          </cell>
          <cell r="B3148" t="str">
            <v>6</v>
          </cell>
          <cell r="C3148" t="str">
            <v/>
          </cell>
          <cell r="D3148" t="str">
            <v>NJ</v>
          </cell>
          <cell r="E3148" t="str">
            <v/>
          </cell>
          <cell r="F3148" t="str">
            <v/>
          </cell>
          <cell r="G3148" t="str">
            <v>SIGNAL MARKETING SAS</v>
          </cell>
          <cell r="H3148" t="str">
            <v>IMVE</v>
          </cell>
          <cell r="I3148" t="str">
            <v>IMPUESTO SOBRE LAS VENTAS</v>
          </cell>
          <cell r="J3148" t="str">
            <v>PARQUE INDUSTRIAL JUANCHITO TERRAZA 2</v>
          </cell>
          <cell r="K3148" t="str">
            <v>17001</v>
          </cell>
          <cell r="L3148" t="str">
            <v>MANIZALES</v>
          </cell>
          <cell r="M3148" t="str">
            <v>3104233641</v>
          </cell>
        </row>
        <row r="3149">
          <cell r="A3149">
            <v>800227833</v>
          </cell>
          <cell r="B3149" t="str">
            <v>6</v>
          </cell>
          <cell r="C3149" t="str">
            <v/>
          </cell>
          <cell r="D3149" t="str">
            <v>NJ</v>
          </cell>
          <cell r="E3149" t="str">
            <v/>
          </cell>
          <cell r="F3149" t="str">
            <v/>
          </cell>
          <cell r="G3149" t="str">
            <v xml:space="preserve">MINEROS DE CANELAS LTDA                                     </v>
          </cell>
          <cell r="H3149" t="str">
            <v>RECO</v>
          </cell>
          <cell r="I3149" t="str">
            <v>REGIMEN COMUN</v>
          </cell>
          <cell r="J3149" t="str">
            <v xml:space="preserve"> CL 14 A  19 17 AP 305</v>
          </cell>
          <cell r="K3149" t="str">
            <v>15759</v>
          </cell>
          <cell r="L3149" t="str">
            <v>SOGAMOSO</v>
          </cell>
          <cell r="M3149" t="str">
            <v>7713849</v>
          </cell>
        </row>
        <row r="3150">
          <cell r="A3150">
            <v>800227940</v>
          </cell>
          <cell r="B3150" t="str">
            <v>6</v>
          </cell>
          <cell r="C3150" t="str">
            <v/>
          </cell>
          <cell r="D3150" t="str">
            <v>NJ</v>
          </cell>
          <cell r="E3150" t="str">
            <v/>
          </cell>
          <cell r="F3150" t="str">
            <v/>
          </cell>
          <cell r="G3150" t="str">
            <v xml:space="preserve">FONDO DE PENSIONES OBLIGATORIAS COLFONDOS                   </v>
          </cell>
          <cell r="H3150" t="str">
            <v>RECO</v>
          </cell>
          <cell r="I3150" t="str">
            <v>REGIMEN COMUN</v>
          </cell>
          <cell r="J3150" t="str">
            <v xml:space="preserve">CR 23 N60 12                          </v>
          </cell>
          <cell r="K3150" t="str">
            <v>17001</v>
          </cell>
          <cell r="L3150" t="str">
            <v>MANIZALES</v>
          </cell>
          <cell r="M3150" t="str">
            <v>8853639</v>
          </cell>
        </row>
        <row r="3151">
          <cell r="A3151">
            <v>800228515</v>
          </cell>
          <cell r="B3151" t="str">
            <v>3</v>
          </cell>
          <cell r="C3151" t="str">
            <v/>
          </cell>
          <cell r="D3151" t="str">
            <v>NJ</v>
          </cell>
          <cell r="E3151" t="str">
            <v/>
          </cell>
          <cell r="F3151" t="str">
            <v/>
          </cell>
          <cell r="G3151" t="str">
            <v>GLOBAL AST S.A.S</v>
          </cell>
          <cell r="H3151" t="str">
            <v>IMVE</v>
          </cell>
          <cell r="I3151" t="str">
            <v>IMPUESTO SOBRE LAS VENTAS</v>
          </cell>
          <cell r="J3151" t="str">
            <v>CR 27   37   19</v>
          </cell>
          <cell r="K3151" t="str">
            <v>17001</v>
          </cell>
          <cell r="L3151" t="str">
            <v>MANIZALES</v>
          </cell>
          <cell r="M3151" t="str">
            <v>8840809</v>
          </cell>
        </row>
        <row r="3152">
          <cell r="A3152">
            <v>800229209</v>
          </cell>
          <cell r="B3152" t="str">
            <v>9</v>
          </cell>
          <cell r="C3152" t="str">
            <v/>
          </cell>
          <cell r="D3152" t="str">
            <v>NJ</v>
          </cell>
          <cell r="E3152" t="str">
            <v/>
          </cell>
          <cell r="F3152" t="str">
            <v/>
          </cell>
          <cell r="G3152" t="str">
            <v>CONSULTORES EN SALUD OCUPACIONAL S.A CINCO</v>
          </cell>
          <cell r="H3152" t="str">
            <v>REOR</v>
          </cell>
          <cell r="I3152" t="str">
            <v>RENTA REGIMEN ORDINARIO</v>
          </cell>
          <cell r="J3152" t="str">
            <v>CR 43 A 34 95 OF 504 501</v>
          </cell>
          <cell r="K3152" t="str">
            <v>05001</v>
          </cell>
          <cell r="L3152" t="str">
            <v>MEDELLÍN</v>
          </cell>
          <cell r="M3152" t="str">
            <v>2611011</v>
          </cell>
        </row>
        <row r="3153">
          <cell r="A3153">
            <v>800229482</v>
          </cell>
          <cell r="B3153" t="str">
            <v>3</v>
          </cell>
          <cell r="C3153" t="str">
            <v/>
          </cell>
          <cell r="D3153" t="str">
            <v>NJ</v>
          </cell>
          <cell r="E3153" t="str">
            <v/>
          </cell>
          <cell r="F3153" t="str">
            <v/>
          </cell>
          <cell r="G3153" t="str">
            <v>FERRESOLDA S.A.S.</v>
          </cell>
          <cell r="H3153" t="str">
            <v>IMVE</v>
          </cell>
          <cell r="I3153" t="str">
            <v>IMPUESTO SOBRE LAS VENTAS</v>
          </cell>
          <cell r="J3153" t="str">
            <v xml:space="preserve"> CR  32 9 45</v>
          </cell>
          <cell r="K3153" t="str">
            <v>11001</v>
          </cell>
          <cell r="L3153" t="str">
            <v>BOGOTA DC</v>
          </cell>
          <cell r="M3153" t="str">
            <v>3609358</v>
          </cell>
        </row>
        <row r="3154">
          <cell r="A3154">
            <v>800229512</v>
          </cell>
          <cell r="B3154" t="str">
            <v>6</v>
          </cell>
          <cell r="C3154" t="str">
            <v/>
          </cell>
          <cell r="D3154" t="str">
            <v>NJ</v>
          </cell>
          <cell r="E3154" t="str">
            <v/>
          </cell>
          <cell r="F3154" t="str">
            <v/>
          </cell>
          <cell r="G3154" t="str">
            <v>DISMET S.A.S</v>
          </cell>
          <cell r="H3154" t="str">
            <v>RECO</v>
          </cell>
          <cell r="I3154" t="str">
            <v>REGIMEN COMUN</v>
          </cell>
          <cell r="J3154" t="str">
            <v xml:space="preserve"> CL 9  41 B  16</v>
          </cell>
          <cell r="K3154" t="str">
            <v>11001</v>
          </cell>
          <cell r="L3154" t="str">
            <v>BOGOTA DC</v>
          </cell>
          <cell r="M3154" t="str">
            <v>7494000</v>
          </cell>
        </row>
        <row r="3155">
          <cell r="A3155">
            <v>800229739</v>
          </cell>
          <cell r="B3155" t="str">
            <v>0</v>
          </cell>
          <cell r="C3155" t="str">
            <v/>
          </cell>
          <cell r="D3155" t="str">
            <v>NJ</v>
          </cell>
          <cell r="E3155" t="str">
            <v/>
          </cell>
          <cell r="F3155" t="str">
            <v/>
          </cell>
          <cell r="G3155" t="str">
            <v xml:space="preserve">FONDO DE PENSIONES OBLIGATORIAS PROTECCION                  </v>
          </cell>
          <cell r="H3155" t="str">
            <v>RECO</v>
          </cell>
          <cell r="I3155" t="str">
            <v>REGIMEN COMUN</v>
          </cell>
          <cell r="J3155" t="str">
            <v xml:space="preserve">CR 23 N 63 15  MANIZALES           </v>
          </cell>
          <cell r="K3155" t="str">
            <v>17001</v>
          </cell>
          <cell r="L3155" t="str">
            <v>MANIZALES</v>
          </cell>
          <cell r="M3155" t="str">
            <v>8861917</v>
          </cell>
        </row>
        <row r="3156">
          <cell r="A3156">
            <v>800231399</v>
          </cell>
          <cell r="B3156" t="str">
            <v>6</v>
          </cell>
          <cell r="C3156" t="str">
            <v/>
          </cell>
          <cell r="D3156" t="str">
            <v>NJ</v>
          </cell>
          <cell r="E3156" t="str">
            <v/>
          </cell>
          <cell r="F3156" t="str">
            <v/>
          </cell>
          <cell r="G3156" t="str">
            <v>DISINGMEC SAS</v>
          </cell>
          <cell r="H3156" t="str">
            <v>IMVE</v>
          </cell>
          <cell r="I3156" t="str">
            <v>IMPUESTO SOBRE LAS VENTAS</v>
          </cell>
          <cell r="J3156" t="str">
            <v>CL 92  10  21  AP   1001</v>
          </cell>
          <cell r="K3156" t="str">
            <v>11001</v>
          </cell>
          <cell r="L3156" t="str">
            <v>BOGOTA DC</v>
          </cell>
          <cell r="M3156" t="str">
            <v>7611977</v>
          </cell>
        </row>
        <row r="3157">
          <cell r="A3157">
            <v>800231885</v>
          </cell>
          <cell r="B3157" t="str">
            <v>4</v>
          </cell>
          <cell r="C3157" t="str">
            <v/>
          </cell>
          <cell r="D3157" t="str">
            <v>NJ</v>
          </cell>
          <cell r="E3157" t="str">
            <v/>
          </cell>
          <cell r="F3157" t="str">
            <v/>
          </cell>
          <cell r="G3157" t="str">
            <v>SEGURIDAD ELECTRICA SAS</v>
          </cell>
          <cell r="H3157" t="str">
            <v>IMVE</v>
          </cell>
          <cell r="I3157" t="str">
            <v>IMPUESTO SOBRE LAS VENTAS</v>
          </cell>
          <cell r="J3157" t="str">
            <v>CL 44C 57 49</v>
          </cell>
          <cell r="K3157" t="str">
            <v>11001</v>
          </cell>
          <cell r="L3157" t="str">
            <v>BOGOTA DC</v>
          </cell>
          <cell r="M3157" t="str">
            <v>3157800</v>
          </cell>
        </row>
        <row r="3158">
          <cell r="A3158">
            <v>800231969</v>
          </cell>
          <cell r="B3158" t="str">
            <v>4</v>
          </cell>
          <cell r="C3158" t="str">
            <v/>
          </cell>
          <cell r="D3158" t="str">
            <v>NJ</v>
          </cell>
          <cell r="E3158" t="str">
            <v/>
          </cell>
          <cell r="F3158" t="str">
            <v/>
          </cell>
          <cell r="G3158" t="str">
            <v xml:space="preserve">CAJA DE COMPENSACION CAMPESINA                              </v>
          </cell>
          <cell r="H3158" t="str">
            <v>RECO</v>
          </cell>
          <cell r="I3158" t="str">
            <v>REGIMEN COMUN</v>
          </cell>
          <cell r="J3158" t="str">
            <v>CR 12   96   23</v>
          </cell>
          <cell r="K3158" t="str">
            <v>11001</v>
          </cell>
          <cell r="L3158" t="str">
            <v>BOGOTA DC</v>
          </cell>
          <cell r="M3158" t="str">
            <v>6353511</v>
          </cell>
        </row>
        <row r="3159">
          <cell r="A3159">
            <v>800233841</v>
          </cell>
          <cell r="B3159" t="str">
            <v>1</v>
          </cell>
          <cell r="C3159" t="str">
            <v/>
          </cell>
          <cell r="D3159" t="str">
            <v>NJ</v>
          </cell>
          <cell r="E3159" t="str">
            <v/>
          </cell>
          <cell r="F3159" t="str">
            <v/>
          </cell>
          <cell r="G3159" t="str">
            <v>HOTEL BOSTON S.A.S.</v>
          </cell>
          <cell r="H3159" t="str">
            <v>RECO</v>
          </cell>
          <cell r="I3159" t="str">
            <v>REGIMEN COMUN</v>
          </cell>
          <cell r="J3159" t="str">
            <v>CL 25 B 31 14 BRR BOSTON</v>
          </cell>
          <cell r="K3159" t="str">
            <v>19785</v>
          </cell>
          <cell r="L3159" t="str">
            <v>SUCRE</v>
          </cell>
          <cell r="M3159" t="str">
            <v>2804022</v>
          </cell>
        </row>
        <row r="3160">
          <cell r="A3160">
            <v>800234324</v>
          </cell>
          <cell r="B3160" t="str">
            <v>8</v>
          </cell>
          <cell r="C3160" t="str">
            <v/>
          </cell>
          <cell r="D3160" t="str">
            <v>NJ</v>
          </cell>
          <cell r="E3160" t="str">
            <v/>
          </cell>
          <cell r="F3160" t="str">
            <v/>
          </cell>
          <cell r="G3160" t="str">
            <v xml:space="preserve">MINERALEX LTDA                                              </v>
          </cell>
          <cell r="H3160" t="str">
            <v>RECO</v>
          </cell>
          <cell r="I3160" t="str">
            <v>REGIMEN COMUN</v>
          </cell>
          <cell r="J3160" t="str">
            <v xml:space="preserve">CR 2 5 50                               </v>
          </cell>
          <cell r="K3160" t="str">
            <v>15537</v>
          </cell>
          <cell r="L3160" t="str">
            <v>PAZ DE RÍO</v>
          </cell>
          <cell r="M3160" t="str">
            <v>7865429</v>
          </cell>
        </row>
        <row r="3161">
          <cell r="A3161">
            <v>800234328</v>
          </cell>
          <cell r="B3161" t="str">
            <v>7</v>
          </cell>
          <cell r="C3161" t="str">
            <v/>
          </cell>
          <cell r="D3161" t="str">
            <v>NJ</v>
          </cell>
          <cell r="E3161" t="str">
            <v/>
          </cell>
          <cell r="F3161" t="str">
            <v/>
          </cell>
          <cell r="G3161" t="str">
            <v>CONTROLFLUID SAS</v>
          </cell>
          <cell r="H3161" t="str">
            <v>REOR</v>
          </cell>
          <cell r="I3161" t="str">
            <v>RENTA REGIMEN ORDINARIO</v>
          </cell>
          <cell r="J3161" t="str">
            <v>CR 21 CLL 166 43</v>
          </cell>
          <cell r="K3161" t="str">
            <v>11001</v>
          </cell>
          <cell r="L3161" t="str">
            <v>BOGOTA DC</v>
          </cell>
          <cell r="M3161" t="str">
            <v>4752829</v>
          </cell>
        </row>
        <row r="3162">
          <cell r="A3162">
            <v>800234331</v>
          </cell>
          <cell r="B3162" t="str">
            <v>1</v>
          </cell>
          <cell r="C3162" t="str">
            <v/>
          </cell>
          <cell r="D3162" t="str">
            <v>NJ</v>
          </cell>
          <cell r="E3162" t="str">
            <v/>
          </cell>
          <cell r="F3162" t="str">
            <v/>
          </cell>
          <cell r="G3162" t="str">
            <v>GRAFIQ EDITORES SAS</v>
          </cell>
          <cell r="H3162" t="str">
            <v>RECO</v>
          </cell>
          <cell r="I3162" t="str">
            <v>REGIMEN COMUN</v>
          </cell>
          <cell r="J3162" t="str">
            <v>CR 27 B 68 31 BRR ALCAZAREZ</v>
          </cell>
          <cell r="K3162" t="str">
            <v>11001</v>
          </cell>
          <cell r="L3162" t="str">
            <v>BOGOTA DC</v>
          </cell>
          <cell r="M3162" t="str">
            <v>3132836083</v>
          </cell>
        </row>
        <row r="3163">
          <cell r="A3163">
            <v>800234405</v>
          </cell>
          <cell r="B3163" t="str">
            <v>6</v>
          </cell>
          <cell r="C3163" t="str">
            <v/>
          </cell>
          <cell r="D3163" t="str">
            <v>NJ</v>
          </cell>
          <cell r="E3163" t="str">
            <v/>
          </cell>
          <cell r="F3163" t="str">
            <v/>
          </cell>
          <cell r="G3163" t="str">
            <v>SAN PABLO HOTEL</v>
          </cell>
          <cell r="H3163" t="str">
            <v>RECO</v>
          </cell>
          <cell r="I3163" t="str">
            <v>REGIMEN COMUN</v>
          </cell>
          <cell r="J3163" t="str">
            <v>AV CL 26  N  38A 11</v>
          </cell>
          <cell r="K3163" t="str">
            <v>11001</v>
          </cell>
          <cell r="L3163" t="str">
            <v>BOGOTA DC</v>
          </cell>
          <cell r="M3163" t="str">
            <v>3694700</v>
          </cell>
        </row>
        <row r="3164">
          <cell r="A3164">
            <v>800234618</v>
          </cell>
          <cell r="B3164" t="str">
            <v>8</v>
          </cell>
          <cell r="C3164" t="str">
            <v/>
          </cell>
          <cell r="D3164" t="str">
            <v>NJ</v>
          </cell>
          <cell r="E3164" t="str">
            <v/>
          </cell>
          <cell r="F3164" t="str">
            <v/>
          </cell>
          <cell r="G3164" t="str">
            <v xml:space="preserve">USOCHICAMOCHA                                               </v>
          </cell>
          <cell r="H3164" t="str">
            <v>REIC</v>
          </cell>
          <cell r="I3164" t="str">
            <v>RENTA REGIMEN ESPECIAL</v>
          </cell>
          <cell r="J3164" t="str">
            <v>KM 1 VIA DUITAMA PANTANO DE VARGAS</v>
          </cell>
          <cell r="K3164" t="str">
            <v>15238</v>
          </cell>
          <cell r="L3164" t="str">
            <v>DUITAMA</v>
          </cell>
          <cell r="M3164" t="str">
            <v>3103315426</v>
          </cell>
        </row>
        <row r="3165">
          <cell r="A3165">
            <v>800234792</v>
          </cell>
          <cell r="B3165" t="str">
            <v>1</v>
          </cell>
          <cell r="C3165" t="str">
            <v/>
          </cell>
          <cell r="D3165" t="str">
            <v>NJ</v>
          </cell>
          <cell r="E3165" t="str">
            <v/>
          </cell>
          <cell r="F3165" t="str">
            <v/>
          </cell>
          <cell r="G3165" t="str">
            <v>FERRO SAS</v>
          </cell>
          <cell r="H3165" t="str">
            <v>IMVE</v>
          </cell>
          <cell r="I3165" t="str">
            <v>IMPUESTO SOBRE LAS VENTAS</v>
          </cell>
          <cell r="J3165" t="str">
            <v>CR 23 17 A 35</v>
          </cell>
          <cell r="K3165" t="str">
            <v>50006</v>
          </cell>
          <cell r="L3165" t="str">
            <v>META</v>
          </cell>
          <cell r="M3165" t="str">
            <v>3105017042</v>
          </cell>
        </row>
        <row r="3166">
          <cell r="A3166">
            <v>800235241</v>
          </cell>
          <cell r="B3166" t="str">
            <v>1</v>
          </cell>
          <cell r="C3166" t="str">
            <v/>
          </cell>
          <cell r="D3166" t="str">
            <v>NJ</v>
          </cell>
          <cell r="E3166" t="str">
            <v/>
          </cell>
          <cell r="F3166" t="str">
            <v/>
          </cell>
          <cell r="G3166" t="str">
            <v>COOPROIZA</v>
          </cell>
          <cell r="H3166" t="str">
            <v>RECO</v>
          </cell>
          <cell r="I3166" t="str">
            <v>REGIMEN COMUN</v>
          </cell>
          <cell r="J3166" t="str">
            <v>CARRERA 11 N° 15-40</v>
          </cell>
          <cell r="K3166" t="str">
            <v>15362</v>
          </cell>
          <cell r="L3166" t="str">
            <v>IZA</v>
          </cell>
          <cell r="M3166" t="str">
            <v>7714680</v>
          </cell>
        </row>
        <row r="3167">
          <cell r="A3167">
            <v>800235280</v>
          </cell>
          <cell r="B3167" t="str">
            <v>7</v>
          </cell>
          <cell r="C3167" t="str">
            <v/>
          </cell>
          <cell r="D3167" t="str">
            <v>NJ</v>
          </cell>
          <cell r="E3167" t="str">
            <v/>
          </cell>
          <cell r="F3167" t="str">
            <v/>
          </cell>
          <cell r="G3167" t="str">
            <v>CONCESION SABANA DE OCCIDENTE S.A.S</v>
          </cell>
          <cell r="H3167" t="str">
            <v>IMVE</v>
          </cell>
          <cell r="I3167" t="str">
            <v>IMPUESTO SOBRE LAS VENTAS</v>
          </cell>
          <cell r="J3167" t="str">
            <v>AUT MEDELLIN KM 10</v>
          </cell>
          <cell r="K3167" t="str">
            <v>25799</v>
          </cell>
          <cell r="L3167" t="str">
            <v>TENJO</v>
          </cell>
          <cell r="M3167" t="str">
            <v>5939260</v>
          </cell>
        </row>
        <row r="3168">
          <cell r="A3168">
            <v>800236101</v>
          </cell>
          <cell r="B3168" t="str">
            <v>1</v>
          </cell>
          <cell r="C3168" t="str">
            <v/>
          </cell>
          <cell r="D3168" t="str">
            <v>NJ</v>
          </cell>
          <cell r="E3168" t="str">
            <v/>
          </cell>
          <cell r="F3168" t="str">
            <v/>
          </cell>
          <cell r="G3168" t="str">
            <v>BUEN VIENTO S.A.S</v>
          </cell>
          <cell r="H3168" t="str">
            <v>RECO</v>
          </cell>
          <cell r="I3168" t="str">
            <v>REGIMEN COMUN</v>
          </cell>
          <cell r="J3168" t="str">
            <v>CL 58  23  08 P1</v>
          </cell>
          <cell r="K3168" t="str">
            <v>17001</v>
          </cell>
          <cell r="L3168" t="str">
            <v>MANIZALES</v>
          </cell>
          <cell r="M3168" t="str">
            <v>8811900</v>
          </cell>
        </row>
        <row r="3169">
          <cell r="A3169">
            <v>800236772</v>
          </cell>
          <cell r="B3169" t="str">
            <v>3</v>
          </cell>
          <cell r="C3169" t="str">
            <v/>
          </cell>
          <cell r="D3169" t="str">
            <v>NJ</v>
          </cell>
          <cell r="E3169" t="str">
            <v/>
          </cell>
          <cell r="F3169" t="str">
            <v/>
          </cell>
          <cell r="G3169" t="str">
            <v>ACUMULADORES DUNCAN SAS</v>
          </cell>
          <cell r="H3169" t="str">
            <v>IMVE</v>
          </cell>
          <cell r="I3169" t="str">
            <v>IMPUESTO SOBRE LAS VENTAS</v>
          </cell>
          <cell r="J3169" t="str">
            <v>AUT MEDELLIN KM 2 VIA PARQUE LA FLORIA BG 59 PAR INDUSTRIAL TERR</v>
          </cell>
          <cell r="K3169" t="str">
            <v>25214</v>
          </cell>
          <cell r="L3169" t="str">
            <v>COTA</v>
          </cell>
          <cell r="M3169" t="str">
            <v>3164493491</v>
          </cell>
        </row>
        <row r="3170">
          <cell r="A3170">
            <v>800236801</v>
          </cell>
          <cell r="B3170" t="str">
            <v>9</v>
          </cell>
          <cell r="C3170" t="str">
            <v/>
          </cell>
          <cell r="D3170" t="str">
            <v>NJ</v>
          </cell>
          <cell r="E3170" t="str">
            <v/>
          </cell>
          <cell r="F3170" t="str">
            <v/>
          </cell>
          <cell r="G3170" t="str">
            <v>AGUILA DE ORO DE COLOMBIA LTDA</v>
          </cell>
          <cell r="H3170" t="str">
            <v>RECO</v>
          </cell>
          <cell r="I3170" t="str">
            <v>REGIMEN COMUN</v>
          </cell>
          <cell r="J3170" t="str">
            <v>CL 39 A CR 17 43</v>
          </cell>
          <cell r="K3170" t="str">
            <v>11001</v>
          </cell>
          <cell r="L3170" t="str">
            <v>BOGOTA DC</v>
          </cell>
          <cell r="M3170" t="str">
            <v>2322610</v>
          </cell>
        </row>
        <row r="3171">
          <cell r="A3171">
            <v>800236878</v>
          </cell>
          <cell r="B3171" t="str">
            <v>5</v>
          </cell>
          <cell r="C3171" t="str">
            <v/>
          </cell>
          <cell r="D3171" t="str">
            <v>NJ</v>
          </cell>
          <cell r="E3171" t="str">
            <v/>
          </cell>
          <cell r="F3171" t="str">
            <v/>
          </cell>
          <cell r="G3171" t="str">
            <v>SOLUCIONES AVANZADAS DE ENERGIA SAE LTDA</v>
          </cell>
          <cell r="H3171" t="str">
            <v>IMVE</v>
          </cell>
          <cell r="I3171" t="str">
            <v>IMPUESTO SOBRE LAS VENTAS</v>
          </cell>
          <cell r="J3171" t="str">
            <v>CL 102 A 70 B 13 BRR SANTA ROSA</v>
          </cell>
          <cell r="K3171" t="str">
            <v>03</v>
          </cell>
          <cell r="L3171" t="str">
            <v>BOGOTA</v>
          </cell>
          <cell r="M3171" t="str">
            <v>5800122</v>
          </cell>
        </row>
        <row r="3172">
          <cell r="A3172">
            <v>800236890</v>
          </cell>
          <cell r="B3172" t="str">
            <v>4</v>
          </cell>
          <cell r="C3172" t="str">
            <v/>
          </cell>
          <cell r="D3172" t="str">
            <v>NJ</v>
          </cell>
          <cell r="E3172" t="str">
            <v/>
          </cell>
          <cell r="F3172" t="str">
            <v/>
          </cell>
          <cell r="G3172" t="str">
            <v>SADEVEN INGENIERÍA Y CONSTRUCCIÓN S.L.</v>
          </cell>
          <cell r="H3172" t="str">
            <v>IMVE</v>
          </cell>
          <cell r="I3172" t="str">
            <v>IMPUESTO SOBRE LAS VENTAS</v>
          </cell>
          <cell r="J3172" t="str">
            <v xml:space="preserve"> AUT NORTE K M 21 VIA TUNJA COSTADO SUR NORTE VEREDA CANAVITA CC</v>
          </cell>
          <cell r="K3172" t="str">
            <v>25817</v>
          </cell>
          <cell r="L3172" t="str">
            <v>TOCANCIPÁ</v>
          </cell>
          <cell r="M3172" t="str">
            <v>6555700</v>
          </cell>
        </row>
        <row r="3173">
          <cell r="A3173">
            <v>800237412</v>
          </cell>
          <cell r="B3173" t="str">
            <v>1</v>
          </cell>
          <cell r="C3173" t="str">
            <v/>
          </cell>
          <cell r="D3173" t="str">
            <v>NJ</v>
          </cell>
          <cell r="E3173" t="str">
            <v/>
          </cell>
          <cell r="F3173" t="str">
            <v/>
          </cell>
          <cell r="G3173" t="str">
            <v>FERRICENTROS S.A.S</v>
          </cell>
          <cell r="H3173" t="str">
            <v>GRAU</v>
          </cell>
          <cell r="I3173" t="str">
            <v>GRAN CONTRIBUYENTE AUTORRETENEDO</v>
          </cell>
          <cell r="J3173" t="str">
            <v>AV CARACAS 74 25</v>
          </cell>
          <cell r="K3173" t="str">
            <v>11001</v>
          </cell>
          <cell r="L3173" t="str">
            <v>BOGOTA DC</v>
          </cell>
          <cell r="M3173" t="str">
            <v>6511212</v>
          </cell>
        </row>
        <row r="3174">
          <cell r="A3174">
            <v>800239567</v>
          </cell>
          <cell r="B3174" t="str">
            <v>3</v>
          </cell>
          <cell r="C3174" t="str">
            <v/>
          </cell>
          <cell r="D3174" t="str">
            <v>NJ</v>
          </cell>
          <cell r="E3174" t="str">
            <v/>
          </cell>
          <cell r="F3174" t="str">
            <v/>
          </cell>
          <cell r="G3174" t="str">
            <v>TERMILLANTAS SAS</v>
          </cell>
          <cell r="H3174" t="str">
            <v>IMVE</v>
          </cell>
          <cell r="I3174" t="str">
            <v>IMPUESTO SOBRE LAS VENTAS</v>
          </cell>
          <cell r="J3174" t="str">
            <v>CL 20 82 52 OF 423 410 CC HAYUELOS CENTRO EMPRESARIAL</v>
          </cell>
          <cell r="K3174" t="str">
            <v>11001</v>
          </cell>
          <cell r="L3174" t="str">
            <v>BOGOTA DC</v>
          </cell>
          <cell r="M3174" t="str">
            <v>3106194941</v>
          </cell>
        </row>
        <row r="3175">
          <cell r="A3175">
            <v>800241479</v>
          </cell>
          <cell r="B3175" t="str">
            <v>1</v>
          </cell>
          <cell r="C3175" t="str">
            <v/>
          </cell>
          <cell r="D3175" t="str">
            <v>NJ</v>
          </cell>
          <cell r="E3175" t="str">
            <v/>
          </cell>
          <cell r="F3175" t="str">
            <v/>
          </cell>
          <cell r="G3175" t="str">
            <v>COOPERATIVA MULTIACTIVA DE TRANSPORTADORES DE CHIRIGUANA</v>
          </cell>
          <cell r="H3175" t="str">
            <v>RECO</v>
          </cell>
          <cell r="I3175" t="str">
            <v>REGIMEN COMUN</v>
          </cell>
          <cell r="J3175" t="str">
            <v>CL 8   6   100 SEC CENTRO</v>
          </cell>
          <cell r="K3175" t="str">
            <v>20178</v>
          </cell>
          <cell r="L3175" t="str">
            <v>CHIRIGUANÁ</v>
          </cell>
          <cell r="M3175" t="str">
            <v>5760465</v>
          </cell>
        </row>
        <row r="3176">
          <cell r="A3176">
            <v>800241578</v>
          </cell>
          <cell r="B3176" t="str">
            <v>0</v>
          </cell>
          <cell r="C3176" t="str">
            <v/>
          </cell>
          <cell r="D3176" t="str">
            <v>NJ</v>
          </cell>
          <cell r="E3176" t="str">
            <v/>
          </cell>
          <cell r="F3176" t="str">
            <v/>
          </cell>
          <cell r="G3176" t="str">
            <v>ESTACION DE SERVICIO MONTEVIDEO</v>
          </cell>
          <cell r="H3176" t="str">
            <v>RECO</v>
          </cell>
          <cell r="I3176" t="str">
            <v>REGIMEN COMUN</v>
          </cell>
          <cell r="J3176" t="str">
            <v>CL 13 68 D 84</v>
          </cell>
          <cell r="K3176" t="str">
            <v>11001</v>
          </cell>
          <cell r="L3176" t="str">
            <v>BOGOTA DC</v>
          </cell>
          <cell r="M3176" t="str">
            <v>0314059522</v>
          </cell>
        </row>
        <row r="3177">
          <cell r="A3177">
            <v>800242106</v>
          </cell>
          <cell r="B3177" t="str">
            <v>2</v>
          </cell>
          <cell r="C3177" t="str">
            <v/>
          </cell>
          <cell r="D3177" t="str">
            <v>NJ</v>
          </cell>
          <cell r="E3177" t="str">
            <v/>
          </cell>
          <cell r="F3177" t="str">
            <v/>
          </cell>
          <cell r="G3177" t="str">
            <v>HOMECENTER</v>
          </cell>
          <cell r="H3177" t="str">
            <v>GRAU</v>
          </cell>
          <cell r="I3177" t="str">
            <v>GRAN CONTRIBUYENTE AUTORRETENEDO</v>
          </cell>
          <cell r="J3177" t="str">
            <v>CR 69 98 A 11 P 2</v>
          </cell>
          <cell r="K3177" t="str">
            <v>11001</v>
          </cell>
          <cell r="L3177" t="str">
            <v>BOGOTA DC</v>
          </cell>
          <cell r="M3177" t="str">
            <v>18000115150</v>
          </cell>
        </row>
        <row r="3178">
          <cell r="A3178">
            <v>800242586</v>
          </cell>
          <cell r="B3178" t="str">
            <v>4</v>
          </cell>
          <cell r="C3178" t="str">
            <v/>
          </cell>
          <cell r="D3178" t="str">
            <v>NJ</v>
          </cell>
          <cell r="E3178" t="str">
            <v/>
          </cell>
          <cell r="F3178" t="str">
            <v/>
          </cell>
          <cell r="G3178" t="str">
            <v>CENTRAL DE DOTACIONES LTDA</v>
          </cell>
          <cell r="H3178" t="str">
            <v>RCAU</v>
          </cell>
          <cell r="I3178" t="str">
            <v>RESPONSABLE IVA - AUTORETENEDOR</v>
          </cell>
          <cell r="J3178" t="str">
            <v>CL 14 18 82</v>
          </cell>
          <cell r="K3178" t="str">
            <v>15238</v>
          </cell>
          <cell r="L3178" t="str">
            <v>DUITAMA</v>
          </cell>
          <cell r="M3178" t="str">
            <v>3013955358</v>
          </cell>
        </row>
        <row r="3179">
          <cell r="A3179">
            <v>800243656</v>
          </cell>
          <cell r="B3179" t="str">
            <v>6</v>
          </cell>
          <cell r="C3179" t="str">
            <v/>
          </cell>
          <cell r="D3179" t="str">
            <v>NJ</v>
          </cell>
          <cell r="E3179" t="str">
            <v/>
          </cell>
          <cell r="F3179" t="str">
            <v/>
          </cell>
          <cell r="G3179" t="str">
            <v>COOPERATIVA DE TRANSPORTADORES DEL ALTO SINU COOTRALSINU LTDA</v>
          </cell>
          <cell r="H3179" t="str">
            <v>RECO</v>
          </cell>
          <cell r="I3179" t="str">
            <v>REGIMEN COMUN</v>
          </cell>
          <cell r="J3179" t="str">
            <v>CR 16 41 150 BRR EL MORA</v>
          </cell>
          <cell r="K3179" t="str">
            <v>23001</v>
          </cell>
          <cell r="L3179" t="str">
            <v>MONTERÍA</v>
          </cell>
          <cell r="M3179" t="str">
            <v>7849100</v>
          </cell>
        </row>
        <row r="3180">
          <cell r="A3180">
            <v>800244309</v>
          </cell>
          <cell r="B3180" t="str">
            <v>1</v>
          </cell>
          <cell r="C3180" t="str">
            <v/>
          </cell>
          <cell r="D3180" t="str">
            <v>NJ</v>
          </cell>
          <cell r="E3180" t="str">
            <v/>
          </cell>
          <cell r="F3180" t="str">
            <v/>
          </cell>
          <cell r="G3180" t="str">
            <v>AXA ASISTENCIA S.A</v>
          </cell>
          <cell r="H3180" t="str">
            <v>GRAU</v>
          </cell>
          <cell r="I3180" t="str">
            <v>GRAN CONTRIBUYENTE AUTORRETENEDO</v>
          </cell>
          <cell r="J3180" t="str">
            <v>CR 11 82 01 P 4</v>
          </cell>
          <cell r="K3180" t="str">
            <v>17001</v>
          </cell>
          <cell r="L3180" t="str">
            <v>MANIZALES</v>
          </cell>
          <cell r="M3180" t="str">
            <v>6462828</v>
          </cell>
        </row>
        <row r="3181">
          <cell r="A3181">
            <v>800244322</v>
          </cell>
          <cell r="B3181" t="str">
            <v>6</v>
          </cell>
          <cell r="C3181" t="str">
            <v>81400000</v>
          </cell>
          <cell r="D3181" t="str">
            <v>NJ</v>
          </cell>
          <cell r="E3181" t="str">
            <v/>
          </cell>
          <cell r="F3181" t="str">
            <v/>
          </cell>
          <cell r="G3181" t="str">
            <v>FEDERACION NACIONAL DE DEPARTAMENTOS</v>
          </cell>
          <cell r="H3181" t="str">
            <v>REIC</v>
          </cell>
          <cell r="I3181" t="str">
            <v>RENTA REGIMEN ESPECIAL</v>
          </cell>
          <cell r="J3181" t="str">
            <v>AV CL 26 69 B 53 P 6 OF 4</v>
          </cell>
          <cell r="K3181" t="str">
            <v>11001</v>
          </cell>
          <cell r="L3181" t="str">
            <v>BOGOTA DC</v>
          </cell>
          <cell r="M3181" t="str">
            <v>4870024</v>
          </cell>
        </row>
        <row r="3182">
          <cell r="A3182">
            <v>800244808</v>
          </cell>
          <cell r="B3182" t="str">
            <v>3</v>
          </cell>
          <cell r="C3182" t="str">
            <v/>
          </cell>
          <cell r="D3182" t="str">
            <v>NJ</v>
          </cell>
          <cell r="E3182" t="str">
            <v/>
          </cell>
          <cell r="F3182" t="str">
            <v/>
          </cell>
          <cell r="G3182" t="str">
            <v xml:space="preserve">PORVENIR S A  F  DE PENSIONES                               </v>
          </cell>
          <cell r="H3182" t="str">
            <v>RECO</v>
          </cell>
          <cell r="I3182" t="str">
            <v>REGIMEN COMUN</v>
          </cell>
          <cell r="J3182" t="str">
            <v xml:space="preserve">CR 23 N 60 18                      </v>
          </cell>
          <cell r="K3182" t="str">
            <v>17001</v>
          </cell>
          <cell r="L3182" t="str">
            <v>MANIZALES</v>
          </cell>
          <cell r="M3182" t="str">
            <v>8862333</v>
          </cell>
        </row>
        <row r="3183">
          <cell r="A3183">
            <v>800244815</v>
          </cell>
          <cell r="B3183" t="str">
            <v>5</v>
          </cell>
          <cell r="C3183" t="str">
            <v/>
          </cell>
          <cell r="D3183" t="str">
            <v>NJ</v>
          </cell>
          <cell r="E3183" t="str">
            <v/>
          </cell>
          <cell r="F3183" t="str">
            <v/>
          </cell>
          <cell r="G3183" t="str">
            <v>SERVICIOS EJECUTIVOS EMPRESARIALES LTDA.</v>
          </cell>
          <cell r="H3183" t="str">
            <v>RECO</v>
          </cell>
          <cell r="I3183" t="str">
            <v>REGIMEN COMUN</v>
          </cell>
          <cell r="J3183" t="str">
            <v>PQ P 1 AER</v>
          </cell>
          <cell r="K3183" t="str">
            <v>17001</v>
          </cell>
          <cell r="L3183" t="str">
            <v>MANIZALES</v>
          </cell>
          <cell r="M3183" t="str">
            <v>8819070</v>
          </cell>
        </row>
        <row r="3184">
          <cell r="A3184">
            <v>800244858</v>
          </cell>
          <cell r="B3184" t="str">
            <v>1</v>
          </cell>
          <cell r="C3184" t="str">
            <v/>
          </cell>
          <cell r="D3184" t="str">
            <v>NJ</v>
          </cell>
          <cell r="E3184" t="str">
            <v/>
          </cell>
          <cell r="F3184" t="str">
            <v/>
          </cell>
          <cell r="G3184" t="str">
            <v>ENDICONTROL S.A</v>
          </cell>
          <cell r="H3184" t="str">
            <v>RECO</v>
          </cell>
          <cell r="I3184" t="str">
            <v>REGIMEN COMUN</v>
          </cell>
          <cell r="J3184" t="str">
            <v>CR 50  A   61  72  BRR PRADO CENTRO</v>
          </cell>
          <cell r="K3184" t="str">
            <v>05001</v>
          </cell>
          <cell r="L3184" t="str">
            <v>MEDELLÍN</v>
          </cell>
          <cell r="M3184" t="str">
            <v>2910782</v>
          </cell>
        </row>
        <row r="3185">
          <cell r="A3185">
            <v>800245746</v>
          </cell>
          <cell r="B3185" t="str">
            <v>1</v>
          </cell>
          <cell r="C3185" t="str">
            <v/>
          </cell>
          <cell r="D3185" t="str">
            <v>NJ</v>
          </cell>
          <cell r="E3185" t="str">
            <v/>
          </cell>
          <cell r="F3185" t="str">
            <v/>
          </cell>
          <cell r="G3185" t="str">
            <v>TERMOBARRANQUILLA S.A. EMPRESA DE SERVICIOS PUBLICOS TEBSA S.A</v>
          </cell>
          <cell r="H3185" t="str">
            <v>GRCO</v>
          </cell>
          <cell r="I3185" t="str">
            <v>GRAN CONTRIBUYENTE</v>
          </cell>
          <cell r="J3185" t="str">
            <v>CL 18 39-250 BRR EN SOLEDAD</v>
          </cell>
          <cell r="K3185" t="str">
            <v>08758</v>
          </cell>
          <cell r="L3185" t="str">
            <v>SOLEDAD</v>
          </cell>
          <cell r="M3185" t="str">
            <v>3759800</v>
          </cell>
        </row>
        <row r="3186">
          <cell r="A3186">
            <v>800247030</v>
          </cell>
          <cell r="B3186" t="str">
            <v>4</v>
          </cell>
          <cell r="C3186" t="str">
            <v/>
          </cell>
          <cell r="D3186" t="str">
            <v>NJ</v>
          </cell>
          <cell r="E3186" t="str">
            <v/>
          </cell>
          <cell r="F3186" t="str">
            <v/>
          </cell>
          <cell r="G3186" t="str">
            <v>HOTELES EL SALITRE S.A.</v>
          </cell>
          <cell r="H3186" t="str">
            <v>RECO</v>
          </cell>
          <cell r="I3186" t="str">
            <v>REGIMEN COMUN</v>
          </cell>
          <cell r="J3186" t="str">
            <v>CL 25 B   69 A 50</v>
          </cell>
          <cell r="K3186" t="str">
            <v>11001</v>
          </cell>
          <cell r="L3186" t="str">
            <v>BOGOTA DC</v>
          </cell>
          <cell r="M3186" t="str">
            <v>423 3000</v>
          </cell>
        </row>
        <row r="3187">
          <cell r="A3187">
            <v>800248052</v>
          </cell>
          <cell r="B3187" t="str">
            <v>0</v>
          </cell>
          <cell r="C3187" t="str">
            <v/>
          </cell>
          <cell r="D3187" t="str">
            <v>NJ</v>
          </cell>
          <cell r="E3187" t="str">
            <v/>
          </cell>
          <cell r="F3187" t="str">
            <v/>
          </cell>
          <cell r="G3187" t="str">
            <v>COOPERATIVA DE TRANSPORTE CUPIAGUA</v>
          </cell>
          <cell r="H3187" t="str">
            <v>RECO</v>
          </cell>
          <cell r="I3187" t="str">
            <v>REGIMEN COMUN</v>
          </cell>
          <cell r="J3187" t="str">
            <v>CL 13 11 47 BRR LAS FERIAS</v>
          </cell>
          <cell r="K3187" t="str">
            <v>85010</v>
          </cell>
          <cell r="L3187" t="str">
            <v>AGUAZUL</v>
          </cell>
          <cell r="M3187" t="str">
            <v>3115383092</v>
          </cell>
        </row>
        <row r="3188">
          <cell r="A3188">
            <v>800248365</v>
          </cell>
          <cell r="B3188" t="str">
            <v>0</v>
          </cell>
          <cell r="C3188" t="str">
            <v/>
          </cell>
          <cell r="D3188" t="str">
            <v>NJ</v>
          </cell>
          <cell r="E3188" t="str">
            <v/>
          </cell>
          <cell r="F3188" t="str">
            <v/>
          </cell>
          <cell r="G3188" t="str">
            <v>ORION TECNICA COMERCIAL SAS</v>
          </cell>
          <cell r="H3188" t="str">
            <v>REOR</v>
          </cell>
          <cell r="I3188" t="str">
            <v>RENTA REGIMEN ORDINARIO</v>
          </cell>
          <cell r="J3188" t="str">
            <v>CR 66 C   42   55</v>
          </cell>
          <cell r="K3188" t="str">
            <v>11001</v>
          </cell>
          <cell r="L3188" t="str">
            <v>BOGOTA DC</v>
          </cell>
          <cell r="M3188" t="str">
            <v>3130379</v>
          </cell>
        </row>
        <row r="3189">
          <cell r="A3189">
            <v>800248375</v>
          </cell>
          <cell r="B3189" t="str">
            <v>4</v>
          </cell>
          <cell r="C3189" t="str">
            <v/>
          </cell>
          <cell r="D3189" t="str">
            <v>NJ</v>
          </cell>
          <cell r="E3189" t="str">
            <v/>
          </cell>
          <cell r="F3189" t="str">
            <v/>
          </cell>
          <cell r="G3189" t="str">
            <v>CCA COMPAÑIA DE CONSULTORIA AMBIENTAL LTDA.</v>
          </cell>
          <cell r="H3189" t="str">
            <v>IMVE</v>
          </cell>
          <cell r="I3189" t="str">
            <v>IMPUESTO SOBRE LAS VENTAS</v>
          </cell>
          <cell r="J3189" t="str">
            <v>TV 22 A 53 D 33 BRR SAN LUIS</v>
          </cell>
          <cell r="K3189" t="str">
            <v>11001</v>
          </cell>
          <cell r="L3189" t="str">
            <v>BOGOTA DC</v>
          </cell>
          <cell r="M3189" t="str">
            <v>6098866</v>
          </cell>
        </row>
        <row r="3190">
          <cell r="A3190">
            <v>800248472</v>
          </cell>
          <cell r="B3190" t="str">
            <v>0</v>
          </cell>
          <cell r="C3190" t="str">
            <v/>
          </cell>
          <cell r="D3190" t="str">
            <v>NJ</v>
          </cell>
          <cell r="E3190" t="str">
            <v/>
          </cell>
          <cell r="F3190" t="str">
            <v/>
          </cell>
          <cell r="G3190" t="str">
            <v>FLORIDA INVERSIONES LTDA</v>
          </cell>
          <cell r="H3190" t="str">
            <v>IMVE</v>
          </cell>
          <cell r="I3190" t="str">
            <v>IMPUESTO SOBRE LAS VENTAS</v>
          </cell>
          <cell r="J3190" t="str">
            <v>CR 17 93 A 02 OF 504</v>
          </cell>
          <cell r="K3190" t="str">
            <v>11001</v>
          </cell>
          <cell r="L3190" t="str">
            <v>BOGOTA DC</v>
          </cell>
          <cell r="M3190" t="str">
            <v>6360866</v>
          </cell>
        </row>
        <row r="3191">
          <cell r="A3191">
            <v>800249174</v>
          </cell>
          <cell r="B3191" t="str">
            <v>5</v>
          </cell>
          <cell r="C3191" t="str">
            <v/>
          </cell>
          <cell r="D3191" t="str">
            <v>NJ</v>
          </cell>
          <cell r="E3191" t="str">
            <v/>
          </cell>
          <cell r="F3191" t="str">
            <v/>
          </cell>
          <cell r="G3191" t="str">
            <v>EMPRESA METROPOLITANA DE ASEO S.A E.S.P / EMAS</v>
          </cell>
          <cell r="H3191" t="str">
            <v>GRAU</v>
          </cell>
          <cell r="I3191" t="str">
            <v>GRAN CONTRIBUYENTE AUTORRETENEDO</v>
          </cell>
          <cell r="J3191" t="str">
            <v>CL 62 23 61 LC 203</v>
          </cell>
          <cell r="K3191" t="str">
            <v>17001</v>
          </cell>
          <cell r="L3191" t="str">
            <v>MANIZALES</v>
          </cell>
          <cell r="M3191" t="str">
            <v>8735555</v>
          </cell>
        </row>
        <row r="3192">
          <cell r="A3192">
            <v>800249241</v>
          </cell>
          <cell r="B3192" t="str">
            <v>0</v>
          </cell>
          <cell r="C3192" t="str">
            <v/>
          </cell>
          <cell r="D3192" t="str">
            <v>NJ</v>
          </cell>
          <cell r="E3192" t="str">
            <v/>
          </cell>
          <cell r="F3192" t="str">
            <v/>
          </cell>
          <cell r="G3192" t="str">
            <v>COOSALUD EPS-S</v>
          </cell>
          <cell r="H3192" t="str">
            <v>RECO</v>
          </cell>
          <cell r="I3192" t="str">
            <v>REGIMEN COMUN</v>
          </cell>
          <cell r="J3192" t="str">
            <v>CR 2 11</v>
          </cell>
          <cell r="K3192" t="str">
            <v>17001</v>
          </cell>
          <cell r="L3192" t="str">
            <v>MANIZALES</v>
          </cell>
          <cell r="M3192" t="str">
            <v>2602424</v>
          </cell>
        </row>
        <row r="3193">
          <cell r="A3193">
            <v>800249247</v>
          </cell>
          <cell r="B3193" t="str">
            <v>4</v>
          </cell>
          <cell r="C3193" t="str">
            <v/>
          </cell>
          <cell r="D3193" t="str">
            <v>NJ</v>
          </cell>
          <cell r="E3193" t="str">
            <v/>
          </cell>
          <cell r="F3193" t="str">
            <v/>
          </cell>
          <cell r="G3193" t="str">
            <v>SENSOMATIC SAS</v>
          </cell>
          <cell r="H3193" t="str">
            <v>IMVE</v>
          </cell>
          <cell r="I3193" t="str">
            <v>IMPUESTO SOBRE LAS VENTAS</v>
          </cell>
          <cell r="J3193" t="str">
            <v>CL 1 F 25  A 50-52</v>
          </cell>
          <cell r="K3193" t="str">
            <v>11001</v>
          </cell>
          <cell r="L3193" t="str">
            <v>BOGOTA DC</v>
          </cell>
          <cell r="M3193" t="str">
            <v>4079696</v>
          </cell>
        </row>
        <row r="3194">
          <cell r="A3194">
            <v>800249396</v>
          </cell>
          <cell r="B3194" t="str">
            <v>3</v>
          </cell>
          <cell r="C3194" t="str">
            <v/>
          </cell>
          <cell r="D3194" t="str">
            <v>NJ</v>
          </cell>
          <cell r="E3194" t="str">
            <v/>
          </cell>
          <cell r="F3194" t="str">
            <v/>
          </cell>
          <cell r="G3194" t="str">
            <v>CLEAN AIR PRODUCTS SAS</v>
          </cell>
          <cell r="H3194" t="str">
            <v>RECO</v>
          </cell>
          <cell r="I3194" t="str">
            <v>REGIMEN COMUN</v>
          </cell>
          <cell r="J3194" t="str">
            <v>TV 96 B 24 B 68</v>
          </cell>
          <cell r="K3194" t="str">
            <v>11001</v>
          </cell>
          <cell r="L3194" t="str">
            <v>BOGOTA DC</v>
          </cell>
          <cell r="M3194" t="str">
            <v>4183361</v>
          </cell>
        </row>
        <row r="3195">
          <cell r="A3195">
            <v>800249860</v>
          </cell>
          <cell r="B3195" t="str">
            <v>1</v>
          </cell>
          <cell r="C3195" t="str">
            <v/>
          </cell>
          <cell r="D3195" t="str">
            <v>NJ</v>
          </cell>
          <cell r="E3195" t="str">
            <v/>
          </cell>
          <cell r="F3195" t="str">
            <v/>
          </cell>
          <cell r="G3195" t="str">
            <v>CELSIA COLOMBIA S.A E.S.P</v>
          </cell>
          <cell r="H3195" t="str">
            <v>GRAU</v>
          </cell>
          <cell r="I3195" t="str">
            <v>GRAN CONTRIBUYENTE AUTORRETENEDO</v>
          </cell>
          <cell r="J3195" t="str">
            <v>CL 15 N  29B 30 AUT CALI   YUMBO</v>
          </cell>
          <cell r="K3195" t="str">
            <v>76892</v>
          </cell>
          <cell r="L3195" t="str">
            <v>YUMBO</v>
          </cell>
          <cell r="M3195" t="str">
            <v>3210000</v>
          </cell>
        </row>
        <row r="3196">
          <cell r="A3196">
            <v>800249882</v>
          </cell>
          <cell r="B3196" t="str">
            <v>1</v>
          </cell>
          <cell r="C3196" t="str">
            <v/>
          </cell>
          <cell r="D3196" t="str">
            <v>NJ</v>
          </cell>
          <cell r="E3196" t="str">
            <v/>
          </cell>
          <cell r="F3196" t="str">
            <v/>
          </cell>
          <cell r="G3196" t="str">
            <v>BORRERO OCHOA Y ASOCIADOS LTDA</v>
          </cell>
          <cell r="H3196" t="str">
            <v>RECO</v>
          </cell>
          <cell r="I3196" t="str">
            <v>REGIMEN COMUN</v>
          </cell>
          <cell r="J3196" t="str">
            <v>CR 11B  96 03 OF 203</v>
          </cell>
          <cell r="K3196" t="str">
            <v>11001</v>
          </cell>
          <cell r="L3196" t="str">
            <v>BOGOTA DC</v>
          </cell>
          <cell r="M3196" t="str">
            <v>6914055</v>
          </cell>
        </row>
        <row r="3197">
          <cell r="A3197">
            <v>800250026</v>
          </cell>
          <cell r="B3197" t="str">
            <v>5</v>
          </cell>
          <cell r="C3197" t="str">
            <v/>
          </cell>
          <cell r="D3197" t="str">
            <v>NJ</v>
          </cell>
          <cell r="E3197" t="str">
            <v/>
          </cell>
          <cell r="F3197" t="str">
            <v/>
          </cell>
          <cell r="G3197" t="str">
            <v>MERITORIO CUERPO DE BOMBEROS VOLUNTARIOS DE BUENAVENTURA</v>
          </cell>
          <cell r="H3197" t="str">
            <v>RECO</v>
          </cell>
          <cell r="I3197" t="str">
            <v>REGIMEN COMUN</v>
          </cell>
          <cell r="J3197" t="str">
            <v>CR 6  4 A 39</v>
          </cell>
          <cell r="K3197" t="str">
            <v>76109</v>
          </cell>
          <cell r="L3197" t="str">
            <v>BUENAVENTURA</v>
          </cell>
          <cell r="M3197" t="str">
            <v>3168315652</v>
          </cell>
        </row>
        <row r="3198">
          <cell r="A3198">
            <v>800250029</v>
          </cell>
          <cell r="B3198" t="str">
            <v>7</v>
          </cell>
          <cell r="C3198" t="str">
            <v>232917001</v>
          </cell>
          <cell r="D3198" t="str">
            <v>NJ</v>
          </cell>
          <cell r="E3198" t="str">
            <v/>
          </cell>
          <cell r="F3198" t="str">
            <v/>
          </cell>
          <cell r="G3198" t="str">
            <v>INSTITUTO DE CULTURA Y TURISMO DE MANIZALES</v>
          </cell>
          <cell r="H3198" t="str">
            <v>IMVE</v>
          </cell>
          <cell r="I3198" t="str">
            <v>IMPUESTO SOBRE LAS VENTAS</v>
          </cell>
          <cell r="J3198" t="str">
            <v>AV ALBERTO MENDOZA HOYOS KM 2 VIA AL MAGDALENA EXPOFERIAS</v>
          </cell>
          <cell r="K3198" t="str">
            <v>17001</v>
          </cell>
          <cell r="L3198" t="str">
            <v>MANIZALES</v>
          </cell>
          <cell r="M3198" t="str">
            <v>8749708</v>
          </cell>
        </row>
        <row r="3199">
          <cell r="A3199">
            <v>800250119</v>
          </cell>
          <cell r="B3199" t="str">
            <v>1</v>
          </cell>
          <cell r="C3199" t="str">
            <v/>
          </cell>
          <cell r="D3199" t="str">
            <v>NJ</v>
          </cell>
          <cell r="E3199" t="str">
            <v/>
          </cell>
          <cell r="F3199" t="str">
            <v/>
          </cell>
          <cell r="G3199" t="str">
            <v xml:space="preserve">EMPRESA PROMOTORA DE SALUD ORGANISMO COOPERATIVO SALUDCOOP  </v>
          </cell>
          <cell r="H3199" t="str">
            <v>RECO</v>
          </cell>
          <cell r="I3199" t="str">
            <v>REGIMEN COMUN</v>
          </cell>
          <cell r="J3199" t="str">
            <v xml:space="preserve">CR  24 A N56 58                       </v>
          </cell>
          <cell r="K3199" t="str">
            <v>17001</v>
          </cell>
          <cell r="L3199" t="str">
            <v>MANIZALES</v>
          </cell>
          <cell r="M3199" t="str">
            <v>8860601</v>
          </cell>
        </row>
        <row r="3200">
          <cell r="A3200">
            <v>800250590</v>
          </cell>
          <cell r="B3200" t="str">
            <v>8</v>
          </cell>
          <cell r="C3200" t="str">
            <v/>
          </cell>
          <cell r="D3200" t="str">
            <v>NJ</v>
          </cell>
          <cell r="E3200" t="str">
            <v/>
          </cell>
          <cell r="F3200" t="str">
            <v/>
          </cell>
          <cell r="G3200" t="str">
            <v>PALOMARES TOURS S.A</v>
          </cell>
          <cell r="H3200" t="str">
            <v>RECO</v>
          </cell>
          <cell r="I3200" t="str">
            <v>REGIMEN COMUN</v>
          </cell>
          <cell r="J3200" t="str">
            <v>CR 43 A   16 A SUR 38 OF 202 ED ANDI</v>
          </cell>
          <cell r="K3200" t="str">
            <v>05001</v>
          </cell>
          <cell r="L3200" t="str">
            <v>MEDELLÍN</v>
          </cell>
          <cell r="M3200" t="str">
            <v>313661</v>
          </cell>
        </row>
        <row r="3201">
          <cell r="A3201">
            <v>800250956</v>
          </cell>
          <cell r="B3201" t="str">
            <v>1</v>
          </cell>
          <cell r="C3201" t="str">
            <v/>
          </cell>
          <cell r="D3201" t="str">
            <v>NJ</v>
          </cell>
          <cell r="E3201" t="str">
            <v/>
          </cell>
          <cell r="F3201" t="str">
            <v/>
          </cell>
          <cell r="G3201" t="str">
            <v>ELECTROMANFER LTDA</v>
          </cell>
          <cell r="H3201" t="str">
            <v>IMVE</v>
          </cell>
          <cell r="I3201" t="str">
            <v>IMPUESTO SOBRE LAS VENTAS</v>
          </cell>
          <cell r="J3201" t="str">
            <v xml:space="preserve"> CL 2 25 A 55 BRR SANTA ISABEL</v>
          </cell>
          <cell r="K3201" t="str">
            <v>11001</v>
          </cell>
          <cell r="L3201" t="str">
            <v>BOGOTA DC</v>
          </cell>
          <cell r="M3201" t="str">
            <v>4074466</v>
          </cell>
        </row>
        <row r="3202">
          <cell r="A3202">
            <v>800250984</v>
          </cell>
          <cell r="B3202" t="str">
            <v>6</v>
          </cell>
          <cell r="C3202" t="str">
            <v>828100000</v>
          </cell>
          <cell r="D3202" t="str">
            <v>NJ</v>
          </cell>
          <cell r="E3202" t="str">
            <v/>
          </cell>
          <cell r="F3202" t="str">
            <v/>
          </cell>
          <cell r="G3202" t="str">
            <v>SUPERINTENDENCIA DE SERIVICIOS PUBLICOS DOMICILIARIOS</v>
          </cell>
          <cell r="H3202" t="str">
            <v>COIM</v>
          </cell>
          <cell r="I3202" t="str">
            <v>CONTROL DE IMPUESTOS</v>
          </cell>
          <cell r="J3202" t="str">
            <v xml:space="preserve">CR 18 84 35                             </v>
          </cell>
          <cell r="K3202" t="str">
            <v>11001</v>
          </cell>
          <cell r="L3202" t="str">
            <v>BOGOTA DC</v>
          </cell>
          <cell r="M3202" t="str">
            <v>6913005</v>
          </cell>
        </row>
        <row r="3203">
          <cell r="A3203">
            <v>800251415</v>
          </cell>
          <cell r="B3203" t="str">
            <v>1</v>
          </cell>
          <cell r="C3203" t="str">
            <v/>
          </cell>
          <cell r="D3203" t="str">
            <v>NJ</v>
          </cell>
          <cell r="E3203" t="str">
            <v/>
          </cell>
          <cell r="F3203" t="str">
            <v/>
          </cell>
          <cell r="G3203" t="str">
            <v>MECANIZADOS INDUSTRIALES PRECISION LTDA</v>
          </cell>
          <cell r="H3203" t="str">
            <v>RECO</v>
          </cell>
          <cell r="I3203" t="str">
            <v>REGIMEN COMUN</v>
          </cell>
          <cell r="J3203" t="str">
            <v xml:space="preserve"> CL 21 B 40  102</v>
          </cell>
          <cell r="K3203" t="str">
            <v>15238</v>
          </cell>
          <cell r="L3203" t="str">
            <v>DUITAMA</v>
          </cell>
          <cell r="M3203" t="str">
            <v>7619067</v>
          </cell>
        </row>
        <row r="3204">
          <cell r="A3204">
            <v>800251440</v>
          </cell>
          <cell r="B3204" t="str">
            <v>6</v>
          </cell>
          <cell r="C3204" t="str">
            <v/>
          </cell>
          <cell r="D3204" t="str">
            <v>NJ</v>
          </cell>
          <cell r="E3204" t="str">
            <v/>
          </cell>
          <cell r="F3204" t="str">
            <v/>
          </cell>
          <cell r="G3204" t="str">
            <v xml:space="preserve">E.P.S SANITAS                                               </v>
          </cell>
          <cell r="H3204" t="str">
            <v>GRCO</v>
          </cell>
          <cell r="I3204" t="str">
            <v>GRAN CONTRIBUYENTE</v>
          </cell>
          <cell r="J3204" t="str">
            <v xml:space="preserve">CL 22B N 66 46                       </v>
          </cell>
          <cell r="K3204" t="str">
            <v>17001</v>
          </cell>
          <cell r="L3204" t="str">
            <v>MANIZALES</v>
          </cell>
          <cell r="M3204" t="str">
            <v>3759000</v>
          </cell>
        </row>
        <row r="3205">
          <cell r="A3205">
            <v>800251566</v>
          </cell>
          <cell r="B3205" t="str">
            <v>5</v>
          </cell>
          <cell r="C3205" t="str">
            <v/>
          </cell>
          <cell r="D3205" t="str">
            <v>NJ</v>
          </cell>
          <cell r="E3205" t="str">
            <v/>
          </cell>
          <cell r="F3205" t="str">
            <v/>
          </cell>
          <cell r="G3205" t="str">
            <v>A¿SELLASEG INGENIERIA SAS</v>
          </cell>
          <cell r="H3205" t="str">
            <v>RECO</v>
          </cell>
          <cell r="I3205" t="str">
            <v>REGIMEN COMUN</v>
          </cell>
          <cell r="J3205" t="str">
            <v>CL 79  SUR 52  184</v>
          </cell>
          <cell r="K3205" t="str">
            <v>05380</v>
          </cell>
          <cell r="L3205" t="str">
            <v>LA ESTRELLA</v>
          </cell>
          <cell r="M3205" t="str">
            <v>4489939</v>
          </cell>
        </row>
        <row r="3206">
          <cell r="A3206">
            <v>800251569</v>
          </cell>
          <cell r="B3206" t="str">
            <v>7</v>
          </cell>
          <cell r="C3206" t="str">
            <v/>
          </cell>
          <cell r="D3206" t="str">
            <v>NJ</v>
          </cell>
          <cell r="E3206" t="str">
            <v/>
          </cell>
          <cell r="F3206" t="str">
            <v/>
          </cell>
          <cell r="G3206" t="str">
            <v>INTER RAPIDISIMO S.A.</v>
          </cell>
          <cell r="H3206" t="str">
            <v>RCAU</v>
          </cell>
          <cell r="I3206" t="str">
            <v>RESPONSABLE IVA - AUTORETENEDOR</v>
          </cell>
          <cell r="J3206" t="str">
            <v>CR 30  7-45</v>
          </cell>
          <cell r="K3206" t="str">
            <v>11001</v>
          </cell>
          <cell r="L3206" t="str">
            <v>BOGOTA DC</v>
          </cell>
          <cell r="M3206" t="str">
            <v>5605000</v>
          </cell>
        </row>
        <row r="3207">
          <cell r="A3207">
            <v>800251621</v>
          </cell>
          <cell r="B3207" t="str">
            <v>2</v>
          </cell>
          <cell r="C3207" t="str">
            <v/>
          </cell>
          <cell r="D3207" t="str">
            <v>NJ</v>
          </cell>
          <cell r="E3207" t="str">
            <v/>
          </cell>
          <cell r="F3207" t="str">
            <v/>
          </cell>
          <cell r="G3207" t="str">
            <v>COOPERATIVA DE TRANSPORTADORES DE AGUAZUL LTDA</v>
          </cell>
          <cell r="H3207" t="str">
            <v>RECO</v>
          </cell>
          <cell r="I3207" t="str">
            <v>REGIMEN COMUN</v>
          </cell>
          <cell r="J3207" t="str">
            <v>CL 8   14   25</v>
          </cell>
          <cell r="K3207" t="str">
            <v>85010</v>
          </cell>
          <cell r="L3207" t="str">
            <v>AGUAZUL</v>
          </cell>
          <cell r="M3207" t="str">
            <v>311583170</v>
          </cell>
        </row>
        <row r="3208">
          <cell r="A3208">
            <v>800252103</v>
          </cell>
          <cell r="B3208" t="str">
            <v>3</v>
          </cell>
          <cell r="C3208" t="str">
            <v/>
          </cell>
          <cell r="D3208" t="str">
            <v>NJ</v>
          </cell>
          <cell r="E3208" t="str">
            <v/>
          </cell>
          <cell r="F3208" t="str">
            <v/>
          </cell>
          <cell r="G3208" t="str">
            <v>IMSEL SAS</v>
          </cell>
          <cell r="H3208" t="str">
            <v>IMVE</v>
          </cell>
          <cell r="I3208" t="str">
            <v>IMPUESTO SOBRE LAS VENTAS</v>
          </cell>
          <cell r="J3208" t="str">
            <v>CR 47 141 50</v>
          </cell>
          <cell r="K3208" t="str">
            <v>03</v>
          </cell>
          <cell r="L3208" t="str">
            <v>BOGOTA</v>
          </cell>
          <cell r="M3208" t="str">
            <v>4838371</v>
          </cell>
        </row>
        <row r="3209">
          <cell r="A3209">
            <v>800252843</v>
          </cell>
          <cell r="B3209" t="str">
            <v>5</v>
          </cell>
          <cell r="C3209" t="str">
            <v>826715000</v>
          </cell>
          <cell r="D3209" t="str">
            <v>NJ</v>
          </cell>
          <cell r="E3209" t="str">
            <v/>
          </cell>
          <cell r="F3209" t="str">
            <v/>
          </cell>
          <cell r="G3209" t="str">
            <v>CORPORACION AUTONOMA REGIONAL DE BOYACA CORPOBOYACA</v>
          </cell>
          <cell r="H3209" t="str">
            <v>COIM</v>
          </cell>
          <cell r="I3209" t="str">
            <v>CONTROL DE IMPUESTOS</v>
          </cell>
          <cell r="J3209" t="str">
            <v>ANTIGUA VIA A PAIPA N  53 70</v>
          </cell>
          <cell r="K3209" t="str">
            <v>15001</v>
          </cell>
          <cell r="L3209" t="str">
            <v>TUNJA</v>
          </cell>
          <cell r="M3209" t="str">
            <v>7457188</v>
          </cell>
        </row>
        <row r="3210">
          <cell r="A3210">
            <v>800252844</v>
          </cell>
          <cell r="B3210" t="str">
            <v>2</v>
          </cell>
          <cell r="C3210" t="str">
            <v>827386000</v>
          </cell>
          <cell r="D3210" t="str">
            <v>NJ</v>
          </cell>
          <cell r="E3210" t="str">
            <v/>
          </cell>
          <cell r="F3210" t="str">
            <v/>
          </cell>
          <cell r="G3210" t="str">
            <v>CORPORACION PARA EL DESARROLLO SOSTENIBLE DEL SUR DE LA AMAZ</v>
          </cell>
          <cell r="H3210" t="str">
            <v>RECO</v>
          </cell>
          <cell r="I3210" t="str">
            <v>REGIMEN COMUN</v>
          </cell>
          <cell r="J3210" t="str">
            <v xml:space="preserve">CR 11 N 12   45                    </v>
          </cell>
          <cell r="K3210" t="str">
            <v>91001</v>
          </cell>
          <cell r="L3210" t="str">
            <v>LETICIA</v>
          </cell>
          <cell r="M3210" t="str">
            <v>5925064</v>
          </cell>
        </row>
        <row r="3211">
          <cell r="A3211">
            <v>800253055</v>
          </cell>
          <cell r="B3211" t="str">
            <v>2</v>
          </cell>
          <cell r="C3211" t="str">
            <v/>
          </cell>
          <cell r="D3211" t="str">
            <v>NJ</v>
          </cell>
          <cell r="E3211" t="str">
            <v/>
          </cell>
          <cell r="F3211" t="str">
            <v/>
          </cell>
          <cell r="G3211" t="str">
            <v xml:space="preserve">FONDO DE PENSIONES OBLIGATORIAS SKANDIA                     </v>
          </cell>
          <cell r="H3211" t="str">
            <v>RECO</v>
          </cell>
          <cell r="I3211" t="str">
            <v>REGIMEN COMUN</v>
          </cell>
          <cell r="J3211" t="str">
            <v xml:space="preserve">CR 23 75 68                            </v>
          </cell>
          <cell r="K3211" t="str">
            <v>17001</v>
          </cell>
          <cell r="L3211" t="str">
            <v>MANIZALES</v>
          </cell>
          <cell r="M3211" t="str">
            <v>8872660</v>
          </cell>
        </row>
        <row r="3212">
          <cell r="A3212">
            <v>800253526</v>
          </cell>
          <cell r="B3212" t="str">
            <v>1</v>
          </cell>
          <cell r="C3212" t="str">
            <v>216013160</v>
          </cell>
          <cell r="D3212" t="str">
            <v>NJ</v>
          </cell>
          <cell r="E3212" t="str">
            <v/>
          </cell>
          <cell r="F3212" t="str">
            <v/>
          </cell>
          <cell r="G3212" t="str">
            <v>MUNICIPIO DE CANTAGALLO</v>
          </cell>
          <cell r="H3212" t="str">
            <v>RECO</v>
          </cell>
          <cell r="I3212" t="str">
            <v>REGIMEN COMUN</v>
          </cell>
          <cell r="J3212" t="str">
            <v>OF ALCALDIA DE CANTAGALLO</v>
          </cell>
          <cell r="K3212" t="str">
            <v>17001</v>
          </cell>
          <cell r="L3212" t="str">
            <v>MANIZALES</v>
          </cell>
          <cell r="M3212" t="str">
            <v>3112376267</v>
          </cell>
        </row>
        <row r="3213">
          <cell r="A3213">
            <v>800253734</v>
          </cell>
          <cell r="B3213" t="str">
            <v>5</v>
          </cell>
          <cell r="C3213" t="str">
            <v/>
          </cell>
          <cell r="D3213" t="str">
            <v>NJ</v>
          </cell>
          <cell r="E3213" t="str">
            <v/>
          </cell>
          <cell r="F3213" t="str">
            <v/>
          </cell>
          <cell r="G3213" t="str">
            <v>SOLDIMONTAJES DIAZ LTDA</v>
          </cell>
          <cell r="H3213" t="str">
            <v>RECO</v>
          </cell>
          <cell r="I3213" t="str">
            <v>REGIMEN COMUN</v>
          </cell>
          <cell r="J3213" t="str">
            <v>PARQUE  INDUSTRIAL Y ARTESANAL PAIPA KM 5 VIA PAIPA-DUITAMA</v>
          </cell>
          <cell r="K3213" t="str">
            <v>15516</v>
          </cell>
          <cell r="L3213" t="str">
            <v>PAIPA</v>
          </cell>
          <cell r="M3213" t="str">
            <v>3133919136</v>
          </cell>
        </row>
        <row r="3214">
          <cell r="A3214">
            <v>800253969</v>
          </cell>
          <cell r="B3214" t="str">
            <v>9</v>
          </cell>
          <cell r="C3214" t="str">
            <v/>
          </cell>
          <cell r="D3214" t="str">
            <v>NJ</v>
          </cell>
          <cell r="E3214" t="str">
            <v/>
          </cell>
          <cell r="F3214" t="str">
            <v/>
          </cell>
          <cell r="G3214" t="str">
            <v>ASOCIACION DE PERSONAS DISCAPACITADAS</v>
          </cell>
          <cell r="H3214" t="str">
            <v>RECO</v>
          </cell>
          <cell r="I3214" t="str">
            <v>REGIMEN COMUN</v>
          </cell>
          <cell r="J3214" t="str">
            <v>CR 25 N 47 78</v>
          </cell>
          <cell r="K3214" t="str">
            <v>17001</v>
          </cell>
          <cell r="L3214" t="str">
            <v>MANIZALES</v>
          </cell>
          <cell r="M3214" t="str">
            <v>8851037</v>
          </cell>
        </row>
        <row r="3215">
          <cell r="A3215">
            <v>800253985</v>
          </cell>
          <cell r="B3215" t="str">
            <v>7</v>
          </cell>
          <cell r="C3215" t="str">
            <v/>
          </cell>
          <cell r="D3215" t="str">
            <v>NJ</v>
          </cell>
          <cell r="E3215" t="str">
            <v/>
          </cell>
          <cell r="F3215" t="str">
            <v/>
          </cell>
          <cell r="G3215" t="str">
            <v>PROMOTORA DE INVERSIONES DAYAMU S.A</v>
          </cell>
          <cell r="H3215" t="str">
            <v>RECO</v>
          </cell>
          <cell r="I3215" t="str">
            <v>REGIMEN COMUN</v>
          </cell>
          <cell r="J3215" t="str">
            <v>CL 15   40   55 BRR LA LIBERTAD</v>
          </cell>
          <cell r="K3215" t="str">
            <v>81794</v>
          </cell>
          <cell r="L3215" t="str">
            <v>TAME</v>
          </cell>
          <cell r="M3215" t="str">
            <v>3208431140</v>
          </cell>
        </row>
        <row r="3216">
          <cell r="A3216">
            <v>800254392</v>
          </cell>
          <cell r="B3216" t="str">
            <v>4</v>
          </cell>
          <cell r="C3216" t="str">
            <v/>
          </cell>
          <cell r="D3216" t="str">
            <v>NJ</v>
          </cell>
          <cell r="E3216" t="str">
            <v/>
          </cell>
          <cell r="F3216" t="str">
            <v/>
          </cell>
          <cell r="G3216" t="str">
            <v>INCOLAB SERVICES COLOMBIA S.A.S</v>
          </cell>
          <cell r="H3216" t="str">
            <v>RECO</v>
          </cell>
          <cell r="I3216" t="str">
            <v>REGIMEN COMUN</v>
          </cell>
          <cell r="J3216" t="str">
            <v>SEC TRONCAL DEL CARIBE CR 21 47 94</v>
          </cell>
          <cell r="K3216" t="str">
            <v>47001</v>
          </cell>
          <cell r="L3216" t="str">
            <v>SANTA MARTA</v>
          </cell>
          <cell r="M3216" t="str">
            <v>4306020</v>
          </cell>
        </row>
        <row r="3217">
          <cell r="A3217">
            <v>800254722</v>
          </cell>
          <cell r="B3217" t="str">
            <v>1</v>
          </cell>
          <cell r="C3217" t="str">
            <v>215813458</v>
          </cell>
          <cell r="D3217" t="str">
            <v>NJ</v>
          </cell>
          <cell r="E3217" t="str">
            <v/>
          </cell>
          <cell r="F3217" t="str">
            <v/>
          </cell>
          <cell r="G3217" t="str">
            <v>MUNICIPIO DE MONTECRISTO</v>
          </cell>
          <cell r="H3217" t="str">
            <v>COIM</v>
          </cell>
          <cell r="I3217" t="str">
            <v>CONTROL DE IMPUESTOS</v>
          </cell>
          <cell r="J3217" t="str">
            <v>CL PRINCIPAL ALCALDIA MUNICIPAL MONTECRISTO</v>
          </cell>
          <cell r="K3217" t="str">
            <v>13458</v>
          </cell>
          <cell r="L3217" t="str">
            <v>MONTECRISTO</v>
          </cell>
          <cell r="M3217" t="str">
            <v>3215076388</v>
          </cell>
        </row>
        <row r="3218">
          <cell r="A3218">
            <v>800255213</v>
          </cell>
          <cell r="B3218" t="str">
            <v>9</v>
          </cell>
          <cell r="C3218" t="str">
            <v>211013810</v>
          </cell>
          <cell r="D3218" t="str">
            <v>NJ</v>
          </cell>
          <cell r="E3218" t="str">
            <v/>
          </cell>
          <cell r="F3218" t="str">
            <v/>
          </cell>
          <cell r="G3218" t="str">
            <v>ALCALDIA DE TIQUISIO</v>
          </cell>
          <cell r="H3218" t="str">
            <v>GRCO</v>
          </cell>
          <cell r="I3218" t="str">
            <v>GRAN CONTRIBUYENTE</v>
          </cell>
          <cell r="J3218" t="str">
            <v>CL PRINCIPAL PALACIO MUNICIPAL</v>
          </cell>
          <cell r="K3218" t="str">
            <v>13810</v>
          </cell>
          <cell r="L3218" t="str">
            <v>TIQUISIO</v>
          </cell>
          <cell r="M3218" t="str">
            <v>3135459695</v>
          </cell>
        </row>
        <row r="3219">
          <cell r="A3219">
            <v>800256018</v>
          </cell>
          <cell r="B3219" t="str">
            <v>3</v>
          </cell>
          <cell r="C3219" t="str">
            <v/>
          </cell>
          <cell r="D3219" t="str">
            <v>NJ</v>
          </cell>
          <cell r="E3219" t="str">
            <v/>
          </cell>
          <cell r="F3219" t="str">
            <v/>
          </cell>
          <cell r="G3219" t="str">
            <v>ELECTROPOL LTDA.</v>
          </cell>
          <cell r="H3219" t="str">
            <v>RECO</v>
          </cell>
          <cell r="I3219" t="str">
            <v>REGIMEN COMUN</v>
          </cell>
          <cell r="J3219" t="str">
            <v>CR 42 H 87 67</v>
          </cell>
          <cell r="K3219" t="str">
            <v>08001</v>
          </cell>
          <cell r="L3219" t="str">
            <v>BARRANQUILLA</v>
          </cell>
          <cell r="M3219" t="str">
            <v>3856525</v>
          </cell>
        </row>
        <row r="3220">
          <cell r="A3220">
            <v>800256161</v>
          </cell>
          <cell r="B3220" t="str">
            <v>9</v>
          </cell>
          <cell r="C3220" t="str">
            <v/>
          </cell>
          <cell r="D3220" t="str">
            <v>NJ</v>
          </cell>
          <cell r="E3220" t="str">
            <v/>
          </cell>
          <cell r="F3220" t="str">
            <v/>
          </cell>
          <cell r="G3220" t="str">
            <v>SURATEP ADMINISTRADORA DE RIESGOS</v>
          </cell>
          <cell r="H3220" t="str">
            <v>GRCO</v>
          </cell>
          <cell r="I3220" t="str">
            <v>GRAN CONTRIBUYENTE</v>
          </cell>
          <cell r="J3220" t="str">
            <v>CR 23   64 B 33 ED SIGLO XXI</v>
          </cell>
          <cell r="K3220" t="str">
            <v>17001</v>
          </cell>
          <cell r="L3220" t="str">
            <v>MANIZALES</v>
          </cell>
          <cell r="M3220" t="str">
            <v>8756222</v>
          </cell>
        </row>
        <row r="3221">
          <cell r="A3221">
            <v>800256531</v>
          </cell>
          <cell r="B3221" t="str">
            <v>0</v>
          </cell>
          <cell r="C3221" t="str">
            <v/>
          </cell>
          <cell r="D3221" t="str">
            <v>NJ</v>
          </cell>
          <cell r="E3221" t="str">
            <v/>
          </cell>
          <cell r="F3221" t="str">
            <v/>
          </cell>
          <cell r="G3221" t="str">
            <v>ASOCIACION DE TAXISTAS DEL AEROPUERTO RAFAEL NUÑEZ</v>
          </cell>
          <cell r="H3221" t="str">
            <v>REIC</v>
          </cell>
          <cell r="I3221" t="str">
            <v>RENTA REGIMEN ESPECIAL</v>
          </cell>
          <cell r="J3221" t="str">
            <v>BRR CRESPO CR 3 70 2</v>
          </cell>
          <cell r="K3221" t="str">
            <v>13001</v>
          </cell>
          <cell r="L3221" t="str">
            <v>CARTAGENA</v>
          </cell>
          <cell r="M3221" t="str">
            <v>6663709</v>
          </cell>
        </row>
        <row r="3222">
          <cell r="A3222">
            <v>800256769</v>
          </cell>
          <cell r="B3222" t="str">
            <v>6</v>
          </cell>
          <cell r="C3222" t="str">
            <v/>
          </cell>
          <cell r="D3222" t="str">
            <v>NJ</v>
          </cell>
          <cell r="E3222" t="str">
            <v/>
          </cell>
          <cell r="F3222" t="str">
            <v/>
          </cell>
          <cell r="G3222" t="str">
            <v>PATRIMONIO AUTONOMOS FIDUCIARIA CORFICOLOMBIANA SA</v>
          </cell>
          <cell r="H3222" t="str">
            <v>GRCO</v>
          </cell>
          <cell r="I3222" t="str">
            <v>GRAN CONTRIBUYENTE</v>
          </cell>
          <cell r="J3222" t="str">
            <v xml:space="preserve">CL 19 N 70 45                        </v>
          </cell>
          <cell r="K3222" t="str">
            <v>66001</v>
          </cell>
          <cell r="L3222" t="str">
            <v>PEREIRA</v>
          </cell>
          <cell r="M3222" t="str">
            <v>4242551</v>
          </cell>
        </row>
        <row r="3223">
          <cell r="A3223">
            <v>802002526</v>
          </cell>
          <cell r="B3223" t="str">
            <v>0</v>
          </cell>
          <cell r="C3223" t="str">
            <v/>
          </cell>
          <cell r="D3223" t="str">
            <v>NJ</v>
          </cell>
          <cell r="E3223" t="str">
            <v/>
          </cell>
          <cell r="F3223" t="str">
            <v/>
          </cell>
          <cell r="G3223" t="str">
            <v>PROTEGER CONSULTORIA S.A.S</v>
          </cell>
          <cell r="H3223" t="str">
            <v>RECO</v>
          </cell>
          <cell r="I3223" t="str">
            <v>REGIMEN COMUN</v>
          </cell>
          <cell r="J3223" t="str">
            <v>CR 50 72 125</v>
          </cell>
          <cell r="K3223" t="str">
            <v>08001</v>
          </cell>
          <cell r="L3223" t="str">
            <v>BARRANQUILLA</v>
          </cell>
          <cell r="M3223" t="str">
            <v>3600671</v>
          </cell>
        </row>
        <row r="3224">
          <cell r="A3224">
            <v>802005673</v>
          </cell>
          <cell r="B3224" t="str">
            <v>9</v>
          </cell>
          <cell r="C3224" t="str">
            <v/>
          </cell>
          <cell r="D3224" t="str">
            <v>NJ</v>
          </cell>
          <cell r="E3224" t="str">
            <v/>
          </cell>
          <cell r="F3224" t="str">
            <v/>
          </cell>
          <cell r="G3224" t="str">
            <v>INVERSIONES GENERALES DE AMÉRICA S.A.S.</v>
          </cell>
          <cell r="H3224" t="str">
            <v>RECO</v>
          </cell>
          <cell r="I3224" t="str">
            <v>REGIMEN COMUN</v>
          </cell>
          <cell r="J3224" t="str">
            <v>CR 51 82 82</v>
          </cell>
          <cell r="K3224" t="str">
            <v>08433</v>
          </cell>
          <cell r="L3224" t="str">
            <v>MALAMBO</v>
          </cell>
          <cell r="M3224" t="str">
            <v>2453095</v>
          </cell>
        </row>
        <row r="3225">
          <cell r="A3225">
            <v>802006730</v>
          </cell>
          <cell r="B3225" t="str">
            <v>5</v>
          </cell>
          <cell r="C3225" t="str">
            <v/>
          </cell>
          <cell r="D3225" t="str">
            <v>NJ</v>
          </cell>
          <cell r="E3225" t="str">
            <v/>
          </cell>
          <cell r="F3225" t="str">
            <v/>
          </cell>
          <cell r="G3225" t="str">
            <v>INTERGLOBAL SEGURIDAD Y VIGILANCIA LTDA</v>
          </cell>
          <cell r="H3225" t="str">
            <v>IMVE</v>
          </cell>
          <cell r="I3225" t="str">
            <v>IMPUESTO SOBRE LAS VENTAS</v>
          </cell>
          <cell r="J3225" t="str">
            <v>CL 74 56 35 P1 3 4</v>
          </cell>
          <cell r="K3225" t="str">
            <v>08001</v>
          </cell>
          <cell r="L3225" t="str">
            <v>BARRANQUILLA</v>
          </cell>
          <cell r="M3225" t="str">
            <v>3226087</v>
          </cell>
        </row>
        <row r="3226">
          <cell r="A3226">
            <v>802007670</v>
          </cell>
          <cell r="B3226" t="str">
            <v>6</v>
          </cell>
          <cell r="C3226" t="str">
            <v/>
          </cell>
          <cell r="D3226" t="str">
            <v>NJ</v>
          </cell>
          <cell r="E3226" t="str">
            <v/>
          </cell>
          <cell r="F3226" t="str">
            <v/>
          </cell>
          <cell r="G3226" t="str">
            <v xml:space="preserve">ELECTRIFICADORA DEL CARIBE S.A. E.S.P.                      </v>
          </cell>
          <cell r="H3226" t="str">
            <v>GRCO</v>
          </cell>
          <cell r="I3226" t="str">
            <v>GRAN CONTRIBUYENTE</v>
          </cell>
          <cell r="J3226" t="str">
            <v>CARRERA 55 NO. 72-109 PISO 8</v>
          </cell>
          <cell r="K3226" t="str">
            <v>08001</v>
          </cell>
          <cell r="L3226" t="str">
            <v>BARRANQUILLA</v>
          </cell>
          <cell r="M3226" t="str">
            <v>6536190</v>
          </cell>
        </row>
        <row r="3227">
          <cell r="A3227">
            <v>802009374</v>
          </cell>
          <cell r="B3227" t="str">
            <v>1</v>
          </cell>
          <cell r="C3227" t="str">
            <v/>
          </cell>
          <cell r="D3227" t="str">
            <v>NJ</v>
          </cell>
          <cell r="E3227" t="str">
            <v/>
          </cell>
          <cell r="F3227" t="str">
            <v/>
          </cell>
          <cell r="G3227" t="str">
            <v>ECO PLANET LTDA</v>
          </cell>
          <cell r="H3227" t="str">
            <v>IMVE</v>
          </cell>
          <cell r="I3227" t="str">
            <v>IMPUESTO SOBRE LAS VENTAS</v>
          </cell>
          <cell r="J3227" t="str">
            <v>CR 51 79 85 AP 201 ED CEIBA BLANCA</v>
          </cell>
          <cell r="K3227" t="str">
            <v>08001</v>
          </cell>
          <cell r="L3227" t="str">
            <v>BARRANQUILLA</v>
          </cell>
          <cell r="M3227" t="str">
            <v>3147542766</v>
          </cell>
        </row>
        <row r="3228">
          <cell r="A3228">
            <v>802009797</v>
          </cell>
          <cell r="B3228" t="str">
            <v>1</v>
          </cell>
          <cell r="C3228" t="str">
            <v/>
          </cell>
          <cell r="D3228" t="str">
            <v>NJ</v>
          </cell>
          <cell r="E3228" t="str">
            <v/>
          </cell>
          <cell r="F3228" t="str">
            <v/>
          </cell>
          <cell r="G3228" t="str">
            <v>SRG CIVIL ELECTRICO TELECOMUNICACIONES E INVERSIONES S.A.S</v>
          </cell>
          <cell r="H3228" t="str">
            <v>RECO</v>
          </cell>
          <cell r="I3228" t="str">
            <v>REGIMEN COMUN</v>
          </cell>
          <cell r="J3228" t="str">
            <v>CR 41   44   38</v>
          </cell>
          <cell r="K3228" t="str">
            <v>17001</v>
          </cell>
          <cell r="L3228" t="str">
            <v>MANIZALES</v>
          </cell>
          <cell r="M3228" t="str">
            <v>3790048</v>
          </cell>
        </row>
        <row r="3229">
          <cell r="A3229">
            <v>802010216</v>
          </cell>
          <cell r="B3229" t="str">
            <v>6</v>
          </cell>
          <cell r="C3229" t="str">
            <v/>
          </cell>
          <cell r="D3229" t="str">
            <v>NJ</v>
          </cell>
          <cell r="E3229" t="str">
            <v/>
          </cell>
          <cell r="F3229" t="str">
            <v/>
          </cell>
          <cell r="G3229" t="str">
            <v>SERVICIOS TEMPORALES DE COLOMBIA TEMPOCOLBA S.A.S.</v>
          </cell>
          <cell r="H3229" t="str">
            <v>IMVE</v>
          </cell>
          <cell r="I3229" t="str">
            <v>IMPUESTO SOBRE LAS VENTAS</v>
          </cell>
          <cell r="J3229" t="str">
            <v>CR 50 72 61</v>
          </cell>
          <cell r="K3229" t="str">
            <v>02</v>
          </cell>
          <cell r="L3229" t="str">
            <v>BARRANQUILLA</v>
          </cell>
          <cell r="M3229" t="str">
            <v>3185379</v>
          </cell>
        </row>
        <row r="3230">
          <cell r="A3230">
            <v>802011339</v>
          </cell>
          <cell r="B3230" t="str">
            <v>8</v>
          </cell>
          <cell r="C3230" t="str">
            <v/>
          </cell>
          <cell r="D3230" t="str">
            <v>NJ</v>
          </cell>
          <cell r="E3230" t="str">
            <v/>
          </cell>
          <cell r="F3230" t="str">
            <v/>
          </cell>
          <cell r="G3230" t="str">
            <v>DIZGRACON LTDA</v>
          </cell>
          <cell r="H3230" t="str">
            <v>RECO</v>
          </cell>
          <cell r="I3230" t="str">
            <v>REGIMEN COMUN</v>
          </cell>
          <cell r="J3230" t="str">
            <v>CL 49 B   76   75</v>
          </cell>
          <cell r="K3230" t="str">
            <v>08001</v>
          </cell>
          <cell r="L3230" t="str">
            <v>BARRANQUILLA</v>
          </cell>
          <cell r="M3230" t="str">
            <v>3580099</v>
          </cell>
        </row>
        <row r="3231">
          <cell r="A3231">
            <v>802013773</v>
          </cell>
          <cell r="B3231" t="str">
            <v>0</v>
          </cell>
          <cell r="C3231" t="str">
            <v/>
          </cell>
          <cell r="D3231" t="str">
            <v>NJ</v>
          </cell>
          <cell r="E3231" t="str">
            <v/>
          </cell>
          <cell r="F3231" t="str">
            <v/>
          </cell>
          <cell r="G3231" t="str">
            <v>S INGENIERIA Y CONSULTORIA SAS</v>
          </cell>
          <cell r="H3231" t="str">
            <v>IMVE</v>
          </cell>
          <cell r="I3231" t="str">
            <v>IMPUESTO SOBRE LAS VENTAS</v>
          </cell>
          <cell r="J3231" t="str">
            <v>C  R  A 49 C  74 145</v>
          </cell>
          <cell r="K3231" t="str">
            <v>08001</v>
          </cell>
          <cell r="L3231" t="str">
            <v>BARRANQUILLA</v>
          </cell>
          <cell r="M3231" t="str">
            <v>3609511</v>
          </cell>
        </row>
        <row r="3232">
          <cell r="A3232">
            <v>802016590</v>
          </cell>
          <cell r="B3232" t="str">
            <v>3</v>
          </cell>
          <cell r="C3232" t="str">
            <v/>
          </cell>
          <cell r="D3232" t="str">
            <v>NJ</v>
          </cell>
          <cell r="E3232" t="str">
            <v/>
          </cell>
          <cell r="F3232" t="str">
            <v/>
          </cell>
          <cell r="G3232" t="str">
            <v>INGENIERIA Y LINEAS LINCI SAS</v>
          </cell>
          <cell r="H3232" t="str">
            <v>RECO</v>
          </cell>
          <cell r="I3232" t="str">
            <v>REGIMEN COMUN</v>
          </cell>
          <cell r="J3232" t="str">
            <v>CL 77 A 70 43   LC  1  BRR LA CONCEPCION</v>
          </cell>
          <cell r="K3232" t="str">
            <v>08001</v>
          </cell>
          <cell r="L3232" t="str">
            <v>BARRANQUILLA</v>
          </cell>
          <cell r="M3232" t="str">
            <v>3580608</v>
          </cell>
        </row>
        <row r="3233">
          <cell r="A3233">
            <v>802017082</v>
          </cell>
          <cell r="B3233" t="str">
            <v>8</v>
          </cell>
          <cell r="C3233" t="str">
            <v/>
          </cell>
          <cell r="D3233" t="str">
            <v>NJ</v>
          </cell>
          <cell r="E3233" t="str">
            <v/>
          </cell>
          <cell r="F3233" t="str">
            <v/>
          </cell>
          <cell r="G3233" t="str">
            <v xml:space="preserve">GESTION &amp; AUDITORIA ENERGETICA LTDA.                        </v>
          </cell>
          <cell r="H3233" t="str">
            <v>RECO</v>
          </cell>
          <cell r="I3233" t="str">
            <v>REGIMEN COMUN</v>
          </cell>
          <cell r="J3233" t="str">
            <v>CL 71   39   173</v>
          </cell>
          <cell r="K3233" t="str">
            <v>08001</v>
          </cell>
          <cell r="L3233" t="str">
            <v>BARRANQUILLA</v>
          </cell>
          <cell r="M3233" t="str">
            <v>3565897</v>
          </cell>
        </row>
        <row r="3234">
          <cell r="A3234">
            <v>802017852</v>
          </cell>
          <cell r="B3234" t="str">
            <v>2</v>
          </cell>
          <cell r="C3234" t="str">
            <v/>
          </cell>
          <cell r="D3234" t="str">
            <v>NJ</v>
          </cell>
          <cell r="E3234" t="str">
            <v/>
          </cell>
          <cell r="F3234" t="str">
            <v/>
          </cell>
          <cell r="G3234" t="str">
            <v>ELECTRICAS REYES S.A.S</v>
          </cell>
          <cell r="H3234" t="str">
            <v>RECO</v>
          </cell>
          <cell r="I3234" t="str">
            <v>REGIMEN COMUN</v>
          </cell>
          <cell r="J3234" t="str">
            <v>CL 85 49 C 36 OF 306 ED ARRECIFE II</v>
          </cell>
          <cell r="K3234" t="str">
            <v>08001</v>
          </cell>
          <cell r="L3234" t="str">
            <v>BARRANQUILLA</v>
          </cell>
          <cell r="M3234" t="str">
            <v>3008146219</v>
          </cell>
        </row>
        <row r="3235">
          <cell r="A3235">
            <v>802019044</v>
          </cell>
          <cell r="B3235" t="str">
            <v>7</v>
          </cell>
          <cell r="C3235" t="str">
            <v/>
          </cell>
          <cell r="D3235" t="str">
            <v>NJ</v>
          </cell>
          <cell r="E3235" t="str">
            <v/>
          </cell>
          <cell r="F3235" t="str">
            <v/>
          </cell>
          <cell r="G3235" t="str">
            <v>PADILLA SUNDHEIM ABOGADOS &amp; CONSULTORES ESPECIALIZADOS S.A.S.</v>
          </cell>
          <cell r="H3235" t="str">
            <v>IMVE</v>
          </cell>
          <cell r="I3235" t="str">
            <v>IMPUESTO SOBRE LAS VENTAS</v>
          </cell>
          <cell r="J3235" t="str">
            <v>CL 77 B 59 61 OF 910</v>
          </cell>
          <cell r="K3235" t="str">
            <v>08001</v>
          </cell>
          <cell r="L3235" t="str">
            <v>BARRANQUILLA</v>
          </cell>
          <cell r="M3235" t="str">
            <v>3175181480</v>
          </cell>
        </row>
        <row r="3236">
          <cell r="A3236">
            <v>802019166</v>
          </cell>
          <cell r="B3236" t="str">
            <v>7</v>
          </cell>
          <cell r="C3236" t="str">
            <v/>
          </cell>
          <cell r="D3236" t="str">
            <v>NJ</v>
          </cell>
          <cell r="E3236" t="str">
            <v/>
          </cell>
          <cell r="F3236" t="str">
            <v/>
          </cell>
          <cell r="G3236" t="str">
            <v>HOTEL DANN CARLTON BARRANQUILLA S,A.</v>
          </cell>
          <cell r="H3236" t="str">
            <v>IMVE</v>
          </cell>
          <cell r="I3236" t="str">
            <v>IMPUESTO SOBRE LAS VENTAS</v>
          </cell>
          <cell r="J3236" t="str">
            <v>CLL 98 52 B 10</v>
          </cell>
          <cell r="K3236" t="str">
            <v>08001</v>
          </cell>
          <cell r="L3236" t="str">
            <v>BARRANQUILLA</v>
          </cell>
          <cell r="M3236" t="str">
            <v>3135860803</v>
          </cell>
        </row>
        <row r="3237">
          <cell r="A3237">
            <v>802019291</v>
          </cell>
          <cell r="B3237" t="str">
            <v>1</v>
          </cell>
          <cell r="C3237" t="str">
            <v/>
          </cell>
          <cell r="D3237" t="str">
            <v>NJ</v>
          </cell>
          <cell r="E3237" t="str">
            <v/>
          </cell>
          <cell r="F3237" t="str">
            <v/>
          </cell>
          <cell r="G3237" t="str">
            <v>SOLUCIONES INTEGRALES DE SERVICIOS Y PROYECTOS SISPRO SAS</v>
          </cell>
          <cell r="H3237" t="str">
            <v>RECO</v>
          </cell>
          <cell r="I3237" t="str">
            <v>REGIMEN COMUN</v>
          </cell>
          <cell r="J3237" t="str">
            <v>CR 53   74   86 ED CARIBE PLAZA LC 308 BRR EL PRADO</v>
          </cell>
          <cell r="K3237" t="str">
            <v>08001</v>
          </cell>
          <cell r="L3237" t="str">
            <v>BARRANQUILLA</v>
          </cell>
          <cell r="M3237" t="str">
            <v>3855232</v>
          </cell>
        </row>
        <row r="3238">
          <cell r="A3238">
            <v>802022197</v>
          </cell>
          <cell r="B3238" t="str">
            <v>6</v>
          </cell>
          <cell r="C3238" t="str">
            <v/>
          </cell>
          <cell r="D3238" t="str">
            <v>NJ</v>
          </cell>
          <cell r="E3238" t="str">
            <v/>
          </cell>
          <cell r="F3238" t="str">
            <v/>
          </cell>
          <cell r="G3238" t="str">
            <v>CONSULTORIA CONSTRUCCIÓN E INGENIERÍA LTDA</v>
          </cell>
          <cell r="H3238" t="str">
            <v>RECO</v>
          </cell>
          <cell r="I3238" t="str">
            <v>REGIMEN COMUN</v>
          </cell>
          <cell r="J3238" t="str">
            <v xml:space="preserve"> CR 11  140 87 IN 101  AP 404</v>
          </cell>
          <cell r="K3238" t="str">
            <v>11001</v>
          </cell>
          <cell r="L3238" t="str">
            <v>BOGOTA DC</v>
          </cell>
          <cell r="M3238" t="str">
            <v>3145302557</v>
          </cell>
        </row>
        <row r="3239">
          <cell r="A3239">
            <v>802022269</v>
          </cell>
          <cell r="B3239" t="str">
            <v>8</v>
          </cell>
          <cell r="C3239" t="str">
            <v/>
          </cell>
          <cell r="D3239" t="str">
            <v>NJ</v>
          </cell>
          <cell r="E3239" t="str">
            <v/>
          </cell>
          <cell r="F3239" t="str">
            <v/>
          </cell>
          <cell r="G3239" t="str">
            <v>ACP LIMITADA - AUTOMATIZACION CONTROL Y POTENCIA</v>
          </cell>
          <cell r="H3239" t="str">
            <v>IMVE</v>
          </cell>
          <cell r="I3239" t="str">
            <v>IMPUESTO SOBRE LAS VENTAS</v>
          </cell>
          <cell r="J3239" t="str">
            <v>CR 42  56  25</v>
          </cell>
          <cell r="K3239" t="str">
            <v>08001</v>
          </cell>
          <cell r="L3239" t="str">
            <v>BARRANQUILLA</v>
          </cell>
          <cell r="M3239" t="str">
            <v>3200230</v>
          </cell>
        </row>
        <row r="3240">
          <cell r="A3240">
            <v>802022622</v>
          </cell>
          <cell r="B3240" t="str">
            <v>5</v>
          </cell>
          <cell r="C3240" t="str">
            <v/>
          </cell>
          <cell r="D3240" t="str">
            <v>NJ</v>
          </cell>
          <cell r="E3240" t="str">
            <v/>
          </cell>
          <cell r="F3240" t="str">
            <v/>
          </cell>
          <cell r="G3240" t="str">
            <v>CI FRONTIER NEXT SAS</v>
          </cell>
          <cell r="H3240" t="str">
            <v>IMVE</v>
          </cell>
          <cell r="I3240" t="str">
            <v>IMPUESTO SOBRE LAS VENTAS</v>
          </cell>
          <cell r="J3240" t="str">
            <v>CR 55 100 51 OF 1209 ED BLUE GARDENS</v>
          </cell>
          <cell r="K3240" t="str">
            <v>08001</v>
          </cell>
          <cell r="L3240" t="str">
            <v>BARRANQUILLA</v>
          </cell>
          <cell r="M3240" t="str">
            <v>3885100</v>
          </cell>
        </row>
        <row r="3241">
          <cell r="A3241">
            <v>802023429</v>
          </cell>
          <cell r="B3241" t="str">
            <v>4</v>
          </cell>
          <cell r="C3241" t="str">
            <v/>
          </cell>
          <cell r="D3241" t="str">
            <v>NJ</v>
          </cell>
          <cell r="E3241" t="str">
            <v/>
          </cell>
          <cell r="F3241" t="str">
            <v/>
          </cell>
          <cell r="G3241" t="str">
            <v>PROINGES SAS</v>
          </cell>
          <cell r="H3241" t="str">
            <v>RECO</v>
          </cell>
          <cell r="I3241" t="str">
            <v>REGIMEN COMUN</v>
          </cell>
          <cell r="J3241" t="str">
            <v>CL 74 B  38 A 112</v>
          </cell>
          <cell r="K3241" t="str">
            <v>08001</v>
          </cell>
          <cell r="L3241" t="str">
            <v>BARRANQUILLA</v>
          </cell>
          <cell r="M3241" t="str">
            <v>3580025</v>
          </cell>
        </row>
        <row r="3242">
          <cell r="A3242">
            <v>802025044</v>
          </cell>
          <cell r="B3242" t="str">
            <v>1</v>
          </cell>
          <cell r="C3242" t="str">
            <v/>
          </cell>
          <cell r="D3242" t="str">
            <v>NJ</v>
          </cell>
          <cell r="E3242" t="str">
            <v/>
          </cell>
          <cell r="F3242" t="str">
            <v/>
          </cell>
          <cell r="G3242" t="str">
            <v>INTELPRO SAS</v>
          </cell>
          <cell r="H3242" t="str">
            <v>IMVE</v>
          </cell>
          <cell r="I3242" t="str">
            <v>IMPUESTO SOBRE LAS VENTAS</v>
          </cell>
          <cell r="J3242" t="str">
            <v>CR 45 62 42</v>
          </cell>
          <cell r="K3242" t="str">
            <v>08001</v>
          </cell>
          <cell r="L3242" t="str">
            <v>BARRANQUILLA</v>
          </cell>
          <cell r="M3242" t="str">
            <v>3716440305</v>
          </cell>
        </row>
        <row r="3243">
          <cell r="A3243">
            <v>802025082</v>
          </cell>
          <cell r="B3243" t="str">
            <v>1</v>
          </cell>
          <cell r="C3243" t="str">
            <v/>
          </cell>
          <cell r="D3243" t="str">
            <v>NJ</v>
          </cell>
          <cell r="E3243" t="str">
            <v/>
          </cell>
          <cell r="F3243" t="str">
            <v/>
          </cell>
          <cell r="G3243" t="str">
            <v>C I BANDAS Y CORREAS DEL CARIBE SA</v>
          </cell>
          <cell r="H3243" t="str">
            <v>RECO</v>
          </cell>
          <cell r="I3243" t="str">
            <v>REGIMEN COMUN</v>
          </cell>
          <cell r="J3243" t="str">
            <v>CL 57  45  50</v>
          </cell>
          <cell r="K3243" t="str">
            <v>08001</v>
          </cell>
          <cell r="L3243" t="str">
            <v>BARRANQUILLA</v>
          </cell>
          <cell r="M3243" t="str">
            <v>3493370</v>
          </cell>
        </row>
        <row r="3244">
          <cell r="A3244">
            <v>804000123</v>
          </cell>
          <cell r="B3244" t="str">
            <v>4</v>
          </cell>
          <cell r="C3244" t="str">
            <v/>
          </cell>
          <cell r="D3244" t="str">
            <v>NJ</v>
          </cell>
          <cell r="E3244" t="str">
            <v/>
          </cell>
          <cell r="F3244" t="str">
            <v/>
          </cell>
          <cell r="G3244" t="str">
            <v>SOLUCIONES PLASTICAS INDUSTRIALES S.A</v>
          </cell>
          <cell r="H3244" t="str">
            <v>RECO</v>
          </cell>
          <cell r="I3244" t="str">
            <v>REGIMEN COMUN</v>
          </cell>
          <cell r="J3244" t="str">
            <v xml:space="preserve"> ZN PARQUE INDUSTRIAL BUCARMANGA ETAPA II SECTOR FORJANDES</v>
          </cell>
          <cell r="K3244" t="str">
            <v>68001</v>
          </cell>
          <cell r="L3244" t="str">
            <v>BUCARAMANGA</v>
          </cell>
          <cell r="M3244" t="str">
            <v>6769191</v>
          </cell>
        </row>
        <row r="3245">
          <cell r="A3245">
            <v>804000243</v>
          </cell>
          <cell r="B3245" t="str">
            <v>1</v>
          </cell>
          <cell r="C3245" t="str">
            <v/>
          </cell>
          <cell r="D3245" t="str">
            <v>NJ</v>
          </cell>
          <cell r="E3245" t="str">
            <v/>
          </cell>
          <cell r="F3245" t="str">
            <v/>
          </cell>
          <cell r="G3245" t="str">
            <v>COOPERATIVA DE TECNOLOGOS E INGENIEROS DE LA INDUSTRIA DEL PETRO</v>
          </cell>
          <cell r="H3245" t="str">
            <v>IMVE</v>
          </cell>
          <cell r="I3245" t="str">
            <v>IMPUESTO SOBRE LAS VENTAS</v>
          </cell>
          <cell r="J3245" t="str">
            <v>KM 7 ANILLO VIAL 22 31 BG 11 CENTRO LOGISTICO SAN JORGE</v>
          </cell>
          <cell r="K3245" t="str">
            <v>17001</v>
          </cell>
          <cell r="L3245" t="str">
            <v>MANIZALES</v>
          </cell>
          <cell r="M3245" t="str">
            <v>3134669653</v>
          </cell>
        </row>
        <row r="3246">
          <cell r="A3246">
            <v>804000561</v>
          </cell>
          <cell r="B3246" t="str">
            <v>7</v>
          </cell>
          <cell r="C3246" t="str">
            <v/>
          </cell>
          <cell r="D3246" t="str">
            <v>NJ</v>
          </cell>
          <cell r="E3246" t="str">
            <v/>
          </cell>
          <cell r="F3246" t="str">
            <v/>
          </cell>
          <cell r="G3246" t="str">
            <v>PROMOTORA HOTELERA Y TURISTICA LA TRIADA S.A</v>
          </cell>
          <cell r="H3246" t="str">
            <v>RECO</v>
          </cell>
          <cell r="I3246" t="str">
            <v>REGIMEN COMUN</v>
          </cell>
          <cell r="J3246" t="str">
            <v>CR 20   34   22 OF 316</v>
          </cell>
          <cell r="K3246" t="str">
            <v>68001</v>
          </cell>
          <cell r="L3246" t="str">
            <v>BUCARAMANGA</v>
          </cell>
          <cell r="M3246" t="str">
            <v>6422410</v>
          </cell>
        </row>
        <row r="3247">
          <cell r="A3247">
            <v>804001062</v>
          </cell>
          <cell r="B3247" t="str">
            <v>8</v>
          </cell>
          <cell r="C3247" t="str">
            <v/>
          </cell>
          <cell r="D3247" t="str">
            <v>NJ</v>
          </cell>
          <cell r="E3247" t="str">
            <v/>
          </cell>
          <cell r="F3247" t="str">
            <v/>
          </cell>
          <cell r="G3247" t="str">
            <v>RUITOQUE S.A. ESP</v>
          </cell>
          <cell r="H3247" t="str">
            <v>RECO</v>
          </cell>
          <cell r="I3247" t="str">
            <v>REGIMEN COMUN</v>
          </cell>
          <cell r="J3247" t="str">
            <v>KM 3 AUT PIEDECUESTA FLORIDABLANCA COND RUITOQUE ED TUITOQUE ESP</v>
          </cell>
          <cell r="K3247" t="str">
            <v>68276</v>
          </cell>
          <cell r="L3247" t="str">
            <v>FLORIDABLANCA</v>
          </cell>
          <cell r="M3247" t="str">
            <v>6185871</v>
          </cell>
        </row>
        <row r="3248">
          <cell r="A3248">
            <v>804002105</v>
          </cell>
          <cell r="B3248" t="str">
            <v>0</v>
          </cell>
          <cell r="C3248" t="str">
            <v/>
          </cell>
          <cell r="D3248" t="str">
            <v>NJ</v>
          </cell>
          <cell r="E3248" t="str">
            <v/>
          </cell>
          <cell r="F3248" t="str">
            <v/>
          </cell>
          <cell r="G3248" t="str">
            <v>COMPARTA EPS-S</v>
          </cell>
          <cell r="H3248" t="str">
            <v>GRCO</v>
          </cell>
          <cell r="I3248" t="str">
            <v>GRAN CONTRIBUYENTE</v>
          </cell>
          <cell r="J3248" t="str">
            <v>CR 28 31 18</v>
          </cell>
          <cell r="K3248" t="str">
            <v>17001</v>
          </cell>
          <cell r="L3248" t="str">
            <v>MANIZALES</v>
          </cell>
          <cell r="M3248" t="str">
            <v>6327798</v>
          </cell>
        </row>
        <row r="3249">
          <cell r="A3249">
            <v>804002433</v>
          </cell>
          <cell r="B3249" t="str">
            <v>1</v>
          </cell>
          <cell r="C3249" t="str">
            <v/>
          </cell>
          <cell r="D3249" t="str">
            <v>NJ</v>
          </cell>
          <cell r="E3249" t="str">
            <v/>
          </cell>
          <cell r="F3249" t="str">
            <v/>
          </cell>
          <cell r="G3249" t="str">
            <v>DESCONT S.A E.S.P</v>
          </cell>
          <cell r="H3249" t="str">
            <v>RCAU</v>
          </cell>
          <cell r="I3249" t="str">
            <v>RESPONSABLE IVA - AUTORETENEDOR</v>
          </cell>
          <cell r="J3249" t="str">
            <v>CR 38 A  48 A  71 BRR CABECERA</v>
          </cell>
          <cell r="K3249" t="str">
            <v>68001</v>
          </cell>
          <cell r="L3249" t="str">
            <v>BUCARAMANGA</v>
          </cell>
          <cell r="M3249" t="str">
            <v>6439999</v>
          </cell>
        </row>
        <row r="3250">
          <cell r="A3250">
            <v>804003249</v>
          </cell>
          <cell r="B3250" t="str">
            <v>7</v>
          </cell>
          <cell r="C3250" t="str">
            <v/>
          </cell>
          <cell r="D3250" t="str">
            <v>NJ</v>
          </cell>
          <cell r="E3250" t="str">
            <v/>
          </cell>
          <cell r="F3250" t="str">
            <v/>
          </cell>
          <cell r="G3250" t="str">
            <v>EN OGRA INGENIEROS S.A.S</v>
          </cell>
          <cell r="H3250" t="str">
            <v>RECO</v>
          </cell>
          <cell r="I3250" t="str">
            <v>REGIMEN COMUN</v>
          </cell>
          <cell r="J3250" t="str">
            <v>CL 25 8-19</v>
          </cell>
          <cell r="K3250" t="str">
            <v>68276</v>
          </cell>
          <cell r="L3250" t="str">
            <v>FLORIDABLANCA</v>
          </cell>
          <cell r="M3250" t="str">
            <v>6183871</v>
          </cell>
        </row>
        <row r="3251">
          <cell r="A3251">
            <v>804005810</v>
          </cell>
          <cell r="B3251" t="str">
            <v>9</v>
          </cell>
          <cell r="C3251" t="str">
            <v/>
          </cell>
          <cell r="D3251" t="str">
            <v>NJ</v>
          </cell>
          <cell r="E3251" t="str">
            <v/>
          </cell>
          <cell r="F3251" t="str">
            <v/>
          </cell>
          <cell r="G3251" t="str">
            <v>EMPRESA DE SOLUCIONES, SERVICIOS E INNOVACION ESSI S.A.S.</v>
          </cell>
          <cell r="H3251" t="str">
            <v>IMVE</v>
          </cell>
          <cell r="I3251" t="str">
            <v>IMPUESTO SOBRE LAS VENTAS</v>
          </cell>
          <cell r="J3251" t="str">
            <v>CR 16 C 60 110 BRR LA ESMERALDA</v>
          </cell>
          <cell r="K3251" t="str">
            <v>68307</v>
          </cell>
          <cell r="L3251" t="str">
            <v>GIRÓN</v>
          </cell>
          <cell r="M3251" t="str">
            <v>6532226</v>
          </cell>
        </row>
        <row r="3252">
          <cell r="A3252">
            <v>804006196</v>
          </cell>
          <cell r="B3252" t="str">
            <v>9</v>
          </cell>
          <cell r="C3252" t="str">
            <v/>
          </cell>
          <cell r="D3252" t="str">
            <v>NJ</v>
          </cell>
          <cell r="E3252" t="str">
            <v/>
          </cell>
          <cell r="F3252" t="str">
            <v/>
          </cell>
          <cell r="G3252" t="str">
            <v>DISTRIBUCIONES ELECTRICAS J.E S.A.S</v>
          </cell>
          <cell r="H3252" t="str">
            <v>RECO</v>
          </cell>
          <cell r="I3252" t="str">
            <v>REGIMEN COMUN</v>
          </cell>
          <cell r="J3252" t="str">
            <v>CR 17 37 59 BRR CENTRO</v>
          </cell>
          <cell r="K3252" t="str">
            <v>68001</v>
          </cell>
          <cell r="L3252" t="str">
            <v>BUCARAMANGA</v>
          </cell>
          <cell r="M3252" t="str">
            <v>6421703</v>
          </cell>
        </row>
        <row r="3253">
          <cell r="A3253">
            <v>804007055</v>
          </cell>
          <cell r="B3253" t="str">
            <v>3</v>
          </cell>
          <cell r="C3253" t="str">
            <v/>
          </cell>
          <cell r="D3253" t="str">
            <v>NJ</v>
          </cell>
          <cell r="E3253" t="str">
            <v/>
          </cell>
          <cell r="F3253" t="str">
            <v/>
          </cell>
          <cell r="G3253" t="str">
            <v>K-2 INGENIERIA S.A.S</v>
          </cell>
          <cell r="H3253" t="str">
            <v>IMVE</v>
          </cell>
          <cell r="I3253" t="str">
            <v>IMPUESTO SOBRE LAS VENTAS</v>
          </cell>
          <cell r="J3253" t="str">
            <v>CR 36 36 26 BRR EL PRADO</v>
          </cell>
          <cell r="K3253" t="str">
            <v>68001</v>
          </cell>
          <cell r="L3253" t="str">
            <v>BUCARAMANGA</v>
          </cell>
          <cell r="M3253" t="str">
            <v>6352870</v>
          </cell>
        </row>
        <row r="3254">
          <cell r="A3254">
            <v>804007537</v>
          </cell>
          <cell r="B3254" t="str">
            <v>1</v>
          </cell>
          <cell r="C3254" t="str">
            <v/>
          </cell>
          <cell r="D3254" t="str">
            <v>NJ</v>
          </cell>
          <cell r="E3254" t="str">
            <v/>
          </cell>
          <cell r="F3254" t="str">
            <v/>
          </cell>
          <cell r="G3254" t="str">
            <v>CENTRAL DE HERRAMIENTAS DE COLOMBIA SAS</v>
          </cell>
          <cell r="H3254" t="str">
            <v>RECO</v>
          </cell>
          <cell r="I3254" t="str">
            <v>REGIMEN COMUN</v>
          </cell>
          <cell r="J3254" t="str">
            <v>CL 64 17 A 138 BRR LA CEIBA</v>
          </cell>
          <cell r="K3254" t="str">
            <v>68001</v>
          </cell>
          <cell r="L3254" t="str">
            <v>BUCARAMANGA</v>
          </cell>
          <cell r="M3254" t="str">
            <v>3175859321</v>
          </cell>
        </row>
        <row r="3255">
          <cell r="A3255">
            <v>804008885</v>
          </cell>
          <cell r="B3255" t="str">
            <v>4</v>
          </cell>
          <cell r="C3255" t="str">
            <v/>
          </cell>
          <cell r="D3255" t="str">
            <v>NJ</v>
          </cell>
          <cell r="E3255" t="str">
            <v/>
          </cell>
          <cell r="F3255" t="str">
            <v/>
          </cell>
          <cell r="G3255" t="str">
            <v>EICON LTDA</v>
          </cell>
          <cell r="H3255" t="str">
            <v>IMVE</v>
          </cell>
          <cell r="I3255" t="str">
            <v>IMPUESTO SOBRE LAS VENTAS</v>
          </cell>
          <cell r="J3255" t="str">
            <v xml:space="preserve"> CL 58  16 05 BARRIO AEROPUERTO</v>
          </cell>
          <cell r="K3255" t="str">
            <v>68001</v>
          </cell>
          <cell r="L3255" t="str">
            <v>BUCARAMANGA</v>
          </cell>
          <cell r="M3255" t="str">
            <v>6445556</v>
          </cell>
        </row>
        <row r="3256">
          <cell r="A3256">
            <v>804009752</v>
          </cell>
          <cell r="B3256" t="str">
            <v>8</v>
          </cell>
          <cell r="C3256" t="str">
            <v/>
          </cell>
          <cell r="D3256" t="str">
            <v>NJ</v>
          </cell>
          <cell r="E3256" t="str">
            <v/>
          </cell>
          <cell r="F3256" t="str">
            <v/>
          </cell>
          <cell r="G3256" t="str">
            <v>COOPERATIVA DE AHORRO Y CREDITO DE SANTANDER LIMITADA</v>
          </cell>
          <cell r="H3256" t="str">
            <v>GRCO</v>
          </cell>
          <cell r="I3256" t="str">
            <v>GRAN CONTRIBUYENTE</v>
          </cell>
          <cell r="J3256" t="str">
            <v>CL 35 16 43</v>
          </cell>
          <cell r="K3256" t="str">
            <v>68001</v>
          </cell>
          <cell r="L3256" t="str">
            <v>BUCARAMANGA</v>
          </cell>
          <cell r="M3256" t="str">
            <v>6802000</v>
          </cell>
        </row>
        <row r="3257">
          <cell r="A3257">
            <v>804009857</v>
          </cell>
          <cell r="B3257" t="str">
            <v>2</v>
          </cell>
          <cell r="C3257" t="str">
            <v/>
          </cell>
          <cell r="D3257" t="str">
            <v>NJ</v>
          </cell>
          <cell r="E3257" t="str">
            <v/>
          </cell>
          <cell r="F3257" t="str">
            <v/>
          </cell>
          <cell r="G3257" t="str">
            <v>INGENIERIA Y SOLUCIONES TECNOLOGICAS - INSOLTEC LTDA.</v>
          </cell>
          <cell r="H3257" t="str">
            <v>IMVE</v>
          </cell>
          <cell r="I3257" t="str">
            <v>IMPUESTO SOBRE LAS VENTAS</v>
          </cell>
          <cell r="J3257" t="str">
            <v>CR 23  31 A  04 OF 1  CON LA MURALLA I ETAPA</v>
          </cell>
          <cell r="K3257" t="str">
            <v>68307</v>
          </cell>
          <cell r="L3257" t="str">
            <v>GIRÓN</v>
          </cell>
          <cell r="M3257" t="str">
            <v>6464128</v>
          </cell>
        </row>
        <row r="3258">
          <cell r="A3258">
            <v>804010775</v>
          </cell>
          <cell r="B3258" t="str">
            <v>9</v>
          </cell>
          <cell r="C3258" t="str">
            <v/>
          </cell>
          <cell r="D3258" t="str">
            <v>NJ</v>
          </cell>
          <cell r="E3258" t="str">
            <v/>
          </cell>
          <cell r="F3258" t="str">
            <v/>
          </cell>
          <cell r="G3258" t="str">
            <v>COOPERATIVA DE TRABAJO ASOCIADO SEJARPI C.T.A</v>
          </cell>
          <cell r="H3258" t="str">
            <v>IMVE</v>
          </cell>
          <cell r="I3258" t="str">
            <v>IMPUESTO SOBRE LAS VENTAS</v>
          </cell>
          <cell r="J3258" t="str">
            <v xml:space="preserve"> CR 16 37 42</v>
          </cell>
          <cell r="K3258" t="str">
            <v>11001</v>
          </cell>
          <cell r="L3258" t="str">
            <v>BOGOTA DC</v>
          </cell>
          <cell r="M3258" t="str">
            <v>2454685</v>
          </cell>
        </row>
        <row r="3259">
          <cell r="A3259">
            <v>804011015</v>
          </cell>
          <cell r="B3259" t="str">
            <v>4</v>
          </cell>
          <cell r="C3259" t="str">
            <v/>
          </cell>
          <cell r="D3259" t="str">
            <v>NJ</v>
          </cell>
          <cell r="E3259" t="str">
            <v/>
          </cell>
          <cell r="F3259" t="str">
            <v/>
          </cell>
          <cell r="G3259" t="str">
            <v>ELECTROVERA SA</v>
          </cell>
          <cell r="H3259" t="str">
            <v>IMVE</v>
          </cell>
          <cell r="I3259" t="str">
            <v>IMPUESTO SOBRE LAS VENTAS</v>
          </cell>
          <cell r="J3259" t="str">
            <v>AV  LA ROSITA 18 61 BRR LA CONCORDIA</v>
          </cell>
          <cell r="K3259" t="str">
            <v>68001</v>
          </cell>
          <cell r="L3259" t="str">
            <v>BUCARAMANGA</v>
          </cell>
          <cell r="M3259" t="str">
            <v>6335868</v>
          </cell>
        </row>
        <row r="3260">
          <cell r="A3260">
            <v>804011804</v>
          </cell>
          <cell r="B3260" t="str">
            <v>9</v>
          </cell>
          <cell r="C3260" t="str">
            <v/>
          </cell>
          <cell r="D3260" t="str">
            <v>NJ</v>
          </cell>
          <cell r="E3260" t="str">
            <v/>
          </cell>
          <cell r="F3260" t="str">
            <v/>
          </cell>
          <cell r="G3260" t="str">
            <v>COPOWER LTDA</v>
          </cell>
          <cell r="H3260" t="str">
            <v>IMVE</v>
          </cell>
          <cell r="I3260" t="str">
            <v>IMPUESTO SOBRE LAS VENTAS</v>
          </cell>
          <cell r="J3260" t="str">
            <v>CR 21 8 10 BRR COMUNEROS</v>
          </cell>
          <cell r="K3260" t="str">
            <v>68001</v>
          </cell>
          <cell r="L3260" t="str">
            <v>BUCARAMANGA</v>
          </cell>
          <cell r="M3260" t="str">
            <v>3214162348</v>
          </cell>
        </row>
        <row r="3261">
          <cell r="A3261">
            <v>804012426</v>
          </cell>
          <cell r="B3261" t="str">
            <v>2</v>
          </cell>
          <cell r="C3261" t="str">
            <v/>
          </cell>
          <cell r="D3261" t="str">
            <v>NJ</v>
          </cell>
          <cell r="E3261" t="str">
            <v/>
          </cell>
          <cell r="F3261" t="str">
            <v/>
          </cell>
          <cell r="G3261" t="str">
            <v>PROYECTOS HOTELEROS Y TURISTICOS DE COLOMBIA S.A.</v>
          </cell>
          <cell r="H3261" t="str">
            <v>RECO</v>
          </cell>
          <cell r="I3261" t="str">
            <v>REGIMEN COMUN</v>
          </cell>
          <cell r="J3261" t="str">
            <v>TER</v>
          </cell>
          <cell r="K3261" t="str">
            <v>68001</v>
          </cell>
          <cell r="L3261" t="str">
            <v>BUCARAMANGA</v>
          </cell>
          <cell r="M3261" t="str">
            <v>6378000</v>
          </cell>
        </row>
        <row r="3262">
          <cell r="A3262">
            <v>804012551</v>
          </cell>
          <cell r="B3262" t="str">
            <v>5</v>
          </cell>
          <cell r="C3262" t="str">
            <v/>
          </cell>
          <cell r="D3262" t="str">
            <v>NJ</v>
          </cell>
          <cell r="E3262" t="str">
            <v/>
          </cell>
          <cell r="F3262" t="str">
            <v/>
          </cell>
          <cell r="G3262" t="str">
            <v>SERRANO GOMEZ CONSTRUCCIONES LTDA</v>
          </cell>
          <cell r="H3262" t="str">
            <v>RECO</v>
          </cell>
          <cell r="I3262" t="str">
            <v>REGIMEN COMUN</v>
          </cell>
          <cell r="J3262" t="str">
            <v>CL 35  17 77 OF 1208  ED BANCOQUIA</v>
          </cell>
          <cell r="K3262" t="str">
            <v>68001</v>
          </cell>
          <cell r="L3262" t="str">
            <v>BUCARAMANGA</v>
          </cell>
          <cell r="M3262" t="str">
            <v>6424730</v>
          </cell>
        </row>
        <row r="3263">
          <cell r="A3263">
            <v>804012759</v>
          </cell>
          <cell r="B3263" t="str">
            <v>1</v>
          </cell>
          <cell r="C3263" t="str">
            <v/>
          </cell>
          <cell r="D3263" t="str">
            <v>NJ</v>
          </cell>
          <cell r="E3263" t="str">
            <v/>
          </cell>
          <cell r="F3263" t="str">
            <v/>
          </cell>
          <cell r="G3263" t="str">
            <v>INDUANALISIS SAS - IA SAS</v>
          </cell>
          <cell r="H3263" t="str">
            <v>IMVE</v>
          </cell>
          <cell r="I3263" t="str">
            <v>IMPUESTO SOBRE LAS VENTAS</v>
          </cell>
          <cell r="J3263" t="str">
            <v>CL 62 17 E 69 BRR LA CEIBA</v>
          </cell>
          <cell r="K3263" t="str">
            <v>68001</v>
          </cell>
          <cell r="L3263" t="str">
            <v>BUCARAMANGA</v>
          </cell>
          <cell r="M3263" t="str">
            <v>6953799</v>
          </cell>
        </row>
        <row r="3264">
          <cell r="A3264">
            <v>804012954</v>
          </cell>
          <cell r="B3264" t="str">
            <v>1</v>
          </cell>
          <cell r="C3264" t="str">
            <v/>
          </cell>
          <cell r="D3264" t="str">
            <v>NJ</v>
          </cell>
          <cell r="E3264" t="str">
            <v/>
          </cell>
          <cell r="F3264" t="str">
            <v/>
          </cell>
          <cell r="G3264" t="str">
            <v>SENSOMATIC  SAS</v>
          </cell>
          <cell r="H3264" t="str">
            <v>IMVE</v>
          </cell>
          <cell r="I3264" t="str">
            <v>IMPUESTO SOBRE LAS VENTAS</v>
          </cell>
          <cell r="J3264" t="str">
            <v>CL 1 F 25 A 50  52</v>
          </cell>
          <cell r="K3264" t="str">
            <v>11001</v>
          </cell>
          <cell r="L3264" t="str">
            <v>BOGOTA DC</v>
          </cell>
          <cell r="M3264" t="str">
            <v>6434400</v>
          </cell>
        </row>
        <row r="3265">
          <cell r="A3265">
            <v>804013341</v>
          </cell>
          <cell r="B3265" t="str">
            <v>1</v>
          </cell>
          <cell r="C3265" t="str">
            <v/>
          </cell>
          <cell r="D3265" t="str">
            <v>NJ</v>
          </cell>
          <cell r="E3265" t="str">
            <v/>
          </cell>
          <cell r="F3265" t="str">
            <v/>
          </cell>
          <cell r="G3265" t="str">
            <v>CONELTEC SAS</v>
          </cell>
          <cell r="H3265" t="str">
            <v>RECO</v>
          </cell>
          <cell r="I3265" t="str">
            <v>REGIMEN COMUN</v>
          </cell>
          <cell r="J3265" t="str">
            <v>CL 18 24 36</v>
          </cell>
          <cell r="K3265" t="str">
            <v>17001</v>
          </cell>
          <cell r="L3265" t="str">
            <v>MANIZALES</v>
          </cell>
          <cell r="M3265" t="str">
            <v>3207880816</v>
          </cell>
        </row>
        <row r="3266">
          <cell r="A3266">
            <v>804014489</v>
          </cell>
          <cell r="B3266" t="str">
            <v>5</v>
          </cell>
          <cell r="C3266" t="str">
            <v/>
          </cell>
          <cell r="D3266" t="str">
            <v>NJ</v>
          </cell>
          <cell r="E3266" t="str">
            <v/>
          </cell>
          <cell r="F3266" t="str">
            <v/>
          </cell>
          <cell r="G3266" t="str">
            <v>ANSALL LTDA</v>
          </cell>
          <cell r="H3266" t="str">
            <v>RECO</v>
          </cell>
          <cell r="I3266" t="str">
            <v>REGIMEN COMUN</v>
          </cell>
          <cell r="J3266" t="str">
            <v>CR 18 6N15 BRR QUINTA GRANADA</v>
          </cell>
          <cell r="K3266" t="str">
            <v>17001</v>
          </cell>
          <cell r="L3266" t="str">
            <v>MANIZALES</v>
          </cell>
          <cell r="M3266" t="str">
            <v>6542903</v>
          </cell>
        </row>
        <row r="3267">
          <cell r="A3267">
            <v>804016854</v>
          </cell>
          <cell r="B3267" t="str">
            <v>1</v>
          </cell>
          <cell r="C3267" t="str">
            <v/>
          </cell>
          <cell r="D3267" t="str">
            <v>NJ</v>
          </cell>
          <cell r="E3267" t="str">
            <v/>
          </cell>
          <cell r="F3267" t="str">
            <v/>
          </cell>
          <cell r="G3267" t="str">
            <v>CORPORACION ECOEFICIENCIA</v>
          </cell>
          <cell r="H3267" t="str">
            <v>RECO</v>
          </cell>
          <cell r="I3267" t="str">
            <v>REGIMEN COMUN</v>
          </cell>
          <cell r="J3267" t="str">
            <v>CR 19   35   02</v>
          </cell>
          <cell r="K3267" t="str">
            <v>68001</v>
          </cell>
          <cell r="L3267" t="str">
            <v>BUCARAMANGA</v>
          </cell>
          <cell r="M3267" t="str">
            <v>6425310</v>
          </cell>
        </row>
        <row r="3268">
          <cell r="A3268">
            <v>804017671</v>
          </cell>
          <cell r="B3268" t="str">
            <v>3</v>
          </cell>
          <cell r="C3268" t="str">
            <v/>
          </cell>
          <cell r="D3268" t="str">
            <v>NJ</v>
          </cell>
          <cell r="E3268" t="str">
            <v/>
          </cell>
          <cell r="F3268" t="str">
            <v/>
          </cell>
          <cell r="G3268" t="str">
            <v>INGECOL S.A.</v>
          </cell>
          <cell r="H3268" t="str">
            <v>IMVE</v>
          </cell>
          <cell r="I3268" t="str">
            <v>IMPUESTO SOBRE LAS VENTAS</v>
          </cell>
          <cell r="J3268" t="str">
            <v>CR  25 35 21 TO 1 AP 1603</v>
          </cell>
          <cell r="K3268" t="str">
            <v>68001</v>
          </cell>
          <cell r="L3268" t="str">
            <v>BUCARAMANGA</v>
          </cell>
          <cell r="M3268" t="str">
            <v>31435665</v>
          </cell>
        </row>
        <row r="3269">
          <cell r="A3269">
            <v>805000004</v>
          </cell>
          <cell r="B3269" t="str">
            <v>1</v>
          </cell>
          <cell r="C3269" t="str">
            <v/>
          </cell>
          <cell r="D3269" t="str">
            <v>NJ</v>
          </cell>
          <cell r="E3269" t="str">
            <v/>
          </cell>
          <cell r="F3269" t="str">
            <v/>
          </cell>
          <cell r="G3269" t="str">
            <v>SANAMBIENTE SAS</v>
          </cell>
          <cell r="H3269" t="str">
            <v>RECO</v>
          </cell>
          <cell r="I3269" t="str">
            <v>REGIMEN COMUN</v>
          </cell>
          <cell r="J3269" t="str">
            <v xml:space="preserve"> CL 5 B 4  39 65 BRR SAN FERNANDO</v>
          </cell>
          <cell r="K3269" t="str">
            <v>76001</v>
          </cell>
          <cell r="L3269" t="str">
            <v>CALI</v>
          </cell>
          <cell r="M3269" t="str">
            <v>5141342</v>
          </cell>
        </row>
        <row r="3270">
          <cell r="A3270">
            <v>805000427</v>
          </cell>
          <cell r="B3270" t="str">
            <v>1</v>
          </cell>
          <cell r="C3270" t="str">
            <v/>
          </cell>
          <cell r="D3270" t="str">
            <v>NJ</v>
          </cell>
          <cell r="E3270" t="str">
            <v/>
          </cell>
          <cell r="F3270" t="str">
            <v/>
          </cell>
          <cell r="G3270" t="str">
            <v xml:space="preserve">COOMEVA ENTIDAD PROMOTORA DE SALUD S.A. COOMEVA EPS S.A     </v>
          </cell>
          <cell r="H3270" t="str">
            <v>GRCO</v>
          </cell>
          <cell r="I3270" t="str">
            <v>GRAN CONTRIBUYENTE</v>
          </cell>
          <cell r="J3270" t="str">
            <v xml:space="preserve">CR 25 CLL 50 ESQ                       </v>
          </cell>
          <cell r="K3270" t="str">
            <v>17001</v>
          </cell>
          <cell r="L3270" t="str">
            <v>MANIZALES</v>
          </cell>
          <cell r="M3270" t="str">
            <v>8876666</v>
          </cell>
        </row>
        <row r="3271">
          <cell r="A3271">
            <v>805001157</v>
          </cell>
          <cell r="B3271" t="str">
            <v>2</v>
          </cell>
          <cell r="C3271" t="str">
            <v/>
          </cell>
          <cell r="D3271" t="str">
            <v>NJ</v>
          </cell>
          <cell r="E3271" t="str">
            <v/>
          </cell>
          <cell r="F3271" t="str">
            <v/>
          </cell>
          <cell r="G3271" t="str">
            <v xml:space="preserve">ENTIDAD PROMOTORA DE SALUD SERVICIO OCCIDENTAL DE SALUD     </v>
          </cell>
          <cell r="H3271" t="str">
            <v>GRCO</v>
          </cell>
          <cell r="I3271" t="str">
            <v>GRAN CONTRIBUYENTE</v>
          </cell>
          <cell r="J3271" t="str">
            <v xml:space="preserve">CLL 50 CR 25 ESQ  FAX8813110           </v>
          </cell>
          <cell r="K3271" t="str">
            <v>17001</v>
          </cell>
          <cell r="L3271" t="str">
            <v>MANIZALES</v>
          </cell>
          <cell r="M3271" t="str">
            <v>8813155</v>
          </cell>
        </row>
        <row r="3272">
          <cell r="A3272">
            <v>805001538</v>
          </cell>
          <cell r="B3272" t="str">
            <v>5</v>
          </cell>
          <cell r="C3272" t="str">
            <v/>
          </cell>
          <cell r="D3272" t="str">
            <v>NJ</v>
          </cell>
          <cell r="E3272" t="str">
            <v/>
          </cell>
          <cell r="F3272" t="str">
            <v/>
          </cell>
          <cell r="G3272" t="str">
            <v>TECNOLOGIAS AMBIENTALES DE COLOMBIA S.A. E.S.P.</v>
          </cell>
          <cell r="H3272" t="str">
            <v>GRCO</v>
          </cell>
          <cell r="I3272" t="str">
            <v>GRAN CONTRIBUYENTE</v>
          </cell>
          <cell r="J3272" t="str">
            <v xml:space="preserve"> CL  96 10 72 P 3</v>
          </cell>
          <cell r="K3272" t="str">
            <v>11001</v>
          </cell>
          <cell r="L3272" t="str">
            <v>BOGOTA DC</v>
          </cell>
          <cell r="M3272" t="str">
            <v>5188492</v>
          </cell>
        </row>
        <row r="3273">
          <cell r="A3273">
            <v>805002135</v>
          </cell>
          <cell r="B3273" t="str">
            <v>5</v>
          </cell>
          <cell r="C3273" t="str">
            <v/>
          </cell>
          <cell r="D3273" t="str">
            <v>NJ</v>
          </cell>
          <cell r="E3273" t="str">
            <v/>
          </cell>
          <cell r="F3273" t="str">
            <v/>
          </cell>
          <cell r="G3273" t="str">
            <v>DE LA PAVA Y COMPAÑIA S.A.S</v>
          </cell>
          <cell r="H3273" t="str">
            <v>RECO</v>
          </cell>
          <cell r="I3273" t="str">
            <v>REGIMEN COMUN</v>
          </cell>
          <cell r="J3273" t="str">
            <v>CR 6 15 45 47</v>
          </cell>
          <cell r="K3273" t="str">
            <v>76001</v>
          </cell>
          <cell r="L3273" t="str">
            <v>CALI</v>
          </cell>
          <cell r="M3273" t="str">
            <v>8830085</v>
          </cell>
        </row>
        <row r="3274">
          <cell r="A3274">
            <v>805002434</v>
          </cell>
          <cell r="B3274" t="str">
            <v>2</v>
          </cell>
          <cell r="C3274" t="str">
            <v/>
          </cell>
          <cell r="D3274" t="str">
            <v>NJ</v>
          </cell>
          <cell r="E3274" t="str">
            <v/>
          </cell>
          <cell r="F3274" t="str">
            <v/>
          </cell>
          <cell r="G3274" t="str">
            <v>AGENCIA CAUCHOSOL DEL OCCIDENTE S.A.S.</v>
          </cell>
          <cell r="H3274" t="str">
            <v>IMVE</v>
          </cell>
          <cell r="I3274" t="str">
            <v>IMPUESTO SOBRE LAS VENTAS</v>
          </cell>
          <cell r="J3274" t="str">
            <v>CR 83 A 28 23</v>
          </cell>
          <cell r="K3274" t="str">
            <v>76001</v>
          </cell>
          <cell r="L3274" t="str">
            <v>CALI</v>
          </cell>
          <cell r="M3274" t="str">
            <v>31024845</v>
          </cell>
        </row>
        <row r="3275">
          <cell r="A3275">
            <v>805003351</v>
          </cell>
          <cell r="B3275" t="str">
            <v>4</v>
          </cell>
          <cell r="C3275" t="str">
            <v/>
          </cell>
          <cell r="D3275" t="str">
            <v>NJ</v>
          </cell>
          <cell r="E3275" t="str">
            <v/>
          </cell>
          <cell r="F3275" t="str">
            <v/>
          </cell>
          <cell r="G3275" t="str">
            <v>TERMOVALLE S C A  ESP</v>
          </cell>
          <cell r="H3275" t="str">
            <v>GRCO</v>
          </cell>
          <cell r="I3275" t="str">
            <v>GRAN CONTRIBUYENTE</v>
          </cell>
          <cell r="J3275" t="str">
            <v>KM 6 VIA YUMBO AUEROPUERTO ZONA FRANCA DEL PACIFICO PALMIRA</v>
          </cell>
          <cell r="K3275" t="str">
            <v>76520</v>
          </cell>
          <cell r="L3275" t="str">
            <v>PALMIRA</v>
          </cell>
          <cell r="M3275" t="str">
            <v>(2) 2801047</v>
          </cell>
        </row>
        <row r="3276">
          <cell r="A3276">
            <v>805006014</v>
          </cell>
          <cell r="B3276" t="str">
            <v>0</v>
          </cell>
          <cell r="C3276" t="str">
            <v/>
          </cell>
          <cell r="D3276" t="str">
            <v>NJ</v>
          </cell>
          <cell r="E3276" t="str">
            <v/>
          </cell>
          <cell r="F3276" t="str">
            <v/>
          </cell>
          <cell r="G3276" t="str">
            <v xml:space="preserve">DIRECTV COLOMBIA LTDA                                       </v>
          </cell>
          <cell r="H3276" t="str">
            <v>GRAU</v>
          </cell>
          <cell r="I3276" t="str">
            <v>GRAN CONTRIBUYENTE AUTORRETENEDO</v>
          </cell>
          <cell r="J3276" t="str">
            <v xml:space="preserve">CL 93 N  16  25                      </v>
          </cell>
          <cell r="K3276" t="str">
            <v>11001</v>
          </cell>
          <cell r="L3276" t="str">
            <v>BOGOTA DC</v>
          </cell>
          <cell r="M3276" t="str">
            <v>3351999</v>
          </cell>
        </row>
        <row r="3277">
          <cell r="A3277">
            <v>805006304</v>
          </cell>
          <cell r="B3277" t="str">
            <v>1</v>
          </cell>
          <cell r="C3277" t="str">
            <v/>
          </cell>
          <cell r="D3277" t="str">
            <v>NJ</v>
          </cell>
          <cell r="E3277" t="str">
            <v/>
          </cell>
          <cell r="F3277" t="str">
            <v/>
          </cell>
          <cell r="G3277" t="str">
            <v xml:space="preserve">MEDIDAS ELECTRICAS INGENIERIA LTDA                          </v>
          </cell>
          <cell r="H3277" t="str">
            <v>GRCO</v>
          </cell>
          <cell r="I3277" t="str">
            <v>GRAN CONTRIBUYENTE</v>
          </cell>
          <cell r="J3277" t="str">
            <v>CL 10 BIS   67 A 69</v>
          </cell>
          <cell r="K3277" t="str">
            <v>19001</v>
          </cell>
          <cell r="L3277" t="str">
            <v>POPAYÁN</v>
          </cell>
          <cell r="M3277" t="str">
            <v>5244454</v>
          </cell>
        </row>
        <row r="3278">
          <cell r="A3278">
            <v>805009274</v>
          </cell>
          <cell r="B3278" t="str">
            <v>2</v>
          </cell>
          <cell r="C3278" t="str">
            <v/>
          </cell>
          <cell r="D3278" t="str">
            <v>NJ</v>
          </cell>
          <cell r="E3278" t="str">
            <v/>
          </cell>
          <cell r="F3278" t="str">
            <v/>
          </cell>
          <cell r="G3278" t="str">
            <v>DISTRIBUCIONES ANDRA LTDA</v>
          </cell>
          <cell r="H3278" t="str">
            <v>RECO</v>
          </cell>
          <cell r="I3278" t="str">
            <v>REGIMEN COMUN</v>
          </cell>
          <cell r="J3278" t="str">
            <v xml:space="preserve"> CL 14 37 A  33</v>
          </cell>
          <cell r="K3278" t="str">
            <v>76001</v>
          </cell>
          <cell r="L3278" t="str">
            <v>CALI</v>
          </cell>
          <cell r="M3278" t="str">
            <v>3340709</v>
          </cell>
        </row>
        <row r="3279">
          <cell r="A3279">
            <v>805009741</v>
          </cell>
          <cell r="B3279" t="str">
            <v>0</v>
          </cell>
          <cell r="C3279" t="str">
            <v/>
          </cell>
          <cell r="D3279" t="str">
            <v>NJ</v>
          </cell>
          <cell r="E3279" t="str">
            <v/>
          </cell>
          <cell r="F3279" t="str">
            <v/>
          </cell>
          <cell r="G3279" t="str">
            <v>COOMEVA MEDICINA PREPAGADA S.A.</v>
          </cell>
          <cell r="H3279" t="str">
            <v>GRCO</v>
          </cell>
          <cell r="I3279" t="str">
            <v>GRAN CONTRIBUYENTE</v>
          </cell>
          <cell r="J3279" t="str">
            <v>CL 13  57  50</v>
          </cell>
          <cell r="K3279" t="str">
            <v>76001</v>
          </cell>
          <cell r="L3279" t="str">
            <v>CALI</v>
          </cell>
          <cell r="M3279" t="str">
            <v>3330000</v>
          </cell>
        </row>
        <row r="3280">
          <cell r="A3280">
            <v>805009976</v>
          </cell>
          <cell r="B3280" t="str">
            <v>4</v>
          </cell>
          <cell r="C3280" t="str">
            <v/>
          </cell>
          <cell r="D3280" t="str">
            <v>NJ</v>
          </cell>
          <cell r="E3280" t="str">
            <v/>
          </cell>
          <cell r="F3280" t="str">
            <v/>
          </cell>
          <cell r="G3280" t="str">
            <v>INGENIEROS ELECTRISISTAS CIVILES MECANICOS Y AFINES INELCIME SAS</v>
          </cell>
          <cell r="H3280" t="str">
            <v>IMVE</v>
          </cell>
          <cell r="I3280" t="str">
            <v>IMPUESTO SOBRE LAS VENTAS</v>
          </cell>
          <cell r="J3280" t="str">
            <v>CR 65 C 12 56</v>
          </cell>
          <cell r="K3280" t="str">
            <v>76001</v>
          </cell>
          <cell r="L3280" t="str">
            <v>CALI</v>
          </cell>
          <cell r="M3280" t="str">
            <v>3393960</v>
          </cell>
        </row>
        <row r="3281">
          <cell r="A3281">
            <v>805011877</v>
          </cell>
          <cell r="B3281" t="str">
            <v>1</v>
          </cell>
          <cell r="C3281" t="str">
            <v/>
          </cell>
          <cell r="D3281" t="str">
            <v>NJ</v>
          </cell>
          <cell r="E3281" t="str">
            <v/>
          </cell>
          <cell r="F3281" t="str">
            <v/>
          </cell>
          <cell r="G3281" t="str">
            <v>EXPERIENCIA CORPORATIVA INTERNACIONAL PRACTICA LTDA</v>
          </cell>
          <cell r="H3281" t="str">
            <v>IMVE</v>
          </cell>
          <cell r="I3281" t="str">
            <v>IMPUESTO SOBRE LAS VENTAS</v>
          </cell>
          <cell r="J3281" t="str">
            <v>CL 11  100 121 OF 210 211 CAMPESTRE TOWERS</v>
          </cell>
          <cell r="K3281" t="str">
            <v>76001</v>
          </cell>
          <cell r="L3281" t="str">
            <v>CALI</v>
          </cell>
          <cell r="M3281" t="str">
            <v>3152471</v>
          </cell>
        </row>
        <row r="3282">
          <cell r="A3282">
            <v>805015877</v>
          </cell>
          <cell r="B3282" t="str">
            <v>8</v>
          </cell>
          <cell r="C3282" t="str">
            <v/>
          </cell>
          <cell r="D3282" t="str">
            <v>NJ</v>
          </cell>
          <cell r="E3282" t="str">
            <v/>
          </cell>
          <cell r="F3282" t="str">
            <v/>
          </cell>
          <cell r="G3282" t="str">
            <v>EXPRESO TREJOS</v>
          </cell>
          <cell r="H3282" t="str">
            <v>RECO</v>
          </cell>
          <cell r="I3282" t="str">
            <v>REGIMEN COMUN</v>
          </cell>
          <cell r="J3282" t="str">
            <v>TERMINAL DE TRANSPORTE</v>
          </cell>
          <cell r="K3282" t="str">
            <v>76109</v>
          </cell>
          <cell r="L3282" t="str">
            <v>BUENAVENTURA</v>
          </cell>
          <cell r="M3282" t="str">
            <v>3164916947</v>
          </cell>
        </row>
        <row r="3283">
          <cell r="A3283">
            <v>805016928</v>
          </cell>
          <cell r="B3283" t="str">
            <v>1</v>
          </cell>
          <cell r="C3283" t="str">
            <v/>
          </cell>
          <cell r="D3283" t="str">
            <v>NJ</v>
          </cell>
          <cell r="E3283" t="str">
            <v/>
          </cell>
          <cell r="F3283" t="str">
            <v/>
          </cell>
          <cell r="G3283" t="str">
            <v>ENERCO  S.A. E.-S.P.</v>
          </cell>
          <cell r="H3283" t="str">
            <v>IMVE</v>
          </cell>
          <cell r="I3283" t="str">
            <v>IMPUESTO SOBRE LAS VENTAS</v>
          </cell>
          <cell r="J3283" t="str">
            <v>CL 22 NORTE 6 A N 24 P 8 ED SANTA MONICA CENTRAL</v>
          </cell>
          <cell r="K3283" t="str">
            <v>76001</v>
          </cell>
          <cell r="L3283" t="str">
            <v>CALI</v>
          </cell>
          <cell r="M3283" t="str">
            <v>6618290</v>
          </cell>
        </row>
        <row r="3284">
          <cell r="A3284">
            <v>805017133</v>
          </cell>
          <cell r="B3284" t="str">
            <v>6</v>
          </cell>
          <cell r="C3284" t="str">
            <v/>
          </cell>
          <cell r="D3284" t="str">
            <v>NJ</v>
          </cell>
          <cell r="E3284" t="str">
            <v/>
          </cell>
          <cell r="F3284" t="str">
            <v/>
          </cell>
          <cell r="G3284" t="str">
            <v>POTENCIA Y TECNOLOGIAS INCORPORADAS SA</v>
          </cell>
          <cell r="H3284" t="str">
            <v>IMVE</v>
          </cell>
          <cell r="I3284" t="str">
            <v>IMPUESTO SOBRE LAS VENTAS</v>
          </cell>
          <cell r="J3284" t="str">
            <v>CR 56 2 50</v>
          </cell>
          <cell r="K3284" t="str">
            <v>76001</v>
          </cell>
          <cell r="L3284" t="str">
            <v>CALI</v>
          </cell>
          <cell r="M3284" t="str">
            <v>3366461</v>
          </cell>
        </row>
        <row r="3285">
          <cell r="A3285">
            <v>805017838</v>
          </cell>
          <cell r="B3285" t="str">
            <v>1</v>
          </cell>
          <cell r="C3285" t="str">
            <v/>
          </cell>
          <cell r="D3285" t="str">
            <v>NJ</v>
          </cell>
          <cell r="E3285" t="str">
            <v/>
          </cell>
          <cell r="F3285" t="str">
            <v/>
          </cell>
          <cell r="G3285" t="str">
            <v>INVERSIONES CLH SA</v>
          </cell>
          <cell r="H3285" t="str">
            <v>IMVE</v>
          </cell>
          <cell r="I3285" t="str">
            <v>IMPUESTO SOBRE LAS VENTAS</v>
          </cell>
          <cell r="J3285" t="str">
            <v xml:space="preserve"> CL 26 A  10 40 CA 19 MZ  B</v>
          </cell>
          <cell r="K3285" t="str">
            <v>76364</v>
          </cell>
          <cell r="L3285" t="str">
            <v>JAMUNDÍ</v>
          </cell>
          <cell r="M3285" t="str">
            <v>3058601850</v>
          </cell>
        </row>
        <row r="3286">
          <cell r="A3286">
            <v>805019421</v>
          </cell>
          <cell r="B3286" t="str">
            <v>1</v>
          </cell>
          <cell r="C3286" t="str">
            <v/>
          </cell>
          <cell r="D3286" t="str">
            <v>NJ</v>
          </cell>
          <cell r="E3286" t="str">
            <v/>
          </cell>
          <cell r="F3286" t="str">
            <v/>
          </cell>
          <cell r="G3286" t="str">
            <v>RED SONORA S.A.S</v>
          </cell>
          <cell r="H3286" t="str">
            <v>RECO</v>
          </cell>
          <cell r="I3286" t="str">
            <v>REGIMEN COMUN</v>
          </cell>
          <cell r="J3286" t="str">
            <v xml:space="preserve"> AV ROOSEVELT  34 37</v>
          </cell>
          <cell r="K3286" t="str">
            <v>76001</v>
          </cell>
          <cell r="L3286" t="str">
            <v>CALI</v>
          </cell>
          <cell r="M3286" t="str">
            <v>8849734</v>
          </cell>
        </row>
        <row r="3287">
          <cell r="A3287">
            <v>805019490</v>
          </cell>
          <cell r="B3287" t="str">
            <v>1</v>
          </cell>
          <cell r="C3287" t="str">
            <v/>
          </cell>
          <cell r="D3287" t="str">
            <v>NJ</v>
          </cell>
          <cell r="E3287" t="str">
            <v/>
          </cell>
          <cell r="F3287" t="str">
            <v/>
          </cell>
          <cell r="G3287" t="str">
            <v>SUFACTURA SA</v>
          </cell>
          <cell r="H3287" t="str">
            <v>RCAU</v>
          </cell>
          <cell r="I3287" t="str">
            <v>RESPONSABLE IVA - AUTORETENEDOR</v>
          </cell>
          <cell r="J3287" t="str">
            <v>AV 2 OESTE 10 130 OF 301 ED TEMPO</v>
          </cell>
          <cell r="K3287" t="str">
            <v>76001</v>
          </cell>
          <cell r="L3287" t="str">
            <v>CALI</v>
          </cell>
          <cell r="M3287" t="str">
            <v>8921674</v>
          </cell>
        </row>
        <row r="3288">
          <cell r="A3288">
            <v>805021222</v>
          </cell>
          <cell r="B3288" t="str">
            <v>9</v>
          </cell>
          <cell r="C3288" t="str">
            <v/>
          </cell>
          <cell r="D3288" t="str">
            <v>NJ</v>
          </cell>
          <cell r="E3288" t="str">
            <v/>
          </cell>
          <cell r="F3288" t="str">
            <v/>
          </cell>
          <cell r="G3288" t="str">
            <v>TRANSPORTES ESPECIALES ACAR S.A.</v>
          </cell>
          <cell r="H3288" t="str">
            <v>RECO</v>
          </cell>
          <cell r="I3288" t="str">
            <v>REGIMEN COMUN</v>
          </cell>
          <cell r="J3288" t="str">
            <v>AV 4 N 49 N 110</v>
          </cell>
          <cell r="K3288" t="str">
            <v>76001</v>
          </cell>
          <cell r="L3288" t="str">
            <v>CALI</v>
          </cell>
          <cell r="M3288" t="str">
            <v>6644900</v>
          </cell>
        </row>
        <row r="3289">
          <cell r="A3289">
            <v>805022727</v>
          </cell>
          <cell r="B3289" t="str">
            <v>0</v>
          </cell>
          <cell r="C3289" t="str">
            <v/>
          </cell>
          <cell r="D3289" t="str">
            <v>NJ</v>
          </cell>
          <cell r="E3289" t="str">
            <v/>
          </cell>
          <cell r="F3289" t="str">
            <v/>
          </cell>
          <cell r="G3289" t="str">
            <v>FUNDACION PROFESIONAL PARA EL MANEJO INTEGRAL DEL AGUA</v>
          </cell>
          <cell r="H3289" t="str">
            <v>RECO</v>
          </cell>
          <cell r="I3289" t="str">
            <v>REGIMEN COMUN</v>
          </cell>
          <cell r="J3289" t="str">
            <v>CR 69  13 B  100 BL 00  AP 27  URB LA HACIENDA</v>
          </cell>
          <cell r="K3289" t="str">
            <v>76001</v>
          </cell>
          <cell r="L3289" t="str">
            <v>CALI</v>
          </cell>
          <cell r="M3289" t="str">
            <v>3763844</v>
          </cell>
        </row>
        <row r="3290">
          <cell r="A3290">
            <v>805024363</v>
          </cell>
          <cell r="B3290" t="str">
            <v>2</v>
          </cell>
          <cell r="C3290" t="str">
            <v/>
          </cell>
          <cell r="D3290" t="str">
            <v>NJ</v>
          </cell>
          <cell r="E3290" t="str">
            <v/>
          </cell>
          <cell r="F3290" t="str">
            <v/>
          </cell>
          <cell r="G3290" t="str">
            <v>EMPSII S.A.S</v>
          </cell>
          <cell r="H3290" t="str">
            <v>IMVE</v>
          </cell>
          <cell r="I3290" t="str">
            <v>IMPUESTO SOBRE LAS VENTAS</v>
          </cell>
          <cell r="J3290" t="str">
            <v xml:space="preserve"> CL 64 N 5 B N 146 ED CENTRO EMPRESA OF 415 A</v>
          </cell>
          <cell r="K3290" t="str">
            <v>76001</v>
          </cell>
          <cell r="L3290" t="str">
            <v>CALI</v>
          </cell>
          <cell r="M3290" t="str">
            <v>3127742775</v>
          </cell>
        </row>
        <row r="3291">
          <cell r="A3291">
            <v>805024902</v>
          </cell>
          <cell r="B3291" t="str">
            <v>2</v>
          </cell>
          <cell r="C3291" t="str">
            <v/>
          </cell>
          <cell r="D3291" t="str">
            <v>NJ</v>
          </cell>
          <cell r="E3291" t="str">
            <v/>
          </cell>
          <cell r="F3291" t="str">
            <v/>
          </cell>
          <cell r="G3291" t="str">
            <v>INGENIERIA Y CONTROL DE MOVIMIENTO SAS</v>
          </cell>
          <cell r="H3291" t="str">
            <v>RECO</v>
          </cell>
          <cell r="I3291" t="str">
            <v>REGIMEN COMUN</v>
          </cell>
          <cell r="J3291" t="str">
            <v>AV 03 A   23 C 83 OF 201</v>
          </cell>
          <cell r="K3291" t="str">
            <v>76001</v>
          </cell>
          <cell r="L3291" t="str">
            <v>CALI</v>
          </cell>
          <cell r="M3291" t="str">
            <v>6677837</v>
          </cell>
        </row>
        <row r="3292">
          <cell r="A3292">
            <v>805027231</v>
          </cell>
          <cell r="B3292" t="str">
            <v>2</v>
          </cell>
          <cell r="C3292" t="str">
            <v/>
          </cell>
          <cell r="D3292" t="str">
            <v>NJ</v>
          </cell>
          <cell r="E3292" t="str">
            <v/>
          </cell>
          <cell r="F3292" t="str">
            <v/>
          </cell>
          <cell r="G3292" t="str">
            <v>GRUPO FACTORING DE OCCIDENETE SAS</v>
          </cell>
          <cell r="H3292" t="str">
            <v>RCAU</v>
          </cell>
          <cell r="I3292" t="str">
            <v>RESPONSABLE IVA - AUTORETENEDOR</v>
          </cell>
          <cell r="J3292" t="str">
            <v>AV 2 OESTE 10 130 OF 702 ED TEMPO</v>
          </cell>
          <cell r="K3292" t="str">
            <v>76001</v>
          </cell>
          <cell r="L3292" t="str">
            <v>CALI</v>
          </cell>
          <cell r="M3292" t="str">
            <v>4856610</v>
          </cell>
        </row>
        <row r="3293">
          <cell r="A3293">
            <v>805030670</v>
          </cell>
          <cell r="B3293" t="str">
            <v>3</v>
          </cell>
          <cell r="C3293" t="str">
            <v/>
          </cell>
          <cell r="D3293" t="str">
            <v>NJ</v>
          </cell>
          <cell r="E3293" t="str">
            <v/>
          </cell>
          <cell r="F3293" t="str">
            <v/>
          </cell>
          <cell r="G3293" t="str">
            <v>ABC INGENIERIA Y REPRESENTACIONES S.A.S.</v>
          </cell>
          <cell r="H3293" t="str">
            <v>GRCO</v>
          </cell>
          <cell r="I3293" t="str">
            <v>GRAN CONTRIBUYENTE</v>
          </cell>
          <cell r="J3293" t="str">
            <v>CR 85 A   14   17 BRR EL INGENIO</v>
          </cell>
          <cell r="K3293" t="str">
            <v>76001</v>
          </cell>
          <cell r="L3293" t="str">
            <v>CALI</v>
          </cell>
          <cell r="M3293" t="str">
            <v>3307700</v>
          </cell>
        </row>
        <row r="3294">
          <cell r="A3294">
            <v>806000591</v>
          </cell>
          <cell r="B3294" t="str">
            <v>5</v>
          </cell>
          <cell r="C3294" t="str">
            <v/>
          </cell>
          <cell r="D3294" t="str">
            <v>NJ</v>
          </cell>
          <cell r="E3294" t="str">
            <v/>
          </cell>
          <cell r="F3294" t="str">
            <v/>
          </cell>
          <cell r="G3294" t="str">
            <v>ACCORHOTELS COLOMBIA S.A</v>
          </cell>
          <cell r="H3294" t="str">
            <v>GRCO</v>
          </cell>
          <cell r="I3294" t="str">
            <v>GRAN CONTRIBUYENTE</v>
          </cell>
          <cell r="J3294" t="str">
            <v>CR 12 A 83 75 OF 502</v>
          </cell>
          <cell r="K3294" t="str">
            <v>03</v>
          </cell>
          <cell r="L3294" t="str">
            <v>BOGOTA</v>
          </cell>
          <cell r="M3294" t="str">
            <v>6363633</v>
          </cell>
        </row>
        <row r="3295">
          <cell r="A3295">
            <v>806001937</v>
          </cell>
          <cell r="B3295" t="str">
            <v>4</v>
          </cell>
          <cell r="C3295" t="str">
            <v>214213042</v>
          </cell>
          <cell r="D3295" t="str">
            <v>NJ</v>
          </cell>
          <cell r="E3295" t="str">
            <v/>
          </cell>
          <cell r="F3295" t="str">
            <v/>
          </cell>
          <cell r="G3295" t="str">
            <v>MUNICIPIO DE ARENAL BOLIVAR</v>
          </cell>
          <cell r="H3295" t="str">
            <v>COIM</v>
          </cell>
          <cell r="I3295" t="str">
            <v>CONTROL DE IMPUESTOS</v>
          </cell>
          <cell r="J3295" t="str">
            <v>CL 13 5 74</v>
          </cell>
          <cell r="K3295" t="str">
            <v>17001</v>
          </cell>
          <cell r="L3295" t="str">
            <v>MANIZALES</v>
          </cell>
          <cell r="M3295" t="str">
            <v>3145686620</v>
          </cell>
        </row>
        <row r="3296">
          <cell r="A3296">
            <v>806003884</v>
          </cell>
          <cell r="B3296" t="str">
            <v>1</v>
          </cell>
          <cell r="C3296" t="str">
            <v>215513655</v>
          </cell>
          <cell r="D3296" t="str">
            <v>NJ</v>
          </cell>
          <cell r="E3296" t="str">
            <v/>
          </cell>
          <cell r="F3296" t="str">
            <v/>
          </cell>
          <cell r="G3296" t="str">
            <v>MUNICIPIO DE SAN JACINTO DEL CAUCA</v>
          </cell>
          <cell r="H3296" t="str">
            <v>GRAU</v>
          </cell>
          <cell r="I3296" t="str">
            <v>GRAN CONTRIBUYENTE AUTORRETENEDO</v>
          </cell>
          <cell r="J3296" t="str">
            <v>CL 12 CR 2 14 BR LA FLORESTA</v>
          </cell>
          <cell r="K3296" t="str">
            <v>13655</v>
          </cell>
          <cell r="L3296" t="str">
            <v>SAN JACINTO DEL CAUCA</v>
          </cell>
          <cell r="M3296" t="str">
            <v>3147673792</v>
          </cell>
        </row>
        <row r="3297">
          <cell r="A3297">
            <v>806005008</v>
          </cell>
          <cell r="B3297" t="str">
            <v>5</v>
          </cell>
          <cell r="C3297" t="str">
            <v/>
          </cell>
          <cell r="D3297" t="str">
            <v>NJ</v>
          </cell>
          <cell r="E3297" t="str">
            <v/>
          </cell>
          <cell r="F3297" t="str">
            <v/>
          </cell>
          <cell r="G3297" t="str">
            <v>Termocandelaria SCA ESP</v>
          </cell>
          <cell r="H3297" t="str">
            <v>GRCO</v>
          </cell>
          <cell r="I3297" t="str">
            <v>GRAN CONTRIBUYENTE</v>
          </cell>
          <cell r="J3297" t="str">
            <v>SEC ARROZ BARATO MAMONAL</v>
          </cell>
          <cell r="K3297" t="str">
            <v>13001</v>
          </cell>
          <cell r="L3297" t="str">
            <v>CARTAGENA</v>
          </cell>
          <cell r="M3297" t="str">
            <v>6688900</v>
          </cell>
        </row>
        <row r="3298">
          <cell r="A3298">
            <v>806008394</v>
          </cell>
          <cell r="B3298" t="str">
            <v>7</v>
          </cell>
          <cell r="C3298" t="str">
            <v/>
          </cell>
          <cell r="D3298" t="str">
            <v>NJ</v>
          </cell>
          <cell r="E3298" t="str">
            <v/>
          </cell>
          <cell r="F3298" t="str">
            <v/>
          </cell>
          <cell r="G3298" t="str">
            <v>ASOCIACIÓN MUTUAL SER EMPRESA SOLIDARIA DE SALUD ESS</v>
          </cell>
          <cell r="H3298" t="str">
            <v>GRCO</v>
          </cell>
          <cell r="I3298" t="str">
            <v>GRAN CONTRIBUYENTE</v>
          </cell>
          <cell r="J3298" t="str">
            <v>Avenida Santander Carrera 1 N° 41-56 Barrio El Cabrero</v>
          </cell>
          <cell r="K3298" t="str">
            <v>17001</v>
          </cell>
          <cell r="L3298" t="str">
            <v>MANIZALES</v>
          </cell>
          <cell r="M3298" t="str">
            <v>6502525</v>
          </cell>
        </row>
        <row r="3299">
          <cell r="A3299">
            <v>806010696</v>
          </cell>
          <cell r="B3299" t="str">
            <v>2</v>
          </cell>
          <cell r="C3299" t="str">
            <v/>
          </cell>
          <cell r="D3299" t="str">
            <v>NJ</v>
          </cell>
          <cell r="E3299" t="str">
            <v/>
          </cell>
          <cell r="F3299" t="str">
            <v/>
          </cell>
          <cell r="G3299" t="str">
            <v>AMERICAN LIGHTING SAS</v>
          </cell>
          <cell r="H3299" t="str">
            <v>RECO</v>
          </cell>
          <cell r="I3299" t="str">
            <v>REGIMEN COMUN</v>
          </cell>
          <cell r="J3299" t="str">
            <v>CL 11 3 33 BRR CENTRO</v>
          </cell>
          <cell r="K3299" t="str">
            <v>13430</v>
          </cell>
          <cell r="L3299" t="str">
            <v>MAGANGUÉ</v>
          </cell>
          <cell r="M3299" t="str">
            <v>6878230</v>
          </cell>
        </row>
        <row r="3300">
          <cell r="A3300">
            <v>806014553</v>
          </cell>
          <cell r="B3300" t="str">
            <v>6</v>
          </cell>
          <cell r="C3300" t="str">
            <v/>
          </cell>
          <cell r="D3300" t="str">
            <v>NJ</v>
          </cell>
          <cell r="E3300" t="str">
            <v/>
          </cell>
          <cell r="F3300" t="str">
            <v/>
          </cell>
          <cell r="G3300" t="str">
            <v>TUVACOL S.A</v>
          </cell>
          <cell r="H3300" t="str">
            <v>GRCO</v>
          </cell>
          <cell r="I3300" t="str">
            <v>GRAN CONTRIBUYENTE</v>
          </cell>
          <cell r="J3300" t="str">
            <v>BRR ALBORNOZ CR 56 3 B 28</v>
          </cell>
          <cell r="K3300" t="str">
            <v>13001</v>
          </cell>
          <cell r="L3300" t="str">
            <v>CARTAGENA</v>
          </cell>
          <cell r="M3300" t="str">
            <v>6505858</v>
          </cell>
        </row>
        <row r="3301">
          <cell r="A3301">
            <v>806015522</v>
          </cell>
          <cell r="B3301" t="str">
            <v>2</v>
          </cell>
          <cell r="C3301" t="str">
            <v/>
          </cell>
          <cell r="D3301" t="str">
            <v>NJ</v>
          </cell>
          <cell r="E3301" t="str">
            <v/>
          </cell>
          <cell r="F3301" t="str">
            <v/>
          </cell>
          <cell r="G3301" t="str">
            <v>UNIELECTRICOS ARP LTDA</v>
          </cell>
          <cell r="H3301" t="str">
            <v>RECO</v>
          </cell>
          <cell r="I3301" t="str">
            <v>REGIMEN COMUN</v>
          </cell>
          <cell r="J3301" t="str">
            <v>CR 1 F  50 C  14</v>
          </cell>
          <cell r="K3301" t="str">
            <v>08001</v>
          </cell>
          <cell r="L3301" t="str">
            <v>BARRANQUILLA</v>
          </cell>
          <cell r="M3301" t="str">
            <v>3427318</v>
          </cell>
        </row>
        <row r="3302">
          <cell r="A3302">
            <v>806015945</v>
          </cell>
          <cell r="B3302" t="str">
            <v>4</v>
          </cell>
          <cell r="C3302" t="str">
            <v/>
          </cell>
          <cell r="D3302" t="str">
            <v>NJ</v>
          </cell>
          <cell r="E3302" t="str">
            <v/>
          </cell>
          <cell r="F3302" t="str">
            <v/>
          </cell>
          <cell r="G3302" t="str">
            <v>ESCALERAS DE COLOMBIA DEL CARIBE LTDA</v>
          </cell>
          <cell r="H3302" t="str">
            <v>RECO</v>
          </cell>
          <cell r="I3302" t="str">
            <v>REGIMEN COMUN</v>
          </cell>
          <cell r="J3302" t="str">
            <v>SEC BOSQUE D 22 47 A 25</v>
          </cell>
          <cell r="K3302" t="str">
            <v>13001</v>
          </cell>
          <cell r="L3302" t="str">
            <v>CARTAGENA</v>
          </cell>
          <cell r="M3302" t="str">
            <v>6628392</v>
          </cell>
        </row>
        <row r="3303">
          <cell r="A3303">
            <v>807000294</v>
          </cell>
          <cell r="B3303" t="str">
            <v>6</v>
          </cell>
          <cell r="C3303" t="str">
            <v>163254000</v>
          </cell>
          <cell r="D3303" t="str">
            <v>NJ</v>
          </cell>
          <cell r="E3303" t="str">
            <v/>
          </cell>
          <cell r="F3303" t="str">
            <v/>
          </cell>
          <cell r="G3303" t="str">
            <v>TELEVISION REGIONAL DEL ORIENTE LIMITADA</v>
          </cell>
          <cell r="H3303" t="str">
            <v>RECO</v>
          </cell>
          <cell r="I3303" t="str">
            <v>REGIMEN COMUN</v>
          </cell>
          <cell r="J3303" t="str">
            <v>CL 5  2  38</v>
          </cell>
          <cell r="K3303" t="str">
            <v>54001</v>
          </cell>
          <cell r="L3303" t="str">
            <v>CÚCUTA</v>
          </cell>
          <cell r="M3303" t="str">
            <v>6484880</v>
          </cell>
        </row>
        <row r="3304">
          <cell r="A3304">
            <v>809001069</v>
          </cell>
          <cell r="B3304" t="str">
            <v>7</v>
          </cell>
          <cell r="C3304" t="str">
            <v/>
          </cell>
          <cell r="D3304" t="str">
            <v>NJ</v>
          </cell>
          <cell r="E3304" t="str">
            <v/>
          </cell>
          <cell r="F3304" t="str">
            <v/>
          </cell>
          <cell r="G3304" t="str">
            <v>COOPERATIVA DE TRABAJO ASOCIADO COOSERVIMOS</v>
          </cell>
          <cell r="H3304" t="str">
            <v>RECO</v>
          </cell>
          <cell r="I3304" t="str">
            <v>REGIMEN COMUN</v>
          </cell>
          <cell r="J3304" t="str">
            <v>CL 14 A 3 14 OF 2</v>
          </cell>
          <cell r="K3304" t="str">
            <v>73001</v>
          </cell>
          <cell r="L3304" t="str">
            <v>IBAGUÉ</v>
          </cell>
          <cell r="M3304" t="str">
            <v>2636821</v>
          </cell>
        </row>
        <row r="3305">
          <cell r="A3305">
            <v>809002084</v>
          </cell>
          <cell r="B3305" t="str">
            <v>2</v>
          </cell>
          <cell r="C3305" t="str">
            <v/>
          </cell>
          <cell r="D3305" t="str">
            <v>NJ</v>
          </cell>
          <cell r="E3305" t="str">
            <v/>
          </cell>
          <cell r="F3305" t="str">
            <v/>
          </cell>
          <cell r="G3305" t="str">
            <v>SADM INGENIERIA S.A.S.</v>
          </cell>
          <cell r="H3305" t="str">
            <v>IMVE</v>
          </cell>
          <cell r="I3305" t="str">
            <v>IMPUESTO SOBRE LAS VENTAS</v>
          </cell>
          <cell r="J3305" t="str">
            <v xml:space="preserve"> CL 19 15 10 BRR INTERLAKEN</v>
          </cell>
          <cell r="K3305" t="str">
            <v>73024</v>
          </cell>
          <cell r="L3305" t="str">
            <v>TOLIMA</v>
          </cell>
          <cell r="M3305" t="str">
            <v>3168681541</v>
          </cell>
        </row>
        <row r="3306">
          <cell r="A3306">
            <v>809002444</v>
          </cell>
          <cell r="B3306" t="str">
            <v>0</v>
          </cell>
          <cell r="C3306" t="str">
            <v/>
          </cell>
          <cell r="D3306" t="str">
            <v>NJ</v>
          </cell>
          <cell r="E3306" t="str">
            <v/>
          </cell>
          <cell r="F3306" t="str">
            <v/>
          </cell>
          <cell r="G3306" t="str">
            <v>ELITE TRAINING LTDA</v>
          </cell>
          <cell r="H3306" t="str">
            <v>RECO</v>
          </cell>
          <cell r="I3306" t="str">
            <v>REGIMEN COMUN</v>
          </cell>
          <cell r="J3306" t="str">
            <v>TV 59 104 B 86 OF 604</v>
          </cell>
          <cell r="K3306" t="str">
            <v>11001</v>
          </cell>
          <cell r="L3306" t="str">
            <v>BOGOTA DC</v>
          </cell>
          <cell r="M3306" t="str">
            <v>2535263</v>
          </cell>
        </row>
        <row r="3307">
          <cell r="A3307">
            <v>809002625</v>
          </cell>
          <cell r="B3307" t="str">
            <v>7</v>
          </cell>
          <cell r="C3307" t="str">
            <v/>
          </cell>
          <cell r="D3307" t="str">
            <v>NJ</v>
          </cell>
          <cell r="E3307" t="str">
            <v/>
          </cell>
          <cell r="F3307" t="str">
            <v/>
          </cell>
          <cell r="G3307" t="str">
            <v>INTERNACIONAL DE ELECTRICOS S.A.S</v>
          </cell>
          <cell r="H3307" t="str">
            <v>GRAU</v>
          </cell>
          <cell r="I3307" t="str">
            <v>GRAN CONTRIBUYENTE AUTORRETENEDO</v>
          </cell>
          <cell r="J3307" t="str">
            <v>CL 24  4 A  26 BRR EL CARMEN</v>
          </cell>
          <cell r="K3307" t="str">
            <v>73024</v>
          </cell>
          <cell r="L3307" t="str">
            <v>TOLIMA</v>
          </cell>
          <cell r="M3307" t="str">
            <v>2771548</v>
          </cell>
        </row>
        <row r="3308">
          <cell r="A3308">
            <v>809010448</v>
          </cell>
          <cell r="B3308" t="str">
            <v>3</v>
          </cell>
          <cell r="C3308" t="str">
            <v/>
          </cell>
          <cell r="D3308" t="str">
            <v>NJ</v>
          </cell>
          <cell r="E3308" t="str">
            <v/>
          </cell>
          <cell r="F3308" t="str">
            <v/>
          </cell>
          <cell r="G3308" t="str">
            <v>ALIANZA SOLIDARIA COOPERTIVA MULTIACTIVA DE PROFESIONALES</v>
          </cell>
          <cell r="H3308" t="str">
            <v>IMVE</v>
          </cell>
          <cell r="I3308" t="str">
            <v>IMPUESTO SOBRE LAS VENTAS</v>
          </cell>
          <cell r="J3308" t="str">
            <v>CR 7 B  I  S  16 80 IN 2 BRR  I  N  T  E  R  L  A  K  E  N</v>
          </cell>
          <cell r="K3308" t="str">
            <v>73001</v>
          </cell>
          <cell r="L3308" t="str">
            <v>IBAGUÉ</v>
          </cell>
          <cell r="M3308" t="str">
            <v>2618630</v>
          </cell>
        </row>
        <row r="3309">
          <cell r="A3309">
            <v>809010652</v>
          </cell>
          <cell r="B3309" t="str">
            <v>1</v>
          </cell>
          <cell r="C3309" t="str">
            <v/>
          </cell>
          <cell r="D3309" t="str">
            <v>NJ</v>
          </cell>
          <cell r="E3309" t="str">
            <v/>
          </cell>
          <cell r="F3309" t="str">
            <v/>
          </cell>
          <cell r="G3309" t="str">
            <v>COMERCIALIZADORA C.D.T. S.A.S</v>
          </cell>
          <cell r="H3309" t="str">
            <v>IMVE</v>
          </cell>
          <cell r="I3309" t="str">
            <v>IMPUESTO SOBRE LAS VENTAS</v>
          </cell>
          <cell r="J3309" t="str">
            <v>TV 1 SUR 44 229 ZN INDUSTRIAL EL PAPAYO</v>
          </cell>
          <cell r="K3309" t="str">
            <v>73001</v>
          </cell>
          <cell r="L3309" t="str">
            <v>IBAGUÉ</v>
          </cell>
          <cell r="M3309" t="str">
            <v>2770161</v>
          </cell>
        </row>
        <row r="3310">
          <cell r="A3310">
            <v>809010915</v>
          </cell>
          <cell r="B3310" t="str">
            <v>1</v>
          </cell>
          <cell r="C3310" t="str">
            <v>120573000</v>
          </cell>
          <cell r="D3310" t="str">
            <v>NJ</v>
          </cell>
          <cell r="E3310" t="str">
            <v/>
          </cell>
          <cell r="F3310" t="str">
            <v/>
          </cell>
          <cell r="G3310" t="str">
            <v>EGETSA</v>
          </cell>
          <cell r="H3310" t="str">
            <v>RECO</v>
          </cell>
          <cell r="I3310" t="str">
            <v>REGIMEN COMUN</v>
          </cell>
          <cell r="J3310" t="str">
            <v>CR 05   29   32 CC LA QUINTA OF 282</v>
          </cell>
          <cell r="K3310" t="str">
            <v>17001</v>
          </cell>
          <cell r="L3310" t="str">
            <v>MANIZALES</v>
          </cell>
          <cell r="M3310" t="str">
            <v>2645470</v>
          </cell>
        </row>
        <row r="3311">
          <cell r="A3311">
            <v>809011444</v>
          </cell>
          <cell r="B3311" t="str">
            <v>9</v>
          </cell>
          <cell r="C3311" t="str">
            <v/>
          </cell>
          <cell r="D3311" t="str">
            <v>NJ</v>
          </cell>
          <cell r="E3311" t="str">
            <v/>
          </cell>
          <cell r="F3311" t="str">
            <v/>
          </cell>
          <cell r="G3311" t="str">
            <v xml:space="preserve">ENERTOLIMA S.A. E.S.P                                       </v>
          </cell>
          <cell r="H3311" t="str">
            <v>GRCO</v>
          </cell>
          <cell r="I3311" t="str">
            <v>GRAN CONTRIBUYENTE</v>
          </cell>
          <cell r="J3311" t="str">
            <v xml:space="preserve">CL 39 A 5   15                       </v>
          </cell>
          <cell r="K3311" t="str">
            <v>73001</v>
          </cell>
          <cell r="L3311" t="str">
            <v>IBAGUÉ</v>
          </cell>
          <cell r="M3311" t="str">
            <v>2666694</v>
          </cell>
        </row>
        <row r="3312">
          <cell r="A3312">
            <v>810000131</v>
          </cell>
          <cell r="B3312" t="str">
            <v>5</v>
          </cell>
          <cell r="C3312" t="str">
            <v/>
          </cell>
          <cell r="D3312" t="str">
            <v>NJ</v>
          </cell>
          <cell r="E3312" t="str">
            <v/>
          </cell>
          <cell r="F3312" t="str">
            <v/>
          </cell>
          <cell r="G3312" t="str">
            <v>FUNDACION CULTURAL ACTORES EN ESCENA</v>
          </cell>
          <cell r="H3312" t="str">
            <v>ENSA</v>
          </cell>
          <cell r="I3312" t="str">
            <v>ENTIDADES SIN ANIMO DE LUCRO</v>
          </cell>
          <cell r="J3312" t="str">
            <v>CL 61 A N 24 B 21 AP 203 ED SERREZUELA</v>
          </cell>
          <cell r="K3312" t="str">
            <v>17001</v>
          </cell>
          <cell r="L3312" t="str">
            <v>MANIZALES</v>
          </cell>
          <cell r="M3312" t="str">
            <v>8841929</v>
          </cell>
        </row>
        <row r="3313">
          <cell r="A3313">
            <v>810000317</v>
          </cell>
          <cell r="B3313" t="str">
            <v>8</v>
          </cell>
          <cell r="C3313" t="str">
            <v/>
          </cell>
          <cell r="D3313" t="str">
            <v>NJ</v>
          </cell>
          <cell r="E3313" t="str">
            <v/>
          </cell>
          <cell r="F3313" t="str">
            <v/>
          </cell>
          <cell r="G3313" t="str">
            <v>SUSUERTE S.A</v>
          </cell>
          <cell r="H3313" t="str">
            <v>GRCO</v>
          </cell>
          <cell r="I3313" t="str">
            <v>GRAN CONTRIBUYENTE</v>
          </cell>
          <cell r="J3313" t="str">
            <v>CL 21 N 22 16</v>
          </cell>
          <cell r="K3313" t="str">
            <v>17001</v>
          </cell>
          <cell r="L3313" t="str">
            <v>MANIZALES</v>
          </cell>
          <cell r="M3313" t="str">
            <v>8971499</v>
          </cell>
        </row>
        <row r="3314">
          <cell r="A3314">
            <v>810000423</v>
          </cell>
          <cell r="B3314" t="str">
            <v>0</v>
          </cell>
          <cell r="C3314" t="str">
            <v/>
          </cell>
          <cell r="D3314" t="str">
            <v>NJ</v>
          </cell>
          <cell r="E3314" t="str">
            <v/>
          </cell>
          <cell r="F3314" t="str">
            <v/>
          </cell>
          <cell r="G3314" t="str">
            <v>FUNDACION PEQUEÑO CORAZON</v>
          </cell>
          <cell r="H3314" t="str">
            <v>REIC</v>
          </cell>
          <cell r="I3314" t="str">
            <v>RENTA REGIMEN ESPECIAL</v>
          </cell>
          <cell r="J3314" t="str">
            <v>CR 24 53 39</v>
          </cell>
          <cell r="K3314" t="str">
            <v>17001</v>
          </cell>
          <cell r="L3314" t="str">
            <v>MANIZALES</v>
          </cell>
          <cell r="M3314" t="str">
            <v>8858742</v>
          </cell>
        </row>
        <row r="3315">
          <cell r="A3315">
            <v>810000434</v>
          </cell>
          <cell r="B3315" t="str">
            <v>1</v>
          </cell>
          <cell r="C3315" t="str">
            <v/>
          </cell>
          <cell r="D3315" t="str">
            <v>NJ</v>
          </cell>
          <cell r="E3315" t="str">
            <v/>
          </cell>
          <cell r="F3315" t="str">
            <v/>
          </cell>
          <cell r="G3315" t="str">
            <v xml:space="preserve">VILLA Y HENAO LTDA                                          </v>
          </cell>
          <cell r="H3315" t="str">
            <v>RECO</v>
          </cell>
          <cell r="I3315" t="str">
            <v>REGIMEN COMUN</v>
          </cell>
          <cell r="J3315" t="str">
            <v xml:space="preserve">CR 23 64B 33                           </v>
          </cell>
          <cell r="K3315" t="str">
            <v>17001</v>
          </cell>
          <cell r="L3315" t="str">
            <v>MANIZALES</v>
          </cell>
          <cell r="M3315" t="str">
            <v>8756262</v>
          </cell>
        </row>
        <row r="3316">
          <cell r="A3316">
            <v>810000598</v>
          </cell>
          <cell r="B3316" t="str">
            <v>0</v>
          </cell>
          <cell r="C3316" t="str">
            <v>267017001</v>
          </cell>
          <cell r="D3316" t="str">
            <v>NJ</v>
          </cell>
          <cell r="E3316" t="str">
            <v/>
          </cell>
          <cell r="F3316" t="str">
            <v/>
          </cell>
          <cell r="G3316" t="str">
            <v xml:space="preserve">AGUAS DE MANIZALES S.A. E.S.P.                              </v>
          </cell>
          <cell r="H3316" t="str">
            <v>RCAU</v>
          </cell>
          <cell r="I3316" t="str">
            <v>RESPONSABLE IVA - AUTORETENEDOR</v>
          </cell>
          <cell r="J3316" t="str">
            <v>AV KEVIN ANGEL   59 181</v>
          </cell>
          <cell r="K3316" t="str">
            <v>17001</v>
          </cell>
          <cell r="L3316" t="str">
            <v>MANIZALES</v>
          </cell>
          <cell r="M3316" t="str">
            <v>8879770</v>
          </cell>
        </row>
        <row r="3317">
          <cell r="A3317">
            <v>810000905</v>
          </cell>
          <cell r="B3317" t="str">
            <v>9</v>
          </cell>
          <cell r="C3317" t="str">
            <v/>
          </cell>
          <cell r="D3317" t="str">
            <v>NJ</v>
          </cell>
          <cell r="E3317" t="str">
            <v/>
          </cell>
          <cell r="F3317" t="str">
            <v/>
          </cell>
          <cell r="G3317" t="str">
            <v>RETIE INGENIERÍA Y TECNOLOGÍA SAS</v>
          </cell>
          <cell r="H3317" t="str">
            <v>IMVE</v>
          </cell>
          <cell r="I3317" t="str">
            <v>IMPUESTO SOBRE LAS VENTAS</v>
          </cell>
          <cell r="J3317" t="str">
            <v xml:space="preserve"> C  A  L  L  E  14  104 140</v>
          </cell>
          <cell r="K3317" t="str">
            <v>76001</v>
          </cell>
          <cell r="L3317" t="str">
            <v>CALI</v>
          </cell>
          <cell r="M3317" t="str">
            <v>3166703191</v>
          </cell>
        </row>
        <row r="3318">
          <cell r="A3318">
            <v>810000953</v>
          </cell>
          <cell r="B3318" t="str">
            <v>2</v>
          </cell>
          <cell r="C3318" t="str">
            <v/>
          </cell>
          <cell r="D3318" t="str">
            <v>NJ</v>
          </cell>
          <cell r="E3318" t="str">
            <v/>
          </cell>
          <cell r="F3318" t="str">
            <v/>
          </cell>
          <cell r="G3318" t="str">
            <v>ARANGO TRUJILLO S.A.S</v>
          </cell>
          <cell r="H3318" t="str">
            <v>RECO</v>
          </cell>
          <cell r="I3318" t="str">
            <v>REGIMEN COMUN</v>
          </cell>
          <cell r="J3318" t="str">
            <v>CL 55   24   03</v>
          </cell>
          <cell r="K3318" t="str">
            <v>17001</v>
          </cell>
          <cell r="L3318" t="str">
            <v>MANIZALES</v>
          </cell>
          <cell r="M3318" t="str">
            <v>8812529</v>
          </cell>
        </row>
        <row r="3319">
          <cell r="A3319">
            <v>810000991</v>
          </cell>
          <cell r="B3319" t="str">
            <v>2</v>
          </cell>
          <cell r="C3319" t="str">
            <v/>
          </cell>
          <cell r="D3319" t="str">
            <v>NJ</v>
          </cell>
          <cell r="E3319" t="str">
            <v/>
          </cell>
          <cell r="F3319" t="str">
            <v/>
          </cell>
          <cell r="G3319" t="str">
            <v xml:space="preserve">INGENIEROS QUIMICOS Y ASOCIADOS S.A                         </v>
          </cell>
          <cell r="H3319" t="str">
            <v>IMVE</v>
          </cell>
          <cell r="I3319" t="str">
            <v>IMPUESTO SOBRE LAS VENTAS</v>
          </cell>
          <cell r="J3319" t="str">
            <v>CR 25 N  67 112 BRR PALERMO</v>
          </cell>
          <cell r="K3319" t="str">
            <v>17001</v>
          </cell>
          <cell r="L3319" t="str">
            <v>MANIZALES</v>
          </cell>
          <cell r="M3319" t="str">
            <v>8877120</v>
          </cell>
        </row>
        <row r="3320">
          <cell r="A3320">
            <v>810001025</v>
          </cell>
          <cell r="B3320" t="str">
            <v>7</v>
          </cell>
          <cell r="C3320" t="str">
            <v/>
          </cell>
          <cell r="D3320" t="str">
            <v>NJ</v>
          </cell>
          <cell r="E3320" t="str">
            <v/>
          </cell>
          <cell r="F3320" t="str">
            <v/>
          </cell>
          <cell r="G3320" t="str">
            <v>DATA Y SERVICE LIMITADA</v>
          </cell>
          <cell r="H3320" t="str">
            <v>RECO</v>
          </cell>
          <cell r="I3320" t="str">
            <v>REGIMEN COMUN</v>
          </cell>
          <cell r="J3320" t="str">
            <v xml:space="preserve"> CL 54  26 60</v>
          </cell>
          <cell r="K3320" t="str">
            <v>17001</v>
          </cell>
          <cell r="L3320" t="str">
            <v>MANIZALES</v>
          </cell>
          <cell r="M3320" t="str">
            <v>8812277</v>
          </cell>
        </row>
        <row r="3321">
          <cell r="A3321">
            <v>810001157</v>
          </cell>
          <cell r="B3321" t="str">
            <v>0</v>
          </cell>
          <cell r="C3321" t="str">
            <v/>
          </cell>
          <cell r="D3321" t="str">
            <v>NJ</v>
          </cell>
          <cell r="E3321" t="str">
            <v/>
          </cell>
          <cell r="F3321" t="str">
            <v/>
          </cell>
          <cell r="G3321" t="str">
            <v>VACAB CONSULTORÍA Y CONSTRUCCION LTDA</v>
          </cell>
          <cell r="H3321" t="str">
            <v>RECO</v>
          </cell>
          <cell r="I3321" t="str">
            <v>REGIMEN COMUN</v>
          </cell>
          <cell r="J3321" t="str">
            <v>CR 2   32   09</v>
          </cell>
          <cell r="K3321" t="str">
            <v>17380</v>
          </cell>
          <cell r="L3321" t="str">
            <v>LA DORADA</v>
          </cell>
          <cell r="M3321" t="str">
            <v>8571642</v>
          </cell>
        </row>
        <row r="3322">
          <cell r="A3322">
            <v>810001351</v>
          </cell>
          <cell r="B3322" t="str">
            <v>3</v>
          </cell>
          <cell r="C3322" t="str">
            <v/>
          </cell>
          <cell r="D3322" t="str">
            <v>NJ</v>
          </cell>
          <cell r="E3322" t="str">
            <v/>
          </cell>
          <cell r="F3322" t="str">
            <v/>
          </cell>
          <cell r="G3322" t="str">
            <v>ALL SUPPLIES S. A. S</v>
          </cell>
          <cell r="H3322" t="str">
            <v>IMVE</v>
          </cell>
          <cell r="I3322" t="str">
            <v>IMPUESTO SOBRE LAS VENTAS</v>
          </cell>
          <cell r="J3322" t="str">
            <v xml:space="preserve"> CL 68 A   9 100 CONJ RINCON DE LA PALMA</v>
          </cell>
          <cell r="K3322" t="str">
            <v>17001</v>
          </cell>
          <cell r="L3322" t="str">
            <v>MANIZALES</v>
          </cell>
          <cell r="M3322" t="str">
            <v>8866848</v>
          </cell>
        </row>
        <row r="3323">
          <cell r="A3323">
            <v>810001366</v>
          </cell>
          <cell r="B3323" t="str">
            <v>3</v>
          </cell>
          <cell r="C3323" t="str">
            <v/>
          </cell>
          <cell r="D3323" t="str">
            <v>NJ</v>
          </cell>
          <cell r="E3323" t="str">
            <v/>
          </cell>
          <cell r="F3323" t="str">
            <v/>
          </cell>
          <cell r="G3323" t="str">
            <v>BIOSERVICIOS S.A.S</v>
          </cell>
          <cell r="H3323" t="str">
            <v>IMVE</v>
          </cell>
          <cell r="I3323" t="str">
            <v>IMPUESTO SOBRE LAS VENTAS</v>
          </cell>
          <cell r="J3323" t="str">
            <v>CL 65 A 23 B 122 BRR GUAYACANES</v>
          </cell>
          <cell r="K3323" t="str">
            <v>17001</v>
          </cell>
          <cell r="L3323" t="str">
            <v>MANIZALES</v>
          </cell>
          <cell r="M3323" t="str">
            <v>8875120</v>
          </cell>
        </row>
        <row r="3324">
          <cell r="A3324">
            <v>810001553</v>
          </cell>
          <cell r="B3324" t="str">
            <v>4</v>
          </cell>
          <cell r="C3324" t="str">
            <v/>
          </cell>
          <cell r="D3324" t="str">
            <v>NJ</v>
          </cell>
          <cell r="E3324" t="str">
            <v/>
          </cell>
          <cell r="F3324" t="str">
            <v/>
          </cell>
          <cell r="G3324" t="str">
            <v>CORPORACION CIVICA PROGRESAR</v>
          </cell>
          <cell r="H3324" t="str">
            <v>RECO</v>
          </cell>
          <cell r="I3324" t="str">
            <v>REGIMEN COMUN</v>
          </cell>
          <cell r="J3324" t="str">
            <v>CLL 11 3 36 BRR CENTRO</v>
          </cell>
          <cell r="K3324" t="str">
            <v>17042</v>
          </cell>
          <cell r="L3324" t="str">
            <v>ANSERMA</v>
          </cell>
          <cell r="M3324" t="str">
            <v>8536027</v>
          </cell>
        </row>
        <row r="3325">
          <cell r="A3325">
            <v>810001583</v>
          </cell>
          <cell r="B3325" t="str">
            <v>5</v>
          </cell>
          <cell r="C3325" t="str">
            <v/>
          </cell>
          <cell r="D3325" t="str">
            <v>NJ</v>
          </cell>
          <cell r="E3325" t="str">
            <v/>
          </cell>
          <cell r="F3325" t="str">
            <v/>
          </cell>
          <cell r="G3325" t="str">
            <v>CAFEREDES INGENIERIA SAS</v>
          </cell>
          <cell r="H3325" t="str">
            <v>IMVE</v>
          </cell>
          <cell r="I3325" t="str">
            <v>IMPUESTO SOBRE LAS VENTAS</v>
          </cell>
          <cell r="J3325" t="str">
            <v xml:space="preserve"> CR 21 63 88</v>
          </cell>
          <cell r="K3325" t="str">
            <v>17001</v>
          </cell>
          <cell r="L3325" t="str">
            <v>MANIZALES</v>
          </cell>
          <cell r="M3325" t="str">
            <v>8811775</v>
          </cell>
        </row>
        <row r="3326">
          <cell r="A3326">
            <v>810001625</v>
          </cell>
          <cell r="B3326" t="str">
            <v>6</v>
          </cell>
          <cell r="C3326" t="str">
            <v/>
          </cell>
          <cell r="D3326" t="str">
            <v>NJ</v>
          </cell>
          <cell r="E3326" t="str">
            <v/>
          </cell>
          <cell r="F3326" t="str">
            <v/>
          </cell>
          <cell r="G3326" t="str">
            <v>AM COPPIANO SAS</v>
          </cell>
          <cell r="H3326" t="str">
            <v>IMVE</v>
          </cell>
          <cell r="I3326" t="str">
            <v>IMPUESTO SOBRE LAS VENTAS</v>
          </cell>
          <cell r="J3326" t="str">
            <v>CR 23 b 70 a 107</v>
          </cell>
          <cell r="K3326" t="str">
            <v>17001</v>
          </cell>
          <cell r="L3326" t="str">
            <v>MANIZALES</v>
          </cell>
          <cell r="M3326" t="str">
            <v>8876911</v>
          </cell>
        </row>
        <row r="3327">
          <cell r="A3327">
            <v>810001695</v>
          </cell>
          <cell r="B3327" t="str">
            <v>1</v>
          </cell>
          <cell r="C3327" t="str">
            <v/>
          </cell>
          <cell r="D3327" t="str">
            <v>NJ</v>
          </cell>
          <cell r="E3327" t="str">
            <v/>
          </cell>
          <cell r="F3327" t="str">
            <v/>
          </cell>
          <cell r="G3327" t="str">
            <v>FONDO DE EMPLEADOS PROFESIONALES DE LA CHEC</v>
          </cell>
          <cell r="H3327" t="str">
            <v>RESI</v>
          </cell>
          <cell r="I3327" t="str">
            <v>REGIMEN SIMPLIFICADO</v>
          </cell>
          <cell r="J3327" t="str">
            <v>ESTACIÓN URIBE KM 1 SALIDA A CHINCHINA</v>
          </cell>
          <cell r="K3327" t="str">
            <v>17001</v>
          </cell>
          <cell r="L3327" t="str">
            <v>MANIZALES</v>
          </cell>
          <cell r="M3327" t="str">
            <v>8899009</v>
          </cell>
        </row>
        <row r="3328">
          <cell r="A3328">
            <v>810002209</v>
          </cell>
          <cell r="B3328" t="str">
            <v>1</v>
          </cell>
          <cell r="C3328" t="str">
            <v/>
          </cell>
          <cell r="D3328" t="str">
            <v>NJ</v>
          </cell>
          <cell r="E3328" t="str">
            <v/>
          </cell>
          <cell r="F3328" t="str">
            <v/>
          </cell>
          <cell r="G3328" t="str">
            <v>AUTOMATIZACION Y VIRTUALIZACION INGENIERIA SAS</v>
          </cell>
          <cell r="H3328" t="str">
            <v>RECO</v>
          </cell>
          <cell r="I3328" t="str">
            <v>REGIMEN COMUN</v>
          </cell>
          <cell r="J3328" t="str">
            <v>CR 33 48 H 22 BRR BAJO PRADO</v>
          </cell>
          <cell r="K3328" t="str">
            <v>17001</v>
          </cell>
          <cell r="L3328" t="str">
            <v>MANIZALES</v>
          </cell>
          <cell r="M3328" t="str">
            <v>3207172721</v>
          </cell>
        </row>
        <row r="3329">
          <cell r="A3329">
            <v>810002311</v>
          </cell>
          <cell r="B3329" t="str">
            <v>3</v>
          </cell>
          <cell r="C3329" t="str">
            <v/>
          </cell>
          <cell r="D3329" t="str">
            <v>NJ</v>
          </cell>
          <cell r="E3329" t="str">
            <v/>
          </cell>
          <cell r="F3329" t="str">
            <v/>
          </cell>
          <cell r="G3329" t="str">
            <v>DATA 3.000 S.A.S</v>
          </cell>
          <cell r="H3329" t="str">
            <v>IMVE</v>
          </cell>
          <cell r="I3329" t="str">
            <v>IMPUESTO SOBRE LAS VENTAS</v>
          </cell>
          <cell r="J3329" t="str">
            <v>CR 32 103 A 03 BRR LA ENEA</v>
          </cell>
          <cell r="K3329" t="str">
            <v>17001</v>
          </cell>
          <cell r="L3329" t="str">
            <v>MANIZALES</v>
          </cell>
          <cell r="M3329" t="str">
            <v>6068918576</v>
          </cell>
        </row>
        <row r="3330">
          <cell r="A3330">
            <v>810002315</v>
          </cell>
          <cell r="B3330" t="str">
            <v>2</v>
          </cell>
          <cell r="C3330" t="str">
            <v/>
          </cell>
          <cell r="D3330" t="str">
            <v>NJ</v>
          </cell>
          <cell r="E3330" t="str">
            <v/>
          </cell>
          <cell r="F3330" t="str">
            <v/>
          </cell>
          <cell r="G3330" t="str">
            <v>B M INGENIERIA LTDA</v>
          </cell>
          <cell r="H3330" t="str">
            <v>RECO</v>
          </cell>
          <cell r="I3330" t="str">
            <v>REGIMEN COMUN</v>
          </cell>
          <cell r="J3330" t="str">
            <v>CL 68   34   29</v>
          </cell>
          <cell r="K3330" t="str">
            <v>17001</v>
          </cell>
          <cell r="L3330" t="str">
            <v>MANIZALES</v>
          </cell>
          <cell r="M3330" t="str">
            <v>8785100</v>
          </cell>
        </row>
        <row r="3331">
          <cell r="A3331">
            <v>810002434</v>
          </cell>
          <cell r="B3331" t="str">
            <v>0</v>
          </cell>
          <cell r="C3331" t="str">
            <v/>
          </cell>
          <cell r="D3331" t="str">
            <v>NJ</v>
          </cell>
          <cell r="E3331" t="str">
            <v/>
          </cell>
          <cell r="F3331" t="str">
            <v/>
          </cell>
          <cell r="G3331" t="str">
            <v>L.R. AMBIENTAL S.A.S.</v>
          </cell>
          <cell r="H3331" t="str">
            <v>IMVE</v>
          </cell>
          <cell r="I3331" t="str">
            <v>IMPUESTO SOBRE LAS VENTAS</v>
          </cell>
          <cell r="J3331" t="str">
            <v xml:space="preserve"> CL 64 A 21 50 ED TORRE EMPRESARIAL PORTAL DEL CABLE OF 1305</v>
          </cell>
          <cell r="K3331" t="str">
            <v>17001</v>
          </cell>
          <cell r="L3331" t="str">
            <v>MANIZALES</v>
          </cell>
          <cell r="M3331" t="str">
            <v>8895121</v>
          </cell>
        </row>
        <row r="3332">
          <cell r="A3332">
            <v>810002455</v>
          </cell>
          <cell r="B3332" t="str">
            <v>5</v>
          </cell>
          <cell r="C3332" t="str">
            <v/>
          </cell>
          <cell r="D3332" t="str">
            <v>NJ</v>
          </cell>
          <cell r="E3332" t="str">
            <v/>
          </cell>
          <cell r="F3332" t="str">
            <v/>
          </cell>
          <cell r="G3332" t="str">
            <v>CONSTRUCCIONES CFC Y ASOCIADOS S.A.</v>
          </cell>
          <cell r="H3332" t="str">
            <v>GRCO</v>
          </cell>
          <cell r="I3332" t="str">
            <v>GRAN CONTRIBUYENTE</v>
          </cell>
          <cell r="J3332" t="str">
            <v>CR 23 CL 64 B 33</v>
          </cell>
          <cell r="K3332" t="str">
            <v>17001</v>
          </cell>
          <cell r="L3332" t="str">
            <v>MANIZALES</v>
          </cell>
          <cell r="M3332" t="str">
            <v>8756633</v>
          </cell>
        </row>
        <row r="3333">
          <cell r="A3333">
            <v>810002595</v>
          </cell>
          <cell r="B3333" t="str">
            <v>8</v>
          </cell>
          <cell r="C3333" t="str">
            <v/>
          </cell>
          <cell r="D3333" t="str">
            <v>NJ</v>
          </cell>
          <cell r="E3333" t="str">
            <v/>
          </cell>
          <cell r="F3333" t="str">
            <v/>
          </cell>
          <cell r="G3333" t="str">
            <v>ASOCIACION DEPARTAMENTAL DE USUARIOS CAMPESINOS DE CALDAS</v>
          </cell>
          <cell r="H3333" t="str">
            <v>REOR</v>
          </cell>
          <cell r="I3333" t="str">
            <v>RENTA REGIMEN ORDINARIO</v>
          </cell>
          <cell r="J3333" t="str">
            <v>CL 10 A 32 55</v>
          </cell>
          <cell r="K3333" t="str">
            <v>17001</v>
          </cell>
          <cell r="L3333" t="str">
            <v>MANIZALES</v>
          </cell>
          <cell r="M3333" t="str">
            <v>8732224</v>
          </cell>
        </row>
        <row r="3334">
          <cell r="A3334">
            <v>810002601</v>
          </cell>
          <cell r="B3334" t="str">
            <v>4</v>
          </cell>
          <cell r="C3334" t="str">
            <v/>
          </cell>
          <cell r="D3334" t="str">
            <v>NJ</v>
          </cell>
          <cell r="E3334" t="str">
            <v/>
          </cell>
          <cell r="F3334" t="str">
            <v/>
          </cell>
          <cell r="G3334" t="str">
            <v>M.P.C Y ASOCIADOS SAS</v>
          </cell>
          <cell r="H3334" t="str">
            <v>RECO</v>
          </cell>
          <cell r="I3334" t="str">
            <v>REGIMEN COMUN</v>
          </cell>
          <cell r="J3334" t="str">
            <v>CR 15 4 A 60 IN 3</v>
          </cell>
          <cell r="K3334" t="str">
            <v>17001</v>
          </cell>
          <cell r="L3334" t="str">
            <v>MANIZALES</v>
          </cell>
          <cell r="M3334" t="str">
            <v>8894497</v>
          </cell>
        </row>
        <row r="3335">
          <cell r="A3335">
            <v>810002756</v>
          </cell>
          <cell r="B3335" t="str">
            <v>7</v>
          </cell>
          <cell r="C3335" t="str">
            <v/>
          </cell>
          <cell r="D3335" t="str">
            <v>NJ</v>
          </cell>
          <cell r="E3335" t="str">
            <v/>
          </cell>
          <cell r="F3335" t="str">
            <v/>
          </cell>
          <cell r="G3335" t="str">
            <v>CLUB DEPORTIVO MANIZALES HOCKEY CLUB</v>
          </cell>
          <cell r="H3335" t="str">
            <v>RECO</v>
          </cell>
          <cell r="I3335" t="str">
            <v>REGIMEN COMUN</v>
          </cell>
          <cell r="J3335" t="str">
            <v>UNIDAD DEPORTIVA PALOGRANDE CANCHA LIGA PATINAJE</v>
          </cell>
          <cell r="K3335" t="str">
            <v>17001</v>
          </cell>
          <cell r="L3335" t="str">
            <v>MANIZALES</v>
          </cell>
          <cell r="M3335" t="str">
            <v>3147711091</v>
          </cell>
        </row>
        <row r="3336">
          <cell r="A3336">
            <v>810002827</v>
          </cell>
          <cell r="B3336" t="str">
            <v>1</v>
          </cell>
          <cell r="C3336" t="str">
            <v/>
          </cell>
          <cell r="D3336" t="str">
            <v>NJ</v>
          </cell>
          <cell r="E3336" t="str">
            <v/>
          </cell>
          <cell r="F3336" t="str">
            <v/>
          </cell>
          <cell r="G3336" t="str">
            <v>CONACERO INGENIERIA S. A. S</v>
          </cell>
          <cell r="H3336" t="str">
            <v>IMVE</v>
          </cell>
          <cell r="I3336" t="str">
            <v>IMPUESTO SOBRE LAS VENTAS</v>
          </cell>
          <cell r="J3336" t="str">
            <v xml:space="preserve"> KM 2 VIA AL MAGDALENA FRENTE A COCA COLA</v>
          </cell>
          <cell r="K3336" t="str">
            <v>17001</v>
          </cell>
          <cell r="L3336" t="str">
            <v>MANIZALES</v>
          </cell>
          <cell r="M3336" t="str">
            <v>8743959</v>
          </cell>
        </row>
        <row r="3337">
          <cell r="A3337">
            <v>810002948</v>
          </cell>
          <cell r="B3337" t="str">
            <v>4</v>
          </cell>
          <cell r="C3337" t="str">
            <v/>
          </cell>
          <cell r="D3337" t="str">
            <v>NJ</v>
          </cell>
          <cell r="E3337" t="str">
            <v/>
          </cell>
          <cell r="F3337" t="str">
            <v/>
          </cell>
          <cell r="G3337" t="str">
            <v>SERVICIOS INFORMATICOS SAS</v>
          </cell>
          <cell r="H3337" t="str">
            <v>RECO</v>
          </cell>
          <cell r="I3337" t="str">
            <v>REGIMEN COMUN</v>
          </cell>
          <cell r="J3337" t="str">
            <v>CL 64   24-61 P 2</v>
          </cell>
          <cell r="K3337" t="str">
            <v>17001</v>
          </cell>
          <cell r="L3337" t="str">
            <v>MANIZALES</v>
          </cell>
          <cell r="M3337" t="str">
            <v>8853705</v>
          </cell>
        </row>
        <row r="3338">
          <cell r="A3338">
            <v>810002963</v>
          </cell>
          <cell r="B3338" t="str">
            <v>5</v>
          </cell>
          <cell r="C3338" t="str">
            <v>219517495</v>
          </cell>
          <cell r="D3338" t="str">
            <v>NJ</v>
          </cell>
          <cell r="E3338" t="str">
            <v/>
          </cell>
          <cell r="F3338" t="str">
            <v/>
          </cell>
          <cell r="G3338" t="str">
            <v>MUNICIPIO DE NORCASIA</v>
          </cell>
          <cell r="H3338" t="str">
            <v>IMVE</v>
          </cell>
          <cell r="I3338" t="str">
            <v>IMPUESTO SOBRE LAS VENTAS</v>
          </cell>
          <cell r="J3338" t="str">
            <v>MCP NORCASIA CL 10 N 6 ESQ</v>
          </cell>
          <cell r="K3338" t="str">
            <v>17495</v>
          </cell>
          <cell r="L3338" t="str">
            <v>NORCASIA</v>
          </cell>
          <cell r="M3338" t="str">
            <v>3145285910</v>
          </cell>
        </row>
        <row r="3339">
          <cell r="A3339">
            <v>810002975</v>
          </cell>
          <cell r="B3339" t="str">
            <v>3</v>
          </cell>
          <cell r="C3339" t="str">
            <v/>
          </cell>
          <cell r="D3339" t="str">
            <v>NJ</v>
          </cell>
          <cell r="E3339" t="str">
            <v/>
          </cell>
          <cell r="F3339" t="str">
            <v/>
          </cell>
          <cell r="G3339" t="str">
            <v>CORPORACION CULTURAL ARTE &amp; CIUDAD</v>
          </cell>
          <cell r="H3339" t="str">
            <v>ENSA</v>
          </cell>
          <cell r="I3339" t="str">
            <v>ENTIDADES SIN ANIMO DE LUCRO</v>
          </cell>
          <cell r="J3339" t="str">
            <v xml:space="preserve"> CR 23  49 71 AP 904</v>
          </cell>
          <cell r="K3339" t="str">
            <v>17001</v>
          </cell>
          <cell r="L3339" t="str">
            <v>MANIZALES</v>
          </cell>
          <cell r="M3339" t="str">
            <v>8862534</v>
          </cell>
        </row>
        <row r="3340">
          <cell r="A3340">
            <v>810003036</v>
          </cell>
          <cell r="B3340" t="str">
            <v>7</v>
          </cell>
          <cell r="C3340" t="str">
            <v/>
          </cell>
          <cell r="D3340" t="str">
            <v>NJ</v>
          </cell>
          <cell r="E3340" t="str">
            <v/>
          </cell>
          <cell r="F3340" t="str">
            <v/>
          </cell>
          <cell r="G3340" t="str">
            <v>FONDO DE EMPLEADOS DE GENSA</v>
          </cell>
          <cell r="H3340" t="str">
            <v>RECO</v>
          </cell>
          <cell r="I3340" t="str">
            <v>REGIMEN COMUN</v>
          </cell>
          <cell r="J3340" t="str">
            <v>CR 23  64 B 33 TO GENSA</v>
          </cell>
          <cell r="K3340" t="str">
            <v>17001</v>
          </cell>
          <cell r="L3340" t="str">
            <v>MANIZALES</v>
          </cell>
          <cell r="M3340" t="str">
            <v>8756262</v>
          </cell>
        </row>
        <row r="3341">
          <cell r="A3341">
            <v>810003155</v>
          </cell>
          <cell r="B3341" t="str">
            <v>5</v>
          </cell>
          <cell r="C3341" t="str">
            <v/>
          </cell>
          <cell r="D3341" t="str">
            <v>NJ</v>
          </cell>
          <cell r="E3341" t="str">
            <v/>
          </cell>
          <cell r="F3341" t="str">
            <v/>
          </cell>
          <cell r="G3341" t="str">
            <v xml:space="preserve">CENTRO DE NEGOCIOS SIGLO XXI                                </v>
          </cell>
          <cell r="H3341" t="str">
            <v>RECO</v>
          </cell>
          <cell r="I3341" t="str">
            <v>REGIMEN COMUN</v>
          </cell>
          <cell r="J3341" t="str">
            <v>CR 23 N 64B 33</v>
          </cell>
          <cell r="K3341" t="str">
            <v>17001</v>
          </cell>
          <cell r="L3341" t="str">
            <v>MANIZALES</v>
          </cell>
          <cell r="M3341" t="str">
            <v>8756601</v>
          </cell>
        </row>
        <row r="3342">
          <cell r="A3342">
            <v>810003176</v>
          </cell>
          <cell r="B3342" t="str">
            <v>1</v>
          </cell>
          <cell r="C3342" t="str">
            <v/>
          </cell>
          <cell r="D3342" t="str">
            <v>NJ</v>
          </cell>
          <cell r="E3342" t="str">
            <v/>
          </cell>
          <cell r="F3342" t="str">
            <v/>
          </cell>
          <cell r="G3342" t="str">
            <v>ASOCIACIÓN CÍVICA DE MEDIOS DE COMUNICACIÓN LA MERCED</v>
          </cell>
          <cell r="H3342" t="str">
            <v>RECO</v>
          </cell>
          <cell r="I3342" t="str">
            <v>REGIMEN COMUN</v>
          </cell>
          <cell r="J3342" t="str">
            <v>BAJOS DE LA CASA CURAL PARQUE PRINCIPAL</v>
          </cell>
          <cell r="K3342" t="str">
            <v>17388</v>
          </cell>
          <cell r="L3342" t="str">
            <v>LA MERCED</v>
          </cell>
          <cell r="M3342" t="str">
            <v>3148669349</v>
          </cell>
        </row>
        <row r="3343">
          <cell r="A3343">
            <v>810003350</v>
          </cell>
          <cell r="B3343" t="str">
            <v>5</v>
          </cell>
          <cell r="C3343" t="str">
            <v/>
          </cell>
          <cell r="D3343" t="str">
            <v>NJ</v>
          </cell>
          <cell r="E3343" t="str">
            <v/>
          </cell>
          <cell r="F3343" t="str">
            <v/>
          </cell>
          <cell r="G3343" t="str">
            <v>FUNDACION ESCENARIOS DE VIDA</v>
          </cell>
          <cell r="H3343" t="str">
            <v>REIC</v>
          </cell>
          <cell r="I3343" t="str">
            <v>RENTA REGIMEN ESPECIAL</v>
          </cell>
          <cell r="J3343" t="str">
            <v>CR 23   19 47 OF 406</v>
          </cell>
          <cell r="K3343" t="str">
            <v>17001</v>
          </cell>
          <cell r="L3343" t="str">
            <v>MANIZALES</v>
          </cell>
          <cell r="M3343" t="str">
            <v>8821056</v>
          </cell>
        </row>
        <row r="3344">
          <cell r="A3344">
            <v>810003515</v>
          </cell>
          <cell r="B3344" t="str">
            <v>3</v>
          </cell>
          <cell r="C3344" t="str">
            <v/>
          </cell>
          <cell r="D3344" t="str">
            <v>NJ</v>
          </cell>
          <cell r="E3344" t="str">
            <v/>
          </cell>
          <cell r="F3344" t="str">
            <v/>
          </cell>
          <cell r="G3344" t="str">
            <v>SOLOCAUCHOS S.A.S</v>
          </cell>
          <cell r="H3344" t="str">
            <v>IMVE</v>
          </cell>
          <cell r="I3344" t="str">
            <v>IMPUESTO SOBRE LAS VENTAS</v>
          </cell>
          <cell r="J3344" t="str">
            <v>NOMBRE VIA T C BRR  SENA - MALTERIA</v>
          </cell>
          <cell r="K3344" t="str">
            <v>17001</v>
          </cell>
          <cell r="L3344" t="str">
            <v>MANIZALES</v>
          </cell>
          <cell r="M3344" t="str">
            <v>8743035</v>
          </cell>
        </row>
        <row r="3345">
          <cell r="A3345">
            <v>810003782</v>
          </cell>
          <cell r="B3345" t="str">
            <v>3</v>
          </cell>
          <cell r="C3345" t="str">
            <v/>
          </cell>
          <cell r="D3345" t="str">
            <v>NJ</v>
          </cell>
          <cell r="E3345" t="str">
            <v/>
          </cell>
          <cell r="F3345" t="str">
            <v/>
          </cell>
          <cell r="G3345" t="str">
            <v>AZUL S.A</v>
          </cell>
          <cell r="H3345" t="str">
            <v>RECO</v>
          </cell>
          <cell r="I3345" t="str">
            <v>REGIMEN COMUN</v>
          </cell>
          <cell r="J3345" t="str">
            <v>AV KEVIN ANGEL  64 A 230</v>
          </cell>
          <cell r="K3345" t="str">
            <v>17001</v>
          </cell>
          <cell r="L3345" t="str">
            <v>MANIZALES</v>
          </cell>
          <cell r="M3345" t="str">
            <v>8816300</v>
          </cell>
        </row>
        <row r="3346">
          <cell r="A3346">
            <v>810003972</v>
          </cell>
          <cell r="B3346" t="str">
            <v>6</v>
          </cell>
          <cell r="C3346" t="str">
            <v/>
          </cell>
          <cell r="D3346" t="str">
            <v>NJ</v>
          </cell>
          <cell r="E3346" t="str">
            <v/>
          </cell>
          <cell r="F3346" t="str">
            <v/>
          </cell>
          <cell r="G3346" t="str">
            <v>RAMOS DISTRIBUCIONES S.A.S</v>
          </cell>
          <cell r="H3346" t="str">
            <v>IMVE</v>
          </cell>
          <cell r="I3346" t="str">
            <v>IMPUESTO SOBRE LAS VENTAS</v>
          </cell>
          <cell r="J3346" t="str">
            <v xml:space="preserve"> CL 70 27 50 BARRIO PALERMO</v>
          </cell>
          <cell r="K3346" t="str">
            <v>17001</v>
          </cell>
          <cell r="L3346" t="str">
            <v>MANIZALES</v>
          </cell>
          <cell r="M3346" t="str">
            <v>8745930</v>
          </cell>
        </row>
        <row r="3347">
          <cell r="A3347">
            <v>810004048</v>
          </cell>
          <cell r="B3347" t="str">
            <v>1</v>
          </cell>
          <cell r="C3347" t="str">
            <v/>
          </cell>
          <cell r="D3347" t="str">
            <v>NJ</v>
          </cell>
          <cell r="E3347" t="str">
            <v/>
          </cell>
          <cell r="F3347" t="str">
            <v/>
          </cell>
          <cell r="G3347" t="str">
            <v>ESTACION DE SERVICIO EL EDEN Y CIA S.A.S</v>
          </cell>
          <cell r="H3347" t="str">
            <v>IMVE</v>
          </cell>
          <cell r="I3347" t="str">
            <v>IMPUESTO SOBRE LAS VENTAS</v>
          </cell>
          <cell r="J3347" t="str">
            <v>CR 4 13 A 25</v>
          </cell>
          <cell r="K3347" t="str">
            <v>17174</v>
          </cell>
          <cell r="L3347" t="str">
            <v>CHINCHINÁ</v>
          </cell>
          <cell r="M3347" t="str">
            <v>8506613</v>
          </cell>
        </row>
        <row r="3348">
          <cell r="A3348">
            <v>810004529</v>
          </cell>
          <cell r="B3348" t="str">
            <v>0</v>
          </cell>
          <cell r="C3348" t="str">
            <v/>
          </cell>
          <cell r="D3348" t="str">
            <v>NJ</v>
          </cell>
          <cell r="E3348" t="str">
            <v/>
          </cell>
          <cell r="F3348" t="str">
            <v/>
          </cell>
          <cell r="G3348" t="str">
            <v>DIALOGAR S.A</v>
          </cell>
          <cell r="H3348" t="str">
            <v>RECO</v>
          </cell>
          <cell r="I3348" t="str">
            <v>REGIMEN COMUN</v>
          </cell>
          <cell r="J3348" t="str">
            <v>AV  KEVIN ANGEL    71   30</v>
          </cell>
          <cell r="K3348" t="str">
            <v>17001</v>
          </cell>
          <cell r="L3348" t="str">
            <v>MANIZALES</v>
          </cell>
          <cell r="M3348" t="str">
            <v>8869286</v>
          </cell>
        </row>
        <row r="3349">
          <cell r="A3349">
            <v>810004561</v>
          </cell>
          <cell r="B3349" t="str">
            <v>7</v>
          </cell>
          <cell r="C3349" t="str">
            <v/>
          </cell>
          <cell r="D3349" t="str">
            <v>NJ</v>
          </cell>
          <cell r="E3349" t="str">
            <v/>
          </cell>
          <cell r="F3349" t="str">
            <v/>
          </cell>
          <cell r="G3349" t="str">
            <v>COOPERATIVA SERVICIOS INTEGRALES ESPECIALES DE TRANSPORTE CTA.</v>
          </cell>
          <cell r="H3349" t="str">
            <v>REIC</v>
          </cell>
          <cell r="I3349" t="str">
            <v>RENTA REGIMEN ESPECIAL</v>
          </cell>
          <cell r="J3349" t="str">
            <v>CR 9 A  8 44 BRR CHIPRE</v>
          </cell>
          <cell r="K3349" t="str">
            <v>17001</v>
          </cell>
          <cell r="L3349" t="str">
            <v>MANIZALES</v>
          </cell>
          <cell r="M3349" t="str">
            <v>8807871</v>
          </cell>
        </row>
        <row r="3350">
          <cell r="A3350">
            <v>810004755</v>
          </cell>
          <cell r="B3350" t="str">
            <v>9</v>
          </cell>
          <cell r="C3350" t="str">
            <v/>
          </cell>
          <cell r="D3350" t="str">
            <v>NJ</v>
          </cell>
          <cell r="E3350" t="str">
            <v/>
          </cell>
          <cell r="F3350" t="str">
            <v/>
          </cell>
          <cell r="G3350" t="str">
            <v>CJ MARTINS PUBLICIDAD S.A.S</v>
          </cell>
          <cell r="H3350" t="str">
            <v>RECO</v>
          </cell>
          <cell r="I3350" t="str">
            <v>REGIMEN COMUN</v>
          </cell>
          <cell r="J3350" t="str">
            <v>CL 65  24 65 AV LINDSAY</v>
          </cell>
          <cell r="K3350" t="str">
            <v>17001</v>
          </cell>
          <cell r="L3350" t="str">
            <v>MANIZALES</v>
          </cell>
          <cell r="M3350" t="str">
            <v>3207881924</v>
          </cell>
        </row>
        <row r="3351">
          <cell r="A3351">
            <v>810004774</v>
          </cell>
          <cell r="B3351" t="str">
            <v>9</v>
          </cell>
          <cell r="C3351" t="str">
            <v/>
          </cell>
          <cell r="D3351" t="str">
            <v>NJ</v>
          </cell>
          <cell r="E3351" t="str">
            <v/>
          </cell>
          <cell r="F3351" t="str">
            <v/>
          </cell>
          <cell r="G3351" t="str">
            <v>OUTSOURCING COMERCIAL SAS</v>
          </cell>
          <cell r="H3351" t="str">
            <v>IMVE</v>
          </cell>
          <cell r="I3351" t="str">
            <v>IMPUESTO SOBRE LAS VENTAS</v>
          </cell>
          <cell r="J3351" t="str">
            <v>CR 21 C 53 45</v>
          </cell>
          <cell r="K3351" t="str">
            <v>17001</v>
          </cell>
          <cell r="L3351" t="str">
            <v>MANIZALES</v>
          </cell>
          <cell r="M3351" t="str">
            <v>8862850</v>
          </cell>
        </row>
        <row r="3352">
          <cell r="A3352">
            <v>810004803</v>
          </cell>
          <cell r="B3352" t="str">
            <v>4</v>
          </cell>
          <cell r="C3352" t="str">
            <v/>
          </cell>
          <cell r="D3352" t="str">
            <v>NJ</v>
          </cell>
          <cell r="E3352" t="str">
            <v/>
          </cell>
          <cell r="F3352" t="str">
            <v/>
          </cell>
          <cell r="G3352" t="str">
            <v xml:space="preserve">COMUNIDAD CELULAR S.A.        </v>
          </cell>
          <cell r="H3352" t="str">
            <v>GRCO</v>
          </cell>
          <cell r="I3352" t="str">
            <v>GRAN CONTRIBUYENTE</v>
          </cell>
          <cell r="J3352" t="str">
            <v xml:space="preserve"> CR 23 64 B33  LC 1  ED DE LOS PROFESIONALES</v>
          </cell>
          <cell r="K3352" t="str">
            <v>17001</v>
          </cell>
          <cell r="L3352" t="str">
            <v>MANIZALES</v>
          </cell>
          <cell r="M3352" t="str">
            <v>8822028</v>
          </cell>
        </row>
        <row r="3353">
          <cell r="A3353">
            <v>810004833</v>
          </cell>
          <cell r="B3353" t="str">
            <v>5</v>
          </cell>
          <cell r="C3353" t="str">
            <v/>
          </cell>
          <cell r="D3353" t="str">
            <v>NJ</v>
          </cell>
          <cell r="E3353" t="str">
            <v/>
          </cell>
          <cell r="F3353" t="str">
            <v/>
          </cell>
          <cell r="G3353" t="str">
            <v>LIGA DE NATACION DE CALDAS</v>
          </cell>
          <cell r="H3353" t="str">
            <v>RECO</v>
          </cell>
          <cell r="I3353" t="str">
            <v>REGIMEN COMUN</v>
          </cell>
          <cell r="J3353" t="str">
            <v xml:space="preserve"> CR 23  47 118</v>
          </cell>
          <cell r="K3353" t="str">
            <v>17001</v>
          </cell>
          <cell r="L3353" t="str">
            <v>MANIZALES</v>
          </cell>
          <cell r="M3353" t="str">
            <v>8744574</v>
          </cell>
        </row>
        <row r="3354">
          <cell r="A3354">
            <v>810004858</v>
          </cell>
          <cell r="B3354" t="str">
            <v>9</v>
          </cell>
          <cell r="C3354" t="str">
            <v/>
          </cell>
          <cell r="D3354" t="str">
            <v>NJ</v>
          </cell>
          <cell r="E3354" t="str">
            <v/>
          </cell>
          <cell r="F3354" t="str">
            <v/>
          </cell>
          <cell r="G3354" t="str">
            <v>IMAGEN DIGITAL SAS</v>
          </cell>
          <cell r="H3354" t="str">
            <v>RECO</v>
          </cell>
          <cell r="I3354" t="str">
            <v>REGIMEN COMUN</v>
          </cell>
          <cell r="J3354" t="str">
            <v>CR  5 25 37 SEC LAGO URIBE</v>
          </cell>
          <cell r="K3354" t="str">
            <v>66001</v>
          </cell>
          <cell r="L3354" t="str">
            <v>PEREIRA</v>
          </cell>
          <cell r="M3354" t="str">
            <v>8855315</v>
          </cell>
        </row>
        <row r="3355">
          <cell r="A3355">
            <v>810005034</v>
          </cell>
          <cell r="B3355" t="str">
            <v>1</v>
          </cell>
          <cell r="C3355" t="str">
            <v/>
          </cell>
          <cell r="D3355" t="str">
            <v>NJ</v>
          </cell>
          <cell r="E3355" t="str">
            <v/>
          </cell>
          <cell r="F3355" t="str">
            <v/>
          </cell>
          <cell r="G3355" t="str">
            <v>ARISTIZABAL TRUJILLO &amp; CIA S.C.A</v>
          </cell>
          <cell r="H3355" t="str">
            <v>RECO</v>
          </cell>
          <cell r="I3355" t="str">
            <v>REGIMEN COMUN</v>
          </cell>
          <cell r="J3355" t="str">
            <v>CR 23 64 B 33</v>
          </cell>
          <cell r="K3355" t="str">
            <v>17001</v>
          </cell>
          <cell r="L3355" t="str">
            <v>MANIZALES</v>
          </cell>
          <cell r="M3355" t="str">
            <v>8756311</v>
          </cell>
        </row>
        <row r="3356">
          <cell r="A3356">
            <v>810005071</v>
          </cell>
          <cell r="B3356" t="str">
            <v>4</v>
          </cell>
          <cell r="C3356" t="str">
            <v/>
          </cell>
          <cell r="D3356" t="str">
            <v>NJ</v>
          </cell>
          <cell r="E3356" t="str">
            <v/>
          </cell>
          <cell r="F3356" t="str">
            <v/>
          </cell>
          <cell r="G3356" t="str">
            <v>INVERSIONES GOMEZ LONDOÑO CIA S EN C Y/O EDS LA ALHAMBRA</v>
          </cell>
          <cell r="H3356" t="str">
            <v>RECO</v>
          </cell>
          <cell r="I3356" t="str">
            <v>REGIMEN COMUN</v>
          </cell>
          <cell r="J3356" t="str">
            <v>KILOMETRO 10 VIA AL MAGDALENA MANIZALES</v>
          </cell>
          <cell r="K3356" t="str">
            <v>17001</v>
          </cell>
          <cell r="L3356" t="str">
            <v>MANIZALES</v>
          </cell>
          <cell r="M3356" t="str">
            <v>8743927</v>
          </cell>
        </row>
        <row r="3357">
          <cell r="A3357">
            <v>810005252</v>
          </cell>
          <cell r="B3357" t="str">
            <v>0</v>
          </cell>
          <cell r="C3357" t="str">
            <v/>
          </cell>
          <cell r="D3357" t="str">
            <v>NJ</v>
          </cell>
          <cell r="E3357" t="str">
            <v/>
          </cell>
          <cell r="F3357" t="str">
            <v/>
          </cell>
          <cell r="G3357" t="str">
            <v>QUASAR INGENIEROS CONSULTORES  SAS</v>
          </cell>
          <cell r="H3357" t="str">
            <v>RECO</v>
          </cell>
          <cell r="I3357" t="str">
            <v>REGIMEN COMUN</v>
          </cell>
          <cell r="J3357" t="str">
            <v>CL 62   23   61 ED TO PLAZA 62 OF 904</v>
          </cell>
          <cell r="K3357" t="str">
            <v>17001</v>
          </cell>
          <cell r="L3357" t="str">
            <v>MANIZALES</v>
          </cell>
          <cell r="M3357" t="str">
            <v>8813437</v>
          </cell>
        </row>
        <row r="3358">
          <cell r="A3358">
            <v>810005278</v>
          </cell>
          <cell r="B3358" t="str">
            <v>1</v>
          </cell>
          <cell r="C3358" t="str">
            <v/>
          </cell>
          <cell r="D3358" t="str">
            <v>NJ</v>
          </cell>
          <cell r="E3358" t="str">
            <v/>
          </cell>
          <cell r="F3358" t="str">
            <v/>
          </cell>
          <cell r="G3358" t="str">
            <v>ASOCIACION CIVICA ANTENA PARABOLICA AGUADAS</v>
          </cell>
          <cell r="H3358" t="str">
            <v>IMVE</v>
          </cell>
          <cell r="I3358" t="str">
            <v>IMPUESTO SOBRE LAS VENTAS</v>
          </cell>
          <cell r="J3358" t="str">
            <v>CR 3 6 44</v>
          </cell>
          <cell r="K3358" t="str">
            <v>17013</v>
          </cell>
          <cell r="L3358" t="str">
            <v>AGUADAS</v>
          </cell>
          <cell r="M3358" t="str">
            <v>3108957753</v>
          </cell>
        </row>
        <row r="3359">
          <cell r="A3359">
            <v>810005477</v>
          </cell>
          <cell r="B3359" t="str">
            <v>0</v>
          </cell>
          <cell r="C3359" t="str">
            <v/>
          </cell>
          <cell r="D3359" t="str">
            <v>NJ</v>
          </cell>
          <cell r="E3359" t="str">
            <v/>
          </cell>
          <cell r="F3359" t="str">
            <v/>
          </cell>
          <cell r="G3359" t="str">
            <v>REALTUR S.A</v>
          </cell>
          <cell r="H3359" t="str">
            <v>REOR</v>
          </cell>
          <cell r="I3359" t="str">
            <v>RENTA REGIMEN ORDINARIO</v>
          </cell>
          <cell r="J3359" t="str">
            <v>VIA PANAMERICANA ESTACION URIBE LOTE EL CAMPIN</v>
          </cell>
          <cell r="K3359" t="str">
            <v>17001</v>
          </cell>
          <cell r="L3359" t="str">
            <v>MANIZALES</v>
          </cell>
          <cell r="M3359" t="str">
            <v>8931410</v>
          </cell>
        </row>
        <row r="3360">
          <cell r="A3360">
            <v>810005481</v>
          </cell>
          <cell r="B3360" t="str">
            <v>0</v>
          </cell>
          <cell r="C3360" t="str">
            <v/>
          </cell>
          <cell r="D3360" t="str">
            <v>NJ</v>
          </cell>
          <cell r="E3360" t="str">
            <v/>
          </cell>
          <cell r="F3360" t="str">
            <v/>
          </cell>
          <cell r="G3360" t="str">
            <v>INGENIERIA Y DESARROLLOS LTDA</v>
          </cell>
          <cell r="H3360" t="str">
            <v>RECO</v>
          </cell>
          <cell r="I3360" t="str">
            <v>REGIMEN COMUN</v>
          </cell>
          <cell r="J3360" t="str">
            <v>CR 24   22   36 OF 401</v>
          </cell>
          <cell r="K3360" t="str">
            <v>17001</v>
          </cell>
          <cell r="L3360" t="str">
            <v>MANIZALES</v>
          </cell>
          <cell r="M3360" t="str">
            <v>8824400</v>
          </cell>
        </row>
        <row r="3361">
          <cell r="A3361">
            <v>810005652</v>
          </cell>
          <cell r="B3361" t="str">
            <v>3</v>
          </cell>
          <cell r="C3361" t="str">
            <v/>
          </cell>
          <cell r="D3361" t="str">
            <v>NJ</v>
          </cell>
          <cell r="E3361" t="str">
            <v/>
          </cell>
          <cell r="F3361" t="str">
            <v/>
          </cell>
          <cell r="G3361" t="str">
            <v>PROYECTOS CIVILES Y TECNOLOGICOS S.A.S</v>
          </cell>
          <cell r="H3361" t="str">
            <v>RECO</v>
          </cell>
          <cell r="I3361" t="str">
            <v>REGIMEN COMUN</v>
          </cell>
          <cell r="J3361" t="str">
            <v>CC FIDUCENTRO TO VINOTINTO LC 24</v>
          </cell>
          <cell r="K3361" t="str">
            <v>66001</v>
          </cell>
          <cell r="L3361" t="str">
            <v>PEREIRA</v>
          </cell>
          <cell r="M3361" t="str">
            <v>3205933</v>
          </cell>
        </row>
        <row r="3362">
          <cell r="A3362">
            <v>810005685</v>
          </cell>
          <cell r="B3362" t="str">
            <v>6</v>
          </cell>
          <cell r="C3362" t="str">
            <v/>
          </cell>
          <cell r="D3362" t="str">
            <v>NJ</v>
          </cell>
          <cell r="E3362" t="str">
            <v/>
          </cell>
          <cell r="F3362" t="str">
            <v/>
          </cell>
          <cell r="G3362" t="str">
            <v>CORPORACION COLOMBIANA PARA EL FOMENTO DE LA RECREACION POPULAR</v>
          </cell>
          <cell r="H3362" t="str">
            <v>IMVE</v>
          </cell>
          <cell r="I3362" t="str">
            <v>IMPUESTO SOBRE LAS VENTAS</v>
          </cell>
          <cell r="J3362" t="str">
            <v xml:space="preserve"> CR 25 54 56</v>
          </cell>
          <cell r="K3362" t="str">
            <v>17001</v>
          </cell>
          <cell r="L3362" t="str">
            <v>MANIZALES</v>
          </cell>
          <cell r="M3362" t="str">
            <v>3147012194</v>
          </cell>
        </row>
        <row r="3363">
          <cell r="A3363">
            <v>810005747</v>
          </cell>
          <cell r="B3363" t="str">
            <v>4</v>
          </cell>
          <cell r="C3363" t="str">
            <v/>
          </cell>
          <cell r="D3363" t="str">
            <v>NJ</v>
          </cell>
          <cell r="E3363" t="str">
            <v/>
          </cell>
          <cell r="F3363" t="str">
            <v/>
          </cell>
          <cell r="G3363" t="str">
            <v>SIGMA INGENIERIA S.A</v>
          </cell>
          <cell r="H3363" t="str">
            <v>IMVE</v>
          </cell>
          <cell r="I3363" t="str">
            <v>IMPUESTO SOBRE LAS VENTAS</v>
          </cell>
          <cell r="J3363" t="str">
            <v>CR 24 B 61 A 37 LC 2 BRR ESTRELLA</v>
          </cell>
          <cell r="K3363" t="str">
            <v>17001</v>
          </cell>
          <cell r="L3363" t="str">
            <v>MANIZALES</v>
          </cell>
          <cell r="M3363" t="str">
            <v>8900733</v>
          </cell>
        </row>
        <row r="3364">
          <cell r="A3364">
            <v>810005828</v>
          </cell>
          <cell r="B3364" t="str">
            <v>2</v>
          </cell>
          <cell r="C3364" t="str">
            <v/>
          </cell>
          <cell r="D3364" t="str">
            <v>NJ</v>
          </cell>
          <cell r="E3364" t="str">
            <v/>
          </cell>
          <cell r="F3364" t="str">
            <v/>
          </cell>
          <cell r="G3364" t="str">
            <v>CODEMPRESAS</v>
          </cell>
          <cell r="H3364" t="str">
            <v>RECO</v>
          </cell>
          <cell r="I3364" t="str">
            <v>REGIMEN COMUN</v>
          </cell>
          <cell r="J3364" t="str">
            <v>CR 23   70 A   97</v>
          </cell>
          <cell r="K3364" t="str">
            <v>17001</v>
          </cell>
          <cell r="L3364" t="str">
            <v>MANIZALES</v>
          </cell>
          <cell r="M3364" t="str">
            <v>8869054</v>
          </cell>
        </row>
        <row r="3365">
          <cell r="A3365">
            <v>810005987</v>
          </cell>
          <cell r="B3365" t="str">
            <v>5</v>
          </cell>
          <cell r="C3365" t="str">
            <v/>
          </cell>
          <cell r="D3365" t="str">
            <v>NJ</v>
          </cell>
          <cell r="E3365" t="str">
            <v/>
          </cell>
          <cell r="F3365" t="str">
            <v/>
          </cell>
          <cell r="G3365" t="str">
            <v>MAQUINAS Y REPUESTOS DEL CAFE SAS</v>
          </cell>
          <cell r="H3365" t="str">
            <v>IMVE</v>
          </cell>
          <cell r="I3365" t="str">
            <v>IMPUESTO SOBRE LAS VENTAS</v>
          </cell>
          <cell r="J3365" t="str">
            <v xml:space="preserve"> CL 18  24 14</v>
          </cell>
          <cell r="K3365" t="str">
            <v>17001</v>
          </cell>
          <cell r="L3365" t="str">
            <v>MANIZALES</v>
          </cell>
          <cell r="M3365" t="str">
            <v>8836785</v>
          </cell>
        </row>
        <row r="3366">
          <cell r="A3366">
            <v>810006036</v>
          </cell>
          <cell r="B3366" t="str">
            <v>0</v>
          </cell>
          <cell r="C3366" t="str">
            <v/>
          </cell>
          <cell r="D3366" t="str">
            <v>NJ</v>
          </cell>
          <cell r="E3366" t="str">
            <v/>
          </cell>
          <cell r="F3366" t="str">
            <v/>
          </cell>
          <cell r="G3366" t="str">
            <v>PROMOTORA LA AURORA S.A.S.</v>
          </cell>
          <cell r="H3366" t="str">
            <v>RECO</v>
          </cell>
          <cell r="I3366" t="str">
            <v>REGIMEN COMUN</v>
          </cell>
          <cell r="J3366" t="str">
            <v>CL 50 N 24 34</v>
          </cell>
          <cell r="K3366" t="str">
            <v>17001</v>
          </cell>
          <cell r="L3366" t="str">
            <v>MANIZALES</v>
          </cell>
          <cell r="M3366" t="str">
            <v>8997700</v>
          </cell>
        </row>
        <row r="3367">
          <cell r="A3367">
            <v>810006079</v>
          </cell>
          <cell r="B3367" t="str">
            <v>7</v>
          </cell>
          <cell r="C3367" t="str">
            <v/>
          </cell>
          <cell r="D3367" t="str">
            <v>NJ</v>
          </cell>
          <cell r="E3367" t="str">
            <v/>
          </cell>
          <cell r="F3367" t="str">
            <v/>
          </cell>
          <cell r="G3367" t="str">
            <v>ASESORIAS CONSULTORIAS INTERVENTORIAS EN SEGURIDAD Y SALUD OCUPA</v>
          </cell>
          <cell r="H3367" t="str">
            <v>IMVE</v>
          </cell>
          <cell r="I3367" t="str">
            <v>IMPUESTO SOBRE LAS VENTAS</v>
          </cell>
          <cell r="J3367" t="str">
            <v>CL 20 21 38 OF 603 ED BANCO DE BOGOTA</v>
          </cell>
          <cell r="K3367" t="str">
            <v>17001</v>
          </cell>
          <cell r="L3367" t="str">
            <v>MANIZALES</v>
          </cell>
          <cell r="M3367" t="str">
            <v>8972183</v>
          </cell>
        </row>
        <row r="3368">
          <cell r="A3368">
            <v>810006201</v>
          </cell>
          <cell r="B3368" t="str">
            <v>1</v>
          </cell>
          <cell r="C3368" t="str">
            <v/>
          </cell>
          <cell r="D3368" t="str">
            <v>NJ</v>
          </cell>
          <cell r="E3368" t="str">
            <v/>
          </cell>
          <cell r="F3368" t="str">
            <v/>
          </cell>
          <cell r="G3368" t="str">
            <v>FUNDACION TERRITORIOS PARA LA GESTION SOCIAL TURISTICA Y AMBIENT</v>
          </cell>
          <cell r="H3368" t="str">
            <v>REIC</v>
          </cell>
          <cell r="I3368" t="str">
            <v>RENTA REGIMEN ESPECIAL</v>
          </cell>
          <cell r="J3368" t="str">
            <v>CL 67   11   49</v>
          </cell>
          <cell r="K3368" t="str">
            <v>17001</v>
          </cell>
          <cell r="L3368" t="str">
            <v>MANIZALES</v>
          </cell>
          <cell r="M3368" t="str">
            <v>3226136237</v>
          </cell>
        </row>
        <row r="3369">
          <cell r="A3369">
            <v>810006204</v>
          </cell>
          <cell r="B3369" t="str">
            <v>1</v>
          </cell>
          <cell r="C3369" t="str">
            <v/>
          </cell>
          <cell r="D3369" t="str">
            <v>NJ</v>
          </cell>
          <cell r="E3369" t="str">
            <v/>
          </cell>
          <cell r="F3369" t="str">
            <v/>
          </cell>
          <cell r="G3369" t="str">
            <v>CORPORACION CLUB SOCIAL DRIVE IN CERRITOS</v>
          </cell>
          <cell r="H3369" t="str">
            <v>RECO</v>
          </cell>
          <cell r="I3369" t="str">
            <v>REGIMEN COMUN</v>
          </cell>
          <cell r="J3369" t="str">
            <v>ACUEDUCTO NIZA FRENTE AL ANTIGUO CERRO DE ORO</v>
          </cell>
          <cell r="K3369" t="str">
            <v>17001</v>
          </cell>
          <cell r="L3369" t="str">
            <v>MANIZALES</v>
          </cell>
          <cell r="M3369" t="str">
            <v>8867103</v>
          </cell>
        </row>
        <row r="3370">
          <cell r="A3370">
            <v>810006318</v>
          </cell>
          <cell r="B3370" t="str">
            <v>2</v>
          </cell>
          <cell r="C3370" t="str">
            <v/>
          </cell>
          <cell r="D3370" t="str">
            <v>NJ</v>
          </cell>
          <cell r="E3370" t="str">
            <v/>
          </cell>
          <cell r="F3370" t="str">
            <v/>
          </cell>
          <cell r="G3370" t="str">
            <v>HIDROTEC E.A.T</v>
          </cell>
          <cell r="H3370" t="str">
            <v>RECO</v>
          </cell>
          <cell r="I3370" t="str">
            <v>REGIMEN COMUN</v>
          </cell>
          <cell r="J3370" t="str">
            <v>CL 10 6 03</v>
          </cell>
          <cell r="K3370" t="str">
            <v>17495</v>
          </cell>
          <cell r="L3370" t="str">
            <v>NORCASIA</v>
          </cell>
          <cell r="M3370" t="str">
            <v>3108391258</v>
          </cell>
        </row>
        <row r="3371">
          <cell r="A3371">
            <v>810006362</v>
          </cell>
          <cell r="B3371" t="str">
            <v>7</v>
          </cell>
          <cell r="C3371" t="str">
            <v/>
          </cell>
          <cell r="D3371" t="str">
            <v>NJ</v>
          </cell>
          <cell r="E3371" t="str">
            <v/>
          </cell>
          <cell r="F3371" t="str">
            <v/>
          </cell>
          <cell r="G3371" t="str">
            <v>EDIFICIO CENTRO COMERCIAL CABLE PLAZA PROPIEDAD HORIZONTAL</v>
          </cell>
          <cell r="H3371" t="str">
            <v>RECO</v>
          </cell>
          <cell r="I3371" t="str">
            <v>REGIMEN COMUN</v>
          </cell>
          <cell r="J3371" t="str">
            <v>CR 23 65 11</v>
          </cell>
          <cell r="K3371" t="str">
            <v>17001</v>
          </cell>
          <cell r="L3371" t="str">
            <v>MANIZALES</v>
          </cell>
          <cell r="M3371" t="str">
            <v>8756595</v>
          </cell>
        </row>
        <row r="3372">
          <cell r="A3372">
            <v>810006491</v>
          </cell>
          <cell r="B3372" t="str">
            <v>9</v>
          </cell>
          <cell r="C3372" t="str">
            <v/>
          </cell>
          <cell r="D3372" t="str">
            <v>NJ</v>
          </cell>
          <cell r="E3372" t="str">
            <v/>
          </cell>
          <cell r="F3372" t="str">
            <v/>
          </cell>
          <cell r="G3372" t="str">
            <v>SANDWICH QBANO</v>
          </cell>
          <cell r="H3372" t="str">
            <v>RECO</v>
          </cell>
          <cell r="I3372" t="str">
            <v>REGIMEN COMUN</v>
          </cell>
          <cell r="J3372" t="str">
            <v>CR 23 62 57</v>
          </cell>
          <cell r="K3372" t="str">
            <v>17001</v>
          </cell>
          <cell r="L3372" t="str">
            <v>MANIZALES</v>
          </cell>
          <cell r="M3372" t="str">
            <v>8850113</v>
          </cell>
        </row>
        <row r="3373">
          <cell r="A3373">
            <v>810006540</v>
          </cell>
          <cell r="B3373" t="str">
            <v>1</v>
          </cell>
          <cell r="C3373" t="str">
            <v/>
          </cell>
          <cell r="D3373" t="str">
            <v>NJ</v>
          </cell>
          <cell r="E3373" t="str">
            <v/>
          </cell>
          <cell r="F3373" t="str">
            <v/>
          </cell>
          <cell r="G3373" t="str">
            <v>LAS MIGAS SA</v>
          </cell>
          <cell r="H3373" t="str">
            <v>RECO</v>
          </cell>
          <cell r="I3373" t="str">
            <v>REGIMEN COMUN</v>
          </cell>
          <cell r="J3373" t="str">
            <v>AEROPUERTO LA NUBIA</v>
          </cell>
          <cell r="K3373" t="str">
            <v>17001</v>
          </cell>
          <cell r="L3373" t="str">
            <v>MANIZALES</v>
          </cell>
          <cell r="M3373" t="str">
            <v>8740029</v>
          </cell>
        </row>
        <row r="3374">
          <cell r="A3374">
            <v>810006593</v>
          </cell>
          <cell r="B3374" t="str">
            <v>1</v>
          </cell>
          <cell r="C3374" t="str">
            <v/>
          </cell>
          <cell r="D3374" t="str">
            <v>NJ</v>
          </cell>
          <cell r="E3374" t="str">
            <v/>
          </cell>
          <cell r="F3374" t="str">
            <v/>
          </cell>
          <cell r="G3374" t="str">
            <v>FUNDACION TEATRO PUNTO DE PARTIDA</v>
          </cell>
          <cell r="H3374" t="str">
            <v>REIC</v>
          </cell>
          <cell r="I3374" t="str">
            <v>RENTA REGIMEN ESPECIAL</v>
          </cell>
          <cell r="J3374" t="str">
            <v>CR 9  9 41</v>
          </cell>
          <cell r="K3374" t="str">
            <v>17001</v>
          </cell>
          <cell r="L3374" t="str">
            <v>MANIZALES</v>
          </cell>
          <cell r="M3374" t="str">
            <v>8864104</v>
          </cell>
        </row>
        <row r="3375">
          <cell r="A3375">
            <v>810006633</v>
          </cell>
          <cell r="B3375" t="str">
            <v>8</v>
          </cell>
          <cell r="C3375" t="str">
            <v/>
          </cell>
          <cell r="D3375" t="str">
            <v>NJ</v>
          </cell>
          <cell r="E3375" t="str">
            <v/>
          </cell>
          <cell r="F3375" t="str">
            <v/>
          </cell>
          <cell r="G3375" t="str">
            <v xml:space="preserve">ARANGOS Y ASOCIADOS PROFESIONALES EN SEGUROS LIMITADA       </v>
          </cell>
          <cell r="H3375" t="str">
            <v>RECO</v>
          </cell>
          <cell r="I3375" t="str">
            <v>REGIMEN COMUN</v>
          </cell>
          <cell r="J3375" t="str">
            <v xml:space="preserve">CL 53 A  N 23 29                    </v>
          </cell>
          <cell r="K3375" t="str">
            <v>17001</v>
          </cell>
          <cell r="L3375" t="str">
            <v>MANIZALES</v>
          </cell>
          <cell r="M3375" t="str">
            <v>8810801</v>
          </cell>
        </row>
        <row r="3376">
          <cell r="A3376">
            <v>810006693</v>
          </cell>
          <cell r="B3376" t="str">
            <v>1</v>
          </cell>
          <cell r="C3376" t="str">
            <v/>
          </cell>
          <cell r="D3376" t="str">
            <v>NJ</v>
          </cell>
          <cell r="E3376" t="str">
            <v/>
          </cell>
          <cell r="F3376" t="str">
            <v/>
          </cell>
          <cell r="G3376" t="str">
            <v>HOTEL TERMALES EL OTOÑO S.C.A.</v>
          </cell>
          <cell r="H3376" t="str">
            <v>RECO</v>
          </cell>
          <cell r="I3376" t="str">
            <v>REGIMEN COMUN</v>
          </cell>
          <cell r="J3376" t="str">
            <v>KM 5 ANTIGUA VIA AL NEVADO</v>
          </cell>
          <cell r="K3376" t="str">
            <v>17873</v>
          </cell>
          <cell r="L3376" t="str">
            <v>VILLAMARÍA</v>
          </cell>
          <cell r="M3376" t="str">
            <v>8743090</v>
          </cell>
        </row>
        <row r="3377">
          <cell r="A3377">
            <v>810006746</v>
          </cell>
          <cell r="B3377" t="str">
            <v>1</v>
          </cell>
          <cell r="C3377" t="str">
            <v/>
          </cell>
          <cell r="D3377" t="str">
            <v>NJ</v>
          </cell>
          <cell r="E3377" t="str">
            <v/>
          </cell>
          <cell r="F3377" t="str">
            <v/>
          </cell>
          <cell r="G3377" t="str">
            <v>TECNOBOBINADOS S.A.S</v>
          </cell>
          <cell r="H3377" t="str">
            <v>RECO</v>
          </cell>
          <cell r="I3377" t="str">
            <v>REGIMEN COMUN</v>
          </cell>
          <cell r="J3377" t="str">
            <v>CL 17 22 36</v>
          </cell>
          <cell r="K3377" t="str">
            <v>17001</v>
          </cell>
          <cell r="L3377" t="str">
            <v>MANIZALES</v>
          </cell>
          <cell r="M3377" t="str">
            <v>8847969</v>
          </cell>
        </row>
        <row r="3378">
          <cell r="A3378">
            <v>810006771</v>
          </cell>
          <cell r="B3378" t="str">
            <v>6</v>
          </cell>
          <cell r="C3378" t="str">
            <v/>
          </cell>
          <cell r="D3378" t="str">
            <v>NJ</v>
          </cell>
          <cell r="E3378" t="str">
            <v/>
          </cell>
          <cell r="F3378" t="str">
            <v/>
          </cell>
          <cell r="G3378" t="str">
            <v>CORPORACION FUTURO</v>
          </cell>
          <cell r="H3378" t="str">
            <v>RECO</v>
          </cell>
          <cell r="I3378" t="str">
            <v>REGIMEN COMUN</v>
          </cell>
          <cell r="J3378" t="str">
            <v>CR 24 21 54 OF 6 A ED ANDINO</v>
          </cell>
          <cell r="K3378" t="str">
            <v>17001</v>
          </cell>
          <cell r="L3378" t="str">
            <v>MANIZALES</v>
          </cell>
          <cell r="M3378" t="str">
            <v>3113116849</v>
          </cell>
        </row>
        <row r="3379">
          <cell r="A3379">
            <v>810006772</v>
          </cell>
          <cell r="B3379" t="str">
            <v>3</v>
          </cell>
          <cell r="C3379" t="str">
            <v/>
          </cell>
          <cell r="D3379" t="str">
            <v>NJ</v>
          </cell>
          <cell r="E3379" t="str">
            <v/>
          </cell>
          <cell r="F3379" t="str">
            <v/>
          </cell>
          <cell r="G3379" t="str">
            <v>P Y R S.A</v>
          </cell>
          <cell r="H3379" t="str">
            <v>RECO</v>
          </cell>
          <cell r="I3379" t="str">
            <v>REGIMEN COMUN</v>
          </cell>
          <cell r="J3379" t="str">
            <v>AV ALBERTO MENDOZA HOYOS   26   35</v>
          </cell>
          <cell r="K3379" t="str">
            <v>17001</v>
          </cell>
          <cell r="L3379" t="str">
            <v>MANIZALES</v>
          </cell>
          <cell r="M3379" t="str">
            <v>8744572</v>
          </cell>
        </row>
        <row r="3380">
          <cell r="A3380">
            <v>810006811</v>
          </cell>
          <cell r="B3380" t="str">
            <v>2</v>
          </cell>
          <cell r="C3380" t="str">
            <v/>
          </cell>
          <cell r="D3380" t="str">
            <v>NJ</v>
          </cell>
          <cell r="E3380" t="str">
            <v/>
          </cell>
          <cell r="F3380" t="str">
            <v/>
          </cell>
          <cell r="G3380" t="str">
            <v>INSERCOM LTDA INGENIERIA Y SERVICIOS EN COMBUSTIBLES</v>
          </cell>
          <cell r="H3380" t="str">
            <v>RECO</v>
          </cell>
          <cell r="I3380" t="str">
            <v>REGIMEN COMUN</v>
          </cell>
          <cell r="J3380" t="str">
            <v>CRT CR 24 A 57 59</v>
          </cell>
          <cell r="K3380" t="str">
            <v>17001</v>
          </cell>
          <cell r="L3380" t="str">
            <v>MANIZALES</v>
          </cell>
          <cell r="M3380" t="str">
            <v>8852794</v>
          </cell>
        </row>
        <row r="3381">
          <cell r="A3381">
            <v>810006925</v>
          </cell>
          <cell r="B3381" t="str">
            <v>3</v>
          </cell>
          <cell r="C3381" t="str">
            <v/>
          </cell>
          <cell r="D3381" t="str">
            <v>NJ</v>
          </cell>
          <cell r="E3381" t="str">
            <v/>
          </cell>
          <cell r="F3381" t="str">
            <v/>
          </cell>
          <cell r="G3381" t="str">
            <v>INVERSIONES SANTANDER MEJIA S.A.S</v>
          </cell>
          <cell r="H3381" t="str">
            <v>RECO</v>
          </cell>
          <cell r="I3381" t="str">
            <v>REGIMEN COMUN</v>
          </cell>
          <cell r="J3381" t="str">
            <v>CR 20   20   13</v>
          </cell>
          <cell r="K3381" t="str">
            <v>17001</v>
          </cell>
          <cell r="L3381" t="str">
            <v>MANIZALES</v>
          </cell>
          <cell r="M3381" t="str">
            <v>8847549</v>
          </cell>
        </row>
        <row r="3382">
          <cell r="A3382">
            <v>811000740</v>
          </cell>
          <cell r="B3382" t="str">
            <v>4</v>
          </cell>
          <cell r="C3382" t="str">
            <v/>
          </cell>
          <cell r="D3382" t="str">
            <v>NJ</v>
          </cell>
          <cell r="E3382" t="str">
            <v/>
          </cell>
          <cell r="F3382" t="str">
            <v/>
          </cell>
          <cell r="G3382" t="str">
            <v xml:space="preserve">ISAGEN S.A. E.S.P.                                          </v>
          </cell>
          <cell r="H3382" t="str">
            <v>GRAU</v>
          </cell>
          <cell r="I3382" t="str">
            <v>GRAN CONTRIBUYENTE AUTORRETENEDO</v>
          </cell>
          <cell r="J3382" t="str">
            <v>CR 30 10 C 280 TRANSVERSAL INFERIOR</v>
          </cell>
          <cell r="K3382" t="str">
            <v>05002</v>
          </cell>
          <cell r="L3382" t="str">
            <v>MEDELLIN</v>
          </cell>
          <cell r="M3382" t="str">
            <v>3257930</v>
          </cell>
        </row>
        <row r="3383">
          <cell r="A3383">
            <v>811000784</v>
          </cell>
          <cell r="B3383" t="str">
            <v>8</v>
          </cell>
          <cell r="C3383" t="str">
            <v/>
          </cell>
          <cell r="D3383" t="str">
            <v>NJ</v>
          </cell>
          <cell r="E3383" t="str">
            <v/>
          </cell>
          <cell r="F3383" t="str">
            <v/>
          </cell>
          <cell r="G3383" t="str">
            <v>TERMINAL SUR DE MEDELLÍN PH</v>
          </cell>
          <cell r="H3383" t="str">
            <v>RECO</v>
          </cell>
          <cell r="I3383" t="str">
            <v>REGIMEN COMUN</v>
          </cell>
          <cell r="J3383" t="str">
            <v>CR 65   8 B   91 LC 058</v>
          </cell>
          <cell r="K3383" t="str">
            <v>05001</v>
          </cell>
          <cell r="L3383" t="str">
            <v>MEDELLÍN</v>
          </cell>
          <cell r="M3383" t="str">
            <v>3611588</v>
          </cell>
        </row>
        <row r="3384">
          <cell r="A3384">
            <v>811000955</v>
          </cell>
          <cell r="B3384" t="str">
            <v>0</v>
          </cell>
          <cell r="C3384" t="str">
            <v/>
          </cell>
          <cell r="D3384" t="str">
            <v>NJ</v>
          </cell>
          <cell r="E3384" t="str">
            <v/>
          </cell>
          <cell r="F3384" t="str">
            <v/>
          </cell>
          <cell r="G3384" t="str">
            <v>SOPORTE S.A.</v>
          </cell>
          <cell r="H3384" t="str">
            <v>RECO</v>
          </cell>
          <cell r="I3384" t="str">
            <v>REGIMEN COMUN</v>
          </cell>
          <cell r="J3384" t="str">
            <v>CR 43 D 13 26</v>
          </cell>
          <cell r="K3384" t="str">
            <v>05001</v>
          </cell>
          <cell r="L3384" t="str">
            <v>MEDELLÍN</v>
          </cell>
          <cell r="M3384" t="str">
            <v>4442612</v>
          </cell>
        </row>
        <row r="3385">
          <cell r="A3385">
            <v>811001259</v>
          </cell>
          <cell r="B3385" t="str">
            <v>7</v>
          </cell>
          <cell r="C3385" t="str">
            <v/>
          </cell>
          <cell r="D3385" t="str">
            <v>NJ</v>
          </cell>
          <cell r="E3385" t="str">
            <v/>
          </cell>
          <cell r="F3385" t="str">
            <v/>
          </cell>
          <cell r="G3385" t="str">
            <v>AGENCIA DE ADUANAS ROLDAN S.A.S. NIVEL 1</v>
          </cell>
          <cell r="H3385" t="str">
            <v>IMVE</v>
          </cell>
          <cell r="I3385" t="str">
            <v>IMPUESTO SOBRE LAS VENTAS</v>
          </cell>
          <cell r="J3385" t="str">
            <v>CR 43 A 1 A SUR 69 IN 703</v>
          </cell>
          <cell r="K3385" t="str">
            <v>11</v>
          </cell>
          <cell r="L3385" t="str">
            <v>ANTIOQUIA</v>
          </cell>
          <cell r="M3385" t="str">
            <v>3164683833</v>
          </cell>
        </row>
        <row r="3386">
          <cell r="A3386">
            <v>811001689</v>
          </cell>
          <cell r="B3386" t="str">
            <v>0</v>
          </cell>
          <cell r="C3386" t="str">
            <v/>
          </cell>
          <cell r="D3386" t="str">
            <v>NJ</v>
          </cell>
          <cell r="E3386" t="str">
            <v/>
          </cell>
          <cell r="F3386" t="str">
            <v/>
          </cell>
          <cell r="G3386" t="str">
            <v>CORPORACION CENTRO DE INNOVACION Y DESARROLLO TECNOLOGICO DEL SE</v>
          </cell>
          <cell r="H3386" t="str">
            <v>IMVE</v>
          </cell>
          <cell r="I3386" t="str">
            <v>IMPUESTO SOBRE LAS VENTAS</v>
          </cell>
          <cell r="J3386" t="str">
            <v xml:space="preserve"> CR 46 56 11 ED TECNOPARQUE P 13 Y 16</v>
          </cell>
          <cell r="K3386" t="str">
            <v>05001</v>
          </cell>
          <cell r="L3386" t="str">
            <v>MEDELLÍN</v>
          </cell>
          <cell r="M3386" t="str">
            <v>4441211</v>
          </cell>
        </row>
        <row r="3387">
          <cell r="A3387">
            <v>811002370</v>
          </cell>
          <cell r="B3387" t="str">
            <v>1</v>
          </cell>
          <cell r="C3387" t="str">
            <v/>
          </cell>
          <cell r="D3387" t="str">
            <v>NJ</v>
          </cell>
          <cell r="E3387" t="str">
            <v/>
          </cell>
          <cell r="F3387" t="str">
            <v/>
          </cell>
          <cell r="G3387" t="str">
            <v>COOTRANSCONDOR</v>
          </cell>
          <cell r="H3387" t="str">
            <v>RECO</v>
          </cell>
          <cell r="I3387" t="str">
            <v>REGIMEN COMUN</v>
          </cell>
          <cell r="J3387" t="str">
            <v>CR 8   7 68</v>
          </cell>
          <cell r="K3387" t="str">
            <v>05837</v>
          </cell>
          <cell r="L3387" t="str">
            <v>TURBO</v>
          </cell>
          <cell r="M3387" t="str">
            <v>NO</v>
          </cell>
        </row>
        <row r="3388">
          <cell r="A3388">
            <v>811003890</v>
          </cell>
          <cell r="B3388" t="str">
            <v>4</v>
          </cell>
          <cell r="C3388" t="str">
            <v/>
          </cell>
          <cell r="D3388" t="str">
            <v>NJ</v>
          </cell>
          <cell r="E3388" t="str">
            <v/>
          </cell>
          <cell r="F3388" t="str">
            <v/>
          </cell>
          <cell r="G3388" t="str">
            <v xml:space="preserve">INGENIERIA DE SOFTWARE S.A. MVM                             </v>
          </cell>
          <cell r="H3388" t="str">
            <v>RECO</v>
          </cell>
          <cell r="I3388" t="str">
            <v>REGIMEN COMUN</v>
          </cell>
          <cell r="J3388" t="str">
            <v>CR 35 10 B 20</v>
          </cell>
          <cell r="K3388" t="str">
            <v>50001</v>
          </cell>
          <cell r="L3388" t="str">
            <v>VILLAVICENCIO</v>
          </cell>
          <cell r="M3388" t="str">
            <v>4488111</v>
          </cell>
        </row>
        <row r="3389">
          <cell r="A3389">
            <v>811005050</v>
          </cell>
          <cell r="B3389" t="str">
            <v>3</v>
          </cell>
          <cell r="C3389" t="str">
            <v/>
          </cell>
          <cell r="D3389" t="str">
            <v>NJ</v>
          </cell>
          <cell r="E3389" t="str">
            <v/>
          </cell>
          <cell r="F3389" t="str">
            <v/>
          </cell>
          <cell r="G3389" t="str">
            <v>DEVIMED S.A</v>
          </cell>
          <cell r="H3389" t="str">
            <v>RECO</v>
          </cell>
          <cell r="I3389" t="str">
            <v>REGIMEN COMUN</v>
          </cell>
          <cell r="J3389" t="str">
            <v>CR 43 A 7 50 A OF 809</v>
          </cell>
          <cell r="K3389" t="str">
            <v>05001</v>
          </cell>
          <cell r="L3389" t="str">
            <v>MEDELLÍN</v>
          </cell>
          <cell r="M3389" t="str">
            <v>4444238</v>
          </cell>
        </row>
        <row r="3390">
          <cell r="A3390">
            <v>811006019</v>
          </cell>
          <cell r="B3390" t="str">
            <v>9</v>
          </cell>
          <cell r="C3390" t="str">
            <v/>
          </cell>
          <cell r="D3390" t="str">
            <v>NJ</v>
          </cell>
          <cell r="E3390" t="str">
            <v/>
          </cell>
          <cell r="F3390" t="str">
            <v/>
          </cell>
          <cell r="G3390" t="str">
            <v>VIBROMONTAJES S.A.S.</v>
          </cell>
          <cell r="H3390" t="str">
            <v>RECO</v>
          </cell>
          <cell r="I3390" t="str">
            <v>REGIMEN COMUN</v>
          </cell>
          <cell r="J3390" t="str">
            <v>CL 9 A  54 129</v>
          </cell>
          <cell r="K3390" t="str">
            <v>05001</v>
          </cell>
          <cell r="L3390" t="str">
            <v>MEDELLÍN</v>
          </cell>
          <cell r="M3390" t="str">
            <v>3620062</v>
          </cell>
        </row>
        <row r="3391">
          <cell r="A3391">
            <v>811007280</v>
          </cell>
          <cell r="B3391" t="str">
            <v>1</v>
          </cell>
          <cell r="C3391" t="str">
            <v/>
          </cell>
          <cell r="D3391" t="str">
            <v>NJ</v>
          </cell>
          <cell r="E3391" t="str">
            <v/>
          </cell>
          <cell r="F3391" t="str">
            <v/>
          </cell>
          <cell r="G3391" t="str">
            <v>SERACIS LTDA</v>
          </cell>
          <cell r="H3391" t="str">
            <v>RECO</v>
          </cell>
          <cell r="I3391" t="str">
            <v>REGIMEN COMUN</v>
          </cell>
          <cell r="J3391" t="str">
            <v>CL 47 D 79 33</v>
          </cell>
          <cell r="K3391" t="str">
            <v>05001</v>
          </cell>
          <cell r="L3391" t="str">
            <v>MEDELLÍN</v>
          </cell>
          <cell r="M3391" t="str">
            <v>4484518</v>
          </cell>
        </row>
        <row r="3392">
          <cell r="A3392">
            <v>811007601</v>
          </cell>
          <cell r="B3392" t="str">
            <v>0</v>
          </cell>
          <cell r="C3392" t="str">
            <v/>
          </cell>
          <cell r="D3392" t="str">
            <v>NJ</v>
          </cell>
          <cell r="E3392" t="str">
            <v/>
          </cell>
          <cell r="F3392" t="str">
            <v/>
          </cell>
          <cell r="G3392" t="str">
            <v>EMPRESA DE MEDICINA INTEGRAL EMI S.A</v>
          </cell>
          <cell r="H3392" t="str">
            <v>GRAU</v>
          </cell>
          <cell r="I3392" t="str">
            <v>GRAN CONTRIBUYENTE AUTORRETENEDO</v>
          </cell>
          <cell r="J3392" t="str">
            <v>CR 48   14   49</v>
          </cell>
          <cell r="K3392" t="str">
            <v>05001</v>
          </cell>
          <cell r="L3392" t="str">
            <v>MEDELLÍN</v>
          </cell>
          <cell r="M3392" t="str">
            <v>4444364</v>
          </cell>
        </row>
        <row r="3393">
          <cell r="A3393">
            <v>811008436</v>
          </cell>
          <cell r="B3393" t="str">
            <v>6</v>
          </cell>
          <cell r="C3393" t="str">
            <v/>
          </cell>
          <cell r="D3393" t="str">
            <v>NJ</v>
          </cell>
          <cell r="E3393" t="str">
            <v/>
          </cell>
          <cell r="F3393" t="str">
            <v/>
          </cell>
          <cell r="G3393" t="str">
            <v>TRANSPORTES ESPECIALES Y DE CARGA GRAN TURISMO S.A.S.</v>
          </cell>
          <cell r="H3393" t="str">
            <v>RECO</v>
          </cell>
          <cell r="I3393" t="str">
            <v>REGIMEN COMUN</v>
          </cell>
          <cell r="J3393" t="str">
            <v>CR 25 39 54</v>
          </cell>
          <cell r="K3393" t="str">
            <v>11001</v>
          </cell>
          <cell r="L3393" t="str">
            <v>BOGOTA DC</v>
          </cell>
          <cell r="M3393" t="str">
            <v>2690503</v>
          </cell>
        </row>
        <row r="3394">
          <cell r="A3394">
            <v>811008775</v>
          </cell>
          <cell r="B3394" t="str">
            <v>8</v>
          </cell>
          <cell r="C3394" t="str">
            <v>220105873</v>
          </cell>
          <cell r="D3394" t="str">
            <v>NJ</v>
          </cell>
          <cell r="E3394" t="str">
            <v/>
          </cell>
          <cell r="F3394" t="str">
            <v/>
          </cell>
          <cell r="G3394" t="str">
            <v>EMPRESA MUNICIPAL DE SERVICIOS DOMICILIARIOS DE VIGIA DEL FUERTE</v>
          </cell>
          <cell r="H3394" t="str">
            <v>COIM</v>
          </cell>
          <cell r="I3394" t="str">
            <v>CONTROL DE IMPUESTOS</v>
          </cell>
          <cell r="J3394" t="str">
            <v>CR 1 A MCP VIGIA DEL FUERTE</v>
          </cell>
          <cell r="K3394" t="str">
            <v>05873</v>
          </cell>
          <cell r="L3394" t="str">
            <v>VIGÍA DEL FUERTE</v>
          </cell>
          <cell r="M3394" t="str">
            <v>3137928186</v>
          </cell>
        </row>
        <row r="3395">
          <cell r="A3395">
            <v>811009178</v>
          </cell>
          <cell r="B3395" t="str">
            <v>5</v>
          </cell>
          <cell r="C3395" t="str">
            <v/>
          </cell>
          <cell r="D3395" t="str">
            <v>NJ</v>
          </cell>
          <cell r="E3395" t="str">
            <v/>
          </cell>
          <cell r="F3395" t="str">
            <v/>
          </cell>
          <cell r="G3395" t="str">
            <v>INDUHERZIG S.A.</v>
          </cell>
          <cell r="H3395" t="str">
            <v>RECO</v>
          </cell>
          <cell r="I3395" t="str">
            <v>REGIMEN COMUN</v>
          </cell>
          <cell r="J3395" t="str">
            <v>CR 50 6 41</v>
          </cell>
          <cell r="K3395" t="str">
            <v>05001</v>
          </cell>
          <cell r="L3395" t="str">
            <v>MEDELLÍN</v>
          </cell>
          <cell r="M3395" t="str">
            <v>2552122</v>
          </cell>
        </row>
        <row r="3396">
          <cell r="A3396">
            <v>811009788</v>
          </cell>
          <cell r="B3396" t="str">
            <v>8</v>
          </cell>
          <cell r="C3396" t="str">
            <v/>
          </cell>
          <cell r="D3396" t="str">
            <v>NJ</v>
          </cell>
          <cell r="E3396" t="str">
            <v/>
          </cell>
          <cell r="F3396" t="str">
            <v/>
          </cell>
          <cell r="G3396" t="str">
            <v>DISTRACOM S.A</v>
          </cell>
          <cell r="H3396" t="str">
            <v>GRCO</v>
          </cell>
          <cell r="I3396" t="str">
            <v>GRAN CONTRIBUYENTE</v>
          </cell>
          <cell r="J3396" t="str">
            <v>CR 81  47  42</v>
          </cell>
          <cell r="K3396" t="str">
            <v>05001</v>
          </cell>
          <cell r="L3396" t="str">
            <v>MEDELLÍN</v>
          </cell>
          <cell r="M3396" t="str">
            <v>2504411</v>
          </cell>
        </row>
        <row r="3397">
          <cell r="A3397">
            <v>811010978</v>
          </cell>
          <cell r="B3397" t="str">
            <v>2</v>
          </cell>
          <cell r="C3397" t="str">
            <v/>
          </cell>
          <cell r="D3397" t="str">
            <v>NJ</v>
          </cell>
          <cell r="E3397" t="str">
            <v/>
          </cell>
          <cell r="F3397" t="str">
            <v/>
          </cell>
          <cell r="G3397" t="str">
            <v>AMERQUIP S. A.</v>
          </cell>
          <cell r="H3397" t="str">
            <v>RECO</v>
          </cell>
          <cell r="I3397" t="str">
            <v>REGIMEN COMUN</v>
          </cell>
          <cell r="J3397" t="str">
            <v>CR 48  48 SUR 75  BG  104</v>
          </cell>
          <cell r="K3397" t="str">
            <v>05266</v>
          </cell>
          <cell r="L3397" t="str">
            <v>ENVIGADO</v>
          </cell>
          <cell r="M3397" t="str">
            <v>2442213</v>
          </cell>
        </row>
        <row r="3398">
          <cell r="A3398">
            <v>811011165</v>
          </cell>
          <cell r="B3398" t="str">
            <v>6</v>
          </cell>
          <cell r="C3398" t="str">
            <v/>
          </cell>
          <cell r="D3398" t="str">
            <v>NJ</v>
          </cell>
          <cell r="E3398" t="str">
            <v/>
          </cell>
          <cell r="F3398" t="str">
            <v/>
          </cell>
          <cell r="G3398" t="str">
            <v>CONHYDRA S.A E.S.P</v>
          </cell>
          <cell r="H3398" t="str">
            <v>IMVE</v>
          </cell>
          <cell r="I3398" t="str">
            <v>IMPUESTO SOBRE LAS VENTAS</v>
          </cell>
          <cell r="J3398" t="str">
            <v xml:space="preserve"> CL  32 F 63 A 117 BRR CONQUISTADORES</v>
          </cell>
          <cell r="K3398" t="str">
            <v>11</v>
          </cell>
          <cell r="L3398" t="str">
            <v>ANTIOQUIA</v>
          </cell>
          <cell r="M3398" t="str">
            <v>4441676</v>
          </cell>
        </row>
        <row r="3399">
          <cell r="A3399">
            <v>811011781</v>
          </cell>
          <cell r="B3399" t="str">
            <v>3</v>
          </cell>
          <cell r="C3399" t="str">
            <v/>
          </cell>
          <cell r="D3399" t="str">
            <v>NJ</v>
          </cell>
          <cell r="E3399" t="str">
            <v/>
          </cell>
          <cell r="F3399" t="str">
            <v/>
          </cell>
          <cell r="G3399" t="str">
            <v>UMP DE COLOMBIA S.A.S</v>
          </cell>
          <cell r="H3399" t="str">
            <v>RECO</v>
          </cell>
          <cell r="I3399" t="str">
            <v>REGIMEN COMUN</v>
          </cell>
          <cell r="J3399" t="str">
            <v>CR 65 74 75 B 107</v>
          </cell>
          <cell r="K3399" t="str">
            <v>05001</v>
          </cell>
          <cell r="L3399" t="str">
            <v>MEDELLÍN</v>
          </cell>
          <cell r="M3399" t="str">
            <v>6041589</v>
          </cell>
        </row>
        <row r="3400">
          <cell r="A3400">
            <v>811011956</v>
          </cell>
          <cell r="B3400" t="str">
            <v>5</v>
          </cell>
          <cell r="C3400" t="str">
            <v/>
          </cell>
          <cell r="D3400" t="str">
            <v>NJ</v>
          </cell>
          <cell r="E3400" t="str">
            <v/>
          </cell>
          <cell r="F3400" t="str">
            <v/>
          </cell>
          <cell r="G3400" t="str">
            <v>SERV POSTALES ESPECIALIZADOS S</v>
          </cell>
          <cell r="H3400" t="str">
            <v>RECO</v>
          </cell>
          <cell r="I3400" t="str">
            <v>REGIMEN COMUN</v>
          </cell>
          <cell r="J3400" t="str">
            <v xml:space="preserve">CL 10 56 06 MEDLLIN                     </v>
          </cell>
          <cell r="K3400" t="str">
            <v>05001</v>
          </cell>
          <cell r="L3400" t="str">
            <v>MEDELLÍN</v>
          </cell>
          <cell r="M3400" t="str">
            <v>2857900</v>
          </cell>
        </row>
        <row r="3401">
          <cell r="A3401">
            <v>811015018</v>
          </cell>
          <cell r="B3401" t="str">
            <v>1</v>
          </cell>
          <cell r="C3401" t="str">
            <v/>
          </cell>
          <cell r="D3401" t="str">
            <v>NJ</v>
          </cell>
          <cell r="E3401" t="str">
            <v/>
          </cell>
          <cell r="F3401" t="str">
            <v/>
          </cell>
          <cell r="G3401" t="str">
            <v>ELEINCO SAS</v>
          </cell>
          <cell r="H3401" t="str">
            <v>IMVE</v>
          </cell>
          <cell r="I3401" t="str">
            <v>IMPUESTO SOBRE LAS VENTAS</v>
          </cell>
          <cell r="J3401" t="str">
            <v>CRA 48 26 SUR 181 LC 103</v>
          </cell>
          <cell r="K3401" t="str">
            <v>05266</v>
          </cell>
          <cell r="L3401" t="str">
            <v>ENVIGADO</v>
          </cell>
          <cell r="M3401" t="str">
            <v>4442626</v>
          </cell>
        </row>
        <row r="3402">
          <cell r="A3402">
            <v>811015020</v>
          </cell>
          <cell r="B3402" t="str">
            <v>5</v>
          </cell>
          <cell r="C3402" t="str">
            <v/>
          </cell>
          <cell r="D3402" t="str">
            <v>NJ</v>
          </cell>
          <cell r="E3402" t="str">
            <v/>
          </cell>
          <cell r="F3402" t="str">
            <v/>
          </cell>
          <cell r="G3402" t="str">
            <v>INELPRO SAS</v>
          </cell>
          <cell r="H3402" t="str">
            <v>RST</v>
          </cell>
          <cell r="I3402" t="str">
            <v>REGIMEN SIMPLE DE TRIBUTACION</v>
          </cell>
          <cell r="J3402" t="str">
            <v>CR 69 CIR 3 15</v>
          </cell>
          <cell r="K3402" t="str">
            <v>05001</v>
          </cell>
          <cell r="L3402" t="str">
            <v>MEDELLÍN</v>
          </cell>
          <cell r="M3402" t="str">
            <v>2608408</v>
          </cell>
        </row>
        <row r="3403">
          <cell r="A3403">
            <v>811015658</v>
          </cell>
          <cell r="B3403" t="str">
            <v>3</v>
          </cell>
          <cell r="C3403" t="str">
            <v/>
          </cell>
          <cell r="D3403" t="str">
            <v>NJ</v>
          </cell>
          <cell r="E3403" t="str">
            <v/>
          </cell>
          <cell r="F3403" t="str">
            <v/>
          </cell>
          <cell r="G3403" t="str">
            <v>INSTITUTO NACIONAL DE ADMINISTRACION PUBLICA SAS INAP</v>
          </cell>
          <cell r="H3403" t="str">
            <v>RECO</v>
          </cell>
          <cell r="I3403" t="str">
            <v>REGIMEN COMUN</v>
          </cell>
          <cell r="J3403" t="str">
            <v xml:space="preserve"> CL 4 SUR  43 A  195 IN 9963</v>
          </cell>
          <cell r="K3403" t="str">
            <v>05001</v>
          </cell>
          <cell r="L3403" t="str">
            <v>MEDELLÍN</v>
          </cell>
          <cell r="M3403" t="str">
            <v>4449655</v>
          </cell>
        </row>
        <row r="3404">
          <cell r="A3404">
            <v>811016504</v>
          </cell>
          <cell r="B3404" t="str">
            <v>2</v>
          </cell>
          <cell r="C3404" t="str">
            <v/>
          </cell>
          <cell r="D3404" t="str">
            <v>NJ</v>
          </cell>
          <cell r="E3404" t="str">
            <v/>
          </cell>
          <cell r="F3404" t="str">
            <v/>
          </cell>
          <cell r="G3404" t="str">
            <v>AUTOMATIZACION Y PESO SAS</v>
          </cell>
          <cell r="H3404" t="str">
            <v>RECO</v>
          </cell>
          <cell r="I3404" t="str">
            <v>REGIMEN COMUN</v>
          </cell>
          <cell r="J3404" t="str">
            <v>CR 43 A 61 S  U  R   152   BG  131</v>
          </cell>
          <cell r="K3404" t="str">
            <v>05631</v>
          </cell>
          <cell r="L3404" t="str">
            <v>SABANETA</v>
          </cell>
          <cell r="M3404" t="str">
            <v>30546600</v>
          </cell>
        </row>
        <row r="3405">
          <cell r="A3405">
            <v>811017116</v>
          </cell>
          <cell r="B3405" t="str">
            <v>2</v>
          </cell>
          <cell r="C3405" t="str">
            <v/>
          </cell>
          <cell r="D3405" t="str">
            <v>NJ</v>
          </cell>
          <cell r="E3405" t="str">
            <v/>
          </cell>
          <cell r="F3405" t="str">
            <v/>
          </cell>
          <cell r="G3405" t="str">
            <v>REPRESENTACIONES WESTFALIA SEPARATOR LTDA</v>
          </cell>
          <cell r="H3405" t="str">
            <v>RECO</v>
          </cell>
          <cell r="I3405" t="str">
            <v>REGIMEN COMUN</v>
          </cell>
          <cell r="J3405" t="str">
            <v xml:space="preserve"> DG 74 C  32 E  E  48</v>
          </cell>
          <cell r="K3405" t="str">
            <v>05001</v>
          </cell>
          <cell r="L3405" t="str">
            <v>MEDELLÍN</v>
          </cell>
          <cell r="M3405" t="str">
            <v>4165023</v>
          </cell>
        </row>
        <row r="3406">
          <cell r="A3406">
            <v>811021514</v>
          </cell>
          <cell r="B3406" t="str">
            <v>6</v>
          </cell>
          <cell r="C3406" t="str">
            <v/>
          </cell>
          <cell r="D3406" t="str">
            <v>NJ</v>
          </cell>
          <cell r="E3406" t="str">
            <v/>
          </cell>
          <cell r="F3406" t="str">
            <v/>
          </cell>
          <cell r="G3406" t="str">
            <v>FERRATOR S.A.S.</v>
          </cell>
          <cell r="H3406" t="str">
            <v>RECO</v>
          </cell>
          <cell r="I3406" t="str">
            <v>REGIMEN COMUN</v>
          </cell>
          <cell r="J3406" t="str">
            <v>CL 44 A 58 21</v>
          </cell>
          <cell r="K3406" t="str">
            <v>05001</v>
          </cell>
          <cell r="L3406" t="str">
            <v>MEDELLÍN</v>
          </cell>
          <cell r="M3406" t="str">
            <v>2313388</v>
          </cell>
        </row>
        <row r="3407">
          <cell r="A3407">
            <v>811021654</v>
          </cell>
          <cell r="B3407" t="str">
            <v>9</v>
          </cell>
          <cell r="C3407" t="str">
            <v>81600000</v>
          </cell>
          <cell r="D3407" t="str">
            <v>NJ</v>
          </cell>
          <cell r="E3407" t="str">
            <v/>
          </cell>
          <cell r="F3407" t="str">
            <v/>
          </cell>
          <cell r="G3407" t="str">
            <v>INTERNEXA S.A</v>
          </cell>
          <cell r="H3407" t="str">
            <v>GRAU</v>
          </cell>
          <cell r="I3407" t="str">
            <v>GRAN CONTRIBUYENTE AUTORRETENEDO</v>
          </cell>
          <cell r="J3407" t="str">
            <v xml:space="preserve"> CL 12 SUR  18 168 IN 5 BL 5</v>
          </cell>
          <cell r="K3407" t="str">
            <v>05001</v>
          </cell>
          <cell r="L3407" t="str">
            <v>MEDELLÍN</v>
          </cell>
          <cell r="M3407" t="str">
            <v>3252270</v>
          </cell>
        </row>
        <row r="3408">
          <cell r="A3408">
            <v>811022947</v>
          </cell>
          <cell r="B3408" t="str">
            <v>6</v>
          </cell>
          <cell r="C3408" t="str">
            <v/>
          </cell>
          <cell r="D3408" t="str">
            <v>NJ</v>
          </cell>
          <cell r="E3408" t="str">
            <v/>
          </cell>
          <cell r="F3408" t="str">
            <v/>
          </cell>
          <cell r="G3408" t="str">
            <v>INTERNACIONAL DE TELECOMUNICACIONES Y CONSTRUCCIONES SAS</v>
          </cell>
          <cell r="H3408" t="str">
            <v>RECO</v>
          </cell>
          <cell r="I3408" t="str">
            <v>REGIMEN COMUN</v>
          </cell>
          <cell r="J3408" t="str">
            <v xml:space="preserve"> CR 43  CL 11  46</v>
          </cell>
          <cell r="K3408" t="str">
            <v>05001</v>
          </cell>
          <cell r="L3408" t="str">
            <v>MEDELLÍN</v>
          </cell>
          <cell r="M3408" t="str">
            <v>2681345</v>
          </cell>
        </row>
        <row r="3409">
          <cell r="A3409">
            <v>811023841</v>
          </cell>
          <cell r="B3409" t="str">
            <v>9</v>
          </cell>
          <cell r="C3409" t="str">
            <v/>
          </cell>
          <cell r="D3409" t="str">
            <v>NJ</v>
          </cell>
          <cell r="E3409" t="str">
            <v/>
          </cell>
          <cell r="F3409" t="str">
            <v/>
          </cell>
          <cell r="G3409" t="str">
            <v>DISTECSA SAS</v>
          </cell>
          <cell r="H3409" t="str">
            <v>RECO</v>
          </cell>
          <cell r="I3409" t="str">
            <v>REGIMEN COMUN</v>
          </cell>
          <cell r="J3409" t="str">
            <v>CL 55 CR 46 46</v>
          </cell>
          <cell r="K3409" t="str">
            <v>05360</v>
          </cell>
          <cell r="L3409" t="str">
            <v>ITAGUI</v>
          </cell>
          <cell r="M3409" t="str">
            <v>4441788</v>
          </cell>
        </row>
        <row r="3410">
          <cell r="A3410">
            <v>811024004</v>
          </cell>
          <cell r="B3410" t="str">
            <v>5</v>
          </cell>
          <cell r="C3410" t="str">
            <v/>
          </cell>
          <cell r="D3410" t="str">
            <v>NJ</v>
          </cell>
          <cell r="E3410" t="str">
            <v/>
          </cell>
          <cell r="F3410" t="str">
            <v/>
          </cell>
          <cell r="G3410" t="str">
            <v>COMERCIALIZADORA DACOM S.A</v>
          </cell>
          <cell r="H3410" t="str">
            <v>RECO</v>
          </cell>
          <cell r="I3410" t="str">
            <v>REGIMEN COMUN</v>
          </cell>
          <cell r="J3410" t="str">
            <v>CL 45 D  76 04</v>
          </cell>
          <cell r="K3410" t="str">
            <v>05001</v>
          </cell>
          <cell r="L3410" t="str">
            <v>MEDELLÍN</v>
          </cell>
          <cell r="M3410" t="str">
            <v>4480525</v>
          </cell>
        </row>
        <row r="3411">
          <cell r="A3411">
            <v>811024067</v>
          </cell>
          <cell r="B3411" t="str">
            <v>9</v>
          </cell>
          <cell r="C3411" t="str">
            <v/>
          </cell>
          <cell r="D3411" t="str">
            <v>NJ</v>
          </cell>
          <cell r="E3411" t="str">
            <v/>
          </cell>
          <cell r="F3411" t="str">
            <v/>
          </cell>
          <cell r="G3411" t="str">
            <v>LITO S.A.S</v>
          </cell>
          <cell r="H3411" t="str">
            <v>RCAU</v>
          </cell>
          <cell r="I3411" t="str">
            <v>RESPONSABLE IVA - AUTORETENEDOR</v>
          </cell>
          <cell r="J3411" t="str">
            <v>CR 51 CL 32 102</v>
          </cell>
          <cell r="K3411" t="str">
            <v>05001</v>
          </cell>
          <cell r="L3411" t="str">
            <v>MEDELLÍN</v>
          </cell>
          <cell r="M3411" t="str">
            <v>2323144</v>
          </cell>
        </row>
        <row r="3412">
          <cell r="A3412">
            <v>811024314</v>
          </cell>
          <cell r="B3412" t="str">
            <v>3</v>
          </cell>
          <cell r="C3412" t="str">
            <v/>
          </cell>
          <cell r="D3412" t="str">
            <v>NJ</v>
          </cell>
          <cell r="E3412" t="str">
            <v/>
          </cell>
          <cell r="F3412" t="str">
            <v/>
          </cell>
          <cell r="G3412" t="str">
            <v>COMPULINK LTDA</v>
          </cell>
          <cell r="H3412" t="str">
            <v>RECO</v>
          </cell>
          <cell r="I3412" t="str">
            <v>REGIMEN COMUN</v>
          </cell>
          <cell r="J3412" t="str">
            <v>CR 48 10 45 LC 392</v>
          </cell>
          <cell r="K3412" t="str">
            <v>05001</v>
          </cell>
          <cell r="L3412" t="str">
            <v>MEDELLÍN</v>
          </cell>
          <cell r="M3412" t="str">
            <v>2684835</v>
          </cell>
        </row>
        <row r="3413">
          <cell r="A3413">
            <v>811025080</v>
          </cell>
          <cell r="B3413" t="str">
            <v>1</v>
          </cell>
          <cell r="C3413" t="str">
            <v/>
          </cell>
          <cell r="D3413" t="str">
            <v>NJ</v>
          </cell>
          <cell r="E3413" t="str">
            <v/>
          </cell>
          <cell r="F3413" t="str">
            <v/>
          </cell>
          <cell r="G3413" t="str">
            <v>A-MAQ S.A</v>
          </cell>
          <cell r="H3413" t="str">
            <v>IMVE</v>
          </cell>
          <cell r="I3413" t="str">
            <v>IMPUESTO SOBRE LAS VENTAS</v>
          </cell>
          <cell r="J3413" t="str">
            <v xml:space="preserve"> CL 26 CR 81 51</v>
          </cell>
          <cell r="K3413" t="str">
            <v>05001</v>
          </cell>
          <cell r="L3413" t="str">
            <v>MEDELLÍN</v>
          </cell>
          <cell r="M3413" t="str">
            <v>3417217</v>
          </cell>
        </row>
        <row r="3414">
          <cell r="A3414">
            <v>811025446</v>
          </cell>
          <cell r="B3414" t="str">
            <v>1</v>
          </cell>
          <cell r="C3414" t="str">
            <v/>
          </cell>
          <cell r="D3414" t="str">
            <v>NJ</v>
          </cell>
          <cell r="E3414" t="str">
            <v/>
          </cell>
          <cell r="F3414" t="str">
            <v/>
          </cell>
          <cell r="G3414" t="str">
            <v>TRONEX S.A</v>
          </cell>
          <cell r="H3414" t="str">
            <v>GRCO</v>
          </cell>
          <cell r="I3414" t="str">
            <v>GRAN CONTRIBUYENTE</v>
          </cell>
          <cell r="J3414" t="str">
            <v>CR 67 1 SUR 92</v>
          </cell>
          <cell r="K3414" t="str">
            <v>05001</v>
          </cell>
          <cell r="L3414" t="str">
            <v>MEDELLÍN</v>
          </cell>
          <cell r="M3414" t="str">
            <v>4488090</v>
          </cell>
        </row>
        <row r="3415">
          <cell r="A3415">
            <v>811027250</v>
          </cell>
          <cell r="B3415" t="str">
            <v>4</v>
          </cell>
          <cell r="C3415" t="str">
            <v/>
          </cell>
          <cell r="D3415" t="str">
            <v>NJ</v>
          </cell>
          <cell r="E3415" t="str">
            <v/>
          </cell>
          <cell r="F3415" t="str">
            <v/>
          </cell>
          <cell r="G3415" t="str">
            <v>FRECUENCIA Y VELOCIDAD S.A.S</v>
          </cell>
          <cell r="H3415" t="str">
            <v>RECO</v>
          </cell>
          <cell r="I3415" t="str">
            <v>REGIMEN COMUN</v>
          </cell>
          <cell r="J3415" t="str">
            <v>CL 32 F  66 C  139</v>
          </cell>
          <cell r="K3415" t="str">
            <v>05001</v>
          </cell>
          <cell r="L3415" t="str">
            <v>MEDELLÍN</v>
          </cell>
          <cell r="M3415" t="str">
            <v>2659601</v>
          </cell>
        </row>
        <row r="3416">
          <cell r="A3416">
            <v>811027597</v>
          </cell>
          <cell r="B3416" t="str">
            <v>4</v>
          </cell>
          <cell r="C3416" t="str">
            <v/>
          </cell>
          <cell r="D3416" t="str">
            <v>NJ</v>
          </cell>
          <cell r="E3416" t="str">
            <v/>
          </cell>
          <cell r="F3416" t="str">
            <v/>
          </cell>
          <cell r="G3416" t="str">
            <v>PANELCO S.A.S</v>
          </cell>
          <cell r="H3416" t="str">
            <v>IMVE</v>
          </cell>
          <cell r="I3416" t="str">
            <v>IMPUESTO SOBRE LAS VENTAS</v>
          </cell>
          <cell r="J3416" t="str">
            <v>CL 49  57  15</v>
          </cell>
          <cell r="K3416" t="str">
            <v>05001</v>
          </cell>
          <cell r="L3416" t="str">
            <v>MEDELLÍN</v>
          </cell>
          <cell r="M3416" t="str">
            <v>3176392752</v>
          </cell>
        </row>
        <row r="3417">
          <cell r="A3417">
            <v>811027602</v>
          </cell>
          <cell r="B3417" t="str">
            <v>3</v>
          </cell>
          <cell r="C3417" t="str">
            <v/>
          </cell>
          <cell r="D3417" t="str">
            <v>NJ</v>
          </cell>
          <cell r="E3417" t="str">
            <v/>
          </cell>
          <cell r="F3417" t="str">
            <v/>
          </cell>
          <cell r="G3417" t="str">
            <v>FUNDACION ECSIM CENTRO DE ESTUDIOS EN ECONOMIA SISTEMICA</v>
          </cell>
          <cell r="H3417" t="str">
            <v>RECO</v>
          </cell>
          <cell r="I3417" t="str">
            <v>REGIMEN COMUN</v>
          </cell>
          <cell r="J3417" t="str">
            <v>CR 43 A 6 SUR 26 IN 504</v>
          </cell>
          <cell r="K3417" t="str">
            <v>05001</v>
          </cell>
          <cell r="L3417" t="str">
            <v>MEDELLÍN</v>
          </cell>
          <cell r="M3417" t="str">
            <v>3118075</v>
          </cell>
        </row>
        <row r="3418">
          <cell r="A3418">
            <v>811028650</v>
          </cell>
          <cell r="B3418" t="str">
            <v>1</v>
          </cell>
          <cell r="C3418" t="str">
            <v/>
          </cell>
          <cell r="D3418" t="str">
            <v>NJ</v>
          </cell>
          <cell r="E3418" t="str">
            <v/>
          </cell>
          <cell r="F3418" t="str">
            <v/>
          </cell>
          <cell r="G3418" t="str">
            <v>MADECENTRO COLOMBIA SAS</v>
          </cell>
          <cell r="H3418" t="str">
            <v>GRAU</v>
          </cell>
          <cell r="I3418" t="str">
            <v>GRAN CONTRIBUYENTE AUTORRETENEDO</v>
          </cell>
          <cell r="J3418" t="str">
            <v xml:space="preserve"> CL 7 SUR  42 70 OF 505  ED FORUM</v>
          </cell>
          <cell r="K3418" t="str">
            <v>05001</v>
          </cell>
          <cell r="L3418" t="str">
            <v>MEDELLÍN</v>
          </cell>
          <cell r="M3418" t="str">
            <v>3104538271</v>
          </cell>
        </row>
        <row r="3419">
          <cell r="A3419">
            <v>811029538</v>
          </cell>
          <cell r="B3419" t="str">
            <v>9</v>
          </cell>
          <cell r="C3419" t="str">
            <v/>
          </cell>
          <cell r="D3419" t="str">
            <v>NJ</v>
          </cell>
          <cell r="E3419" t="str">
            <v/>
          </cell>
          <cell r="F3419" t="str">
            <v/>
          </cell>
          <cell r="G3419" t="str">
            <v>ALTA GESTION EMPRESARIAL SAS</v>
          </cell>
          <cell r="H3419" t="str">
            <v>RECO</v>
          </cell>
          <cell r="I3419" t="str">
            <v>REGIMEN COMUN</v>
          </cell>
          <cell r="J3419" t="str">
            <v>CR 35 A 15 B 35 OF 9912</v>
          </cell>
          <cell r="K3419" t="str">
            <v>05002</v>
          </cell>
          <cell r="L3419" t="str">
            <v>MEDELLIN</v>
          </cell>
          <cell r="M3419" t="str">
            <v>3192020</v>
          </cell>
        </row>
        <row r="3420">
          <cell r="A3420">
            <v>811030322</v>
          </cell>
          <cell r="B3420" t="str">
            <v>7</v>
          </cell>
          <cell r="C3420" t="str">
            <v/>
          </cell>
          <cell r="D3420" t="str">
            <v>NJ</v>
          </cell>
          <cell r="E3420" t="str">
            <v/>
          </cell>
          <cell r="F3420" t="str">
            <v/>
          </cell>
          <cell r="G3420" t="str">
            <v>CELSIA S.A E.S.P</v>
          </cell>
          <cell r="H3420" t="str">
            <v>GRCO</v>
          </cell>
          <cell r="I3420" t="str">
            <v>GRAN CONTRIBUYENTE</v>
          </cell>
          <cell r="J3420" t="str">
            <v>CR 43 A 1 A SUR 143 P 5</v>
          </cell>
          <cell r="K3420" t="str">
            <v>05001</v>
          </cell>
          <cell r="L3420" t="str">
            <v>MEDELLÍN</v>
          </cell>
          <cell r="M3420" t="str">
            <v>3266600</v>
          </cell>
        </row>
        <row r="3421">
          <cell r="A3421">
            <v>811030548</v>
          </cell>
          <cell r="B3421" t="str">
            <v>4</v>
          </cell>
          <cell r="C3421" t="str">
            <v/>
          </cell>
          <cell r="D3421" t="str">
            <v>NJ</v>
          </cell>
          <cell r="E3421" t="str">
            <v/>
          </cell>
          <cell r="F3421" t="str">
            <v/>
          </cell>
          <cell r="G3421" t="str">
            <v>VIAJES COLEGIOS Y TURISMO SA</v>
          </cell>
          <cell r="H3421" t="str">
            <v>IMVE</v>
          </cell>
          <cell r="I3421" t="str">
            <v>IMPUESTO SOBRE LAS VENTAS</v>
          </cell>
          <cell r="J3421" t="str">
            <v>CL 12 30 180</v>
          </cell>
          <cell r="K3421" t="str">
            <v>05001</v>
          </cell>
          <cell r="L3421" t="str">
            <v>MEDELLÍN</v>
          </cell>
          <cell r="M3421" t="str">
            <v>4441052</v>
          </cell>
        </row>
        <row r="3422">
          <cell r="A3422">
            <v>811031140</v>
          </cell>
          <cell r="B3422" t="str">
            <v>8</v>
          </cell>
          <cell r="C3422" t="str">
            <v/>
          </cell>
          <cell r="D3422" t="str">
            <v>NJ</v>
          </cell>
          <cell r="E3422" t="str">
            <v/>
          </cell>
          <cell r="F3422" t="str">
            <v/>
          </cell>
          <cell r="G3422" t="str">
            <v>POBLADO HOTELES S.A</v>
          </cell>
          <cell r="H3422" t="str">
            <v>RECO</v>
          </cell>
          <cell r="I3422" t="str">
            <v>REGIMEN COMUN</v>
          </cell>
          <cell r="J3422" t="str">
            <v>CR 43 A 4 SUR 75</v>
          </cell>
          <cell r="K3422" t="str">
            <v>05001</v>
          </cell>
          <cell r="L3422" t="str">
            <v>MEDELLÍN</v>
          </cell>
          <cell r="M3422" t="str">
            <v>2685555</v>
          </cell>
        </row>
        <row r="3423">
          <cell r="A3423">
            <v>811032449</v>
          </cell>
          <cell r="B3423" t="str">
            <v>2</v>
          </cell>
          <cell r="C3423" t="str">
            <v/>
          </cell>
          <cell r="D3423" t="str">
            <v>NJ</v>
          </cell>
          <cell r="E3423" t="str">
            <v/>
          </cell>
          <cell r="F3423" t="str">
            <v/>
          </cell>
          <cell r="G3423" t="str">
            <v>CIPRES ASOCIADOS SAS</v>
          </cell>
          <cell r="H3423" t="str">
            <v>RECO</v>
          </cell>
          <cell r="I3423" t="str">
            <v>REGIMEN COMUN</v>
          </cell>
          <cell r="J3423" t="str">
            <v>CL 94 A   13   08 OF 406</v>
          </cell>
          <cell r="K3423" t="str">
            <v>11001</v>
          </cell>
          <cell r="L3423" t="str">
            <v>BOGOTA DC</v>
          </cell>
          <cell r="M3423" t="str">
            <v>4528652</v>
          </cell>
        </row>
        <row r="3424">
          <cell r="A3424">
            <v>811032538</v>
          </cell>
          <cell r="B3424" t="str">
            <v>1</v>
          </cell>
          <cell r="C3424" t="str">
            <v/>
          </cell>
          <cell r="D3424" t="str">
            <v>NJ</v>
          </cell>
          <cell r="E3424" t="str">
            <v/>
          </cell>
          <cell r="F3424" t="str">
            <v/>
          </cell>
          <cell r="G3424" t="str">
            <v>SUMINISTROS INGENIERÍA Y SOLUCIONES S.A</v>
          </cell>
          <cell r="H3424" t="str">
            <v>IMVE</v>
          </cell>
          <cell r="I3424" t="str">
            <v>IMPUESTO SOBRE LAS VENTAS</v>
          </cell>
          <cell r="J3424" t="str">
            <v xml:space="preserve"> CR 51 B  12 S  U  R  77</v>
          </cell>
          <cell r="K3424" t="str">
            <v>05002</v>
          </cell>
          <cell r="L3424" t="str">
            <v>MEDELLIN</v>
          </cell>
          <cell r="M3424" t="str">
            <v>4441804</v>
          </cell>
        </row>
        <row r="3425">
          <cell r="A3425">
            <v>811033238</v>
          </cell>
          <cell r="B3425" t="str">
            <v>1</v>
          </cell>
          <cell r="C3425" t="str">
            <v/>
          </cell>
          <cell r="D3425" t="str">
            <v>NJ</v>
          </cell>
          <cell r="E3425" t="str">
            <v/>
          </cell>
          <cell r="F3425" t="str">
            <v/>
          </cell>
          <cell r="G3425" t="str">
            <v>PROVENZAL SAS</v>
          </cell>
          <cell r="H3425" t="str">
            <v>IMVE</v>
          </cell>
          <cell r="I3425" t="str">
            <v>IMPUESTO SOBRE LAS VENTAS</v>
          </cell>
          <cell r="J3425" t="str">
            <v>CR 42 54 A 155 BG C 2032</v>
          </cell>
          <cell r="K3425" t="str">
            <v>05360</v>
          </cell>
          <cell r="L3425" t="str">
            <v>ITAGUI</v>
          </cell>
          <cell r="M3425" t="str">
            <v>3206730448</v>
          </cell>
        </row>
        <row r="3426">
          <cell r="A3426">
            <v>811033997</v>
          </cell>
          <cell r="B3426" t="str">
            <v>1</v>
          </cell>
          <cell r="C3426" t="str">
            <v/>
          </cell>
          <cell r="D3426" t="str">
            <v>NJ</v>
          </cell>
          <cell r="E3426" t="str">
            <v/>
          </cell>
          <cell r="F3426" t="str">
            <v/>
          </cell>
          <cell r="G3426" t="str">
            <v>CDEM &amp; CDEB SA</v>
          </cell>
          <cell r="H3426" t="str">
            <v>IMVE</v>
          </cell>
          <cell r="I3426" t="str">
            <v>IMPUESTO SOBRE LAS VENTAS</v>
          </cell>
          <cell r="J3426" t="str">
            <v>CR 52  CL 34 09</v>
          </cell>
          <cell r="K3426" t="str">
            <v>05001</v>
          </cell>
          <cell r="L3426" t="str">
            <v>MEDELLÍN</v>
          </cell>
          <cell r="M3426" t="str">
            <v>2470000</v>
          </cell>
        </row>
        <row r="3427">
          <cell r="A3427">
            <v>811034077</v>
          </cell>
          <cell r="B3427" t="str">
            <v>5</v>
          </cell>
          <cell r="C3427" t="str">
            <v>220105475</v>
          </cell>
          <cell r="D3427" t="str">
            <v>NJ</v>
          </cell>
          <cell r="E3427" t="str">
            <v/>
          </cell>
          <cell r="F3427" t="str">
            <v/>
          </cell>
          <cell r="G3427" t="str">
            <v>EMPRESA DE ENERGIA ELECTRICA DE SERVICIOS PUBLICOS E.S.P</v>
          </cell>
          <cell r="H3427" t="str">
            <v>RECO</v>
          </cell>
          <cell r="I3427" t="str">
            <v>REGIMEN COMUN</v>
          </cell>
          <cell r="J3427" t="str">
            <v>CALLE PRIMERA CABECERA MUNICIPAL</v>
          </cell>
          <cell r="K3427" t="str">
            <v>05475</v>
          </cell>
          <cell r="L3427" t="str">
            <v>MURINDÓ</v>
          </cell>
          <cell r="M3427" t="str">
            <v>8575007</v>
          </cell>
        </row>
        <row r="3428">
          <cell r="A3428">
            <v>811035639</v>
          </cell>
          <cell r="B3428" t="str">
            <v>9</v>
          </cell>
          <cell r="C3428" t="str">
            <v/>
          </cell>
          <cell r="D3428" t="str">
            <v>NJ</v>
          </cell>
          <cell r="E3428" t="str">
            <v/>
          </cell>
          <cell r="F3428" t="str">
            <v/>
          </cell>
          <cell r="G3428" t="str">
            <v>REDYCOM S.A.</v>
          </cell>
          <cell r="H3428" t="str">
            <v>RECO</v>
          </cell>
          <cell r="I3428" t="str">
            <v>REGIMEN COMUN</v>
          </cell>
          <cell r="J3428" t="str">
            <v>CR 83 CL 32 E  E 29 BRR CASTELLANA  MCP MEDELLIN</v>
          </cell>
          <cell r="K3428" t="str">
            <v>05001</v>
          </cell>
          <cell r="L3428" t="str">
            <v>MEDELLÍN</v>
          </cell>
          <cell r="M3428" t="str">
            <v>4117754</v>
          </cell>
        </row>
        <row r="3429">
          <cell r="A3429">
            <v>811036282</v>
          </cell>
          <cell r="B3429" t="str">
            <v>8</v>
          </cell>
          <cell r="C3429" t="str">
            <v/>
          </cell>
          <cell r="D3429" t="str">
            <v>NJ</v>
          </cell>
          <cell r="E3429" t="str">
            <v/>
          </cell>
          <cell r="F3429" t="str">
            <v/>
          </cell>
          <cell r="G3429" t="str">
            <v>CORPORACION CENTRO DE INVESTIGACION CARBONO &amp; BOSQUES</v>
          </cell>
          <cell r="H3429" t="str">
            <v>IMVE</v>
          </cell>
          <cell r="I3429" t="str">
            <v>IMPUESTO SOBRE LAS VENTAS</v>
          </cell>
          <cell r="J3429" t="str">
            <v>CR 62 CL 38 A SUR 12 AP 412 ET 3</v>
          </cell>
          <cell r="K3429" t="str">
            <v>05001</v>
          </cell>
          <cell r="L3429" t="str">
            <v>MEDELLÍN</v>
          </cell>
          <cell r="M3429" t="str">
            <v>3187467817</v>
          </cell>
        </row>
        <row r="3430">
          <cell r="A3430">
            <v>811036515</v>
          </cell>
          <cell r="B3430" t="str">
            <v>9</v>
          </cell>
          <cell r="C3430" t="str">
            <v/>
          </cell>
          <cell r="D3430" t="str">
            <v>NJ</v>
          </cell>
          <cell r="E3430" t="str">
            <v/>
          </cell>
          <cell r="F3430" t="str">
            <v/>
          </cell>
          <cell r="G3430" t="str">
            <v>ASOCIACIÓN DE TRANSPORTES ESPECIALES</v>
          </cell>
          <cell r="H3430" t="str">
            <v>IMVE</v>
          </cell>
          <cell r="I3430" t="str">
            <v>IMPUESTO SOBRE LAS VENTAS</v>
          </cell>
          <cell r="J3430" t="str">
            <v>CR 69 49 6</v>
          </cell>
          <cell r="K3430" t="str">
            <v>05001</v>
          </cell>
          <cell r="L3430" t="str">
            <v>MEDELLÍN</v>
          </cell>
          <cell r="M3430" t="str">
            <v>4486048</v>
          </cell>
        </row>
        <row r="3431">
          <cell r="A3431">
            <v>811036744</v>
          </cell>
          <cell r="B3431" t="str">
            <v>9</v>
          </cell>
          <cell r="C3431" t="str">
            <v/>
          </cell>
          <cell r="D3431" t="str">
            <v>NJ</v>
          </cell>
          <cell r="E3431" t="str">
            <v/>
          </cell>
          <cell r="F3431" t="str">
            <v/>
          </cell>
          <cell r="G3431" t="str">
            <v>COSMOTRANS S.A.S</v>
          </cell>
          <cell r="H3431" t="str">
            <v>IMVE</v>
          </cell>
          <cell r="I3431" t="str">
            <v>IMPUESTO SOBRE LAS VENTAS</v>
          </cell>
          <cell r="J3431" t="str">
            <v>CR  64 C TV 78 580 IN 128</v>
          </cell>
          <cell r="K3431" t="str">
            <v>05001</v>
          </cell>
          <cell r="L3431" t="str">
            <v>MEDELLÍN</v>
          </cell>
          <cell r="M3431" t="str">
            <v>7021874</v>
          </cell>
        </row>
        <row r="3432">
          <cell r="A3432">
            <v>811038173</v>
          </cell>
          <cell r="B3432" t="str">
            <v>2</v>
          </cell>
          <cell r="C3432" t="str">
            <v/>
          </cell>
          <cell r="D3432" t="str">
            <v>NJ</v>
          </cell>
          <cell r="E3432" t="str">
            <v/>
          </cell>
          <cell r="F3432" t="str">
            <v/>
          </cell>
          <cell r="G3432" t="str">
            <v>ELECTRICOS Y TELECOMUNICACIONES CM S.A</v>
          </cell>
          <cell r="H3432" t="str">
            <v>RCAU</v>
          </cell>
          <cell r="I3432" t="str">
            <v>RESPONSABLE IVA - AUTORETENEDOR</v>
          </cell>
          <cell r="J3432" t="str">
            <v>CL 16 45-72</v>
          </cell>
          <cell r="K3432" t="str">
            <v>05001</v>
          </cell>
          <cell r="L3432" t="str">
            <v>MEDELLÍN</v>
          </cell>
          <cell r="M3432" t="str">
            <v>2660502</v>
          </cell>
        </row>
        <row r="3433">
          <cell r="A3433">
            <v>811038832</v>
          </cell>
          <cell r="B3433" t="str">
            <v>8</v>
          </cell>
          <cell r="C3433" t="str">
            <v/>
          </cell>
          <cell r="D3433" t="str">
            <v>NJ</v>
          </cell>
          <cell r="E3433" t="str">
            <v/>
          </cell>
          <cell r="F3433" t="str">
            <v/>
          </cell>
          <cell r="G3433" t="str">
            <v>INGEMA S.A</v>
          </cell>
          <cell r="H3433" t="str">
            <v>RECO</v>
          </cell>
          <cell r="I3433" t="str">
            <v>REGIMEN COMUN</v>
          </cell>
          <cell r="J3433" t="str">
            <v>CR 48 B 10 SUR 164</v>
          </cell>
          <cell r="K3433" t="str">
            <v>05002</v>
          </cell>
          <cell r="L3433" t="str">
            <v>MEDELLIN</v>
          </cell>
          <cell r="M3433" t="str">
            <v>3005157506</v>
          </cell>
        </row>
        <row r="3434">
          <cell r="A3434">
            <v>811039807</v>
          </cell>
          <cell r="B3434" t="str">
            <v>8</v>
          </cell>
          <cell r="C3434" t="str">
            <v/>
          </cell>
          <cell r="D3434" t="str">
            <v>NJ</v>
          </cell>
          <cell r="E3434" t="str">
            <v/>
          </cell>
          <cell r="F3434" t="str">
            <v/>
          </cell>
          <cell r="G3434" t="str">
            <v>NOVELTY SUITES S.A</v>
          </cell>
          <cell r="H3434" t="str">
            <v>RECO</v>
          </cell>
          <cell r="I3434" t="str">
            <v>REGIMEN COMUN</v>
          </cell>
          <cell r="J3434" t="str">
            <v>CR 42 A   1 SUR 125</v>
          </cell>
          <cell r="K3434" t="str">
            <v>05001</v>
          </cell>
          <cell r="L3434" t="str">
            <v>MEDELLÍN</v>
          </cell>
          <cell r="M3434" t="str">
            <v>6041521</v>
          </cell>
        </row>
        <row r="3435">
          <cell r="A3435">
            <v>811042842</v>
          </cell>
          <cell r="B3435" t="str">
            <v>7</v>
          </cell>
          <cell r="C3435" t="str">
            <v/>
          </cell>
          <cell r="D3435" t="str">
            <v>NJ</v>
          </cell>
          <cell r="E3435" t="str">
            <v/>
          </cell>
          <cell r="F3435" t="str">
            <v/>
          </cell>
          <cell r="G3435" t="str">
            <v>CONSULTORIA ESTRATEGICA INTEGRAL S.A.</v>
          </cell>
          <cell r="H3435" t="str">
            <v>RECO</v>
          </cell>
          <cell r="I3435" t="str">
            <v>REGIMEN COMUN</v>
          </cell>
          <cell r="J3435" t="str">
            <v>CR 43 C CL 1 SUR 75 IN 906</v>
          </cell>
          <cell r="K3435" t="str">
            <v>17001</v>
          </cell>
          <cell r="L3435" t="str">
            <v>MANIZALES</v>
          </cell>
          <cell r="M3435" t="str">
            <v>3128337311</v>
          </cell>
        </row>
        <row r="3436">
          <cell r="A3436">
            <v>811042955</v>
          </cell>
          <cell r="B3436" t="str">
            <v>0</v>
          </cell>
          <cell r="C3436" t="str">
            <v/>
          </cell>
          <cell r="D3436" t="str">
            <v>NJ</v>
          </cell>
          <cell r="E3436" t="str">
            <v/>
          </cell>
          <cell r="F3436" t="str">
            <v/>
          </cell>
          <cell r="G3436" t="str">
            <v>TRAINING CORPORATION LTDA</v>
          </cell>
          <cell r="H3436" t="str">
            <v>RECO</v>
          </cell>
          <cell r="I3436" t="str">
            <v>REGIMEN COMUN</v>
          </cell>
          <cell r="J3436" t="str">
            <v>CL 7 SUR 42-70 OF 802 ED FORUM CENTRO DE NEGOCIOS</v>
          </cell>
          <cell r="K3436" t="str">
            <v>05001</v>
          </cell>
          <cell r="L3436" t="str">
            <v>MEDELLÍN</v>
          </cell>
          <cell r="M3436" t="str">
            <v>3223182</v>
          </cell>
        </row>
        <row r="3437">
          <cell r="A3437">
            <v>811043174</v>
          </cell>
          <cell r="B3437" t="str">
            <v>1</v>
          </cell>
          <cell r="C3437" t="str">
            <v/>
          </cell>
          <cell r="D3437" t="str">
            <v>NJ</v>
          </cell>
          <cell r="E3437" t="str">
            <v/>
          </cell>
          <cell r="F3437" t="str">
            <v/>
          </cell>
          <cell r="G3437" t="str">
            <v>ZEUSS S.A.S.</v>
          </cell>
          <cell r="H3437" t="str">
            <v>GRAU</v>
          </cell>
          <cell r="I3437" t="str">
            <v>GRAN CONTRIBUYENTE AUTORRETENEDO</v>
          </cell>
          <cell r="J3437" t="str">
            <v>Suelo rural Vda Loma los Ochoas sector estación del ferrocarril</v>
          </cell>
          <cell r="K3437" t="str">
            <v>05308</v>
          </cell>
          <cell r="L3437" t="str">
            <v>GIRARDOTA</v>
          </cell>
          <cell r="M3437" t="str">
            <v>5606241</v>
          </cell>
        </row>
        <row r="3438">
          <cell r="A3438">
            <v>811044110</v>
          </cell>
          <cell r="B3438" t="str">
            <v>3</v>
          </cell>
          <cell r="C3438" t="str">
            <v/>
          </cell>
          <cell r="D3438" t="str">
            <v>NJ</v>
          </cell>
          <cell r="E3438" t="str">
            <v/>
          </cell>
          <cell r="F3438" t="str">
            <v/>
          </cell>
          <cell r="G3438" t="str">
            <v>PROMOTORA INMOBILIARIA DANN CARTAGENA S.A.S</v>
          </cell>
          <cell r="H3438" t="str">
            <v>RECO</v>
          </cell>
          <cell r="I3438" t="str">
            <v>REGIMEN COMUN</v>
          </cell>
          <cell r="J3438" t="str">
            <v>BRR LAGUITO AV LAS VELAS CR 1 01 60</v>
          </cell>
          <cell r="K3438" t="str">
            <v>13001</v>
          </cell>
          <cell r="L3438" t="str">
            <v>CARTAGENA</v>
          </cell>
          <cell r="M3438" t="str">
            <v>6650000</v>
          </cell>
        </row>
        <row r="3439">
          <cell r="A3439">
            <v>811046835</v>
          </cell>
          <cell r="B3439" t="str">
            <v>3</v>
          </cell>
          <cell r="C3439" t="str">
            <v/>
          </cell>
          <cell r="D3439" t="str">
            <v>NJ</v>
          </cell>
          <cell r="E3439" t="str">
            <v/>
          </cell>
          <cell r="F3439" t="str">
            <v/>
          </cell>
          <cell r="G3439" t="str">
            <v>HOTEL PORTON DE LA 10 S.A</v>
          </cell>
          <cell r="H3439" t="str">
            <v>RECO</v>
          </cell>
          <cell r="I3439" t="str">
            <v>REGIMEN COMUN</v>
          </cell>
          <cell r="J3439" t="str">
            <v>CL 10 52 181</v>
          </cell>
          <cell r="K3439" t="str">
            <v>05001</v>
          </cell>
          <cell r="L3439" t="str">
            <v>MEDELLÍN</v>
          </cell>
          <cell r="M3439" t="str">
            <v>3603940</v>
          </cell>
        </row>
        <row r="3440">
          <cell r="A3440">
            <v>811047040</v>
          </cell>
          <cell r="B3440" t="str">
            <v>1</v>
          </cell>
          <cell r="C3440" t="str">
            <v/>
          </cell>
          <cell r="D3440" t="str">
            <v>NJ</v>
          </cell>
          <cell r="E3440" t="str">
            <v/>
          </cell>
          <cell r="F3440" t="str">
            <v/>
          </cell>
          <cell r="G3440" t="str">
            <v>SOLUTRONICA SAS</v>
          </cell>
          <cell r="H3440" t="str">
            <v>RECO</v>
          </cell>
          <cell r="I3440" t="str">
            <v>REGIMEN COMUN</v>
          </cell>
          <cell r="J3440" t="str">
            <v>CR 53 50 51 LC 204</v>
          </cell>
          <cell r="K3440" t="str">
            <v>05002</v>
          </cell>
          <cell r="L3440" t="str">
            <v>MEDELLIN</v>
          </cell>
          <cell r="M3440" t="str">
            <v>2319254</v>
          </cell>
        </row>
        <row r="3441">
          <cell r="A3441">
            <v>812000053</v>
          </cell>
          <cell r="B3441" t="str">
            <v>6</v>
          </cell>
          <cell r="C3441" t="str">
            <v/>
          </cell>
          <cell r="D3441" t="str">
            <v>NJ</v>
          </cell>
          <cell r="E3441" t="str">
            <v/>
          </cell>
          <cell r="F3441" t="str">
            <v/>
          </cell>
          <cell r="G3441" t="str">
            <v>INGELCOR INGENIERIA S.A.S</v>
          </cell>
          <cell r="H3441" t="str">
            <v>IMVE</v>
          </cell>
          <cell r="I3441" t="str">
            <v>IMPUESTO SOBRE LAS VENTAS</v>
          </cell>
          <cell r="J3441" t="str">
            <v xml:space="preserve"> CL 61 7 52 OF 101 BRR LA CASTELLANA</v>
          </cell>
          <cell r="K3441" t="str">
            <v>23001</v>
          </cell>
          <cell r="L3441" t="str">
            <v>MONTERÍA</v>
          </cell>
          <cell r="M3441" t="str">
            <v>7854745</v>
          </cell>
        </row>
        <row r="3442">
          <cell r="A3442">
            <v>812008071</v>
          </cell>
          <cell r="B3442" t="str">
            <v>5</v>
          </cell>
          <cell r="C3442" t="str">
            <v/>
          </cell>
          <cell r="D3442" t="str">
            <v>NJ</v>
          </cell>
          <cell r="E3442" t="str">
            <v/>
          </cell>
          <cell r="F3442" t="str">
            <v/>
          </cell>
          <cell r="G3442" t="str">
            <v>HOTEL PLATINUM</v>
          </cell>
          <cell r="H3442" t="str">
            <v>RECO</v>
          </cell>
          <cell r="I3442" t="str">
            <v>REGIMEN COMUN</v>
          </cell>
          <cell r="J3442" t="str">
            <v>CR 3 33 59</v>
          </cell>
          <cell r="K3442" t="str">
            <v>17001</v>
          </cell>
          <cell r="L3442" t="str">
            <v>MANIZALES</v>
          </cell>
          <cell r="M3442" t="str">
            <v>7821164</v>
          </cell>
        </row>
        <row r="3443">
          <cell r="A3443">
            <v>812008294</v>
          </cell>
          <cell r="B3443" t="str">
            <v>0</v>
          </cell>
          <cell r="C3443" t="str">
            <v/>
          </cell>
          <cell r="D3443" t="str">
            <v>NJ</v>
          </cell>
          <cell r="E3443" t="str">
            <v/>
          </cell>
          <cell r="F3443" t="str">
            <v/>
          </cell>
          <cell r="G3443" t="str">
            <v xml:space="preserve">ELECTROREDES LTDA                                           </v>
          </cell>
          <cell r="H3443" t="str">
            <v>RECO</v>
          </cell>
          <cell r="I3443" t="str">
            <v>REGIMEN COMUN</v>
          </cell>
          <cell r="J3443" t="str">
            <v>CL 40  9 A 04</v>
          </cell>
          <cell r="K3443" t="str">
            <v>66001</v>
          </cell>
          <cell r="L3443" t="str">
            <v>PEREIRA</v>
          </cell>
          <cell r="M3443" t="str">
            <v>3335963</v>
          </cell>
        </row>
        <row r="3444">
          <cell r="A3444">
            <v>813002156</v>
          </cell>
          <cell r="B3444" t="str">
            <v>9</v>
          </cell>
          <cell r="C3444" t="str">
            <v/>
          </cell>
          <cell r="D3444" t="str">
            <v>NJ</v>
          </cell>
          <cell r="E3444" t="str">
            <v/>
          </cell>
          <cell r="F3444" t="str">
            <v/>
          </cell>
          <cell r="G3444" t="str">
            <v>LUIS AUGUSTO PUENTES MILLAN Y CIA. S. EN C.</v>
          </cell>
          <cell r="H3444" t="str">
            <v>RECO</v>
          </cell>
          <cell r="I3444" t="str">
            <v>REGIMEN COMUN</v>
          </cell>
          <cell r="J3444" t="str">
            <v>CL 11 6 47</v>
          </cell>
          <cell r="K3444" t="str">
            <v>41001</v>
          </cell>
          <cell r="L3444" t="str">
            <v>NEIVA</v>
          </cell>
          <cell r="M3444" t="str">
            <v>988713201</v>
          </cell>
        </row>
        <row r="3445">
          <cell r="A3445">
            <v>813006150</v>
          </cell>
          <cell r="B3445" t="str">
            <v>3</v>
          </cell>
          <cell r="C3445" t="str">
            <v/>
          </cell>
          <cell r="D3445" t="str">
            <v>NJ</v>
          </cell>
          <cell r="E3445" t="str">
            <v/>
          </cell>
          <cell r="F3445" t="str">
            <v/>
          </cell>
          <cell r="G3445" t="str">
            <v>RUIZ FAJARDO INGENIEROS ASOCIADOS S.A.S</v>
          </cell>
          <cell r="H3445" t="str">
            <v>IMVE</v>
          </cell>
          <cell r="I3445" t="str">
            <v>IMPUESTO SOBRE LAS VENTAS</v>
          </cell>
          <cell r="J3445" t="str">
            <v>CL 104 14 A 45 OF 304</v>
          </cell>
          <cell r="K3445" t="str">
            <v>11001</v>
          </cell>
          <cell r="L3445" t="str">
            <v>BOGOTA DC</v>
          </cell>
          <cell r="M3445" t="str">
            <v>8209181</v>
          </cell>
        </row>
        <row r="3446">
          <cell r="A3446">
            <v>814004954</v>
          </cell>
          <cell r="B3446" t="str">
            <v>2</v>
          </cell>
          <cell r="C3446" t="str">
            <v/>
          </cell>
          <cell r="D3446" t="str">
            <v>NJ</v>
          </cell>
          <cell r="E3446" t="str">
            <v/>
          </cell>
          <cell r="F3446" t="str">
            <v/>
          </cell>
          <cell r="G3446" t="str">
            <v>SYSCO SAS</v>
          </cell>
          <cell r="H3446" t="str">
            <v>IMVE</v>
          </cell>
          <cell r="I3446" t="str">
            <v>IMPUESTO SOBRE LAS VENTAS</v>
          </cell>
          <cell r="J3446" t="str">
            <v>CR 69 B 100 67 SEC LA FLORESTA</v>
          </cell>
          <cell r="K3446" t="str">
            <v>11001</v>
          </cell>
          <cell r="L3446" t="str">
            <v>BOGOTA DC</v>
          </cell>
          <cell r="M3446" t="str">
            <v>3138284703</v>
          </cell>
        </row>
        <row r="3447">
          <cell r="A3447">
            <v>814006266</v>
          </cell>
          <cell r="B3447" t="str">
            <v>2</v>
          </cell>
          <cell r="C3447" t="str">
            <v/>
          </cell>
          <cell r="D3447" t="str">
            <v>NJ</v>
          </cell>
          <cell r="E3447" t="str">
            <v/>
          </cell>
          <cell r="F3447" t="str">
            <v/>
          </cell>
          <cell r="G3447" t="str">
            <v>INGELEC S.A.S.</v>
          </cell>
          <cell r="H3447" t="str">
            <v>RECO</v>
          </cell>
          <cell r="I3447" t="str">
            <v>REGIMEN COMUN</v>
          </cell>
          <cell r="J3447" t="str">
            <v xml:space="preserve"> CR 44 A  16 A  42</v>
          </cell>
          <cell r="K3447" t="str">
            <v>52001</v>
          </cell>
          <cell r="L3447" t="str">
            <v xml:space="preserve">PASTO	</v>
          </cell>
          <cell r="M3447" t="str">
            <v>7335099</v>
          </cell>
        </row>
        <row r="3448">
          <cell r="A3448">
            <v>815000896</v>
          </cell>
          <cell r="B3448" t="str">
            <v>9</v>
          </cell>
          <cell r="C3448" t="str">
            <v/>
          </cell>
          <cell r="D3448" t="str">
            <v>NJ</v>
          </cell>
          <cell r="E3448" t="str">
            <v/>
          </cell>
          <cell r="F3448" t="str">
            <v/>
          </cell>
          <cell r="G3448" t="str">
            <v>DISTRIBUIDORA Y COMERCIALIZADORA DE ENERGIA S.A. E.S.P.</v>
          </cell>
          <cell r="H3448" t="str">
            <v>RECO</v>
          </cell>
          <cell r="I3448" t="str">
            <v>REGIMEN COMUN</v>
          </cell>
          <cell r="J3448" t="str">
            <v>CL 64 NORTE   5 B   146 OF 39</v>
          </cell>
          <cell r="K3448" t="str">
            <v>76001</v>
          </cell>
          <cell r="L3448" t="str">
            <v>CALI</v>
          </cell>
          <cell r="M3448" t="str">
            <v>6801515</v>
          </cell>
        </row>
        <row r="3449">
          <cell r="A3449">
            <v>815001009</v>
          </cell>
          <cell r="B3449" t="str">
            <v>7</v>
          </cell>
          <cell r="C3449" t="str">
            <v/>
          </cell>
          <cell r="D3449" t="str">
            <v>NJ</v>
          </cell>
          <cell r="E3449" t="str">
            <v/>
          </cell>
          <cell r="F3449" t="str">
            <v/>
          </cell>
          <cell r="G3449" t="str">
            <v>ASOCIACION DE INGENIEROS CONSTRUCTORES ASINCO LTDA</v>
          </cell>
          <cell r="H3449" t="str">
            <v>RECO</v>
          </cell>
          <cell r="I3449" t="str">
            <v>REGIMEN COMUN</v>
          </cell>
          <cell r="J3449" t="str">
            <v>CL 21 25 25 BRR EL RECREO</v>
          </cell>
          <cell r="K3449" t="str">
            <v>76520</v>
          </cell>
          <cell r="L3449" t="str">
            <v>PALMIRA</v>
          </cell>
          <cell r="M3449" t="str">
            <v>2867381</v>
          </cell>
        </row>
        <row r="3450">
          <cell r="A3450">
            <v>815004411</v>
          </cell>
          <cell r="B3450" t="str">
            <v>9</v>
          </cell>
          <cell r="C3450" t="str">
            <v/>
          </cell>
          <cell r="D3450" t="str">
            <v>NJ</v>
          </cell>
          <cell r="E3450" t="str">
            <v/>
          </cell>
          <cell r="F3450" t="str">
            <v/>
          </cell>
          <cell r="G3450" t="str">
            <v>ESPECIALISTAS EN REPARACIÓN, MONTAJES INDUSTRIALES Y DE CALDERAS</v>
          </cell>
          <cell r="H3450" t="str">
            <v>RECO</v>
          </cell>
          <cell r="I3450" t="str">
            <v>REGIMEN COMUN</v>
          </cell>
          <cell r="J3450" t="str">
            <v>CR 28 69 79</v>
          </cell>
          <cell r="K3450" t="str">
            <v>76520</v>
          </cell>
          <cell r="L3450" t="str">
            <v>PALMIRA</v>
          </cell>
          <cell r="M3450" t="str">
            <v>3117640108</v>
          </cell>
        </row>
        <row r="3451">
          <cell r="A3451">
            <v>816000323</v>
          </cell>
          <cell r="B3451" t="str">
            <v>4</v>
          </cell>
          <cell r="C3451" t="str">
            <v/>
          </cell>
          <cell r="D3451" t="str">
            <v>NJ</v>
          </cell>
          <cell r="E3451" t="str">
            <v/>
          </cell>
          <cell r="F3451" t="str">
            <v/>
          </cell>
          <cell r="G3451" t="str">
            <v>CENTRO COMERCIAL PEREIRA PLAZA PH</v>
          </cell>
          <cell r="H3451" t="str">
            <v>RECO</v>
          </cell>
          <cell r="I3451" t="str">
            <v>REGIMEN COMUN</v>
          </cell>
          <cell r="J3451" t="str">
            <v>CC PERREIRA PLAZA PH</v>
          </cell>
          <cell r="K3451" t="str">
            <v>17001</v>
          </cell>
          <cell r="L3451" t="str">
            <v>MANIZALES</v>
          </cell>
          <cell r="M3451" t="str">
            <v>8756262</v>
          </cell>
        </row>
        <row r="3452">
          <cell r="A3452">
            <v>816001431</v>
          </cell>
          <cell r="B3452" t="str">
            <v>6</v>
          </cell>
          <cell r="C3452" t="str">
            <v/>
          </cell>
          <cell r="D3452" t="str">
            <v>NJ</v>
          </cell>
          <cell r="E3452" t="str">
            <v/>
          </cell>
          <cell r="F3452" t="str">
            <v/>
          </cell>
          <cell r="G3452" t="str">
            <v>INGENIERIA DE SISTEMAS TELEMATICOS S A.</v>
          </cell>
          <cell r="H3452" t="str">
            <v>IMVE</v>
          </cell>
          <cell r="I3452" t="str">
            <v>IMPUESTO SOBRE LAS VENTAS</v>
          </cell>
          <cell r="J3452" t="str">
            <v>CL 144 21 44</v>
          </cell>
          <cell r="K3452" t="str">
            <v>11001</v>
          </cell>
          <cell r="L3452" t="str">
            <v>BOGOTA DC</v>
          </cell>
          <cell r="M3452" t="str">
            <v>6200177</v>
          </cell>
        </row>
        <row r="3453">
          <cell r="A3453">
            <v>816002019</v>
          </cell>
          <cell r="B3453" t="str">
            <v>9</v>
          </cell>
          <cell r="C3453" t="str">
            <v>267166001</v>
          </cell>
          <cell r="D3453" t="str">
            <v>NJ</v>
          </cell>
          <cell r="E3453" t="str">
            <v/>
          </cell>
          <cell r="F3453" t="str">
            <v/>
          </cell>
          <cell r="G3453" t="str">
            <v>EMPRESA DE ENERGIA DE PEREIRA S.A E.S.P.</v>
          </cell>
          <cell r="H3453" t="str">
            <v>GRAU</v>
          </cell>
          <cell r="I3453" t="str">
            <v>GRAN CONTRIBUYENTE AUTORRETENEDO</v>
          </cell>
          <cell r="J3453" t="str">
            <v>CR 10 17 35 ED TORRE CENTRAL</v>
          </cell>
          <cell r="K3453" t="str">
            <v>66001</v>
          </cell>
          <cell r="L3453" t="str">
            <v>PEREIRA</v>
          </cell>
          <cell r="M3453" t="str">
            <v>3151515</v>
          </cell>
        </row>
        <row r="3454">
          <cell r="A3454">
            <v>816003869</v>
          </cell>
          <cell r="B3454" t="str">
            <v>7</v>
          </cell>
          <cell r="C3454" t="str">
            <v/>
          </cell>
          <cell r="D3454" t="str">
            <v>NJ</v>
          </cell>
          <cell r="E3454" t="str">
            <v/>
          </cell>
          <cell r="F3454" t="str">
            <v/>
          </cell>
          <cell r="G3454" t="str">
            <v xml:space="preserve">SERVICIOS DE EMERGENCIAS REGION                             </v>
          </cell>
          <cell r="H3454" t="str">
            <v>GRCO</v>
          </cell>
          <cell r="I3454" t="str">
            <v>GRAN CONTRIBUYENTE</v>
          </cell>
          <cell r="J3454" t="str">
            <v>CL 60   23 A 12 BRR ESTRELLA</v>
          </cell>
          <cell r="K3454" t="str">
            <v>66001</v>
          </cell>
          <cell r="L3454" t="str">
            <v>PEREIRA</v>
          </cell>
          <cell r="M3454" t="str">
            <v>3217272</v>
          </cell>
        </row>
        <row r="3455">
          <cell r="A3455">
            <v>816003954</v>
          </cell>
          <cell r="B3455" t="str">
            <v>5</v>
          </cell>
          <cell r="C3455" t="str">
            <v/>
          </cell>
          <cell r="D3455" t="str">
            <v>NJ</v>
          </cell>
          <cell r="E3455" t="str">
            <v/>
          </cell>
          <cell r="F3455" t="str">
            <v/>
          </cell>
          <cell r="G3455" t="str">
            <v>COOPERATIVA DE PORCICULTORES DEL EJE CAFETERO</v>
          </cell>
          <cell r="H3455" t="str">
            <v>RECO</v>
          </cell>
          <cell r="I3455" t="str">
            <v>REGIMEN COMUN</v>
          </cell>
          <cell r="J3455" t="str">
            <v>ED ADMINISTRATIVO MERCASA OF402 403</v>
          </cell>
          <cell r="K3455" t="str">
            <v>66001</v>
          </cell>
          <cell r="L3455" t="str">
            <v>PEREIRA</v>
          </cell>
          <cell r="M3455" t="str">
            <v>3152717642</v>
          </cell>
        </row>
        <row r="3456">
          <cell r="A3456">
            <v>816004007</v>
          </cell>
          <cell r="B3456" t="str">
            <v>1</v>
          </cell>
          <cell r="C3456" t="str">
            <v/>
          </cell>
          <cell r="D3456" t="str">
            <v>NJ</v>
          </cell>
          <cell r="E3456" t="str">
            <v/>
          </cell>
          <cell r="F3456" t="str">
            <v/>
          </cell>
          <cell r="G3456" t="str">
            <v>ENCISO LTDA</v>
          </cell>
          <cell r="H3456" t="str">
            <v>IMVE</v>
          </cell>
          <cell r="I3456" t="str">
            <v>IMPUESTO SOBRE LAS VENTAS</v>
          </cell>
          <cell r="J3456" t="str">
            <v>CL 9 5 T 178 BRR LA BADEA</v>
          </cell>
          <cell r="K3456" t="str">
            <v>66170</v>
          </cell>
          <cell r="L3456" t="str">
            <v>DOSQUEBRADAS</v>
          </cell>
          <cell r="M3456" t="str">
            <v>8816900</v>
          </cell>
        </row>
        <row r="3457">
          <cell r="A3457">
            <v>816004403</v>
          </cell>
          <cell r="B3457" t="str">
            <v>3</v>
          </cell>
          <cell r="C3457" t="str">
            <v/>
          </cell>
          <cell r="D3457" t="str">
            <v>NJ</v>
          </cell>
          <cell r="E3457" t="str">
            <v/>
          </cell>
          <cell r="F3457" t="str">
            <v/>
          </cell>
          <cell r="G3457" t="str">
            <v>ASOTAMA</v>
          </cell>
          <cell r="H3457" t="str">
            <v>RECO</v>
          </cell>
          <cell r="I3457" t="str">
            <v>REGIMEN COMUN</v>
          </cell>
          <cell r="J3457" t="str">
            <v>AEROPUERTO MATECAÑA</v>
          </cell>
          <cell r="K3457" t="str">
            <v>66001</v>
          </cell>
          <cell r="L3457" t="str">
            <v>PEREIRA</v>
          </cell>
          <cell r="M3457" t="str">
            <v>3154888660</v>
          </cell>
        </row>
        <row r="3458">
          <cell r="A3458">
            <v>816004481</v>
          </cell>
          <cell r="B3458" t="str">
            <v>8</v>
          </cell>
          <cell r="C3458" t="str">
            <v/>
          </cell>
          <cell r="D3458" t="str">
            <v>NJ</v>
          </cell>
          <cell r="E3458" t="str">
            <v/>
          </cell>
          <cell r="F3458" t="str">
            <v/>
          </cell>
          <cell r="G3458" t="str">
            <v>DESTINOS CIA LTDA</v>
          </cell>
          <cell r="H3458" t="str">
            <v>RECO</v>
          </cell>
          <cell r="I3458" t="str">
            <v>REGIMEN COMUN</v>
          </cell>
          <cell r="J3458" t="str">
            <v>CL 14 13 09</v>
          </cell>
          <cell r="K3458" t="str">
            <v>11001</v>
          </cell>
          <cell r="L3458" t="str">
            <v>BOGOTA DC</v>
          </cell>
          <cell r="M3458" t="str">
            <v>3337790</v>
          </cell>
        </row>
        <row r="3459">
          <cell r="A3459">
            <v>816004965</v>
          </cell>
          <cell r="B3459" t="str">
            <v>0</v>
          </cell>
          <cell r="C3459" t="str">
            <v/>
          </cell>
          <cell r="D3459" t="str">
            <v>NJ</v>
          </cell>
          <cell r="E3459" t="str">
            <v/>
          </cell>
          <cell r="F3459" t="str">
            <v/>
          </cell>
          <cell r="G3459" t="str">
            <v xml:space="preserve">ESTATAL DE SEGURIDAD LTDA.                                  </v>
          </cell>
          <cell r="H3459" t="str">
            <v>RCAU</v>
          </cell>
          <cell r="I3459" t="str">
            <v>RESPONSABLE IVA - AUTORETENEDOR</v>
          </cell>
          <cell r="J3459" t="str">
            <v xml:space="preserve"> CL 13 12 15</v>
          </cell>
          <cell r="K3459" t="str">
            <v>66001</v>
          </cell>
          <cell r="L3459" t="str">
            <v>PEREIRA</v>
          </cell>
          <cell r="M3459" t="str">
            <v>8866663</v>
          </cell>
        </row>
        <row r="3460">
          <cell r="A3460">
            <v>816005306</v>
          </cell>
          <cell r="B3460" t="str">
            <v>1</v>
          </cell>
          <cell r="C3460" t="str">
            <v/>
          </cell>
          <cell r="D3460" t="str">
            <v>NJ</v>
          </cell>
          <cell r="E3460" t="str">
            <v/>
          </cell>
          <cell r="F3460" t="str">
            <v/>
          </cell>
          <cell r="G3460" t="str">
            <v>SAYONARA S.A.S</v>
          </cell>
          <cell r="H3460" t="str">
            <v>RECO</v>
          </cell>
          <cell r="I3460" t="str">
            <v>REGIMEN COMUN</v>
          </cell>
          <cell r="J3460" t="str">
            <v>TV UNICENTRO TV LC 33</v>
          </cell>
          <cell r="K3460" t="str">
            <v>11001</v>
          </cell>
          <cell r="L3460" t="str">
            <v>BOGOTA DC</v>
          </cell>
          <cell r="M3460" t="str">
            <v>7201494</v>
          </cell>
        </row>
        <row r="3461">
          <cell r="A3461">
            <v>816005462</v>
          </cell>
          <cell r="B3461" t="str">
            <v>2</v>
          </cell>
          <cell r="C3461" t="str">
            <v/>
          </cell>
          <cell r="D3461" t="str">
            <v>NJ</v>
          </cell>
          <cell r="E3461" t="str">
            <v/>
          </cell>
          <cell r="F3461" t="str">
            <v/>
          </cell>
          <cell r="G3461" t="str">
            <v xml:space="preserve">AEROEXPRESO DEL PACIFICO S.A.                               </v>
          </cell>
          <cell r="H3461" t="str">
            <v>RECO</v>
          </cell>
          <cell r="I3461" t="str">
            <v>REGIMEN COMUN</v>
          </cell>
          <cell r="J3461" t="str">
            <v xml:space="preserve">AEROPUERTO INTERNACIONAL MARECAÑA       </v>
          </cell>
          <cell r="K3461" t="str">
            <v>66001</v>
          </cell>
          <cell r="L3461" t="str">
            <v>PEREIRA</v>
          </cell>
          <cell r="M3461" t="str">
            <v>3143000</v>
          </cell>
        </row>
        <row r="3462">
          <cell r="A3462">
            <v>816005944</v>
          </cell>
          <cell r="B3462" t="str">
            <v>0</v>
          </cell>
          <cell r="C3462" t="str">
            <v/>
          </cell>
          <cell r="D3462" t="str">
            <v>NJ</v>
          </cell>
          <cell r="E3462" t="str">
            <v/>
          </cell>
          <cell r="F3462" t="str">
            <v/>
          </cell>
          <cell r="G3462" t="str">
            <v>CORPORACION JUVENTUD 1900</v>
          </cell>
          <cell r="H3462" t="str">
            <v>RECO</v>
          </cell>
          <cell r="I3462" t="str">
            <v>REGIMEN COMUN</v>
          </cell>
          <cell r="J3462" t="str">
            <v>CL 35   12 A 07 BRR GUADALUPE</v>
          </cell>
          <cell r="K3462" t="str">
            <v>66170</v>
          </cell>
          <cell r="L3462" t="str">
            <v>DOSQUEBRADAS</v>
          </cell>
          <cell r="M3462" t="str">
            <v>3336559</v>
          </cell>
        </row>
        <row r="3463">
          <cell r="A3463">
            <v>816006449</v>
          </cell>
          <cell r="B3463" t="str">
            <v>0</v>
          </cell>
          <cell r="C3463" t="str">
            <v/>
          </cell>
          <cell r="D3463" t="str">
            <v>NJ</v>
          </cell>
          <cell r="E3463" t="str">
            <v/>
          </cell>
          <cell r="F3463" t="str">
            <v/>
          </cell>
          <cell r="G3463" t="str">
            <v>LA SORPRESA</v>
          </cell>
          <cell r="H3463" t="str">
            <v>RECO</v>
          </cell>
          <cell r="I3463" t="str">
            <v>REGIMEN COMUN</v>
          </cell>
          <cell r="J3463" t="str">
            <v>CR 20   22   37</v>
          </cell>
          <cell r="K3463" t="str">
            <v>17001</v>
          </cell>
          <cell r="L3463" t="str">
            <v>MANIZALES</v>
          </cell>
          <cell r="M3463" t="str">
            <v>8812265</v>
          </cell>
        </row>
        <row r="3464">
          <cell r="A3464">
            <v>816006564</v>
          </cell>
          <cell r="B3464" t="str">
            <v>1</v>
          </cell>
          <cell r="C3464" t="str">
            <v/>
          </cell>
          <cell r="D3464" t="str">
            <v>NJ</v>
          </cell>
          <cell r="E3464" t="str">
            <v/>
          </cell>
          <cell r="F3464" t="str">
            <v/>
          </cell>
          <cell r="G3464" t="str">
            <v>COMERCIALIZADORA TATAMA E.U.</v>
          </cell>
          <cell r="H3464" t="str">
            <v>RECO</v>
          </cell>
          <cell r="I3464" t="str">
            <v>REGIMEN COMUN</v>
          </cell>
          <cell r="J3464" t="str">
            <v>MZ 14 CA 15 P 1 BRR SAMARIA II</v>
          </cell>
          <cell r="K3464" t="str">
            <v>66001</v>
          </cell>
          <cell r="L3464" t="str">
            <v>PEREIRA</v>
          </cell>
          <cell r="M3464" t="str">
            <v>3142688</v>
          </cell>
        </row>
        <row r="3465">
          <cell r="A3465">
            <v>816007833</v>
          </cell>
          <cell r="B3465" t="str">
            <v>0</v>
          </cell>
          <cell r="C3465" t="str">
            <v/>
          </cell>
          <cell r="D3465" t="str">
            <v>NJ</v>
          </cell>
          <cell r="E3465" t="str">
            <v/>
          </cell>
          <cell r="F3465" t="str">
            <v/>
          </cell>
          <cell r="G3465" t="str">
            <v>INGENIERIA TELEMATICA SAS</v>
          </cell>
          <cell r="H3465" t="str">
            <v>IMVE</v>
          </cell>
          <cell r="I3465" t="str">
            <v>IMPUESTO SOBRE LAS VENTAS</v>
          </cell>
          <cell r="J3465" t="str">
            <v xml:space="preserve"> CL 11 23 41 BRR ALAMOS P 2</v>
          </cell>
          <cell r="K3465" t="str">
            <v>66001</v>
          </cell>
          <cell r="L3465" t="str">
            <v>PEREIRA</v>
          </cell>
          <cell r="M3465" t="str">
            <v>3218799</v>
          </cell>
        </row>
        <row r="3466">
          <cell r="A3466">
            <v>816008512</v>
          </cell>
          <cell r="B3466" t="str">
            <v>6</v>
          </cell>
          <cell r="C3466" t="str">
            <v/>
          </cell>
          <cell r="D3466" t="str">
            <v>NJ</v>
          </cell>
          <cell r="E3466" t="str">
            <v/>
          </cell>
          <cell r="F3466" t="str">
            <v/>
          </cell>
          <cell r="G3466" t="str">
            <v xml:space="preserve">OFITEC LTDA                   </v>
          </cell>
          <cell r="H3466" t="str">
            <v>RECO</v>
          </cell>
          <cell r="I3466" t="str">
            <v>REGIMEN COMUN</v>
          </cell>
          <cell r="J3466" t="str">
            <v>AV 30 DE AGOSTO 4914</v>
          </cell>
          <cell r="K3466" t="str">
            <v>66001</v>
          </cell>
          <cell r="L3466" t="str">
            <v>PEREIRA</v>
          </cell>
          <cell r="M3466" t="str">
            <v>3267528</v>
          </cell>
        </row>
        <row r="3467">
          <cell r="A3467">
            <v>817000248</v>
          </cell>
          <cell r="B3467" t="str">
            <v>3</v>
          </cell>
          <cell r="C3467" t="str">
            <v/>
          </cell>
          <cell r="D3467" t="str">
            <v>NJ</v>
          </cell>
          <cell r="E3467" t="str">
            <v/>
          </cell>
          <cell r="F3467" t="str">
            <v/>
          </cell>
          <cell r="G3467" t="str">
            <v>ASOCIACION MUTUAL LA ESPERANZA ASMET SALUD ESS EPS</v>
          </cell>
          <cell r="H3467" t="str">
            <v>ENSA</v>
          </cell>
          <cell r="I3467" t="str">
            <v>ENTIDADES SIN ANIMO DE LUCRO</v>
          </cell>
          <cell r="J3467" t="str">
            <v>Carrera 7 N 35 -23 Teusaquillo</v>
          </cell>
          <cell r="K3467" t="str">
            <v>11001</v>
          </cell>
          <cell r="L3467" t="str">
            <v>BOGOTA DC</v>
          </cell>
          <cell r="M3467" t="str">
            <v>2853553</v>
          </cell>
        </row>
        <row r="3468">
          <cell r="A3468">
            <v>817000428</v>
          </cell>
          <cell r="B3468" t="str">
            <v>2</v>
          </cell>
          <cell r="C3468" t="str">
            <v/>
          </cell>
          <cell r="D3468" t="str">
            <v>NJ</v>
          </cell>
          <cell r="E3468" t="str">
            <v/>
          </cell>
          <cell r="F3468" t="str">
            <v/>
          </cell>
          <cell r="G3468" t="str">
            <v>ELECTROENERGIZAR INGENIERIA LIMITADA</v>
          </cell>
          <cell r="H3468" t="str">
            <v>RECO</v>
          </cell>
          <cell r="I3468" t="str">
            <v>REGIMEN COMUN</v>
          </cell>
          <cell r="J3468" t="str">
            <v xml:space="preserve"> CR 17 13 C 15</v>
          </cell>
          <cell r="K3468" t="str">
            <v>19001</v>
          </cell>
          <cell r="L3468" t="str">
            <v>POPAYÁN</v>
          </cell>
          <cell r="M3468" t="str">
            <v>8222906</v>
          </cell>
        </row>
        <row r="3469">
          <cell r="A3469">
            <v>817001773</v>
          </cell>
          <cell r="B3469" t="str">
            <v>3</v>
          </cell>
          <cell r="C3469" t="str">
            <v>923269149</v>
          </cell>
          <cell r="D3469" t="str">
            <v>NJ</v>
          </cell>
          <cell r="E3469" t="str">
            <v/>
          </cell>
          <cell r="F3469" t="str">
            <v/>
          </cell>
          <cell r="G3469" t="str">
            <v>ASOCIACIÓN INDÍGENA DEL CUACA AIC EPS-INDIGENA</v>
          </cell>
          <cell r="H3469" t="str">
            <v>GRCO</v>
          </cell>
          <cell r="I3469" t="str">
            <v>GRAN CONTRIBUYENTE</v>
          </cell>
          <cell r="J3469" t="str">
            <v>CRA 5  1 B 15</v>
          </cell>
          <cell r="K3469" t="str">
            <v>19001</v>
          </cell>
          <cell r="L3469" t="str">
            <v>POPAYÁN</v>
          </cell>
          <cell r="M3469" t="str">
            <v>8274200</v>
          </cell>
        </row>
        <row r="3470">
          <cell r="A3470">
            <v>817001892</v>
          </cell>
          <cell r="B3470" t="str">
            <v>1</v>
          </cell>
          <cell r="C3470" t="str">
            <v/>
          </cell>
          <cell r="D3470" t="str">
            <v>NJ</v>
          </cell>
          <cell r="E3470" t="str">
            <v/>
          </cell>
          <cell r="F3470" t="str">
            <v/>
          </cell>
          <cell r="G3470" t="str">
            <v>VATIA SA ESP</v>
          </cell>
          <cell r="H3470" t="str">
            <v>GRCO</v>
          </cell>
          <cell r="I3470" t="str">
            <v>GRAN CONTRIBUYENTE</v>
          </cell>
          <cell r="J3470" t="str">
            <v xml:space="preserve">AV 6 NORTE NO  47 N 32                  </v>
          </cell>
          <cell r="K3470" t="str">
            <v>76001</v>
          </cell>
          <cell r="L3470" t="str">
            <v>CALI</v>
          </cell>
          <cell r="M3470" t="str">
            <v>6661182</v>
          </cell>
        </row>
        <row r="3471">
          <cell r="A3471">
            <v>817002178</v>
          </cell>
          <cell r="B3471" t="str">
            <v>5</v>
          </cell>
          <cell r="C3471" t="str">
            <v/>
          </cell>
          <cell r="D3471" t="str">
            <v>NJ</v>
          </cell>
          <cell r="E3471" t="str">
            <v/>
          </cell>
          <cell r="F3471" t="str">
            <v/>
          </cell>
          <cell r="G3471" t="str">
            <v>ELÉCTRICAS Y TELECOMUNICACIONES FABIÁN ALVEIRO FERNÁNDEZ E.U.</v>
          </cell>
          <cell r="H3471" t="str">
            <v>RECO</v>
          </cell>
          <cell r="I3471" t="str">
            <v>REGIMEN COMUN</v>
          </cell>
          <cell r="J3471" t="str">
            <v>CL 17 A  N 14  33  BRR MACHANGARA</v>
          </cell>
          <cell r="K3471" t="str">
            <v>19001</v>
          </cell>
          <cell r="L3471" t="str">
            <v>POPAYÁN</v>
          </cell>
          <cell r="M3471" t="str">
            <v>3168760389</v>
          </cell>
        </row>
        <row r="3472">
          <cell r="A3472">
            <v>817002185</v>
          </cell>
          <cell r="B3472" t="str">
            <v>7</v>
          </cell>
          <cell r="C3472" t="str">
            <v/>
          </cell>
          <cell r="D3472" t="str">
            <v>NJ</v>
          </cell>
          <cell r="E3472" t="str">
            <v/>
          </cell>
          <cell r="F3472" t="str">
            <v/>
          </cell>
          <cell r="G3472" t="str">
            <v>TODO ELECTRICO DEL CAUCA SAS</v>
          </cell>
          <cell r="H3472" t="str">
            <v>RECO</v>
          </cell>
          <cell r="I3472" t="str">
            <v>REGIMEN COMUN</v>
          </cell>
          <cell r="J3472" t="str">
            <v xml:space="preserve"> CR  8 17 A  N 10</v>
          </cell>
          <cell r="K3472" t="str">
            <v>19001</v>
          </cell>
          <cell r="L3472" t="str">
            <v>POPAYÁN</v>
          </cell>
          <cell r="M3472" t="str">
            <v>8200008</v>
          </cell>
        </row>
        <row r="3473">
          <cell r="A3473">
            <v>817003249</v>
          </cell>
          <cell r="B3473" t="str">
            <v>4</v>
          </cell>
          <cell r="C3473" t="str">
            <v/>
          </cell>
          <cell r="D3473" t="str">
            <v>NJ</v>
          </cell>
          <cell r="E3473" t="str">
            <v/>
          </cell>
          <cell r="F3473" t="str">
            <v/>
          </cell>
          <cell r="G3473" t="str">
            <v>AZUL PACIFICO LTDA</v>
          </cell>
          <cell r="H3473" t="str">
            <v>RECO</v>
          </cell>
          <cell r="I3473" t="str">
            <v>REGIMEN COMUN</v>
          </cell>
          <cell r="J3473" t="str">
            <v>CR 2 7 69</v>
          </cell>
          <cell r="K3473" t="str">
            <v>19318</v>
          </cell>
          <cell r="L3473" t="str">
            <v>GUAPI</v>
          </cell>
          <cell r="M3473" t="str">
            <v>0928400224</v>
          </cell>
        </row>
        <row r="3474">
          <cell r="A3474">
            <v>817005206</v>
          </cell>
          <cell r="B3474" t="str">
            <v>7</v>
          </cell>
          <cell r="C3474" t="str">
            <v/>
          </cell>
          <cell r="D3474" t="str">
            <v>NJ</v>
          </cell>
          <cell r="E3474" t="str">
            <v/>
          </cell>
          <cell r="F3474" t="str">
            <v/>
          </cell>
          <cell r="G3474" t="str">
            <v>HOTEL RIO GUAPI</v>
          </cell>
          <cell r="H3474" t="str">
            <v>RECO</v>
          </cell>
          <cell r="I3474" t="str">
            <v>REGIMEN COMUN</v>
          </cell>
          <cell r="J3474" t="str">
            <v>CARRERA 2 No. 10-40</v>
          </cell>
          <cell r="K3474" t="str">
            <v>19318</v>
          </cell>
          <cell r="L3474" t="str">
            <v>GUAPI</v>
          </cell>
          <cell r="M3474" t="str">
            <v>8400983</v>
          </cell>
        </row>
        <row r="3475">
          <cell r="A3475">
            <v>818000192</v>
          </cell>
          <cell r="B3475" t="str">
            <v>3</v>
          </cell>
          <cell r="C3475" t="str">
            <v/>
          </cell>
          <cell r="D3475" t="str">
            <v>NJ</v>
          </cell>
          <cell r="E3475" t="str">
            <v/>
          </cell>
          <cell r="F3475" t="str">
            <v/>
          </cell>
          <cell r="G3475" t="str">
            <v>ELECMURI S.A E.S.P</v>
          </cell>
          <cell r="H3475" t="str">
            <v>RECO</v>
          </cell>
          <cell r="I3475" t="str">
            <v>REGIMEN COMUN</v>
          </cell>
          <cell r="J3475" t="str">
            <v>BARRIO BENJAMIN HIDALGO</v>
          </cell>
          <cell r="K3475" t="str">
            <v>17614</v>
          </cell>
          <cell r="L3475" t="str">
            <v>RIOSUCIO</v>
          </cell>
          <cell r="M3475" t="str">
            <v>6810014-</v>
          </cell>
        </row>
        <row r="3476">
          <cell r="A3476">
            <v>818000263</v>
          </cell>
          <cell r="B3476" t="str">
            <v>8</v>
          </cell>
          <cell r="C3476" t="str">
            <v/>
          </cell>
          <cell r="D3476" t="str">
            <v>NJ</v>
          </cell>
          <cell r="E3476" t="str">
            <v/>
          </cell>
          <cell r="F3476" t="str">
            <v/>
          </cell>
          <cell r="G3476" t="str">
            <v>EMPRESA DE SERVICIOS PUBLICOS DE BAHIA SOLANO S.A. E.S.P.</v>
          </cell>
          <cell r="H3476" t="str">
            <v>RCAU</v>
          </cell>
          <cell r="I3476" t="str">
            <v>RESPONSABLE IVA - AUTORETENEDOR</v>
          </cell>
          <cell r="J3476" t="str">
            <v>BRR EL CARMEN</v>
          </cell>
          <cell r="K3476" t="str">
            <v>27075</v>
          </cell>
          <cell r="L3476" t="str">
            <v>BAHÍA SOLANO</v>
          </cell>
          <cell r="M3476" t="str">
            <v>3146641287</v>
          </cell>
        </row>
        <row r="3477">
          <cell r="A3477">
            <v>818000293</v>
          </cell>
          <cell r="B3477" t="str">
            <v>9</v>
          </cell>
          <cell r="C3477" t="str">
            <v/>
          </cell>
          <cell r="D3477" t="str">
            <v>NJ</v>
          </cell>
          <cell r="E3477" t="str">
            <v/>
          </cell>
          <cell r="F3477" t="str">
            <v/>
          </cell>
          <cell r="G3477" t="str">
            <v xml:space="preserve">EMSELCA E.S.P.                </v>
          </cell>
          <cell r="H3477" t="str">
            <v>RECO</v>
          </cell>
          <cell r="I3477" t="str">
            <v>REGIMEN COMUN</v>
          </cell>
          <cell r="J3477" t="str">
            <v>CL CONSISTORIAL CON LAS FLORES</v>
          </cell>
          <cell r="K3477" t="str">
            <v>27006</v>
          </cell>
          <cell r="L3477" t="str">
            <v>ACANDÍ</v>
          </cell>
          <cell r="M3477" t="str">
            <v>68528518</v>
          </cell>
        </row>
        <row r="3478">
          <cell r="A3478">
            <v>818001341</v>
          </cell>
          <cell r="B3478" t="str">
            <v>9</v>
          </cell>
          <cell r="C3478" t="str">
            <v>215027150</v>
          </cell>
          <cell r="D3478" t="str">
            <v>NJ</v>
          </cell>
          <cell r="E3478" t="str">
            <v/>
          </cell>
          <cell r="F3478" t="str">
            <v/>
          </cell>
          <cell r="G3478" t="str">
            <v>MUNICIPIO DEL CARMEN DEL DARIEN</v>
          </cell>
          <cell r="H3478" t="str">
            <v>RECO</v>
          </cell>
          <cell r="I3478" t="str">
            <v>REGIMEN COMUN</v>
          </cell>
          <cell r="J3478" t="str">
            <v>BARRIO JARDIN CURBARADO PALACIO</v>
          </cell>
          <cell r="K3478" t="str">
            <v>27150</v>
          </cell>
          <cell r="L3478" t="str">
            <v>CARMEN DEL DARIEN</v>
          </cell>
          <cell r="M3478" t="str">
            <v>5414206</v>
          </cell>
        </row>
        <row r="3479">
          <cell r="A3479">
            <v>818001492</v>
          </cell>
          <cell r="B3479" t="str">
            <v>2</v>
          </cell>
          <cell r="C3479" t="str">
            <v/>
          </cell>
          <cell r="D3479" t="str">
            <v>NJ</v>
          </cell>
          <cell r="E3479" t="str">
            <v/>
          </cell>
          <cell r="F3479" t="str">
            <v/>
          </cell>
          <cell r="G3479" t="str">
            <v>JULIO BOTERO E HIJOS CIA LTDA</v>
          </cell>
          <cell r="H3479" t="str">
            <v>RECO</v>
          </cell>
          <cell r="I3479" t="str">
            <v>REGIMEN COMUN</v>
          </cell>
          <cell r="J3479" t="str">
            <v>BRR EL CARMEN</v>
          </cell>
          <cell r="K3479" t="str">
            <v>27075</v>
          </cell>
          <cell r="L3479" t="str">
            <v>BAHÍA SOLANO</v>
          </cell>
          <cell r="M3479" t="str">
            <v>946827043</v>
          </cell>
        </row>
        <row r="3480">
          <cell r="A3480">
            <v>818001629</v>
          </cell>
          <cell r="B3480" t="str">
            <v>4</v>
          </cell>
          <cell r="C3480" t="str">
            <v>94500000</v>
          </cell>
          <cell r="D3480" t="str">
            <v>NJ</v>
          </cell>
          <cell r="E3480" t="str">
            <v/>
          </cell>
          <cell r="F3480" t="str">
            <v/>
          </cell>
          <cell r="G3480" t="str">
            <v>EMPRESA DISTRIBUIDORA DEL PACIFICO S.A. E.S.P.</v>
          </cell>
          <cell r="H3480" t="str">
            <v>IMVE</v>
          </cell>
          <cell r="I3480" t="str">
            <v>IMPUESTO SOBRE LAS VENTAS</v>
          </cell>
          <cell r="J3480" t="str">
            <v>CR 7 24 76</v>
          </cell>
          <cell r="K3480" t="str">
            <v>27001</v>
          </cell>
          <cell r="L3480" t="str">
            <v>QUIBDO</v>
          </cell>
          <cell r="M3480" t="str">
            <v>6726172</v>
          </cell>
        </row>
        <row r="3481">
          <cell r="A3481">
            <v>819000827</v>
          </cell>
          <cell r="B3481" t="str">
            <v>5</v>
          </cell>
          <cell r="C3481" t="str">
            <v/>
          </cell>
          <cell r="D3481" t="str">
            <v>NJ</v>
          </cell>
          <cell r="E3481" t="str">
            <v/>
          </cell>
          <cell r="F3481" t="str">
            <v/>
          </cell>
          <cell r="G3481" t="str">
            <v>COOTRARIGUANI</v>
          </cell>
          <cell r="H3481" t="str">
            <v>RESI</v>
          </cell>
          <cell r="I3481" t="str">
            <v>REGIMEN SIMPLIFICADO</v>
          </cell>
          <cell r="J3481" t="str">
            <v>DG 7 N 5 11</v>
          </cell>
          <cell r="K3481" t="str">
            <v>47058</v>
          </cell>
          <cell r="L3481" t="str">
            <v>ARIGUANÍ</v>
          </cell>
          <cell r="M3481" t="str">
            <v>4257810</v>
          </cell>
        </row>
        <row r="3482">
          <cell r="A3482">
            <v>819002304</v>
          </cell>
          <cell r="B3482" t="str">
            <v>4</v>
          </cell>
          <cell r="C3482" t="str">
            <v/>
          </cell>
          <cell r="D3482" t="str">
            <v>NJ</v>
          </cell>
          <cell r="E3482" t="str">
            <v/>
          </cell>
          <cell r="F3482" t="str">
            <v/>
          </cell>
          <cell r="G3482" t="str">
            <v xml:space="preserve">ELECTRICAS GB LTDA.                                         </v>
          </cell>
          <cell r="H3482" t="str">
            <v>RECO</v>
          </cell>
          <cell r="I3482" t="str">
            <v>REGIMEN COMUN</v>
          </cell>
          <cell r="J3482" t="str">
            <v xml:space="preserve"> CL 24 A  4 91</v>
          </cell>
          <cell r="K3482" t="str">
            <v>47001</v>
          </cell>
          <cell r="L3482" t="str">
            <v>SANTA MARTA</v>
          </cell>
          <cell r="M3482" t="str">
            <v>4201256</v>
          </cell>
        </row>
        <row r="3483">
          <cell r="A3483">
            <v>819006311</v>
          </cell>
          <cell r="B3483" t="str">
            <v>4</v>
          </cell>
          <cell r="C3483" t="str">
            <v/>
          </cell>
          <cell r="D3483" t="str">
            <v>NJ</v>
          </cell>
          <cell r="E3483" t="str">
            <v/>
          </cell>
          <cell r="F3483" t="str">
            <v/>
          </cell>
          <cell r="G3483" t="str">
            <v>TRANSPORTES MARSOL</v>
          </cell>
          <cell r="H3483" t="str">
            <v>COIM</v>
          </cell>
          <cell r="I3483" t="str">
            <v>CONTROL DE IMPUESTOS</v>
          </cell>
          <cell r="J3483" t="str">
            <v>CR 55 74 169</v>
          </cell>
          <cell r="K3483" t="str">
            <v>08001</v>
          </cell>
          <cell r="L3483" t="str">
            <v>BARRANQUILLA</v>
          </cell>
          <cell r="M3483" t="str">
            <v>3690999</v>
          </cell>
        </row>
        <row r="3484">
          <cell r="A3484">
            <v>820000077</v>
          </cell>
          <cell r="B3484" t="str">
            <v>1</v>
          </cell>
          <cell r="C3484" t="str">
            <v/>
          </cell>
          <cell r="D3484" t="str">
            <v>NJ</v>
          </cell>
          <cell r="E3484" t="str">
            <v/>
          </cell>
          <cell r="F3484" t="str">
            <v/>
          </cell>
          <cell r="G3484" t="str">
            <v>GESPRODING LTDA</v>
          </cell>
          <cell r="H3484" t="str">
            <v>RECO</v>
          </cell>
          <cell r="I3484" t="str">
            <v>REGIMEN COMUN</v>
          </cell>
          <cell r="J3484" t="str">
            <v>CL 21 A   10   90 IN 15</v>
          </cell>
          <cell r="K3484" t="str">
            <v>15001</v>
          </cell>
          <cell r="L3484" t="str">
            <v>TUNJA</v>
          </cell>
          <cell r="M3484" t="str">
            <v>7400135</v>
          </cell>
        </row>
        <row r="3485">
          <cell r="A3485">
            <v>820000107</v>
          </cell>
          <cell r="B3485" t="str">
            <v>4</v>
          </cell>
          <cell r="C3485" t="str">
            <v>127715000</v>
          </cell>
          <cell r="D3485" t="str">
            <v>NJ</v>
          </cell>
          <cell r="E3485" t="str">
            <v/>
          </cell>
          <cell r="F3485" t="str">
            <v/>
          </cell>
          <cell r="G3485" t="str">
            <v>FONDO MIXTO PARA LA PROMOCION DE LA CULTURA Y LAS ARTES DE BOYAC</v>
          </cell>
          <cell r="H3485" t="str">
            <v>RECO</v>
          </cell>
          <cell r="I3485" t="str">
            <v>REGIMEN COMUN</v>
          </cell>
          <cell r="J3485" t="str">
            <v xml:space="preserve"> CL 20  8 52 CASA MUSEO DON JUAN DE VARGAS BRR CENTRO</v>
          </cell>
          <cell r="K3485" t="str">
            <v>15001</v>
          </cell>
          <cell r="L3485" t="str">
            <v>TUNJA</v>
          </cell>
          <cell r="M3485" t="str">
            <v>7426611</v>
          </cell>
        </row>
        <row r="3486">
          <cell r="A3486">
            <v>820001830</v>
          </cell>
          <cell r="B3486" t="str">
            <v>6</v>
          </cell>
          <cell r="C3486" t="str">
            <v/>
          </cell>
          <cell r="D3486" t="str">
            <v>NJ</v>
          </cell>
          <cell r="E3486" t="str">
            <v/>
          </cell>
          <cell r="F3486" t="str">
            <v/>
          </cell>
          <cell r="G3486" t="str">
            <v>LEAL INGENIEROS SAS</v>
          </cell>
          <cell r="H3486" t="str">
            <v>IMVE</v>
          </cell>
          <cell r="I3486" t="str">
            <v>IMPUESTO SOBRE LAS VENTAS</v>
          </cell>
          <cell r="J3486" t="str">
            <v>CL 100 60 04 OF 601</v>
          </cell>
          <cell r="K3486" t="str">
            <v>11001</v>
          </cell>
          <cell r="L3486" t="str">
            <v>BOGOTA DC</v>
          </cell>
          <cell r="M3486" t="str">
            <v>6139456</v>
          </cell>
        </row>
        <row r="3487">
          <cell r="A3487">
            <v>820005195</v>
          </cell>
          <cell r="B3487" t="str">
            <v>5</v>
          </cell>
          <cell r="C3487" t="str">
            <v/>
          </cell>
          <cell r="D3487" t="str">
            <v>NJ</v>
          </cell>
          <cell r="E3487" t="str">
            <v/>
          </cell>
          <cell r="F3487" t="str">
            <v/>
          </cell>
          <cell r="G3487" t="str">
            <v>CORPORACION RED NACIONAL DE MEDIOS</v>
          </cell>
          <cell r="H3487" t="str">
            <v>IMVE</v>
          </cell>
          <cell r="I3487" t="str">
            <v>IMPUESTO SOBRE LAS VENTAS</v>
          </cell>
          <cell r="J3487" t="str">
            <v>CL 12 N 10 58 IN 4</v>
          </cell>
          <cell r="K3487" t="str">
            <v>15001</v>
          </cell>
          <cell r="L3487" t="str">
            <v>TUNJA</v>
          </cell>
          <cell r="M3487" t="str">
            <v>3112190395</v>
          </cell>
        </row>
        <row r="3488">
          <cell r="A3488">
            <v>822000138</v>
          </cell>
          <cell r="B3488" t="str">
            <v>1</v>
          </cell>
          <cell r="C3488" t="str">
            <v/>
          </cell>
          <cell r="D3488" t="str">
            <v>NJ</v>
          </cell>
          <cell r="E3488" t="str">
            <v/>
          </cell>
          <cell r="F3488" t="str">
            <v/>
          </cell>
          <cell r="G3488" t="str">
            <v>INGECON SA</v>
          </cell>
          <cell r="H3488" t="str">
            <v>RECO</v>
          </cell>
          <cell r="I3488" t="str">
            <v>REGIMEN COMUN</v>
          </cell>
          <cell r="J3488" t="str">
            <v>CL 98   22   64  ED CL 100  OF 1008</v>
          </cell>
          <cell r="K3488" t="str">
            <v>11001</v>
          </cell>
          <cell r="L3488" t="str">
            <v>BOGOTA DC</v>
          </cell>
          <cell r="M3488" t="str">
            <v>6232670</v>
          </cell>
        </row>
        <row r="3489">
          <cell r="A3489">
            <v>822001736</v>
          </cell>
          <cell r="B3489" t="str">
            <v>9</v>
          </cell>
          <cell r="C3489" t="str">
            <v/>
          </cell>
          <cell r="D3489" t="str">
            <v>NJ</v>
          </cell>
          <cell r="E3489" t="str">
            <v/>
          </cell>
          <cell r="F3489" t="str">
            <v/>
          </cell>
          <cell r="G3489" t="str">
            <v xml:space="preserve">NATRI LTDA                                                  </v>
          </cell>
          <cell r="H3489" t="str">
            <v>RECO</v>
          </cell>
          <cell r="I3489" t="str">
            <v>REGIMEN COMUN</v>
          </cell>
          <cell r="J3489" t="str">
            <v xml:space="preserve">MZ A CL 4 CR 14 ESQ         </v>
          </cell>
          <cell r="K3489" t="str">
            <v>50001</v>
          </cell>
          <cell r="L3489" t="str">
            <v>VILLAVICENCIO</v>
          </cell>
          <cell r="M3489" t="str">
            <v>6721612</v>
          </cell>
        </row>
        <row r="3490">
          <cell r="A3490">
            <v>822002144</v>
          </cell>
          <cell r="B3490" t="str">
            <v>3</v>
          </cell>
          <cell r="C3490" t="str">
            <v>163150000</v>
          </cell>
          <cell r="D3490" t="str">
            <v>NJ</v>
          </cell>
          <cell r="E3490" t="str">
            <v/>
          </cell>
          <cell r="F3490" t="str">
            <v/>
          </cell>
          <cell r="G3490" t="str">
            <v>INSTITUTO DEPARTAMENTAL DE CULTURA DEL META</v>
          </cell>
          <cell r="H3490" t="str">
            <v>COIM</v>
          </cell>
          <cell r="I3490" t="str">
            <v>CONTROL DE IMPUESTOS</v>
          </cell>
          <cell r="J3490" t="str">
            <v>COMPLEJO DEPORTIVO JOSE EUSTACIO RIVERA CR 33 29 TEATRO LA VORAG</v>
          </cell>
          <cell r="K3490" t="str">
            <v>50001</v>
          </cell>
          <cell r="L3490" t="str">
            <v>VILLAVICENCIO</v>
          </cell>
          <cell r="M3490" t="str">
            <v>6716639</v>
          </cell>
        </row>
        <row r="3491">
          <cell r="A3491">
            <v>822002964</v>
          </cell>
          <cell r="B3491" t="str">
            <v>6</v>
          </cell>
          <cell r="C3491" t="str">
            <v/>
          </cell>
          <cell r="D3491" t="str">
            <v>NJ</v>
          </cell>
          <cell r="E3491" t="str">
            <v/>
          </cell>
          <cell r="F3491" t="str">
            <v/>
          </cell>
          <cell r="G3491" t="str">
            <v>COOPERATIVA DE TRANSPORTADORES DEL GUAVIARE</v>
          </cell>
          <cell r="H3491" t="str">
            <v>IMVE</v>
          </cell>
          <cell r="I3491" t="str">
            <v>IMPUESTO SOBRE LAS VENTAS</v>
          </cell>
          <cell r="J3491" t="str">
            <v>CL 9 A 19 A 05</v>
          </cell>
          <cell r="K3491" t="str">
            <v>95001</v>
          </cell>
          <cell r="L3491" t="str">
            <v>SAN JOSÉ DEL GUAVIARE</v>
          </cell>
          <cell r="M3491" t="str">
            <v>3115867718</v>
          </cell>
        </row>
        <row r="3492">
          <cell r="A3492">
            <v>822004680</v>
          </cell>
          <cell r="B3492" t="str">
            <v>9</v>
          </cell>
          <cell r="C3492" t="str">
            <v>130295000</v>
          </cell>
          <cell r="D3492" t="str">
            <v>NJ</v>
          </cell>
          <cell r="E3492" t="str">
            <v/>
          </cell>
          <cell r="F3492" t="str">
            <v/>
          </cell>
          <cell r="G3492" t="str">
            <v>EMPRESA DE ENERGIA ELECTRICA  DEL DPTO DEL GUAVIARE S.A. E.S.P.</v>
          </cell>
          <cell r="H3492" t="str">
            <v>IMVE</v>
          </cell>
          <cell r="I3492" t="str">
            <v>IMPUESTO SOBRE LAS VENTAS</v>
          </cell>
          <cell r="J3492" t="str">
            <v>CL 8 23 55 BRR CENTRO</v>
          </cell>
          <cell r="K3492" t="str">
            <v>95001</v>
          </cell>
          <cell r="L3492" t="str">
            <v>SAN JOSÉ DEL GUAVIARE</v>
          </cell>
          <cell r="M3492" t="str">
            <v>5840180</v>
          </cell>
        </row>
        <row r="3493">
          <cell r="A3493">
            <v>822006807</v>
          </cell>
          <cell r="B3493" t="str">
            <v>6</v>
          </cell>
          <cell r="C3493" t="str">
            <v/>
          </cell>
          <cell r="D3493" t="str">
            <v>NJ</v>
          </cell>
          <cell r="E3493" t="str">
            <v/>
          </cell>
          <cell r="F3493" t="str">
            <v/>
          </cell>
          <cell r="G3493" t="str">
            <v>LATINOAMERICANA DE SERVICIOS AEREO S.A.S.</v>
          </cell>
          <cell r="H3493" t="str">
            <v>IMVE</v>
          </cell>
          <cell r="I3493" t="str">
            <v>IMPUESTO SOBRE LAS VENTAS</v>
          </cell>
          <cell r="J3493" t="str">
            <v>AER VANGUARDIA</v>
          </cell>
          <cell r="K3493" t="str">
            <v>50001</v>
          </cell>
          <cell r="L3493" t="str">
            <v>VILLAVICENCIO</v>
          </cell>
          <cell r="M3493" t="str">
            <v>6648684</v>
          </cell>
        </row>
        <row r="3494">
          <cell r="A3494">
            <v>822006886</v>
          </cell>
          <cell r="B3494" t="str">
            <v>8</v>
          </cell>
          <cell r="C3494" t="str">
            <v/>
          </cell>
          <cell r="D3494" t="str">
            <v>NJ</v>
          </cell>
          <cell r="E3494" t="str">
            <v/>
          </cell>
          <cell r="F3494" t="str">
            <v/>
          </cell>
          <cell r="G3494" t="str">
            <v>SOLUCIONES INTEGRALES EN ENERGIA CIVIL Y AMBIENTAL E.U</v>
          </cell>
          <cell r="H3494" t="str">
            <v>RECO</v>
          </cell>
          <cell r="I3494" t="str">
            <v>REGIMEN COMUN</v>
          </cell>
          <cell r="J3494" t="str">
            <v>CL 9 5  61 BRR GUADALUPE</v>
          </cell>
          <cell r="K3494" t="str">
            <v>50573</v>
          </cell>
          <cell r="L3494" t="str">
            <v>PUERTO LÓPEZ</v>
          </cell>
          <cell r="M3494" t="str">
            <v>6687157</v>
          </cell>
        </row>
        <row r="3495">
          <cell r="A3495">
            <v>823002005</v>
          </cell>
          <cell r="B3495" t="str">
            <v>1</v>
          </cell>
          <cell r="C3495" t="str">
            <v/>
          </cell>
          <cell r="D3495" t="str">
            <v>NJ</v>
          </cell>
          <cell r="E3495" t="str">
            <v/>
          </cell>
          <cell r="F3495" t="str">
            <v/>
          </cell>
          <cell r="G3495" t="str">
            <v>INGENIERIA Y CONSULTORIA DE LA COSTA S.A|</v>
          </cell>
          <cell r="H3495" t="str">
            <v>RECO</v>
          </cell>
          <cell r="I3495" t="str">
            <v>REGIMEN COMUN</v>
          </cell>
          <cell r="J3495" t="str">
            <v>CL 30 14 05 BRR NUEVO MEXICO</v>
          </cell>
          <cell r="K3495" t="str">
            <v>70001</v>
          </cell>
          <cell r="L3495" t="str">
            <v>SINCELEJO</v>
          </cell>
          <cell r="M3495" t="str">
            <v>2805980</v>
          </cell>
        </row>
        <row r="3496">
          <cell r="A3496">
            <v>823436825</v>
          </cell>
          <cell r="B3496" t="str">
            <v/>
          </cell>
          <cell r="C3496" t="str">
            <v/>
          </cell>
          <cell r="D3496" t="str">
            <v>NE</v>
          </cell>
          <cell r="E3496" t="str">
            <v/>
          </cell>
          <cell r="F3496" t="str">
            <v/>
          </cell>
          <cell r="G3496" t="str">
            <v>ACE CONSULTING &amp; ENGINEERING LLC</v>
          </cell>
          <cell r="H3496" t="str">
            <v>EXTR</v>
          </cell>
          <cell r="I3496" t="str">
            <v>EXTRANJERO</v>
          </cell>
          <cell r="J3496" t="str">
            <v>926 BRR RAINBOW TRL</v>
          </cell>
          <cell r="K3496" t="str">
            <v>00</v>
          </cell>
          <cell r="L3496" t="str">
            <v>EXTERIOR</v>
          </cell>
          <cell r="M3496" t="str">
            <v>1-862-222-7040</v>
          </cell>
        </row>
        <row r="3497">
          <cell r="A3497">
            <v>825000262</v>
          </cell>
          <cell r="B3497" t="str">
            <v>6</v>
          </cell>
          <cell r="C3497" t="str">
            <v/>
          </cell>
          <cell r="D3497" t="str">
            <v>NJ</v>
          </cell>
          <cell r="E3497" t="str">
            <v/>
          </cell>
          <cell r="F3497" t="str">
            <v/>
          </cell>
          <cell r="G3497" t="str">
            <v>HOTEL MAJAYURA</v>
          </cell>
          <cell r="H3497" t="str">
            <v>RECO</v>
          </cell>
          <cell r="I3497" t="str">
            <v>REGIMEN COMUN</v>
          </cell>
          <cell r="J3497" t="str">
            <v>CR 10   1   40</v>
          </cell>
          <cell r="K3497" t="str">
            <v>44001</v>
          </cell>
          <cell r="L3497" t="str">
            <v>RIOHACHA</v>
          </cell>
          <cell r="M3497" t="str">
            <v>7288666</v>
          </cell>
        </row>
        <row r="3498">
          <cell r="A3498">
            <v>825000578</v>
          </cell>
          <cell r="B3498" t="str">
            <v>8</v>
          </cell>
          <cell r="C3498" t="str">
            <v/>
          </cell>
          <cell r="D3498" t="str">
            <v>NJ</v>
          </cell>
          <cell r="E3498" t="str">
            <v/>
          </cell>
          <cell r="F3498" t="str">
            <v/>
          </cell>
          <cell r="G3498" t="str">
            <v>COOTRANMA</v>
          </cell>
          <cell r="H3498" t="str">
            <v>RECO</v>
          </cell>
          <cell r="I3498" t="str">
            <v>REGIMEN COMUN</v>
          </cell>
          <cell r="J3498" t="str">
            <v>CR 4   8   28</v>
          </cell>
          <cell r="K3498" t="str">
            <v>44560</v>
          </cell>
          <cell r="L3498" t="str">
            <v>MANAURE</v>
          </cell>
          <cell r="M3498" t="str">
            <v>7178640</v>
          </cell>
        </row>
        <row r="3499">
          <cell r="A3499">
            <v>825000683</v>
          </cell>
          <cell r="B3499" t="str">
            <v>3</v>
          </cell>
          <cell r="C3499" t="str">
            <v/>
          </cell>
          <cell r="D3499" t="str">
            <v>NJ</v>
          </cell>
          <cell r="E3499" t="str">
            <v/>
          </cell>
          <cell r="F3499" t="str">
            <v/>
          </cell>
          <cell r="G3499" t="str">
            <v xml:space="preserve"> COOPERATIVA MULTIATIVA DE MANAURE COOTRASOMA LTDA</v>
          </cell>
          <cell r="H3499" t="str">
            <v>RECO</v>
          </cell>
          <cell r="I3499" t="str">
            <v>REGIMEN COMUN</v>
          </cell>
          <cell r="J3499" t="str">
            <v>MANAURE</v>
          </cell>
          <cell r="K3499" t="str">
            <v>44001</v>
          </cell>
          <cell r="L3499" t="str">
            <v>RIOHACHA</v>
          </cell>
          <cell r="M3499" t="str">
            <v>3012671836</v>
          </cell>
        </row>
        <row r="3500">
          <cell r="A3500">
            <v>825000755</v>
          </cell>
          <cell r="B3500" t="str">
            <v>5</v>
          </cell>
          <cell r="C3500" t="str">
            <v/>
          </cell>
          <cell r="D3500" t="str">
            <v>NJ</v>
          </cell>
          <cell r="E3500" t="str">
            <v/>
          </cell>
          <cell r="F3500" t="str">
            <v/>
          </cell>
          <cell r="G3500" t="str">
            <v>COOTRAURI</v>
          </cell>
          <cell r="H3500" t="str">
            <v>RECO</v>
          </cell>
          <cell r="I3500" t="str">
            <v>REGIMEN COMUN</v>
          </cell>
          <cell r="J3500" t="str">
            <v>DG 2   2   29 BRR LAS PULGAS</v>
          </cell>
          <cell r="K3500" t="str">
            <v>44847</v>
          </cell>
          <cell r="L3500" t="str">
            <v>URIBIA</v>
          </cell>
          <cell r="M3500" t="str">
            <v>7177499</v>
          </cell>
        </row>
        <row r="3501">
          <cell r="A3501">
            <v>826000002</v>
          </cell>
          <cell r="B3501" t="str">
            <v>1</v>
          </cell>
          <cell r="C3501" t="str">
            <v/>
          </cell>
          <cell r="D3501" t="str">
            <v>NJ</v>
          </cell>
          <cell r="E3501" t="str">
            <v/>
          </cell>
          <cell r="F3501" t="str">
            <v/>
          </cell>
          <cell r="G3501" t="str">
            <v>DISEÑO, MANTENIMIENTO Y CONSTRUCCION LIMITADA /DICONS LTDA</v>
          </cell>
          <cell r="H3501" t="str">
            <v>IMVE</v>
          </cell>
          <cell r="I3501" t="str">
            <v>IMPUESTO SOBRE LAS VENTAS</v>
          </cell>
          <cell r="J3501" t="str">
            <v xml:space="preserve"> CL 4  19  66</v>
          </cell>
          <cell r="K3501" t="str">
            <v>15238</v>
          </cell>
          <cell r="L3501" t="str">
            <v>DUITAMA</v>
          </cell>
          <cell r="M3501" t="str">
            <v>7613813</v>
          </cell>
        </row>
        <row r="3502">
          <cell r="A3502">
            <v>826000212</v>
          </cell>
          <cell r="B3502" t="str">
            <v>1</v>
          </cell>
          <cell r="C3502" t="str">
            <v/>
          </cell>
          <cell r="D3502" t="str">
            <v>NJ</v>
          </cell>
          <cell r="E3502" t="str">
            <v/>
          </cell>
          <cell r="F3502" t="str">
            <v/>
          </cell>
          <cell r="G3502" t="str">
            <v xml:space="preserve">ORGANIZACION AGUINALDO PAIPANO                              </v>
          </cell>
          <cell r="H3502" t="str">
            <v>IMVE</v>
          </cell>
          <cell r="I3502" t="str">
            <v>IMPUESTO SOBRE LAS VENTAS</v>
          </cell>
          <cell r="J3502" t="str">
            <v>CL 25 20 20</v>
          </cell>
          <cell r="K3502" t="str">
            <v>15516</v>
          </cell>
          <cell r="L3502" t="str">
            <v>PAIPA</v>
          </cell>
          <cell r="M3502" t="str">
            <v>7852989</v>
          </cell>
        </row>
        <row r="3503">
          <cell r="A3503">
            <v>826000346</v>
          </cell>
          <cell r="B3503" t="str">
            <v>1</v>
          </cell>
          <cell r="C3503" t="str">
            <v/>
          </cell>
          <cell r="D3503" t="str">
            <v>NJ</v>
          </cell>
          <cell r="E3503" t="str">
            <v/>
          </cell>
          <cell r="F3503" t="str">
            <v/>
          </cell>
          <cell r="G3503" t="str">
            <v>ANALIZAR LABORATORIO FISICOQUIMICO LTDA</v>
          </cell>
          <cell r="H3503" t="str">
            <v>RECO</v>
          </cell>
          <cell r="I3503" t="str">
            <v>REGIMEN COMUN</v>
          </cell>
          <cell r="J3503" t="str">
            <v xml:space="preserve"> CR 33 16 27</v>
          </cell>
          <cell r="K3503" t="str">
            <v>15238</v>
          </cell>
          <cell r="L3503" t="str">
            <v>DUITAMA</v>
          </cell>
          <cell r="M3503" t="str">
            <v>7614955</v>
          </cell>
        </row>
        <row r="3504">
          <cell r="A3504">
            <v>826000352</v>
          </cell>
          <cell r="B3504" t="str">
            <v>4</v>
          </cell>
          <cell r="C3504" t="str">
            <v/>
          </cell>
          <cell r="D3504" t="str">
            <v>NJ</v>
          </cell>
          <cell r="E3504" t="str">
            <v/>
          </cell>
          <cell r="F3504" t="str">
            <v/>
          </cell>
          <cell r="G3504" t="str">
            <v>CODICEL SAS</v>
          </cell>
          <cell r="H3504" t="str">
            <v>IMVE</v>
          </cell>
          <cell r="I3504" t="str">
            <v>IMPUESTO SOBRE LAS VENTAS</v>
          </cell>
          <cell r="J3504" t="str">
            <v>CL 106 MZ 4 BRR PUEBLITO BOYACENSE</v>
          </cell>
          <cell r="K3504" t="str">
            <v>15238</v>
          </cell>
          <cell r="L3504" t="str">
            <v>DUITAMA</v>
          </cell>
          <cell r="M3504" t="str">
            <v>3157902192</v>
          </cell>
        </row>
        <row r="3505">
          <cell r="A3505">
            <v>826000361</v>
          </cell>
          <cell r="B3505" t="str">
            <v>0</v>
          </cell>
          <cell r="C3505" t="str">
            <v/>
          </cell>
          <cell r="D3505" t="str">
            <v>NJ</v>
          </cell>
          <cell r="E3505" t="str">
            <v/>
          </cell>
          <cell r="F3505" t="str">
            <v/>
          </cell>
          <cell r="G3505" t="str">
            <v>ALMACENES PARAISO S.A</v>
          </cell>
          <cell r="H3505" t="str">
            <v>IMVE</v>
          </cell>
          <cell r="I3505" t="str">
            <v>IMPUESTO SOBRE LAS VENTAS</v>
          </cell>
          <cell r="J3505" t="str">
            <v>CR 18 20 A 32</v>
          </cell>
          <cell r="K3505" t="str">
            <v>15238</v>
          </cell>
          <cell r="L3505" t="str">
            <v>DUITAMA</v>
          </cell>
          <cell r="M3505" t="str">
            <v>3102502016</v>
          </cell>
        </row>
        <row r="3506">
          <cell r="A3506">
            <v>826000686</v>
          </cell>
          <cell r="B3506" t="str">
            <v>9</v>
          </cell>
          <cell r="C3506" t="str">
            <v/>
          </cell>
          <cell r="D3506" t="str">
            <v>NJ</v>
          </cell>
          <cell r="E3506" t="str">
            <v/>
          </cell>
          <cell r="F3506" t="str">
            <v/>
          </cell>
          <cell r="G3506" t="str">
            <v>SERVIMEC LTDA</v>
          </cell>
          <cell r="H3506" t="str">
            <v>RECO</v>
          </cell>
          <cell r="I3506" t="str">
            <v>REGIMEN COMUN</v>
          </cell>
          <cell r="J3506" t="str">
            <v>CL 14   42   67</v>
          </cell>
          <cell r="K3506" t="str">
            <v>15238</v>
          </cell>
          <cell r="L3506" t="str">
            <v>DUITAMA</v>
          </cell>
          <cell r="M3506" t="str">
            <v>7631237</v>
          </cell>
        </row>
        <row r="3507">
          <cell r="A3507">
            <v>826000697</v>
          </cell>
          <cell r="B3507" t="str">
            <v>1</v>
          </cell>
          <cell r="C3507" t="str">
            <v/>
          </cell>
          <cell r="D3507" t="str">
            <v>NJ</v>
          </cell>
          <cell r="E3507" t="str">
            <v/>
          </cell>
          <cell r="F3507" t="str">
            <v/>
          </cell>
          <cell r="G3507" t="str">
            <v>CENTRALCO S.A</v>
          </cell>
          <cell r="H3507" t="str">
            <v>RECO</v>
          </cell>
          <cell r="I3507" t="str">
            <v>REGIMEN COMUN</v>
          </cell>
          <cell r="J3507" t="str">
            <v>AUT SD A TUNJA</v>
          </cell>
          <cell r="K3507" t="str">
            <v>15516</v>
          </cell>
          <cell r="L3507" t="str">
            <v>PAIPA</v>
          </cell>
          <cell r="M3507" t="str">
            <v>7850266</v>
          </cell>
        </row>
        <row r="3508">
          <cell r="A3508">
            <v>826000824</v>
          </cell>
          <cell r="B3508" t="str">
            <v>9</v>
          </cell>
          <cell r="C3508" t="str">
            <v/>
          </cell>
          <cell r="D3508" t="str">
            <v>NJ</v>
          </cell>
          <cell r="E3508" t="str">
            <v/>
          </cell>
          <cell r="F3508" t="str">
            <v/>
          </cell>
          <cell r="G3508" t="str">
            <v>EVENTOS 1A RECREACION Y TURISMO SAS</v>
          </cell>
          <cell r="H3508" t="str">
            <v>IMVE</v>
          </cell>
          <cell r="I3508" t="str">
            <v>IMPUESTO SOBRE LAS VENTAS</v>
          </cell>
          <cell r="J3508" t="str">
            <v>CR 27  12 73 BRR LA FLORESTA</v>
          </cell>
          <cell r="K3508" t="str">
            <v>15238</v>
          </cell>
          <cell r="L3508" t="str">
            <v>DUITAMA</v>
          </cell>
          <cell r="M3508" t="str">
            <v>3115137993</v>
          </cell>
        </row>
        <row r="3509">
          <cell r="A3509">
            <v>826000861</v>
          </cell>
          <cell r="B3509" t="str">
            <v>1</v>
          </cell>
          <cell r="C3509" t="str">
            <v/>
          </cell>
          <cell r="D3509" t="str">
            <v>NJ</v>
          </cell>
          <cell r="E3509" t="str">
            <v/>
          </cell>
          <cell r="F3509" t="str">
            <v/>
          </cell>
          <cell r="G3509" t="str">
            <v>MATICOLORES S.A.S.</v>
          </cell>
          <cell r="H3509" t="str">
            <v>IMVE</v>
          </cell>
          <cell r="I3509" t="str">
            <v>IMPUESTO SOBRE LAS VENTAS</v>
          </cell>
          <cell r="J3509" t="str">
            <v>AV LAS AMERICAS 24 A 80 LC 2</v>
          </cell>
          <cell r="K3509" t="str">
            <v>15238</v>
          </cell>
          <cell r="L3509" t="str">
            <v>DUITAMA</v>
          </cell>
          <cell r="M3509" t="str">
            <v>7604468</v>
          </cell>
        </row>
        <row r="3510">
          <cell r="A3510">
            <v>826000888</v>
          </cell>
          <cell r="B3510" t="str">
            <v>1</v>
          </cell>
          <cell r="C3510" t="str">
            <v/>
          </cell>
          <cell r="D3510" t="str">
            <v>NJ</v>
          </cell>
          <cell r="E3510" t="str">
            <v/>
          </cell>
          <cell r="F3510" t="str">
            <v/>
          </cell>
          <cell r="G3510" t="str">
            <v>COMERCIALIZADORA HR SAS</v>
          </cell>
          <cell r="H3510" t="str">
            <v>IMVE</v>
          </cell>
          <cell r="I3510" t="str">
            <v>IMPUESTO SOBRE LAS VENTAS</v>
          </cell>
          <cell r="J3510" t="str">
            <v>CR 19  16  64</v>
          </cell>
          <cell r="K3510" t="str">
            <v>15238</v>
          </cell>
          <cell r="L3510" t="str">
            <v>DUITAMA</v>
          </cell>
          <cell r="M3510" t="str">
            <v>7651089</v>
          </cell>
        </row>
        <row r="3511">
          <cell r="A3511">
            <v>826001185</v>
          </cell>
          <cell r="B3511" t="str">
            <v>5</v>
          </cell>
          <cell r="C3511" t="str">
            <v/>
          </cell>
          <cell r="D3511" t="str">
            <v>NJ</v>
          </cell>
          <cell r="E3511" t="str">
            <v/>
          </cell>
          <cell r="F3511" t="str">
            <v/>
          </cell>
          <cell r="G3511" t="str">
            <v>CM INGENIERIA CONSTRUCCIONES Y MONTAJES SOCIEDAD POR ACCIONES SI</v>
          </cell>
          <cell r="H3511" t="str">
            <v>IMVE</v>
          </cell>
          <cell r="I3511" t="str">
            <v>IMPUESTO SOBRE LAS VENTAS</v>
          </cell>
          <cell r="J3511" t="str">
            <v xml:space="preserve"> CL16 14 41 O  F 1102</v>
          </cell>
          <cell r="K3511" t="str">
            <v>15238</v>
          </cell>
          <cell r="L3511" t="str">
            <v>DUITAMA</v>
          </cell>
          <cell r="M3511" t="str">
            <v>3125870957</v>
          </cell>
        </row>
        <row r="3512">
          <cell r="A3512">
            <v>826001482</v>
          </cell>
          <cell r="B3512" t="str">
            <v>8</v>
          </cell>
          <cell r="C3512" t="str">
            <v/>
          </cell>
          <cell r="D3512" t="str">
            <v>NJ</v>
          </cell>
          <cell r="E3512" t="str">
            <v/>
          </cell>
          <cell r="F3512" t="str">
            <v/>
          </cell>
          <cell r="G3512" t="str">
            <v>TRANSPORTES H &amp; A S.A.S.</v>
          </cell>
          <cell r="H3512" t="str">
            <v>IMVE</v>
          </cell>
          <cell r="I3512" t="str">
            <v>IMPUESTO SOBRE LAS VENTAS</v>
          </cell>
          <cell r="J3512" t="str">
            <v xml:space="preserve"> CL 52  11 E  29 PAR INDUSTRIAL</v>
          </cell>
          <cell r="K3512" t="str">
            <v>15759</v>
          </cell>
          <cell r="L3512" t="str">
            <v>SOGAMOSO</v>
          </cell>
          <cell r="M3512" t="str">
            <v>7728954</v>
          </cell>
        </row>
        <row r="3513">
          <cell r="A3513">
            <v>826001605</v>
          </cell>
          <cell r="B3513" t="str">
            <v>7</v>
          </cell>
          <cell r="C3513" t="str">
            <v/>
          </cell>
          <cell r="D3513" t="str">
            <v>NJ</v>
          </cell>
          <cell r="E3513" t="str">
            <v/>
          </cell>
          <cell r="F3513" t="str">
            <v/>
          </cell>
          <cell r="G3513" t="str">
            <v>CUERPO DE BOMBEROS DE PAIPA</v>
          </cell>
          <cell r="H3513" t="str">
            <v>RECO</v>
          </cell>
          <cell r="I3513" t="str">
            <v>REGIMEN COMUN</v>
          </cell>
          <cell r="J3513" t="str">
            <v>PLAZA DE MERCADO LC 2</v>
          </cell>
          <cell r="K3513" t="str">
            <v>15516</v>
          </cell>
          <cell r="L3513" t="str">
            <v>PAIPA</v>
          </cell>
          <cell r="M3513" t="str">
            <v>3209193755</v>
          </cell>
        </row>
        <row r="3514">
          <cell r="A3514">
            <v>826001720</v>
          </cell>
          <cell r="B3514" t="str">
            <v>6</v>
          </cell>
          <cell r="C3514" t="str">
            <v/>
          </cell>
          <cell r="D3514" t="str">
            <v>NJ</v>
          </cell>
          <cell r="E3514" t="str">
            <v/>
          </cell>
          <cell r="F3514" t="str">
            <v/>
          </cell>
          <cell r="G3514" t="str">
            <v>FEDERACION DE PRODUCTORES DE CARBON DE BOYACA</v>
          </cell>
          <cell r="H3514" t="str">
            <v>IMVE</v>
          </cell>
          <cell r="I3514" t="str">
            <v>IMPUESTO SOBRE LAS VENTAS</v>
          </cell>
          <cell r="J3514" t="str">
            <v xml:space="preserve"> CR 20A - 9 - 112</v>
          </cell>
          <cell r="K3514" t="str">
            <v>15759</v>
          </cell>
          <cell r="L3514" t="str">
            <v>SOGAMOSO</v>
          </cell>
          <cell r="M3514" t="str">
            <v>3102501326</v>
          </cell>
        </row>
        <row r="3515">
          <cell r="A3515">
            <v>826001730</v>
          </cell>
          <cell r="B3515" t="str">
            <v>1</v>
          </cell>
          <cell r="C3515" t="str">
            <v/>
          </cell>
          <cell r="D3515" t="str">
            <v>NJ</v>
          </cell>
          <cell r="E3515" t="str">
            <v/>
          </cell>
          <cell r="F3515" t="str">
            <v/>
          </cell>
          <cell r="G3515" t="str">
            <v>INGENIERIA Y PROYECTOS METALMECANICOS LTDA</v>
          </cell>
          <cell r="H3515" t="str">
            <v>RECO</v>
          </cell>
          <cell r="I3515" t="str">
            <v>REGIMEN COMUN</v>
          </cell>
          <cell r="J3515" t="str">
            <v xml:space="preserve"> CL 53  11 D  45</v>
          </cell>
          <cell r="K3515" t="str">
            <v>15759</v>
          </cell>
          <cell r="L3515" t="str">
            <v>SOGAMOSO</v>
          </cell>
          <cell r="M3515" t="str">
            <v>7702552</v>
          </cell>
        </row>
        <row r="3516">
          <cell r="A3516">
            <v>826001733</v>
          </cell>
          <cell r="B3516" t="str">
            <v>1</v>
          </cell>
          <cell r="C3516" t="str">
            <v/>
          </cell>
          <cell r="D3516" t="str">
            <v>NJ</v>
          </cell>
          <cell r="E3516" t="str">
            <v/>
          </cell>
          <cell r="F3516" t="str">
            <v/>
          </cell>
          <cell r="G3516" t="str">
            <v>CREADSALUD BOYACA S.A.S</v>
          </cell>
          <cell r="H3516" t="str">
            <v>IMVE</v>
          </cell>
          <cell r="I3516" t="str">
            <v>IMPUESTO SOBRE LAS VENTAS</v>
          </cell>
          <cell r="J3516" t="str">
            <v xml:space="preserve"> CL 16 15 43 OF 201</v>
          </cell>
          <cell r="K3516" t="str">
            <v>15238</v>
          </cell>
          <cell r="L3516" t="str">
            <v>DUITAMA</v>
          </cell>
          <cell r="M3516" t="str">
            <v>7605484</v>
          </cell>
        </row>
        <row r="3517">
          <cell r="A3517">
            <v>826002334</v>
          </cell>
          <cell r="B3517" t="str">
            <v>0</v>
          </cell>
          <cell r="C3517" t="str">
            <v/>
          </cell>
          <cell r="D3517" t="str">
            <v>NJ</v>
          </cell>
          <cell r="E3517" t="str">
            <v/>
          </cell>
          <cell r="F3517" t="str">
            <v/>
          </cell>
          <cell r="G3517" t="str">
            <v>SKY PROJECTS S.A.S</v>
          </cell>
          <cell r="H3517" t="str">
            <v>IMVE</v>
          </cell>
          <cell r="I3517" t="str">
            <v>IMPUESTO SOBRE LAS VENTAS</v>
          </cell>
          <cell r="J3517" t="str">
            <v>CR 21 N 23 01</v>
          </cell>
          <cell r="K3517" t="str">
            <v>15516</v>
          </cell>
          <cell r="L3517" t="str">
            <v>PAIPA</v>
          </cell>
          <cell r="M3517" t="str">
            <v>3132695646</v>
          </cell>
        </row>
        <row r="3518">
          <cell r="A3518">
            <v>826002535</v>
          </cell>
          <cell r="B3518" t="str">
            <v>4</v>
          </cell>
          <cell r="C3518" t="str">
            <v/>
          </cell>
          <cell r="D3518" t="str">
            <v>NJ</v>
          </cell>
          <cell r="E3518" t="str">
            <v/>
          </cell>
          <cell r="F3518" t="str">
            <v/>
          </cell>
          <cell r="G3518" t="str">
            <v>NE&amp;TEL.COM LTDA</v>
          </cell>
          <cell r="H3518" t="str">
            <v>RECO</v>
          </cell>
          <cell r="I3518" t="str">
            <v>REGIMEN COMUN</v>
          </cell>
          <cell r="J3518" t="str">
            <v>CL 25 20 77</v>
          </cell>
          <cell r="K3518" t="str">
            <v>15516</v>
          </cell>
          <cell r="L3518" t="str">
            <v>PAIPA</v>
          </cell>
          <cell r="M3518" t="str">
            <v>7850980</v>
          </cell>
        </row>
        <row r="3519">
          <cell r="A3519">
            <v>826002585</v>
          </cell>
          <cell r="B3519" t="str">
            <v>2</v>
          </cell>
          <cell r="C3519" t="str">
            <v/>
          </cell>
          <cell r="D3519" t="str">
            <v>NJ</v>
          </cell>
          <cell r="E3519" t="str">
            <v/>
          </cell>
          <cell r="F3519" t="str">
            <v/>
          </cell>
          <cell r="G3519" t="str">
            <v>MEDIFAR S.A.S suministros farmacéuticos S.A.S</v>
          </cell>
          <cell r="H3519" t="str">
            <v>RECO</v>
          </cell>
          <cell r="I3519" t="str">
            <v>REGIMEN COMUN</v>
          </cell>
          <cell r="J3519" t="str">
            <v>CL 9 C  34 16</v>
          </cell>
          <cell r="K3519" t="str">
            <v>15238</v>
          </cell>
          <cell r="L3519" t="str">
            <v>DUITAMA</v>
          </cell>
          <cell r="M3519" t="str">
            <v>7605601</v>
          </cell>
        </row>
        <row r="3520">
          <cell r="A3520">
            <v>826002839</v>
          </cell>
          <cell r="B3520" t="str">
            <v>8</v>
          </cell>
          <cell r="C3520" t="str">
            <v/>
          </cell>
          <cell r="D3520" t="str">
            <v>NJ</v>
          </cell>
          <cell r="E3520" t="str">
            <v/>
          </cell>
          <cell r="F3520" t="str">
            <v/>
          </cell>
          <cell r="G3520" t="str">
            <v>ASOCIACION COMUNITARIA DE COPROPIETARIOS DEL SISTEMA DE TELEVISI</v>
          </cell>
          <cell r="H3520" t="str">
            <v>RECO</v>
          </cell>
          <cell r="I3520" t="str">
            <v>REGIMEN COMUN</v>
          </cell>
          <cell r="J3520" t="str">
            <v>CL 28  19 A  35 P 3 BRR GAITAN</v>
          </cell>
          <cell r="K3520" t="str">
            <v>15516</v>
          </cell>
          <cell r="L3520" t="str">
            <v>PAIPA</v>
          </cell>
          <cell r="M3520" t="str">
            <v>7851079</v>
          </cell>
        </row>
        <row r="3521">
          <cell r="A3521">
            <v>826002868</v>
          </cell>
          <cell r="B3521" t="str">
            <v>1</v>
          </cell>
          <cell r="C3521" t="str">
            <v/>
          </cell>
          <cell r="D3521" t="str">
            <v>NJ</v>
          </cell>
          <cell r="E3521" t="str">
            <v/>
          </cell>
          <cell r="F3521" t="str">
            <v/>
          </cell>
          <cell r="G3521" t="str">
            <v>UNITEC DIESEL LTDA</v>
          </cell>
          <cell r="H3521" t="str">
            <v>RECO</v>
          </cell>
          <cell r="I3521" t="str">
            <v>REGIMEN COMUN</v>
          </cell>
          <cell r="J3521" t="str">
            <v>CL 49 N 12   52</v>
          </cell>
          <cell r="K3521" t="str">
            <v>15001</v>
          </cell>
          <cell r="L3521" t="str">
            <v>TUNJA</v>
          </cell>
          <cell r="M3521" t="str">
            <v>7728482</v>
          </cell>
        </row>
        <row r="3522">
          <cell r="A3522">
            <v>826002892</v>
          </cell>
          <cell r="B3522" t="str">
            <v>9</v>
          </cell>
          <cell r="C3522" t="str">
            <v/>
          </cell>
          <cell r="D3522" t="str">
            <v>NJ</v>
          </cell>
          <cell r="E3522" t="str">
            <v/>
          </cell>
          <cell r="F3522" t="str">
            <v/>
          </cell>
          <cell r="G3522" t="str">
            <v>FUNDACIÓN NUEVOS CAMINOS</v>
          </cell>
          <cell r="H3522" t="str">
            <v>REIC</v>
          </cell>
          <cell r="I3522" t="str">
            <v>RENTA REGIMEN ESPECIAL</v>
          </cell>
          <cell r="J3522" t="str">
            <v>CL 24 19 108</v>
          </cell>
          <cell r="K3522" t="str">
            <v>15516</v>
          </cell>
          <cell r="L3522" t="str">
            <v>PAIPA</v>
          </cell>
          <cell r="M3522" t="str">
            <v>3002845970</v>
          </cell>
        </row>
        <row r="3523">
          <cell r="A3523">
            <v>826002964</v>
          </cell>
          <cell r="B3523" t="str">
            <v>0</v>
          </cell>
          <cell r="C3523" t="str">
            <v/>
          </cell>
          <cell r="D3523" t="str">
            <v>NJ</v>
          </cell>
          <cell r="E3523" t="str">
            <v/>
          </cell>
          <cell r="F3523" t="str">
            <v/>
          </cell>
          <cell r="G3523" t="str">
            <v>SERVIQUIMICOS E.U</v>
          </cell>
          <cell r="H3523" t="str">
            <v>IMVE</v>
          </cell>
          <cell r="I3523" t="str">
            <v>IMPUESTO SOBRE LAS VENTAS</v>
          </cell>
          <cell r="J3523" t="str">
            <v>CR 9 A 16 01 ESQ</v>
          </cell>
          <cell r="K3523" t="str">
            <v>15759</v>
          </cell>
          <cell r="L3523" t="str">
            <v>SOGAMOSO</v>
          </cell>
          <cell r="M3523" t="str">
            <v>7729700</v>
          </cell>
        </row>
        <row r="3524">
          <cell r="A3524">
            <v>826003110</v>
          </cell>
          <cell r="B3524" t="str">
            <v>2</v>
          </cell>
          <cell r="C3524" t="str">
            <v/>
          </cell>
          <cell r="D3524" t="str">
            <v>NJ</v>
          </cell>
          <cell r="E3524" t="str">
            <v/>
          </cell>
          <cell r="F3524" t="str">
            <v/>
          </cell>
          <cell r="G3524" t="str">
            <v>SOCIEDAD DE MINAS MORALES LTDA</v>
          </cell>
          <cell r="H3524" t="str">
            <v>RECO</v>
          </cell>
          <cell r="I3524" t="str">
            <v>REGIMEN COMUN</v>
          </cell>
          <cell r="J3524" t="str">
            <v>CL 21  23  28</v>
          </cell>
          <cell r="K3524" t="str">
            <v>15516</v>
          </cell>
          <cell r="L3524" t="str">
            <v>PAIPA</v>
          </cell>
          <cell r="M3524" t="str">
            <v>7850241</v>
          </cell>
        </row>
        <row r="3525">
          <cell r="A3525">
            <v>826003171</v>
          </cell>
          <cell r="B3525" t="str">
            <v>1</v>
          </cell>
          <cell r="C3525" t="str">
            <v/>
          </cell>
          <cell r="D3525" t="str">
            <v>NJ</v>
          </cell>
          <cell r="E3525" t="str">
            <v/>
          </cell>
          <cell r="F3525" t="str">
            <v/>
          </cell>
          <cell r="G3525" t="str">
            <v>INVERSIONES SOCHAGOTA SAS</v>
          </cell>
          <cell r="H3525" t="str">
            <v>IMVE</v>
          </cell>
          <cell r="I3525" t="str">
            <v>IMPUESTO SOBRE LAS VENTAS</v>
          </cell>
          <cell r="J3525" t="str">
            <v>KM 2 VIA PISCINAS MUNICIPALES</v>
          </cell>
          <cell r="K3525" t="str">
            <v>15516</v>
          </cell>
          <cell r="L3525" t="str">
            <v>PAIPA</v>
          </cell>
          <cell r="M3525" t="str">
            <v>3134792768</v>
          </cell>
        </row>
        <row r="3526">
          <cell r="A3526">
            <v>826003190</v>
          </cell>
          <cell r="B3526" t="str">
            <v>1</v>
          </cell>
          <cell r="C3526" t="str">
            <v/>
          </cell>
          <cell r="D3526" t="str">
            <v>NJ</v>
          </cell>
          <cell r="E3526" t="str">
            <v/>
          </cell>
          <cell r="F3526" t="str">
            <v/>
          </cell>
          <cell r="G3526" t="str">
            <v>TRACTEC SOCIEDAD POR ACCIONES SIMPLIFICADA BIC EN REORGANIZACIÓN</v>
          </cell>
          <cell r="H3526" t="str">
            <v>IMVE</v>
          </cell>
          <cell r="I3526" t="str">
            <v>IMPUESTO SOBRE LAS VENTAS</v>
          </cell>
          <cell r="J3526" t="str">
            <v>KM 1 VIA PAIPA-TUNJA</v>
          </cell>
          <cell r="K3526" t="str">
            <v>15516</v>
          </cell>
          <cell r="L3526" t="str">
            <v>PAIPA</v>
          </cell>
          <cell r="M3526" t="str">
            <v>3212345862</v>
          </cell>
        </row>
        <row r="3527">
          <cell r="A3527">
            <v>826003527</v>
          </cell>
          <cell r="B3527" t="str">
            <v>1</v>
          </cell>
          <cell r="C3527" t="str">
            <v/>
          </cell>
          <cell r="D3527" t="str">
            <v>NJ</v>
          </cell>
          <cell r="E3527" t="str">
            <v/>
          </cell>
          <cell r="F3527" t="str">
            <v/>
          </cell>
          <cell r="G3527" t="str">
            <v>MINEROS LA CARBONERA LTDA</v>
          </cell>
          <cell r="H3527" t="str">
            <v>IMVE</v>
          </cell>
          <cell r="I3527" t="str">
            <v>IMPUESTO SOBRE LAS VENTAS</v>
          </cell>
          <cell r="J3527" t="str">
            <v xml:space="preserve"> CL 5 5 18</v>
          </cell>
          <cell r="K3527" t="str">
            <v>15464</v>
          </cell>
          <cell r="L3527" t="str">
            <v>MONGUA</v>
          </cell>
          <cell r="M3527" t="str">
            <v>7772037</v>
          </cell>
        </row>
        <row r="3528">
          <cell r="A3528">
            <v>826003565</v>
          </cell>
          <cell r="B3528" t="str">
            <v>1</v>
          </cell>
          <cell r="C3528" t="str">
            <v/>
          </cell>
          <cell r="D3528" t="str">
            <v>NJ</v>
          </cell>
          <cell r="E3528" t="str">
            <v/>
          </cell>
          <cell r="F3528" t="str">
            <v/>
          </cell>
          <cell r="G3528" t="str">
            <v>COOPERATIVA MULTIACTIVA DE CARBONES LAS LEONAS</v>
          </cell>
          <cell r="H3528" t="str">
            <v>IMVE</v>
          </cell>
          <cell r="I3528" t="str">
            <v>IMPUESTO SOBRE LAS VENTAS</v>
          </cell>
          <cell r="J3528" t="str">
            <v>CL 10 4 03 P 2 OF 201</v>
          </cell>
          <cell r="K3528" t="str">
            <v>15537</v>
          </cell>
          <cell r="L3528" t="str">
            <v>PAZ DE RÍO</v>
          </cell>
          <cell r="M3528" t="str">
            <v>3118266651</v>
          </cell>
        </row>
        <row r="3529">
          <cell r="A3529">
            <v>826003710</v>
          </cell>
          <cell r="B3529" t="str">
            <v>1</v>
          </cell>
          <cell r="C3529" t="str">
            <v/>
          </cell>
          <cell r="D3529" t="str">
            <v>NJ</v>
          </cell>
          <cell r="E3529" t="str">
            <v/>
          </cell>
          <cell r="F3529" t="str">
            <v/>
          </cell>
          <cell r="G3529" t="str">
            <v xml:space="preserve">SICME LTDA.                                                 </v>
          </cell>
          <cell r="H3529" t="str">
            <v>RECO</v>
          </cell>
          <cell r="I3529" t="str">
            <v>REGIMEN COMUN</v>
          </cell>
          <cell r="J3529" t="str">
            <v>CR 45  20 60</v>
          </cell>
          <cell r="K3529" t="str">
            <v>15238</v>
          </cell>
          <cell r="L3529" t="str">
            <v>DUITAMA</v>
          </cell>
          <cell r="M3529" t="str">
            <v>7628049</v>
          </cell>
        </row>
        <row r="3530">
          <cell r="A3530">
            <v>826003800</v>
          </cell>
          <cell r="B3530" t="str">
            <v>6</v>
          </cell>
          <cell r="C3530" t="str">
            <v/>
          </cell>
          <cell r="D3530" t="str">
            <v>NJ</v>
          </cell>
          <cell r="E3530" t="str">
            <v/>
          </cell>
          <cell r="F3530" t="str">
            <v/>
          </cell>
          <cell r="G3530" t="str">
            <v>SISTEMAS Y SOLCUIONES S.A.S</v>
          </cell>
          <cell r="H3530" t="str">
            <v>RECO</v>
          </cell>
          <cell r="I3530" t="str">
            <v>REGIMEN COMUN</v>
          </cell>
          <cell r="J3530" t="str">
            <v>CL 12 16 30</v>
          </cell>
          <cell r="K3530" t="str">
            <v>15238</v>
          </cell>
          <cell r="L3530" t="str">
            <v>DUITAMA</v>
          </cell>
          <cell r="M3530" t="str">
            <v>7612191</v>
          </cell>
        </row>
        <row r="3531">
          <cell r="A3531">
            <v>826003958</v>
          </cell>
          <cell r="B3531" t="str">
            <v>0</v>
          </cell>
          <cell r="C3531" t="str">
            <v/>
          </cell>
          <cell r="D3531" t="str">
            <v>NJ</v>
          </cell>
          <cell r="E3531" t="str">
            <v/>
          </cell>
          <cell r="F3531" t="str">
            <v/>
          </cell>
          <cell r="G3531" t="str">
            <v>TRANSPORTES Y SERVICIOS ARCO IRIS S.A.S.</v>
          </cell>
          <cell r="H3531" t="str">
            <v>IMVE</v>
          </cell>
          <cell r="I3531" t="str">
            <v>IMPUESTO SOBRE LAS VENTAS</v>
          </cell>
          <cell r="J3531" t="str">
            <v xml:space="preserve"> CL 27 23 A 36 BRR LA FLORESTA</v>
          </cell>
          <cell r="K3531" t="str">
            <v>85001</v>
          </cell>
          <cell r="L3531" t="str">
            <v>YOPAL</v>
          </cell>
          <cell r="M3531" t="str">
            <v>3158590242</v>
          </cell>
        </row>
        <row r="3532">
          <cell r="A3532">
            <v>827000616</v>
          </cell>
          <cell r="B3532" t="str">
            <v>7</v>
          </cell>
          <cell r="C3532" t="str">
            <v/>
          </cell>
          <cell r="D3532" t="str">
            <v>NJ</v>
          </cell>
          <cell r="E3532" t="str">
            <v/>
          </cell>
          <cell r="F3532" t="str">
            <v/>
          </cell>
          <cell r="G3532" t="str">
            <v>COOPERATIVA AUTONOMA DE SEGURIDAD C.T.A. COAUTONOMA C.T.A.</v>
          </cell>
          <cell r="H3532" t="str">
            <v>RECO</v>
          </cell>
          <cell r="I3532" t="str">
            <v>REGIMEN COMUN</v>
          </cell>
          <cell r="J3532" t="str">
            <v>BRR LOS ALMENDROS MANZANA 6 CA 11</v>
          </cell>
          <cell r="K3532" t="str">
            <v>68669</v>
          </cell>
          <cell r="L3532" t="str">
            <v>SAN ANDRÉS</v>
          </cell>
          <cell r="M3532" t="str">
            <v>8115212</v>
          </cell>
        </row>
        <row r="3533">
          <cell r="A3533">
            <v>827001025</v>
          </cell>
          <cell r="B3533" t="str">
            <v>9</v>
          </cell>
          <cell r="C3533" t="str">
            <v/>
          </cell>
          <cell r="D3533" t="str">
            <v>NJ</v>
          </cell>
          <cell r="E3533" t="str">
            <v/>
          </cell>
          <cell r="F3533" t="str">
            <v/>
          </cell>
          <cell r="G3533" t="str">
            <v xml:space="preserve">SOLUCIONES DE ENERGIA S.A.S.                                </v>
          </cell>
          <cell r="H3533" t="str">
            <v>RECO</v>
          </cell>
          <cell r="I3533" t="str">
            <v>REGIMEN COMUN</v>
          </cell>
          <cell r="J3533" t="str">
            <v xml:space="preserve">AV PROVIDENCIA 4A 23  SAN ANDRES   </v>
          </cell>
          <cell r="K3533" t="str">
            <v>88001</v>
          </cell>
          <cell r="L3533" t="str">
            <v>SAN ANDRÉS</v>
          </cell>
          <cell r="M3533" t="str">
            <v>5122269</v>
          </cell>
        </row>
        <row r="3534">
          <cell r="A3534">
            <v>828001883</v>
          </cell>
          <cell r="B3534" t="str">
            <v>5</v>
          </cell>
          <cell r="C3534" t="str">
            <v/>
          </cell>
          <cell r="D3534" t="str">
            <v>NJ</v>
          </cell>
          <cell r="E3534" t="str">
            <v/>
          </cell>
          <cell r="F3534" t="str">
            <v/>
          </cell>
          <cell r="G3534" t="str">
            <v>TRANSFLUVIAL EL SUR LIMITADA</v>
          </cell>
          <cell r="H3534" t="str">
            <v>RECO</v>
          </cell>
          <cell r="I3534" t="str">
            <v>REGIMEN COMUN</v>
          </cell>
          <cell r="J3534" t="str">
            <v>CR 12 18 14 BRR CENTRO</v>
          </cell>
          <cell r="K3534" t="str">
            <v>18001</v>
          </cell>
          <cell r="L3534" t="str">
            <v>FLORENCIA</v>
          </cell>
          <cell r="M3534" t="str">
            <v>4359334</v>
          </cell>
        </row>
        <row r="3535">
          <cell r="A3535">
            <v>829000127</v>
          </cell>
          <cell r="B3535" t="str">
            <v>4</v>
          </cell>
          <cell r="C3535" t="str">
            <v>39900000</v>
          </cell>
          <cell r="D3535" t="str">
            <v>NJ</v>
          </cell>
          <cell r="E3535" t="str">
            <v/>
          </cell>
          <cell r="F3535" t="str">
            <v/>
          </cell>
          <cell r="G3535" t="str">
            <v>CORPORACION AUTONOMA REGIONAL DEL RIO GRANDE DE LA MAGDALENA</v>
          </cell>
          <cell r="H3535" t="str">
            <v>RECO</v>
          </cell>
          <cell r="I3535" t="str">
            <v>REGIMEN COMUN</v>
          </cell>
          <cell r="J3535" t="str">
            <v>CR 1   52   10 SEC MLL</v>
          </cell>
          <cell r="K3535" t="str">
            <v>68081</v>
          </cell>
          <cell r="L3535" t="str">
            <v>BARRANCABERMEJA</v>
          </cell>
          <cell r="M3535" t="str">
            <v>6214422</v>
          </cell>
        </row>
        <row r="3536">
          <cell r="A3536">
            <v>829000329</v>
          </cell>
          <cell r="B3536" t="str">
            <v>5</v>
          </cell>
          <cell r="C3536" t="str">
            <v/>
          </cell>
          <cell r="D3536" t="str">
            <v>NJ</v>
          </cell>
          <cell r="E3536" t="str">
            <v/>
          </cell>
          <cell r="F3536" t="str">
            <v/>
          </cell>
          <cell r="G3536" t="str">
            <v xml:space="preserve"> TRANSPORTADORA SAN PABLO LTDA</v>
          </cell>
          <cell r="H3536" t="str">
            <v>RECO</v>
          </cell>
          <cell r="I3536" t="str">
            <v>REGIMEN COMUN</v>
          </cell>
          <cell r="J3536" t="str">
            <v>CALLE 49 NO 1-65</v>
          </cell>
          <cell r="K3536" t="str">
            <v>68081</v>
          </cell>
          <cell r="L3536" t="str">
            <v>BARRANCABERMEJA</v>
          </cell>
          <cell r="M3536" t="str">
            <v>3164669020</v>
          </cell>
        </row>
        <row r="3537">
          <cell r="A3537">
            <v>829002445</v>
          </cell>
          <cell r="B3537" t="str">
            <v>0</v>
          </cell>
          <cell r="C3537" t="str">
            <v/>
          </cell>
          <cell r="D3537" t="str">
            <v>NJ</v>
          </cell>
          <cell r="E3537" t="str">
            <v/>
          </cell>
          <cell r="F3537" t="str">
            <v/>
          </cell>
          <cell r="G3537" t="str">
            <v>RANDLEY SAS</v>
          </cell>
          <cell r="H3537" t="str">
            <v>IMVE</v>
          </cell>
          <cell r="I3537" t="str">
            <v>IMPUESTO SOBRE LAS VENTAS</v>
          </cell>
          <cell r="J3537" t="str">
            <v>CL 55 18 A 20 BRR URIBE URIBE</v>
          </cell>
          <cell r="K3537" t="str">
            <v>68081</v>
          </cell>
          <cell r="L3537" t="str">
            <v>BARRANCABERMEJA</v>
          </cell>
          <cell r="M3537" t="str">
            <v>6226703</v>
          </cell>
        </row>
        <row r="3538">
          <cell r="A3538">
            <v>830000282</v>
          </cell>
          <cell r="B3538" t="str">
            <v>1</v>
          </cell>
          <cell r="C3538" t="str">
            <v>922500000</v>
          </cell>
          <cell r="D3538" t="str">
            <v>NJ</v>
          </cell>
          <cell r="E3538" t="str">
            <v/>
          </cell>
          <cell r="F3538" t="str">
            <v/>
          </cell>
          <cell r="G3538" t="str">
            <v>UNIDAD DE PLANEACIÓN MINERO ENERGÉTICA</v>
          </cell>
          <cell r="H3538" t="str">
            <v>COIM</v>
          </cell>
          <cell r="I3538" t="str">
            <v>CONTROL DE IMPUESTOS</v>
          </cell>
          <cell r="J3538" t="str">
            <v>AC 26 69 D 91 TO 1 OF 901</v>
          </cell>
          <cell r="K3538" t="str">
            <v>03</v>
          </cell>
          <cell r="L3538" t="str">
            <v>BOGOTA</v>
          </cell>
          <cell r="M3538" t="str">
            <v>2220601</v>
          </cell>
        </row>
        <row r="3539">
          <cell r="A3539">
            <v>830000327</v>
          </cell>
          <cell r="B3539" t="str">
            <v>4</v>
          </cell>
          <cell r="C3539" t="str">
            <v/>
          </cell>
          <cell r="D3539" t="str">
            <v>NJ</v>
          </cell>
          <cell r="E3539" t="str">
            <v/>
          </cell>
          <cell r="F3539" t="str">
            <v/>
          </cell>
          <cell r="G3539" t="str">
            <v>HIDRALOBRAS S.A.S.</v>
          </cell>
          <cell r="H3539" t="str">
            <v>IMVE</v>
          </cell>
          <cell r="I3539" t="str">
            <v>IMPUESTO SOBRE LAS VENTAS</v>
          </cell>
          <cell r="J3539" t="str">
            <v xml:space="preserve"> CL 93 BIS 19 50 OF 404</v>
          </cell>
          <cell r="K3539" t="str">
            <v>11001</v>
          </cell>
          <cell r="L3539" t="str">
            <v>BOGOTA DC</v>
          </cell>
          <cell r="M3539" t="str">
            <v>61611353</v>
          </cell>
        </row>
        <row r="3540">
          <cell r="A3540">
            <v>830000818</v>
          </cell>
          <cell r="B3540" t="str">
            <v>9</v>
          </cell>
          <cell r="C3540" t="str">
            <v/>
          </cell>
          <cell r="D3540" t="str">
            <v>NJ</v>
          </cell>
          <cell r="E3540" t="str">
            <v/>
          </cell>
          <cell r="F3540" t="str">
            <v/>
          </cell>
          <cell r="G3540" t="str">
            <v>CROWE  CO S.A.S</v>
          </cell>
          <cell r="H3540" t="str">
            <v>IMVE</v>
          </cell>
          <cell r="I3540" t="str">
            <v>IMPUESTO SOBRE LAS VENTAS</v>
          </cell>
          <cell r="J3540" t="str">
            <v xml:space="preserve"> CR 16 93 92 ED CROWE</v>
          </cell>
          <cell r="K3540" t="str">
            <v>11001</v>
          </cell>
          <cell r="L3540" t="str">
            <v>BOGOTA DC</v>
          </cell>
          <cell r="M3540" t="str">
            <v>6059000</v>
          </cell>
        </row>
        <row r="3541">
          <cell r="A3541">
            <v>830001350</v>
          </cell>
          <cell r="B3541" t="str">
            <v>9</v>
          </cell>
          <cell r="C3541" t="str">
            <v/>
          </cell>
          <cell r="D3541" t="str">
            <v>NJ</v>
          </cell>
          <cell r="E3541" t="str">
            <v/>
          </cell>
          <cell r="F3541" t="str">
            <v/>
          </cell>
          <cell r="G3541" t="str">
            <v>TECNICA DE CONEXIONES SOCIEDAD POR ACCIONES SIMPLIFICADA</v>
          </cell>
          <cell r="H3541" t="str">
            <v>IMVE</v>
          </cell>
          <cell r="I3541" t="str">
            <v>IMPUESTO SOBRE LAS VENTAS</v>
          </cell>
          <cell r="J3541" t="str">
            <v>CR 14 119 67 IN 4</v>
          </cell>
          <cell r="K3541" t="str">
            <v>11001</v>
          </cell>
          <cell r="L3541" t="str">
            <v>BOGOTA DC</v>
          </cell>
          <cell r="M3541" t="str">
            <v>5716102931</v>
          </cell>
        </row>
        <row r="3542">
          <cell r="A3542">
            <v>830001684</v>
          </cell>
          <cell r="B3542" t="str">
            <v>3</v>
          </cell>
          <cell r="C3542" t="str">
            <v/>
          </cell>
          <cell r="D3542" t="str">
            <v>NJ</v>
          </cell>
          <cell r="E3542" t="str">
            <v/>
          </cell>
          <cell r="F3542" t="str">
            <v/>
          </cell>
          <cell r="G3542" t="str">
            <v>SER. I. OBRAS SAS</v>
          </cell>
          <cell r="H3542" t="str">
            <v>RECO</v>
          </cell>
          <cell r="I3542" t="str">
            <v>REGIMEN COMUN</v>
          </cell>
          <cell r="J3542" t="str">
            <v>CL 20 C 93 25 IN 4 AP 602</v>
          </cell>
          <cell r="K3542" t="str">
            <v>17001</v>
          </cell>
          <cell r="L3542" t="str">
            <v>MANIZALES</v>
          </cell>
          <cell r="M3542" t="str">
            <v>2661577</v>
          </cell>
        </row>
        <row r="3543">
          <cell r="A3543">
            <v>830002189</v>
          </cell>
          <cell r="B3543" t="str">
            <v>3</v>
          </cell>
          <cell r="C3543" t="str">
            <v/>
          </cell>
          <cell r="D3543" t="str">
            <v>NJ</v>
          </cell>
          <cell r="E3543" t="str">
            <v/>
          </cell>
          <cell r="F3543" t="str">
            <v/>
          </cell>
          <cell r="G3543" t="str">
            <v xml:space="preserve">CONSTRUCTORA PI SA                                          </v>
          </cell>
          <cell r="H3543" t="str">
            <v>RECO</v>
          </cell>
          <cell r="I3543" t="str">
            <v>REGIMEN COMUN</v>
          </cell>
          <cell r="J3543" t="str">
            <v xml:space="preserve">CR 31 A  N 25A 76 BOGOTA           </v>
          </cell>
          <cell r="K3543" t="str">
            <v>11001</v>
          </cell>
          <cell r="L3543" t="str">
            <v>BOGOTA DC</v>
          </cell>
          <cell r="M3543" t="str">
            <v>6253219</v>
          </cell>
        </row>
        <row r="3544">
          <cell r="A3544">
            <v>830002623</v>
          </cell>
          <cell r="B3544" t="str">
            <v>9</v>
          </cell>
          <cell r="C3544" t="str">
            <v/>
          </cell>
          <cell r="D3544" t="str">
            <v>NJ</v>
          </cell>
          <cell r="E3544" t="str">
            <v/>
          </cell>
          <cell r="F3544" t="str">
            <v/>
          </cell>
          <cell r="G3544" t="str">
            <v>PEAJE FUSCA</v>
          </cell>
          <cell r="H3544" t="str">
            <v>RECO</v>
          </cell>
          <cell r="I3544" t="str">
            <v>REGIMEN COMUN</v>
          </cell>
          <cell r="J3544" t="str">
            <v>CR 23   64 B 33</v>
          </cell>
          <cell r="K3544" t="str">
            <v>11001</v>
          </cell>
          <cell r="L3544" t="str">
            <v>BOGOTA DC</v>
          </cell>
          <cell r="M3544" t="str">
            <v>8756262</v>
          </cell>
        </row>
        <row r="3545">
          <cell r="A3545">
            <v>830003164</v>
          </cell>
          <cell r="B3545" t="str">
            <v>4</v>
          </cell>
          <cell r="C3545" t="str">
            <v/>
          </cell>
          <cell r="D3545" t="str">
            <v>NJ</v>
          </cell>
          <cell r="E3545" t="str">
            <v/>
          </cell>
          <cell r="F3545" t="str">
            <v/>
          </cell>
          <cell r="G3545" t="str">
            <v>JAIME HERRAN MESA CONSULTORIA SAS</v>
          </cell>
          <cell r="H3545" t="str">
            <v>RECO</v>
          </cell>
          <cell r="I3545" t="str">
            <v>REGIMEN COMUN</v>
          </cell>
          <cell r="J3545" t="str">
            <v xml:space="preserve"> AK 15 144 43 AP 103</v>
          </cell>
          <cell r="K3545" t="str">
            <v>17001</v>
          </cell>
          <cell r="L3545" t="str">
            <v>MANIZALES</v>
          </cell>
          <cell r="M3545" t="str">
            <v>6147207</v>
          </cell>
        </row>
        <row r="3546">
          <cell r="A3546">
            <v>830003564</v>
          </cell>
          <cell r="B3546" t="str">
            <v>7</v>
          </cell>
          <cell r="C3546" t="str">
            <v/>
          </cell>
          <cell r="D3546" t="str">
            <v>NJ</v>
          </cell>
          <cell r="E3546" t="str">
            <v/>
          </cell>
          <cell r="F3546" t="str">
            <v/>
          </cell>
          <cell r="G3546" t="str">
            <v xml:space="preserve">FAMISANAR                                                   </v>
          </cell>
          <cell r="H3546" t="str">
            <v>GRCO</v>
          </cell>
          <cell r="I3546" t="str">
            <v>GRAN CONTRIBUYENTE</v>
          </cell>
          <cell r="J3546" t="str">
            <v xml:space="preserve">cra 23 75 68                            </v>
          </cell>
          <cell r="K3546" t="str">
            <v>17001</v>
          </cell>
          <cell r="L3546" t="str">
            <v>MANIZALES</v>
          </cell>
          <cell r="M3546" t="str">
            <v>8756262</v>
          </cell>
        </row>
        <row r="3547">
          <cell r="A3547">
            <v>830004244</v>
          </cell>
          <cell r="B3547" t="str">
            <v>1</v>
          </cell>
          <cell r="C3547" t="str">
            <v/>
          </cell>
          <cell r="D3547" t="str">
            <v>NJ</v>
          </cell>
          <cell r="E3547" t="str">
            <v/>
          </cell>
          <cell r="F3547" t="str">
            <v/>
          </cell>
          <cell r="G3547" t="str">
            <v>LAPS INGENIERIA SAS</v>
          </cell>
          <cell r="H3547" t="str">
            <v>RECO</v>
          </cell>
          <cell r="I3547" t="str">
            <v>REGIMEN COMUN</v>
          </cell>
          <cell r="J3547" t="str">
            <v>CL 45 A 25 A 79</v>
          </cell>
          <cell r="K3547" t="str">
            <v>03</v>
          </cell>
          <cell r="L3547" t="str">
            <v>BOGOTA</v>
          </cell>
          <cell r="M3547" t="str">
            <v>7223321</v>
          </cell>
        </row>
        <row r="3548">
          <cell r="A3548">
            <v>830004642</v>
          </cell>
          <cell r="B3548" t="str">
            <v>8</v>
          </cell>
          <cell r="C3548" t="str">
            <v/>
          </cell>
          <cell r="D3548" t="str">
            <v>NJ</v>
          </cell>
          <cell r="E3548" t="str">
            <v/>
          </cell>
          <cell r="F3548" t="str">
            <v/>
          </cell>
          <cell r="G3548" t="str">
            <v>INGENIERIA TOTAL SAS-INTOL SAS</v>
          </cell>
          <cell r="H3548" t="str">
            <v>RECO</v>
          </cell>
          <cell r="I3548" t="str">
            <v>REGIMEN COMUN</v>
          </cell>
          <cell r="J3548" t="str">
            <v>CL 95   15   33 OF 504</v>
          </cell>
          <cell r="K3548" t="str">
            <v>11001</v>
          </cell>
          <cell r="L3548" t="str">
            <v>BOGOTA DC</v>
          </cell>
          <cell r="M3548" t="str">
            <v>6220755</v>
          </cell>
        </row>
        <row r="3549">
          <cell r="A3549">
            <v>830005062</v>
          </cell>
          <cell r="B3549" t="str">
            <v>0</v>
          </cell>
          <cell r="C3549" t="str">
            <v/>
          </cell>
          <cell r="D3549" t="str">
            <v>NJ</v>
          </cell>
          <cell r="E3549" t="str">
            <v/>
          </cell>
          <cell r="F3549" t="str">
            <v/>
          </cell>
          <cell r="G3549" t="str">
            <v>TECNOENERGIA COLOMBIA LTDA</v>
          </cell>
          <cell r="H3549" t="str">
            <v>RECO</v>
          </cell>
          <cell r="I3549" t="str">
            <v>REGIMEN COMUN</v>
          </cell>
          <cell r="J3549" t="str">
            <v>CL 91 A 59 06</v>
          </cell>
          <cell r="K3549" t="str">
            <v>11001</v>
          </cell>
          <cell r="L3549" t="str">
            <v>BOGOTA DC</v>
          </cell>
          <cell r="M3549" t="str">
            <v>4004012</v>
          </cell>
        </row>
        <row r="3550">
          <cell r="A3550">
            <v>830005370</v>
          </cell>
          <cell r="B3550" t="str">
            <v>4</v>
          </cell>
          <cell r="C3550" t="str">
            <v>60700000</v>
          </cell>
          <cell r="D3550" t="str">
            <v>NJ</v>
          </cell>
          <cell r="E3550" t="str">
            <v/>
          </cell>
          <cell r="F3550" t="str">
            <v/>
          </cell>
          <cell r="G3550" t="str">
            <v>CANAL REGIONAL DE TELEVISION TEVEANDINA LTDA</v>
          </cell>
          <cell r="H3550" t="str">
            <v>IMVE</v>
          </cell>
          <cell r="I3550" t="str">
            <v>IMPUESTO SOBRE LAS VENTAS</v>
          </cell>
          <cell r="J3550" t="str">
            <v>CR 45 26 33</v>
          </cell>
          <cell r="K3550" t="str">
            <v>11001</v>
          </cell>
          <cell r="L3550" t="str">
            <v>BOGOTA DC</v>
          </cell>
          <cell r="M3550" t="str">
            <v>6051313</v>
          </cell>
        </row>
        <row r="3551">
          <cell r="A3551">
            <v>830007514</v>
          </cell>
          <cell r="B3551" t="str">
            <v>7</v>
          </cell>
          <cell r="C3551" t="str">
            <v/>
          </cell>
          <cell r="D3551" t="str">
            <v>NJ</v>
          </cell>
          <cell r="E3551" t="str">
            <v/>
          </cell>
          <cell r="F3551" t="str">
            <v/>
          </cell>
          <cell r="G3551" t="str">
            <v>CHANNELPLANET S.A.S</v>
          </cell>
          <cell r="H3551" t="str">
            <v>RECO</v>
          </cell>
          <cell r="I3551" t="str">
            <v>REGIMEN COMUN</v>
          </cell>
          <cell r="J3551" t="str">
            <v>CR 17 A 116 39</v>
          </cell>
          <cell r="K3551" t="str">
            <v>11001</v>
          </cell>
          <cell r="L3551" t="str">
            <v>BOGOTA DC</v>
          </cell>
          <cell r="M3551" t="str">
            <v>3819900</v>
          </cell>
        </row>
        <row r="3552">
          <cell r="A3552">
            <v>830008313</v>
          </cell>
          <cell r="B3552" t="str">
            <v>8</v>
          </cell>
          <cell r="C3552" t="str">
            <v/>
          </cell>
          <cell r="D3552" t="str">
            <v>NJ</v>
          </cell>
          <cell r="E3552" t="str">
            <v/>
          </cell>
          <cell r="F3552" t="str">
            <v/>
          </cell>
          <cell r="G3552" t="str">
            <v>TOP TRAVEL LIMITADA</v>
          </cell>
          <cell r="H3552" t="str">
            <v>RECO</v>
          </cell>
          <cell r="I3552" t="str">
            <v>REGIMEN COMUN</v>
          </cell>
          <cell r="J3552" t="str">
            <v>CL 126 7 C 71</v>
          </cell>
          <cell r="K3552" t="str">
            <v>11001</v>
          </cell>
          <cell r="L3552" t="str">
            <v>BOGOTA DC</v>
          </cell>
          <cell r="M3552" t="str">
            <v>6195000</v>
          </cell>
        </row>
        <row r="3553">
          <cell r="A3553">
            <v>830009853</v>
          </cell>
          <cell r="B3553" t="str">
            <v>8</v>
          </cell>
          <cell r="C3553" t="str">
            <v/>
          </cell>
          <cell r="D3553" t="str">
            <v>NJ</v>
          </cell>
          <cell r="E3553" t="str">
            <v/>
          </cell>
          <cell r="F3553" t="str">
            <v/>
          </cell>
          <cell r="G3553" t="str">
            <v xml:space="preserve">SEGURIDAD PENTA LTDA          </v>
          </cell>
          <cell r="H3553" t="str">
            <v>RECO</v>
          </cell>
          <cell r="I3553" t="str">
            <v>REGIMEN COMUN</v>
          </cell>
          <cell r="J3553" t="str">
            <v xml:space="preserve">CR 75 25F 13 MODELIA                   </v>
          </cell>
          <cell r="K3553" t="str">
            <v>11001</v>
          </cell>
          <cell r="L3553" t="str">
            <v>BOGOTA DC</v>
          </cell>
          <cell r="M3553" t="str">
            <v>4104617</v>
          </cell>
        </row>
        <row r="3554">
          <cell r="A3554">
            <v>830010599</v>
          </cell>
          <cell r="B3554" t="str">
            <v>3</v>
          </cell>
          <cell r="C3554" t="str">
            <v/>
          </cell>
          <cell r="D3554" t="str">
            <v>NJ</v>
          </cell>
          <cell r="E3554" t="str">
            <v/>
          </cell>
          <cell r="F3554" t="str">
            <v/>
          </cell>
          <cell r="G3554" t="str">
            <v>COMERCIAL INGEOELECTRICA SAS</v>
          </cell>
          <cell r="H3554" t="str">
            <v>IMVE</v>
          </cell>
          <cell r="I3554" t="str">
            <v>IMPUESTO SOBRE LAS VENTAS</v>
          </cell>
          <cell r="J3554" t="str">
            <v>CR 21 169 62 OF 201 OF 216</v>
          </cell>
          <cell r="K3554" t="str">
            <v>11001</v>
          </cell>
          <cell r="L3554" t="str">
            <v>BOGOTA DC</v>
          </cell>
          <cell r="M3554" t="str">
            <v>6705195</v>
          </cell>
        </row>
        <row r="3555">
          <cell r="A3555">
            <v>830011008</v>
          </cell>
          <cell r="B3555" t="str">
            <v>7</v>
          </cell>
          <cell r="C3555" t="str">
            <v/>
          </cell>
          <cell r="D3555" t="str">
            <v>NJ</v>
          </cell>
          <cell r="E3555" t="str">
            <v/>
          </cell>
          <cell r="F3555" t="str">
            <v/>
          </cell>
          <cell r="G3555" t="str">
            <v>UNIMSALUD SAS</v>
          </cell>
          <cell r="H3555" t="str">
            <v>RECO</v>
          </cell>
          <cell r="I3555" t="str">
            <v>REGIMEN COMUN</v>
          </cell>
          <cell r="J3555" t="str">
            <v>CR 22 72 29</v>
          </cell>
          <cell r="K3555" t="str">
            <v>11001</v>
          </cell>
          <cell r="L3555" t="str">
            <v>BOGOTA DC</v>
          </cell>
          <cell r="M3555" t="str">
            <v>2100478</v>
          </cell>
        </row>
        <row r="3556">
          <cell r="A3556">
            <v>830011647</v>
          </cell>
          <cell r="B3556" t="str">
            <v>3</v>
          </cell>
          <cell r="C3556" t="str">
            <v/>
          </cell>
          <cell r="D3556" t="str">
            <v>NJ</v>
          </cell>
          <cell r="E3556" t="str">
            <v/>
          </cell>
          <cell r="F3556" t="str">
            <v/>
          </cell>
          <cell r="G3556" t="str">
            <v>ENVIRONMENTAL QUALITY MANAGEMENT  S.A.S</v>
          </cell>
          <cell r="H3556" t="str">
            <v>RECO</v>
          </cell>
          <cell r="I3556" t="str">
            <v>REGIMEN COMUN</v>
          </cell>
          <cell r="J3556" t="str">
            <v xml:space="preserve"> CL 168 65 50 CA 5</v>
          </cell>
          <cell r="K3556" t="str">
            <v>11001</v>
          </cell>
          <cell r="L3556" t="str">
            <v>BOGOTA DC</v>
          </cell>
          <cell r="M3556" t="str">
            <v>3106070116</v>
          </cell>
        </row>
        <row r="3557">
          <cell r="A3557">
            <v>830012045</v>
          </cell>
          <cell r="B3557" t="str">
            <v>4</v>
          </cell>
          <cell r="C3557" t="str">
            <v/>
          </cell>
          <cell r="D3557" t="str">
            <v>NJ</v>
          </cell>
          <cell r="E3557" t="str">
            <v/>
          </cell>
          <cell r="F3557" t="str">
            <v/>
          </cell>
          <cell r="G3557" t="str">
            <v>AMCOL INGENIERIA LTDA</v>
          </cell>
          <cell r="H3557" t="str">
            <v>RECO</v>
          </cell>
          <cell r="I3557" t="str">
            <v>REGIMEN COMUN</v>
          </cell>
          <cell r="J3557" t="str">
            <v>CR  49 B  91 54</v>
          </cell>
          <cell r="K3557" t="str">
            <v>11001</v>
          </cell>
          <cell r="L3557" t="str">
            <v>BOGOTA DC</v>
          </cell>
          <cell r="M3557" t="str">
            <v>6218634</v>
          </cell>
        </row>
        <row r="3558">
          <cell r="A3558">
            <v>830012169</v>
          </cell>
          <cell r="B3558" t="str">
            <v>9</v>
          </cell>
          <cell r="C3558" t="str">
            <v/>
          </cell>
          <cell r="D3558" t="str">
            <v>NJ</v>
          </cell>
          <cell r="E3558" t="str">
            <v/>
          </cell>
          <cell r="F3558" t="str">
            <v/>
          </cell>
          <cell r="G3558" t="str">
            <v>CIA HOTELERA ANDES PLAZA LIMITADA HOTEL ANDES PLAZA</v>
          </cell>
          <cell r="H3558" t="str">
            <v>RECO</v>
          </cell>
          <cell r="I3558" t="str">
            <v>REGIMEN COMUN</v>
          </cell>
          <cell r="J3558" t="str">
            <v>A K 15 N 100 11</v>
          </cell>
          <cell r="K3558" t="str">
            <v>17001</v>
          </cell>
          <cell r="L3558" t="str">
            <v>MANIZALES</v>
          </cell>
          <cell r="M3558" t="str">
            <v>3148180</v>
          </cell>
        </row>
        <row r="3559">
          <cell r="A3559">
            <v>830013009</v>
          </cell>
          <cell r="B3559" t="str">
            <v>3</v>
          </cell>
          <cell r="C3559" t="str">
            <v/>
          </cell>
          <cell r="D3559" t="str">
            <v>NJ</v>
          </cell>
          <cell r="E3559" t="str">
            <v/>
          </cell>
          <cell r="F3559" t="str">
            <v/>
          </cell>
          <cell r="G3559" t="str">
            <v>DESARROLLADORA DE PROYECTOS DE INGENIERIA S.A.S. (DEPI S.A.S.)</v>
          </cell>
          <cell r="H3559" t="str">
            <v>IMVE</v>
          </cell>
          <cell r="I3559" t="str">
            <v>IMPUESTO SOBRE LAS VENTAS</v>
          </cell>
          <cell r="J3559" t="str">
            <v xml:space="preserve"> AC 26 92 32</v>
          </cell>
          <cell r="K3559" t="str">
            <v>11001</v>
          </cell>
          <cell r="L3559" t="str">
            <v>BOGOTA DC</v>
          </cell>
          <cell r="M3559" t="str">
            <v>3183411388</v>
          </cell>
        </row>
        <row r="3560">
          <cell r="A3560">
            <v>830014146</v>
          </cell>
          <cell r="B3560" t="str">
            <v>9</v>
          </cell>
          <cell r="C3560" t="str">
            <v/>
          </cell>
          <cell r="D3560" t="str">
            <v>NJ</v>
          </cell>
          <cell r="E3560" t="str">
            <v/>
          </cell>
          <cell r="F3560" t="str">
            <v/>
          </cell>
          <cell r="G3560" t="str">
            <v>DCS DIGITAL  COMMUNICATION SYSTEMS SAS</v>
          </cell>
          <cell r="H3560" t="str">
            <v>RCAU</v>
          </cell>
          <cell r="I3560" t="str">
            <v>RESPONSABLE IVA - AUTORETENEDOR</v>
          </cell>
          <cell r="J3560" t="str">
            <v xml:space="preserve"> CR  38 25  B 27  BRR EL RECUERO</v>
          </cell>
          <cell r="K3560" t="str">
            <v>11001</v>
          </cell>
          <cell r="L3560" t="str">
            <v>BOGOTA DC</v>
          </cell>
          <cell r="M3560" t="str">
            <v>7953320</v>
          </cell>
        </row>
        <row r="3561">
          <cell r="A3561">
            <v>830014490</v>
          </cell>
          <cell r="B3561" t="str">
            <v>8</v>
          </cell>
          <cell r="C3561" t="str">
            <v/>
          </cell>
          <cell r="D3561" t="str">
            <v>NJ</v>
          </cell>
          <cell r="E3561" t="str">
            <v/>
          </cell>
          <cell r="F3561" t="str">
            <v/>
          </cell>
          <cell r="G3561" t="str">
            <v>COMPUTADORES Y SOLUCIONES CAD DE COLOMBIA SAS</v>
          </cell>
          <cell r="H3561" t="str">
            <v>IMVE</v>
          </cell>
          <cell r="I3561" t="str">
            <v>IMPUESTO SOBRE LAS VENTAS</v>
          </cell>
          <cell r="J3561" t="str">
            <v>CL 71  5 23 OF 201 B</v>
          </cell>
          <cell r="K3561" t="str">
            <v>11001</v>
          </cell>
          <cell r="L3561" t="str">
            <v>BOGOTA DC</v>
          </cell>
          <cell r="M3561" t="str">
            <v>3210206</v>
          </cell>
        </row>
        <row r="3562">
          <cell r="A3562">
            <v>830015236</v>
          </cell>
          <cell r="B3562" t="str">
            <v>8</v>
          </cell>
          <cell r="C3562" t="str">
            <v/>
          </cell>
          <cell r="D3562" t="str">
            <v>NJ</v>
          </cell>
          <cell r="E3562" t="str">
            <v/>
          </cell>
          <cell r="F3562" t="str">
            <v/>
          </cell>
          <cell r="G3562" t="str">
            <v>ELECTROPILAS Y CIA LTDA</v>
          </cell>
          <cell r="H3562" t="str">
            <v>IMVE</v>
          </cell>
          <cell r="I3562" t="str">
            <v>IMPUESTO SOBRE LAS VENTAS</v>
          </cell>
          <cell r="J3562" t="str">
            <v>CL 21 8 25</v>
          </cell>
          <cell r="K3562" t="str">
            <v>11001</v>
          </cell>
          <cell r="L3562" t="str">
            <v>BOGOTA DC</v>
          </cell>
          <cell r="M3562" t="str">
            <v>3426455</v>
          </cell>
        </row>
        <row r="3563">
          <cell r="A3563">
            <v>830015345</v>
          </cell>
          <cell r="B3563" t="str">
            <v>2</v>
          </cell>
          <cell r="C3563" t="str">
            <v/>
          </cell>
          <cell r="D3563" t="str">
            <v>NJ</v>
          </cell>
          <cell r="E3563" t="str">
            <v/>
          </cell>
          <cell r="F3563" t="str">
            <v/>
          </cell>
          <cell r="G3563" t="str">
            <v>FEDERACION NACIONAL DE PRODUCTORES DE CARBON</v>
          </cell>
          <cell r="H3563" t="str">
            <v>IMVE</v>
          </cell>
          <cell r="I3563" t="str">
            <v>IMPUESTO SOBRE LAS VENTAS</v>
          </cell>
          <cell r="J3563" t="str">
            <v>CR 9 80 15 OF 505</v>
          </cell>
          <cell r="K3563" t="str">
            <v>11001</v>
          </cell>
          <cell r="L3563" t="str">
            <v>BOGOTA DC</v>
          </cell>
          <cell r="M3563" t="str">
            <v>5218801</v>
          </cell>
        </row>
        <row r="3564">
          <cell r="A3564">
            <v>830015408</v>
          </cell>
          <cell r="B3564" t="str">
            <v>8</v>
          </cell>
          <cell r="C3564" t="str">
            <v/>
          </cell>
          <cell r="D3564" t="str">
            <v>NJ</v>
          </cell>
          <cell r="E3564" t="str">
            <v/>
          </cell>
          <cell r="F3564" t="str">
            <v/>
          </cell>
          <cell r="G3564" t="str">
            <v>ELÉCTRICOS INGENIERÍA Y SERVICIOS EIS SAS</v>
          </cell>
          <cell r="H3564" t="str">
            <v>RECO</v>
          </cell>
          <cell r="I3564" t="str">
            <v>REGIMEN COMUN</v>
          </cell>
          <cell r="J3564" t="str">
            <v>AUT MEDELLIN KM 7 CELTA TRADE PARK BG 58 1</v>
          </cell>
          <cell r="K3564" t="str">
            <v>25286</v>
          </cell>
          <cell r="L3564" t="str">
            <v>FUNZA</v>
          </cell>
          <cell r="M3564" t="str">
            <v>7464676</v>
          </cell>
        </row>
        <row r="3565">
          <cell r="A3565">
            <v>830015699</v>
          </cell>
          <cell r="B3565" t="str">
            <v>4</v>
          </cell>
          <cell r="C3565" t="str">
            <v/>
          </cell>
          <cell r="D3565" t="str">
            <v>NJ</v>
          </cell>
          <cell r="E3565" t="str">
            <v/>
          </cell>
          <cell r="F3565" t="str">
            <v/>
          </cell>
          <cell r="G3565" t="str">
            <v>ESCALERAS DE COLOMBIA DISTRIBUCIONES LTDA</v>
          </cell>
          <cell r="H3565" t="str">
            <v>RECO</v>
          </cell>
          <cell r="I3565" t="str">
            <v>REGIMEN COMUN</v>
          </cell>
          <cell r="J3565" t="str">
            <v>CR 24   63   56</v>
          </cell>
          <cell r="K3565" t="str">
            <v>11001</v>
          </cell>
          <cell r="L3565" t="str">
            <v>BOGOTA DC</v>
          </cell>
          <cell r="M3565" t="str">
            <v>3475903</v>
          </cell>
        </row>
        <row r="3566">
          <cell r="A3566">
            <v>830015728</v>
          </cell>
          <cell r="B3566" t="str">
            <v>1</v>
          </cell>
          <cell r="C3566" t="str">
            <v/>
          </cell>
          <cell r="D3566" t="str">
            <v>NJ</v>
          </cell>
          <cell r="E3566" t="str">
            <v/>
          </cell>
          <cell r="F3566" t="str">
            <v/>
          </cell>
          <cell r="G3566" t="str">
            <v>INSTITUTO DE ESTUDIOS DEL MINISTERIO PUBLICO</v>
          </cell>
          <cell r="H3566" t="str">
            <v>REIC</v>
          </cell>
          <cell r="I3566" t="str">
            <v>RENTA REGIMEN ESPECIAL</v>
          </cell>
          <cell r="J3566" t="str">
            <v xml:space="preserve">CR 8 N 6 64                            </v>
          </cell>
          <cell r="K3566" t="str">
            <v>11001</v>
          </cell>
          <cell r="L3566" t="str">
            <v>BOGOTA DC</v>
          </cell>
          <cell r="M3566" t="str">
            <v>3811700</v>
          </cell>
        </row>
        <row r="3567">
          <cell r="A3567">
            <v>830017184</v>
          </cell>
          <cell r="B3567" t="str">
            <v>2</v>
          </cell>
          <cell r="C3567" t="str">
            <v/>
          </cell>
          <cell r="D3567" t="str">
            <v>NJ</v>
          </cell>
          <cell r="E3567" t="str">
            <v/>
          </cell>
          <cell r="F3567" t="str">
            <v/>
          </cell>
          <cell r="G3567" t="str">
            <v>PUFFER COLOMBIA</v>
          </cell>
          <cell r="H3567" t="str">
            <v>REOR</v>
          </cell>
          <cell r="I3567" t="str">
            <v>RENTA REGIMEN ORDINARIO</v>
          </cell>
          <cell r="J3567" t="str">
            <v>AV CR 45 97 50/70 OF 502 EDI PORTO 100</v>
          </cell>
          <cell r="K3567" t="str">
            <v>11001</v>
          </cell>
          <cell r="L3567" t="str">
            <v>BOGOTA DC</v>
          </cell>
          <cell r="M3567" t="str">
            <v>5333330</v>
          </cell>
        </row>
        <row r="3568">
          <cell r="A3568">
            <v>830017749</v>
          </cell>
          <cell r="B3568" t="str">
            <v>3</v>
          </cell>
          <cell r="C3568" t="str">
            <v/>
          </cell>
          <cell r="D3568" t="str">
            <v>NJ</v>
          </cell>
          <cell r="E3568" t="str">
            <v/>
          </cell>
          <cell r="F3568" t="str">
            <v/>
          </cell>
          <cell r="G3568" t="str">
            <v>SPT INGENIERIA S.A.S</v>
          </cell>
          <cell r="H3568" t="str">
            <v>IMVE</v>
          </cell>
          <cell r="I3568" t="str">
            <v>IMPUESTO SOBRE LAS VENTAS</v>
          </cell>
          <cell r="J3568" t="str">
            <v>CL 56 A 74 B 43</v>
          </cell>
          <cell r="K3568" t="str">
            <v>11001</v>
          </cell>
          <cell r="L3568" t="str">
            <v>BOGOTA DC</v>
          </cell>
          <cell r="M3568" t="str">
            <v>3105704242</v>
          </cell>
        </row>
        <row r="3569">
          <cell r="A3569">
            <v>830018468</v>
          </cell>
          <cell r="B3569" t="str">
            <v>3</v>
          </cell>
          <cell r="C3569" t="str">
            <v/>
          </cell>
          <cell r="D3569" t="str">
            <v>NJ</v>
          </cell>
          <cell r="E3569" t="str">
            <v/>
          </cell>
          <cell r="F3569" t="str">
            <v/>
          </cell>
          <cell r="G3569" t="str">
            <v>CONSTRUAIRE LTDA</v>
          </cell>
          <cell r="H3569" t="str">
            <v>RECO</v>
          </cell>
          <cell r="I3569" t="str">
            <v>REGIMEN COMUN</v>
          </cell>
          <cell r="J3569" t="str">
            <v xml:space="preserve"> CR 54  17 04 BRR PUENTE ARANDA</v>
          </cell>
          <cell r="K3569" t="str">
            <v>11001</v>
          </cell>
          <cell r="L3569" t="str">
            <v>BOGOTA DC</v>
          </cell>
          <cell r="M3569" t="str">
            <v>4142230</v>
          </cell>
        </row>
        <row r="3570">
          <cell r="A3570">
            <v>830019156</v>
          </cell>
          <cell r="B3570" t="str">
            <v>5</v>
          </cell>
          <cell r="C3570" t="str">
            <v/>
          </cell>
          <cell r="D3570" t="str">
            <v>NJ</v>
          </cell>
          <cell r="E3570" t="str">
            <v/>
          </cell>
          <cell r="F3570" t="str">
            <v/>
          </cell>
          <cell r="G3570" t="str">
            <v>DIGIWARE DE COLOMBIA S.A</v>
          </cell>
          <cell r="H3570" t="str">
            <v>IMVE</v>
          </cell>
          <cell r="I3570" t="str">
            <v>IMPUESTO SOBRE LAS VENTAS</v>
          </cell>
          <cell r="J3570" t="str">
            <v xml:space="preserve"> CL 100 13 21 OF 301</v>
          </cell>
          <cell r="K3570" t="str">
            <v>11001</v>
          </cell>
          <cell r="L3570" t="str">
            <v>BOGOTA DC</v>
          </cell>
          <cell r="M3570" t="str">
            <v>7443666</v>
          </cell>
        </row>
        <row r="3571">
          <cell r="A3571">
            <v>830019189</v>
          </cell>
          <cell r="B3571" t="str">
            <v>8</v>
          </cell>
          <cell r="C3571" t="str">
            <v/>
          </cell>
          <cell r="D3571" t="str">
            <v>NJ</v>
          </cell>
          <cell r="E3571" t="str">
            <v/>
          </cell>
          <cell r="F3571" t="str">
            <v/>
          </cell>
          <cell r="G3571" t="str">
            <v>LAN AIRLINES S.A</v>
          </cell>
          <cell r="H3571" t="str">
            <v>GRAU</v>
          </cell>
          <cell r="I3571" t="str">
            <v>GRAN CONTRIBUYENTE AUTORRETENEDO</v>
          </cell>
          <cell r="J3571" t="str">
            <v>CR</v>
          </cell>
          <cell r="K3571" t="str">
            <v>11001</v>
          </cell>
          <cell r="L3571" t="str">
            <v>BOGOTA DC</v>
          </cell>
          <cell r="M3571" t="str">
            <v>8756262</v>
          </cell>
        </row>
        <row r="3572">
          <cell r="A3572">
            <v>830019589</v>
          </cell>
          <cell r="B3572" t="str">
            <v>0</v>
          </cell>
          <cell r="C3572" t="str">
            <v/>
          </cell>
          <cell r="D3572" t="str">
            <v>NJ</v>
          </cell>
          <cell r="E3572" t="str">
            <v/>
          </cell>
          <cell r="F3572" t="str">
            <v/>
          </cell>
          <cell r="G3572" t="str">
            <v xml:space="preserve">HECA INGENIERIA LTDA                                        </v>
          </cell>
          <cell r="H3572" t="str">
            <v>RECO</v>
          </cell>
          <cell r="I3572" t="str">
            <v>REGIMEN COMUN</v>
          </cell>
          <cell r="J3572" t="str">
            <v>CL 46 13 56 OF 102</v>
          </cell>
          <cell r="K3572" t="str">
            <v>11001</v>
          </cell>
          <cell r="L3572" t="str">
            <v>BOGOTA DC</v>
          </cell>
          <cell r="M3572" t="str">
            <v>3384958</v>
          </cell>
        </row>
        <row r="3573">
          <cell r="A3573">
            <v>830019733</v>
          </cell>
          <cell r="B3573" t="str">
            <v>5</v>
          </cell>
          <cell r="C3573" t="str">
            <v/>
          </cell>
          <cell r="D3573" t="str">
            <v>NJ</v>
          </cell>
          <cell r="E3573" t="str">
            <v/>
          </cell>
          <cell r="F3573" t="str">
            <v/>
          </cell>
          <cell r="G3573" t="str">
            <v>ESTRATEGIA CONSULTORES &amp; CO SAS</v>
          </cell>
          <cell r="H3573" t="str">
            <v>RECO</v>
          </cell>
          <cell r="I3573" t="str">
            <v>REGIMEN COMUN</v>
          </cell>
          <cell r="J3573" t="str">
            <v>CR 17 105 29 IN 1</v>
          </cell>
          <cell r="K3573" t="str">
            <v>11001</v>
          </cell>
          <cell r="L3573" t="str">
            <v>BOGOTA DC</v>
          </cell>
          <cell r="M3573" t="str">
            <v>4586354</v>
          </cell>
        </row>
        <row r="3574">
          <cell r="A3574">
            <v>830020843</v>
          </cell>
          <cell r="B3574" t="str">
            <v>9</v>
          </cell>
          <cell r="C3574" t="str">
            <v/>
          </cell>
          <cell r="D3574" t="str">
            <v>NJ</v>
          </cell>
          <cell r="E3574" t="str">
            <v/>
          </cell>
          <cell r="F3574" t="str">
            <v/>
          </cell>
          <cell r="G3574" t="str">
            <v>INGENIEROS ASOCIADOS AVALUADORES SAS</v>
          </cell>
          <cell r="H3574" t="str">
            <v>REOR</v>
          </cell>
          <cell r="I3574" t="str">
            <v>RENTA REGIMEN ORDINARIO</v>
          </cell>
          <cell r="J3574" t="str">
            <v>CR 65 A 4 B 74</v>
          </cell>
          <cell r="K3574" t="str">
            <v>11001</v>
          </cell>
          <cell r="L3574" t="str">
            <v>BOGOTA DC</v>
          </cell>
          <cell r="M3574" t="str">
            <v>4688717</v>
          </cell>
        </row>
        <row r="3575">
          <cell r="A3575">
            <v>830021364</v>
          </cell>
          <cell r="B3575" t="str">
            <v>7</v>
          </cell>
          <cell r="C3575" t="str">
            <v/>
          </cell>
          <cell r="D3575" t="str">
            <v>NJ</v>
          </cell>
          <cell r="E3575" t="str">
            <v/>
          </cell>
          <cell r="F3575" t="str">
            <v/>
          </cell>
          <cell r="G3575" t="str">
            <v>HYD SAS</v>
          </cell>
          <cell r="H3575" t="str">
            <v>RECO</v>
          </cell>
          <cell r="I3575" t="str">
            <v>REGIMEN COMUN</v>
          </cell>
          <cell r="J3575" t="str">
            <v>CL 63 G 28 A 55 BRR BENJAMIN HERRERA</v>
          </cell>
          <cell r="K3575" t="str">
            <v>11001</v>
          </cell>
          <cell r="L3575" t="str">
            <v>BOGOTA DC</v>
          </cell>
          <cell r="M3575" t="str">
            <v>3163599666</v>
          </cell>
        </row>
        <row r="3576">
          <cell r="A3576">
            <v>830021370</v>
          </cell>
          <cell r="B3576" t="str">
            <v>1</v>
          </cell>
          <cell r="C3576" t="str">
            <v/>
          </cell>
          <cell r="D3576" t="str">
            <v>NJ</v>
          </cell>
          <cell r="E3576" t="str">
            <v/>
          </cell>
          <cell r="F3576" t="str">
            <v/>
          </cell>
          <cell r="G3576" t="str">
            <v>NESTOR MORA Y ASOCIADOS CONSULTORES DE RIESGOS LTDA.</v>
          </cell>
          <cell r="H3576" t="str">
            <v>IMVE</v>
          </cell>
          <cell r="I3576" t="str">
            <v>IMPUESTO SOBRE LAS VENTAS</v>
          </cell>
          <cell r="J3576" t="str">
            <v xml:space="preserve"> CL 106 53 39 OF 604</v>
          </cell>
          <cell r="K3576" t="str">
            <v>11001</v>
          </cell>
          <cell r="L3576" t="str">
            <v>BOGOTA DC</v>
          </cell>
          <cell r="M3576" t="str">
            <v>7519904</v>
          </cell>
        </row>
        <row r="3577">
          <cell r="A3577">
            <v>830021423</v>
          </cell>
          <cell r="B3577" t="str">
            <v>3</v>
          </cell>
          <cell r="C3577" t="str">
            <v/>
          </cell>
          <cell r="D3577" t="str">
            <v>NJ</v>
          </cell>
          <cell r="E3577" t="str">
            <v/>
          </cell>
          <cell r="F3577" t="str">
            <v/>
          </cell>
          <cell r="G3577" t="str">
            <v>PARQUEADERO SALITRE PLAZA</v>
          </cell>
          <cell r="H3577" t="str">
            <v>RECO</v>
          </cell>
          <cell r="I3577" t="str">
            <v>REGIMEN COMUN</v>
          </cell>
          <cell r="J3577" t="str">
            <v>CC SALITRE PLAZA</v>
          </cell>
          <cell r="K3577" t="str">
            <v>11001</v>
          </cell>
          <cell r="L3577" t="str">
            <v>BOGOTA DC</v>
          </cell>
          <cell r="M3577" t="str">
            <v>2189563</v>
          </cell>
        </row>
        <row r="3578">
          <cell r="A3578">
            <v>830021892</v>
          </cell>
          <cell r="B3578" t="str">
            <v>4</v>
          </cell>
          <cell r="C3578" t="str">
            <v/>
          </cell>
          <cell r="D3578" t="str">
            <v>NJ</v>
          </cell>
          <cell r="E3578" t="str">
            <v/>
          </cell>
          <cell r="F3578" t="str">
            <v/>
          </cell>
          <cell r="G3578" t="str">
            <v>CENTRO COMERCIAL PANAMA PH</v>
          </cell>
          <cell r="H3578" t="str">
            <v>RECO</v>
          </cell>
          <cell r="I3578" t="str">
            <v>REGIMEN COMUN</v>
          </cell>
          <cell r="J3578" t="str">
            <v>DG 182 20</v>
          </cell>
          <cell r="K3578" t="str">
            <v>11001</v>
          </cell>
          <cell r="L3578" t="str">
            <v>BOGOTA DC</v>
          </cell>
          <cell r="M3578" t="str">
            <v>6709757</v>
          </cell>
        </row>
        <row r="3579">
          <cell r="A3579">
            <v>830023178</v>
          </cell>
          <cell r="B3579" t="str">
            <v>2</v>
          </cell>
          <cell r="C3579" t="str">
            <v/>
          </cell>
          <cell r="D3579" t="str">
            <v>NJ</v>
          </cell>
          <cell r="E3579" t="str">
            <v/>
          </cell>
          <cell r="F3579" t="str">
            <v/>
          </cell>
          <cell r="G3579" t="str">
            <v>GRAN IMAGEN EU</v>
          </cell>
          <cell r="H3579" t="str">
            <v>RECO</v>
          </cell>
          <cell r="I3579" t="str">
            <v>REGIMEN COMUN</v>
          </cell>
          <cell r="J3579" t="str">
            <v>CL 17 33   54 BRR CUNDINAMARCA</v>
          </cell>
          <cell r="K3579" t="str">
            <v>11001</v>
          </cell>
          <cell r="L3579" t="str">
            <v>BOGOTA DC</v>
          </cell>
          <cell r="M3579" t="str">
            <v>7565600</v>
          </cell>
        </row>
        <row r="3580">
          <cell r="A3580">
            <v>830023758</v>
          </cell>
          <cell r="B3580" t="str">
            <v>4</v>
          </cell>
          <cell r="C3580" t="str">
            <v/>
          </cell>
          <cell r="D3580" t="str">
            <v>NJ</v>
          </cell>
          <cell r="E3580" t="str">
            <v/>
          </cell>
          <cell r="F3580" t="str">
            <v/>
          </cell>
          <cell r="G3580" t="str">
            <v>INGENIERIA Y DISEÑO INGEDISA S.A</v>
          </cell>
          <cell r="H3580" t="str">
            <v>RECO</v>
          </cell>
          <cell r="I3580" t="str">
            <v>REGIMEN COMUN</v>
          </cell>
          <cell r="J3580" t="str">
            <v>CR 46 93 84</v>
          </cell>
          <cell r="K3580" t="str">
            <v>11001</v>
          </cell>
          <cell r="L3580" t="str">
            <v>BOGOTA DC</v>
          </cell>
          <cell r="M3580" t="str">
            <v>6114667</v>
          </cell>
        </row>
        <row r="3581">
          <cell r="A3581">
            <v>830023782</v>
          </cell>
          <cell r="B3581" t="str">
            <v>1</v>
          </cell>
          <cell r="C3581" t="str">
            <v/>
          </cell>
          <cell r="D3581" t="str">
            <v>NJ</v>
          </cell>
          <cell r="E3581" t="str">
            <v/>
          </cell>
          <cell r="F3581" t="str">
            <v/>
          </cell>
          <cell r="G3581" t="str">
            <v>ANDESCO</v>
          </cell>
          <cell r="H3581" t="str">
            <v>IMVE</v>
          </cell>
          <cell r="I3581" t="str">
            <v>IMPUESTO SOBRE LAS VENTAS</v>
          </cell>
          <cell r="J3581" t="str">
            <v>CL 93   13 24 OF 302</v>
          </cell>
          <cell r="K3581" t="str">
            <v>11001</v>
          </cell>
          <cell r="L3581" t="str">
            <v>BOGOTA DC</v>
          </cell>
          <cell r="M3581" t="str">
            <v>6167611</v>
          </cell>
        </row>
        <row r="3582">
          <cell r="A3582">
            <v>830024519</v>
          </cell>
          <cell r="B3582" t="str">
            <v>5</v>
          </cell>
          <cell r="C3582" t="str">
            <v/>
          </cell>
          <cell r="D3582" t="str">
            <v>NJ</v>
          </cell>
          <cell r="E3582" t="str">
            <v/>
          </cell>
          <cell r="F3582" t="str">
            <v/>
          </cell>
          <cell r="G3582" t="str">
            <v>DIVE AND TOURS ESPECIALISTAS EN BUCEO E.U.</v>
          </cell>
          <cell r="H3582" t="str">
            <v>RECO</v>
          </cell>
          <cell r="I3582" t="str">
            <v>REGIMEN COMUN</v>
          </cell>
          <cell r="J3582" t="str">
            <v>CR 7  BIS  A  124  51</v>
          </cell>
          <cell r="K3582" t="str">
            <v>11001</v>
          </cell>
          <cell r="L3582" t="str">
            <v>BOGOTA DC</v>
          </cell>
          <cell r="M3582" t="str">
            <v>2135468</v>
          </cell>
        </row>
        <row r="3583">
          <cell r="A3583">
            <v>830025205</v>
          </cell>
          <cell r="B3583" t="str">
            <v>2</v>
          </cell>
          <cell r="C3583" t="str">
            <v/>
          </cell>
          <cell r="D3583" t="str">
            <v>NJ</v>
          </cell>
          <cell r="E3583" t="str">
            <v/>
          </cell>
          <cell r="F3583" t="str">
            <v/>
          </cell>
          <cell r="G3583" t="str">
            <v>AES COLOMBIA &amp; CIA S C A ESP</v>
          </cell>
          <cell r="H3583" t="str">
            <v>GRAU</v>
          </cell>
          <cell r="I3583" t="str">
            <v>GRAN CONTRIBUYENTE AUTORRETENEDO</v>
          </cell>
          <cell r="J3583" t="str">
            <v>AV CL 100 N 19 54 OF 901 ED PRIMER TOWER</v>
          </cell>
          <cell r="K3583" t="str">
            <v>11001</v>
          </cell>
          <cell r="L3583" t="str">
            <v>BOGOTA DC</v>
          </cell>
          <cell r="M3583" t="str">
            <v>6014079555</v>
          </cell>
        </row>
        <row r="3584">
          <cell r="A3584">
            <v>830025267</v>
          </cell>
          <cell r="B3584" t="str">
            <v>9</v>
          </cell>
          <cell r="C3584" t="str">
            <v>829300000</v>
          </cell>
          <cell r="D3584" t="str">
            <v>NJ</v>
          </cell>
          <cell r="E3584" t="str">
            <v/>
          </cell>
          <cell r="F3584" t="str">
            <v/>
          </cell>
          <cell r="G3584" t="str">
            <v>FONAM-FONDO NACIONAL AMBIENTAL</v>
          </cell>
          <cell r="H3584" t="str">
            <v>COIM</v>
          </cell>
          <cell r="I3584" t="str">
            <v>CONTROL DE IMPUESTOS</v>
          </cell>
          <cell r="J3584" t="str">
            <v>CL 37   8   40</v>
          </cell>
          <cell r="K3584" t="str">
            <v>11001</v>
          </cell>
          <cell r="L3584" t="str">
            <v>BOGOTA DC</v>
          </cell>
          <cell r="M3584" t="str">
            <v>3323434</v>
          </cell>
        </row>
        <row r="3585">
          <cell r="A3585">
            <v>830025306</v>
          </cell>
          <cell r="B3585" t="str">
            <v>8</v>
          </cell>
          <cell r="C3585" t="str">
            <v/>
          </cell>
          <cell r="D3585" t="str">
            <v>NJ</v>
          </cell>
          <cell r="E3585" t="str">
            <v/>
          </cell>
          <cell r="F3585" t="str">
            <v/>
          </cell>
          <cell r="G3585" t="str">
            <v>PROYECTOS ESPECIALES INGENIERIA S.A.S</v>
          </cell>
          <cell r="H3585" t="str">
            <v>IMVE</v>
          </cell>
          <cell r="I3585" t="str">
            <v>IMPUESTO SOBRE LAS VENTAS</v>
          </cell>
          <cell r="J3585" t="str">
            <v>CR 27  24   A 38</v>
          </cell>
          <cell r="K3585" t="str">
            <v>11001</v>
          </cell>
          <cell r="L3585" t="str">
            <v>BOGOTA DC</v>
          </cell>
          <cell r="M3585" t="str">
            <v>2441377</v>
          </cell>
        </row>
        <row r="3586">
          <cell r="A3586">
            <v>830025968</v>
          </cell>
          <cell r="B3586" t="str">
            <v>3</v>
          </cell>
          <cell r="C3586" t="str">
            <v/>
          </cell>
          <cell r="D3586" t="str">
            <v>NJ</v>
          </cell>
          <cell r="E3586" t="str">
            <v/>
          </cell>
          <cell r="F3586" t="str">
            <v/>
          </cell>
          <cell r="G3586" t="str">
            <v>AUTOMATIZACION AVANZADA S.A</v>
          </cell>
          <cell r="H3586" t="str">
            <v>RECO</v>
          </cell>
          <cell r="I3586" t="str">
            <v>REGIMEN COMUN</v>
          </cell>
          <cell r="J3586" t="str">
            <v>CR 97 24 C 75 BG 36</v>
          </cell>
          <cell r="K3586" t="str">
            <v>11001</v>
          </cell>
          <cell r="L3586" t="str">
            <v>BOGOTA DC</v>
          </cell>
          <cell r="M3586" t="str">
            <v>5478510</v>
          </cell>
        </row>
        <row r="3587">
          <cell r="A3587">
            <v>830026741</v>
          </cell>
          <cell r="B3587" t="str">
            <v>3</v>
          </cell>
          <cell r="C3587" t="str">
            <v/>
          </cell>
          <cell r="D3587" t="str">
            <v>NJ</v>
          </cell>
          <cell r="E3587" t="str">
            <v/>
          </cell>
          <cell r="F3587" t="str">
            <v/>
          </cell>
          <cell r="G3587" t="str">
            <v>CONCESIONARIA DEL DESARROLLO VIAL DE LA SABANA</v>
          </cell>
          <cell r="H3587" t="str">
            <v>IMVE</v>
          </cell>
          <cell r="I3587" t="str">
            <v>IMPUESTO SOBRE LAS VENTAS</v>
          </cell>
          <cell r="J3587" t="str">
            <v>KM 9 VTE MOSQUERA</v>
          </cell>
          <cell r="K3587" t="str">
            <v>25286</v>
          </cell>
          <cell r="L3587" t="str">
            <v>FUNZA</v>
          </cell>
          <cell r="M3587" t="str">
            <v>5953535</v>
          </cell>
        </row>
        <row r="3588">
          <cell r="A3588">
            <v>830026798</v>
          </cell>
          <cell r="B3588" t="str">
            <v>2</v>
          </cell>
          <cell r="C3588" t="str">
            <v/>
          </cell>
          <cell r="D3588" t="str">
            <v>NJ</v>
          </cell>
          <cell r="E3588" t="str">
            <v/>
          </cell>
          <cell r="F3588" t="str">
            <v/>
          </cell>
          <cell r="G3588" t="str">
            <v>MEGAPALSTICOS S.A.S</v>
          </cell>
          <cell r="H3588" t="str">
            <v>RECO</v>
          </cell>
          <cell r="I3588" t="str">
            <v>REGIMEN COMUN</v>
          </cell>
          <cell r="J3588" t="str">
            <v>CL 10   24   24</v>
          </cell>
          <cell r="K3588" t="str">
            <v>11001</v>
          </cell>
          <cell r="L3588" t="str">
            <v>BOGOTA DC</v>
          </cell>
          <cell r="M3588" t="str">
            <v>3609929</v>
          </cell>
        </row>
        <row r="3589">
          <cell r="A3589">
            <v>830026895</v>
          </cell>
          <cell r="B3589" t="str">
            <v>9</v>
          </cell>
          <cell r="C3589" t="str">
            <v/>
          </cell>
          <cell r="D3589" t="str">
            <v>NJ</v>
          </cell>
          <cell r="E3589" t="str">
            <v/>
          </cell>
          <cell r="F3589" t="str">
            <v/>
          </cell>
          <cell r="G3589" t="str">
            <v>INSPECCION Y DIAGNOSTICO TECNICO ISOTEC SAS</v>
          </cell>
          <cell r="H3589" t="str">
            <v>IMVE</v>
          </cell>
          <cell r="I3589" t="str">
            <v>IMPUESTO SOBRE LAS VENTAS</v>
          </cell>
          <cell r="J3589" t="str">
            <v>CR 71 B 55 18</v>
          </cell>
          <cell r="K3589" t="str">
            <v>03</v>
          </cell>
          <cell r="L3589" t="str">
            <v>BOGOTA</v>
          </cell>
          <cell r="M3589" t="str">
            <v>4674268</v>
          </cell>
        </row>
        <row r="3590">
          <cell r="A3590">
            <v>830027231</v>
          </cell>
          <cell r="B3590" t="str">
            <v>3</v>
          </cell>
          <cell r="C3590" t="str">
            <v/>
          </cell>
          <cell r="D3590" t="str">
            <v>NJ</v>
          </cell>
          <cell r="E3590" t="str">
            <v/>
          </cell>
          <cell r="F3590" t="str">
            <v/>
          </cell>
          <cell r="G3590" t="str">
            <v>ROCSA COLOMBIA S A</v>
          </cell>
          <cell r="H3590" t="str">
            <v>IMVE</v>
          </cell>
          <cell r="I3590" t="str">
            <v>IMPUESTO SOBRE LAS VENTAS</v>
          </cell>
          <cell r="J3590" t="str">
            <v>PAR IND LOGIKA II AUT MEDELLIN COSTADO SUR KM 5 7 BG 1</v>
          </cell>
          <cell r="K3590" t="str">
            <v>25799</v>
          </cell>
          <cell r="L3590" t="str">
            <v>TENJO</v>
          </cell>
          <cell r="M3590" t="str">
            <v>3102218306</v>
          </cell>
        </row>
        <row r="3591">
          <cell r="A3591">
            <v>830027956</v>
          </cell>
          <cell r="B3591" t="str">
            <v>4</v>
          </cell>
          <cell r="C3591" t="str">
            <v/>
          </cell>
          <cell r="D3591" t="str">
            <v>NJ</v>
          </cell>
          <cell r="E3591" t="str">
            <v/>
          </cell>
          <cell r="F3591" t="str">
            <v/>
          </cell>
          <cell r="G3591" t="str">
            <v>REMOLINA ESTRADA CONSULTORIA GERENCIAL S.A.</v>
          </cell>
          <cell r="H3591" t="str">
            <v>RECO</v>
          </cell>
          <cell r="I3591" t="str">
            <v>REGIMEN COMUN</v>
          </cell>
          <cell r="J3591" t="str">
            <v xml:space="preserve"> CR 7 71 21 T  B  OF 404</v>
          </cell>
          <cell r="K3591" t="str">
            <v>11001</v>
          </cell>
          <cell r="L3591" t="str">
            <v>BOGOTA DC</v>
          </cell>
          <cell r="M3591" t="str">
            <v>3174402</v>
          </cell>
        </row>
        <row r="3592">
          <cell r="A3592">
            <v>830031824</v>
          </cell>
          <cell r="B3592" t="str">
            <v>6</v>
          </cell>
          <cell r="C3592" t="str">
            <v/>
          </cell>
          <cell r="D3592" t="str">
            <v>NJ</v>
          </cell>
          <cell r="E3592" t="str">
            <v/>
          </cell>
          <cell r="F3592" t="str">
            <v/>
          </cell>
          <cell r="G3592" t="str">
            <v>COMBUSTIBLES &amp; ENERGIAS LIMPIAS MOBILITY S.A.S</v>
          </cell>
          <cell r="H3592" t="str">
            <v>RECO</v>
          </cell>
          <cell r="I3592" t="str">
            <v>REGIMEN COMUN</v>
          </cell>
          <cell r="J3592" t="str">
            <v>CR 2 E 17 26</v>
          </cell>
          <cell r="K3592" t="str">
            <v>25430</v>
          </cell>
          <cell r="L3592" t="str">
            <v>MADRID</v>
          </cell>
          <cell r="M3592" t="str">
            <v>8250052</v>
          </cell>
        </row>
        <row r="3593">
          <cell r="A3593">
            <v>830033206</v>
          </cell>
          <cell r="B3593" t="str">
            <v>3</v>
          </cell>
          <cell r="C3593" t="str">
            <v/>
          </cell>
          <cell r="D3593" t="str">
            <v>NJ</v>
          </cell>
          <cell r="E3593" t="str">
            <v/>
          </cell>
          <cell r="F3593" t="str">
            <v/>
          </cell>
          <cell r="G3593" t="str">
            <v>INVERSIONES EN RECREACION DEPORTE Y SALUD S.A.</v>
          </cell>
          <cell r="H3593" t="str">
            <v>GRCO</v>
          </cell>
          <cell r="I3593" t="str">
            <v>GRAN CONTRIBUYENTE</v>
          </cell>
          <cell r="J3593" t="str">
            <v xml:space="preserve"> CR CL 75 22 10</v>
          </cell>
          <cell r="K3593" t="str">
            <v>11001</v>
          </cell>
          <cell r="L3593" t="str">
            <v>BOGOTA DC</v>
          </cell>
          <cell r="M3593" t="str">
            <v>7422639</v>
          </cell>
        </row>
        <row r="3594">
          <cell r="A3594">
            <v>830033457</v>
          </cell>
          <cell r="B3594" t="str">
            <v>5</v>
          </cell>
          <cell r="C3594" t="str">
            <v/>
          </cell>
          <cell r="D3594" t="str">
            <v>NJ</v>
          </cell>
          <cell r="E3594" t="str">
            <v/>
          </cell>
          <cell r="F3594" t="str">
            <v/>
          </cell>
          <cell r="G3594" t="str">
            <v xml:space="preserve">STEWART &amp; STEVENSON DE LAS AMERICAS COLOMBIA LTDA.          </v>
          </cell>
          <cell r="H3594" t="str">
            <v>IMVE</v>
          </cell>
          <cell r="I3594" t="str">
            <v>IMPUESTO SOBRE LAS VENTAS</v>
          </cell>
          <cell r="J3594" t="str">
            <v xml:space="preserve"> AV CL  23  32 A  51</v>
          </cell>
          <cell r="K3594" t="str">
            <v>11001</v>
          </cell>
          <cell r="L3594" t="str">
            <v>BOGOTA DC</v>
          </cell>
          <cell r="M3594" t="str">
            <v>5190449</v>
          </cell>
        </row>
        <row r="3595">
          <cell r="A3595">
            <v>830033734</v>
          </cell>
          <cell r="B3595" t="str">
            <v>0</v>
          </cell>
          <cell r="C3595" t="str">
            <v/>
          </cell>
          <cell r="D3595" t="str">
            <v>NJ</v>
          </cell>
          <cell r="E3595" t="str">
            <v/>
          </cell>
          <cell r="F3595" t="str">
            <v/>
          </cell>
          <cell r="G3595" t="str">
            <v>ITALCUCINA LTDA</v>
          </cell>
          <cell r="H3595" t="str">
            <v>RECO</v>
          </cell>
          <cell r="I3595" t="str">
            <v>REGIMEN COMUN</v>
          </cell>
          <cell r="J3595" t="str">
            <v>CL 25 B 68 B 10 LC 110</v>
          </cell>
          <cell r="K3595" t="str">
            <v>11001</v>
          </cell>
          <cell r="L3595" t="str">
            <v>BOGOTA DC</v>
          </cell>
          <cell r="M3595" t="str">
            <v>4270593</v>
          </cell>
        </row>
        <row r="3596">
          <cell r="A3596">
            <v>830033982</v>
          </cell>
          <cell r="B3596" t="str">
            <v>0</v>
          </cell>
          <cell r="C3596" t="str">
            <v/>
          </cell>
          <cell r="D3596" t="str">
            <v>NJ</v>
          </cell>
          <cell r="E3596" t="str">
            <v/>
          </cell>
          <cell r="F3596" t="str">
            <v/>
          </cell>
          <cell r="G3596" t="str">
            <v>INDUSTRIAS PROTON LTDA</v>
          </cell>
          <cell r="H3596" t="str">
            <v>IMVE</v>
          </cell>
          <cell r="I3596" t="str">
            <v>IMPUESTO SOBRE LAS VENTAS</v>
          </cell>
          <cell r="J3596" t="str">
            <v>CR 53 F 5 C 20</v>
          </cell>
          <cell r="K3596" t="str">
            <v>11001</v>
          </cell>
          <cell r="L3596" t="str">
            <v>BOGOTA DC</v>
          </cell>
          <cell r="M3596" t="str">
            <v>3176571818</v>
          </cell>
        </row>
        <row r="3597">
          <cell r="A3597">
            <v>830034964</v>
          </cell>
          <cell r="B3597" t="str">
            <v>2</v>
          </cell>
          <cell r="C3597" t="str">
            <v/>
          </cell>
          <cell r="D3597" t="str">
            <v>NJ</v>
          </cell>
          <cell r="E3597" t="str">
            <v/>
          </cell>
          <cell r="F3597" t="str">
            <v/>
          </cell>
          <cell r="G3597" t="str">
            <v>HOTELES CIEN AVENIDA S.A</v>
          </cell>
          <cell r="H3597" t="str">
            <v>RECO</v>
          </cell>
          <cell r="I3597" t="str">
            <v>REGIMEN COMUN</v>
          </cell>
          <cell r="J3597" t="str">
            <v>CR 17 A 100 16 BRR CHICO</v>
          </cell>
          <cell r="K3597" t="str">
            <v>11001</v>
          </cell>
          <cell r="L3597" t="str">
            <v>BOGOTA DC</v>
          </cell>
          <cell r="M3597" t="str">
            <v>2577700</v>
          </cell>
        </row>
        <row r="3598">
          <cell r="A3598">
            <v>830035037</v>
          </cell>
          <cell r="B3598" t="str">
            <v>4</v>
          </cell>
          <cell r="C3598" t="str">
            <v/>
          </cell>
          <cell r="D3598" t="str">
            <v>NJ</v>
          </cell>
          <cell r="E3598" t="str">
            <v/>
          </cell>
          <cell r="F3598" t="str">
            <v/>
          </cell>
          <cell r="G3598" t="str">
            <v>EMPRESA DE SERVICIOS INTEGRALES SAS</v>
          </cell>
          <cell r="H3598" t="str">
            <v>IMVE</v>
          </cell>
          <cell r="I3598" t="str">
            <v>IMPUESTO SOBRE LAS VENTAS</v>
          </cell>
          <cell r="J3598" t="str">
            <v>CR 21 A 159 35 BRR ESTRELLA NORTE</v>
          </cell>
          <cell r="K3598" t="str">
            <v>11001</v>
          </cell>
          <cell r="L3598" t="str">
            <v>BOGOTA DC</v>
          </cell>
          <cell r="M3598" t="str">
            <v>3006500252</v>
          </cell>
        </row>
        <row r="3599">
          <cell r="A3599">
            <v>830035116</v>
          </cell>
          <cell r="B3599" t="str">
            <v>8</v>
          </cell>
          <cell r="C3599" t="str">
            <v/>
          </cell>
          <cell r="D3599" t="str">
            <v>NJ</v>
          </cell>
          <cell r="E3599" t="str">
            <v/>
          </cell>
          <cell r="F3599" t="str">
            <v/>
          </cell>
          <cell r="G3599" t="str">
            <v>KONECRANES COLOMBIA SAS</v>
          </cell>
          <cell r="H3599" t="str">
            <v>RECO</v>
          </cell>
          <cell r="I3599" t="str">
            <v>REGIMEN COMUN</v>
          </cell>
          <cell r="J3599" t="str">
            <v xml:space="preserve"> AV TRONCAL PANAMERICANA OCCIDENTE 5  61 BG 19</v>
          </cell>
          <cell r="K3599" t="str">
            <v>25473</v>
          </cell>
          <cell r="L3599" t="str">
            <v>MOSQUERA</v>
          </cell>
          <cell r="M3599" t="str">
            <v>8933737</v>
          </cell>
        </row>
        <row r="3600">
          <cell r="A3600">
            <v>830035136</v>
          </cell>
          <cell r="B3600" t="str">
            <v>5</v>
          </cell>
          <cell r="C3600" t="str">
            <v/>
          </cell>
          <cell r="D3600" t="str">
            <v>NJ</v>
          </cell>
          <cell r="E3600" t="str">
            <v/>
          </cell>
          <cell r="F3600" t="str">
            <v/>
          </cell>
          <cell r="G3600" t="str">
            <v>ERASMUS SAS</v>
          </cell>
          <cell r="H3600" t="str">
            <v>RECO</v>
          </cell>
          <cell r="I3600" t="str">
            <v>REGIMEN COMUN</v>
          </cell>
          <cell r="J3600" t="str">
            <v>DG 40 A 18 09</v>
          </cell>
          <cell r="K3600" t="str">
            <v>11001</v>
          </cell>
          <cell r="L3600" t="str">
            <v>BOGOTA DC</v>
          </cell>
          <cell r="M3600" t="str">
            <v>4864030</v>
          </cell>
        </row>
        <row r="3601">
          <cell r="A3601">
            <v>830035564</v>
          </cell>
          <cell r="B3601" t="str">
            <v>4</v>
          </cell>
          <cell r="C3601" t="str">
            <v/>
          </cell>
          <cell r="D3601" t="str">
            <v>NJ</v>
          </cell>
          <cell r="E3601" t="str">
            <v/>
          </cell>
          <cell r="F3601" t="str">
            <v/>
          </cell>
          <cell r="G3601" t="str">
            <v>FAMISANAR LTDA</v>
          </cell>
          <cell r="H3601" t="str">
            <v>RECO</v>
          </cell>
          <cell r="I3601" t="str">
            <v>REGIMEN COMUN</v>
          </cell>
          <cell r="J3601" t="str">
            <v>CR 78   13 A 07</v>
          </cell>
          <cell r="K3601" t="str">
            <v>11001</v>
          </cell>
          <cell r="L3601" t="str">
            <v>BOGOTA DC</v>
          </cell>
          <cell r="M3601" t="str">
            <v>6500200</v>
          </cell>
        </row>
        <row r="3602">
          <cell r="A3602">
            <v>830035702</v>
          </cell>
          <cell r="B3602" t="str">
            <v>4</v>
          </cell>
          <cell r="C3602" t="str">
            <v/>
          </cell>
          <cell r="D3602" t="str">
            <v>NJ</v>
          </cell>
          <cell r="E3602" t="str">
            <v/>
          </cell>
          <cell r="F3602" t="str">
            <v/>
          </cell>
          <cell r="G3602" t="str">
            <v>SOLETANCHE BACHY CIMAS S.A.S</v>
          </cell>
          <cell r="H3602" t="str">
            <v>GRCO</v>
          </cell>
          <cell r="I3602" t="str">
            <v>GRAN CONTRIBUYENTE</v>
          </cell>
          <cell r="J3602" t="str">
            <v>CL 125 19 24 OF 401 ED 125 P H</v>
          </cell>
          <cell r="K3602" t="str">
            <v>03</v>
          </cell>
          <cell r="L3602" t="str">
            <v>BOGOTA</v>
          </cell>
          <cell r="M3602" t="str">
            <v>6922355</v>
          </cell>
        </row>
        <row r="3603">
          <cell r="A3603">
            <v>830035868</v>
          </cell>
          <cell r="B3603" t="str">
            <v>8</v>
          </cell>
          <cell r="C3603" t="str">
            <v/>
          </cell>
          <cell r="D3603" t="str">
            <v>NJ</v>
          </cell>
          <cell r="E3603" t="str">
            <v/>
          </cell>
          <cell r="F3603" t="str">
            <v/>
          </cell>
          <cell r="G3603" t="str">
            <v>DISEÑO DE SOLUCIONES SAS</v>
          </cell>
          <cell r="H3603" t="str">
            <v>IMVE</v>
          </cell>
          <cell r="I3603" t="str">
            <v>IMPUESTO SOBRE LAS VENTAS</v>
          </cell>
          <cell r="J3603" t="str">
            <v>CR 15  85 76 OF 301</v>
          </cell>
          <cell r="K3603" t="str">
            <v>11001</v>
          </cell>
          <cell r="L3603" t="str">
            <v>BOGOTA DC</v>
          </cell>
          <cell r="M3603" t="str">
            <v>6215870</v>
          </cell>
        </row>
        <row r="3604">
          <cell r="A3604">
            <v>830036556</v>
          </cell>
          <cell r="B3604" t="str">
            <v>1</v>
          </cell>
          <cell r="C3604" t="str">
            <v/>
          </cell>
          <cell r="D3604" t="str">
            <v>NJ</v>
          </cell>
          <cell r="E3604" t="str">
            <v/>
          </cell>
          <cell r="F3604" t="str">
            <v/>
          </cell>
          <cell r="G3604" t="str">
            <v>CONCESIONARIA PANAMERICANA S.A.S.</v>
          </cell>
          <cell r="H3604" t="str">
            <v>IMVE</v>
          </cell>
          <cell r="I3604" t="str">
            <v>IMPUESTO SOBRE LAS VENTAS</v>
          </cell>
          <cell r="J3604" t="str">
            <v>AV CL 26 59 41 P7 OF 703 ED. CAMARA COLOMBIANA DE LA INFRAESTRUC</v>
          </cell>
          <cell r="K3604" t="str">
            <v>17001</v>
          </cell>
          <cell r="L3604" t="str">
            <v>MANIZALES</v>
          </cell>
          <cell r="M3604" t="str">
            <v>7428740</v>
          </cell>
        </row>
        <row r="3605">
          <cell r="A3605">
            <v>830037248</v>
          </cell>
          <cell r="B3605" t="str">
            <v>0</v>
          </cell>
          <cell r="C3605" t="str">
            <v/>
          </cell>
          <cell r="D3605" t="str">
            <v>NJ</v>
          </cell>
          <cell r="E3605" t="str">
            <v/>
          </cell>
          <cell r="F3605" t="str">
            <v/>
          </cell>
          <cell r="G3605" t="str">
            <v xml:space="preserve">CODENSA S.A. E.S.P.                                         </v>
          </cell>
          <cell r="H3605" t="str">
            <v>GRAU</v>
          </cell>
          <cell r="I3605" t="str">
            <v>GRAN CONTRIBUYENTE AUTORRETENEDO</v>
          </cell>
          <cell r="J3605" t="str">
            <v>CR 13A N  93 66</v>
          </cell>
          <cell r="K3605" t="str">
            <v>11001</v>
          </cell>
          <cell r="L3605" t="str">
            <v>BOGOTA DC</v>
          </cell>
          <cell r="M3605" t="str">
            <v>6016060</v>
          </cell>
        </row>
        <row r="3606">
          <cell r="A3606">
            <v>830037330</v>
          </cell>
          <cell r="B3606" t="str">
            <v>7</v>
          </cell>
          <cell r="C3606" t="str">
            <v/>
          </cell>
          <cell r="D3606" t="str">
            <v>NJ</v>
          </cell>
          <cell r="E3606" t="str">
            <v/>
          </cell>
          <cell r="F3606" t="str">
            <v/>
          </cell>
          <cell r="G3606" t="str">
            <v xml:space="preserve">TELEFONICA MOVILES COLOMBIA S.A.                            </v>
          </cell>
          <cell r="H3606" t="str">
            <v>GRAU</v>
          </cell>
          <cell r="I3606" t="str">
            <v>GRAN CONTRIBUYENTE AUTORRETENEDO</v>
          </cell>
          <cell r="J3606" t="str">
            <v xml:space="preserve">CR 23 Nro 55A   07                     </v>
          </cell>
          <cell r="K3606" t="str">
            <v>17001</v>
          </cell>
          <cell r="L3606" t="str">
            <v>MANIZALES</v>
          </cell>
          <cell r="M3606" t="str">
            <v>8811313</v>
          </cell>
        </row>
        <row r="3607">
          <cell r="A3607">
            <v>830037946</v>
          </cell>
          <cell r="B3607" t="str">
            <v>3</v>
          </cell>
          <cell r="C3607" t="str">
            <v/>
          </cell>
          <cell r="D3607" t="str">
            <v>NJ</v>
          </cell>
          <cell r="E3607" t="str">
            <v/>
          </cell>
          <cell r="F3607" t="str">
            <v/>
          </cell>
          <cell r="G3607" t="str">
            <v xml:space="preserve">PANAMERICANA LIBRERIA Y PAPELERIA S.A.                      </v>
          </cell>
          <cell r="H3607" t="str">
            <v>GRCO</v>
          </cell>
          <cell r="I3607" t="str">
            <v>GRAN CONTRIBUYENTE</v>
          </cell>
          <cell r="J3607" t="str">
            <v xml:space="preserve">SALITRE PLAZA LOCAL 211C 213            </v>
          </cell>
          <cell r="K3607" t="str">
            <v>11001</v>
          </cell>
          <cell r="L3607" t="str">
            <v>BOGOTA DC</v>
          </cell>
          <cell r="M3607" t="str">
            <v>4169147</v>
          </cell>
        </row>
        <row r="3608">
          <cell r="A3608">
            <v>830038007</v>
          </cell>
          <cell r="B3608" t="str">
            <v>7</v>
          </cell>
          <cell r="C3608" t="str">
            <v/>
          </cell>
          <cell r="D3608" t="str">
            <v>NJ</v>
          </cell>
          <cell r="E3608" t="str">
            <v/>
          </cell>
          <cell r="F3608" t="str">
            <v/>
          </cell>
          <cell r="G3608" t="str">
            <v>RED ESPECIALIZADA EN TRANSPORTE REDETRANS S.A -REDETRANS S.A</v>
          </cell>
          <cell r="H3608" t="str">
            <v>RECO</v>
          </cell>
          <cell r="I3608" t="str">
            <v>REGIMEN COMUN</v>
          </cell>
          <cell r="J3608" t="str">
            <v>TV 6   13   05 LC 2</v>
          </cell>
          <cell r="K3608" t="str">
            <v>25473</v>
          </cell>
          <cell r="L3608" t="str">
            <v>MOSQUERA</v>
          </cell>
          <cell r="M3608" t="str">
            <v>5781919</v>
          </cell>
        </row>
        <row r="3609">
          <cell r="A3609">
            <v>830038085</v>
          </cell>
          <cell r="B3609" t="str">
            <v>1</v>
          </cell>
          <cell r="C3609" t="str">
            <v/>
          </cell>
          <cell r="D3609" t="str">
            <v>NJ</v>
          </cell>
          <cell r="E3609" t="str">
            <v/>
          </cell>
          <cell r="F3609" t="str">
            <v/>
          </cell>
          <cell r="G3609" t="str">
            <v>SKANDIA FONDO DE PENSIONES VOLUNTARIAS</v>
          </cell>
          <cell r="H3609" t="str">
            <v>RCAU</v>
          </cell>
          <cell r="I3609" t="str">
            <v>RESPONSABLE IVA - AUTORETENEDOR</v>
          </cell>
          <cell r="J3609" t="str">
            <v>AV 19 109 A 30</v>
          </cell>
          <cell r="K3609" t="str">
            <v>11001</v>
          </cell>
          <cell r="L3609" t="str">
            <v>BOGOTA DC</v>
          </cell>
          <cell r="M3609" t="str">
            <v>6584300</v>
          </cell>
        </row>
        <row r="3610">
          <cell r="A3610">
            <v>830039304</v>
          </cell>
          <cell r="B3610" t="str">
            <v>4</v>
          </cell>
          <cell r="C3610" t="str">
            <v/>
          </cell>
          <cell r="D3610" t="str">
            <v>NJ</v>
          </cell>
          <cell r="E3610" t="str">
            <v/>
          </cell>
          <cell r="F3610" t="str">
            <v/>
          </cell>
          <cell r="G3610" t="str">
            <v>CALVOS ELECTRONICA LTDA</v>
          </cell>
          <cell r="H3610" t="str">
            <v>RECO</v>
          </cell>
          <cell r="I3610" t="str">
            <v>REGIMEN COMUN</v>
          </cell>
          <cell r="J3610" t="str">
            <v>CR 9   21   38</v>
          </cell>
          <cell r="K3610" t="str">
            <v>11001</v>
          </cell>
          <cell r="L3610" t="str">
            <v>BOGOTA DC</v>
          </cell>
          <cell r="M3610" t="str">
            <v>3365302</v>
          </cell>
        </row>
        <row r="3611">
          <cell r="A3611">
            <v>830039854</v>
          </cell>
          <cell r="B3611" t="str">
            <v>3</v>
          </cell>
          <cell r="C3611" t="str">
            <v/>
          </cell>
          <cell r="D3611" t="str">
            <v>NJ</v>
          </cell>
          <cell r="E3611" t="str">
            <v/>
          </cell>
          <cell r="F3611" t="str">
            <v/>
          </cell>
          <cell r="G3611" t="str">
            <v>ECOLAB COLOMBIA S.A.</v>
          </cell>
          <cell r="H3611" t="str">
            <v>GRCO</v>
          </cell>
          <cell r="I3611" t="str">
            <v>GRAN CONTRIBUYENTE</v>
          </cell>
          <cell r="J3611" t="str">
            <v>AC 100 19 54 P 4</v>
          </cell>
          <cell r="K3611" t="str">
            <v>11001</v>
          </cell>
          <cell r="L3611" t="str">
            <v>BOGOTA DC</v>
          </cell>
          <cell r="M3611" t="str">
            <v>4142394</v>
          </cell>
        </row>
        <row r="3612">
          <cell r="A3612">
            <v>830039973</v>
          </cell>
          <cell r="B3612" t="str">
            <v>1</v>
          </cell>
          <cell r="C3612" t="str">
            <v/>
          </cell>
          <cell r="D3612" t="str">
            <v>NJ</v>
          </cell>
          <cell r="E3612" t="str">
            <v/>
          </cell>
          <cell r="F3612" t="str">
            <v/>
          </cell>
          <cell r="G3612" t="str">
            <v xml:space="preserve">NET SUPPORT LTDA              </v>
          </cell>
          <cell r="H3612" t="str">
            <v>RECO</v>
          </cell>
          <cell r="I3612" t="str">
            <v>REGIMEN COMUN</v>
          </cell>
          <cell r="J3612" t="str">
            <v>CL 100 17 A 36 OF 207</v>
          </cell>
          <cell r="K3612" t="str">
            <v>15516</v>
          </cell>
          <cell r="L3612" t="str">
            <v>PAIPA</v>
          </cell>
          <cell r="M3612" t="str">
            <v>6167785</v>
          </cell>
        </row>
        <row r="3613">
          <cell r="A3613">
            <v>830040274</v>
          </cell>
          <cell r="B3613" t="str">
            <v>3</v>
          </cell>
          <cell r="C3613" t="str">
            <v/>
          </cell>
          <cell r="D3613" t="str">
            <v>NJ</v>
          </cell>
          <cell r="E3613" t="str">
            <v/>
          </cell>
          <cell r="F3613" t="str">
            <v/>
          </cell>
          <cell r="G3613" t="str">
            <v>COTECNA CERTIFICADORA SERVICES LTDA</v>
          </cell>
          <cell r="H3613" t="str">
            <v>GRAU</v>
          </cell>
          <cell r="I3613" t="str">
            <v>GRAN CONTRIBUYENTE AUTORRETENEDO</v>
          </cell>
          <cell r="J3613" t="str">
            <v>CL 103 14 A 43</v>
          </cell>
          <cell r="K3613" t="str">
            <v>11001</v>
          </cell>
          <cell r="L3613" t="str">
            <v>BOGOTA DC</v>
          </cell>
          <cell r="M3613" t="str">
            <v>7427655</v>
          </cell>
        </row>
        <row r="3614">
          <cell r="A3614">
            <v>830041364</v>
          </cell>
          <cell r="B3614" t="str">
            <v>2</v>
          </cell>
          <cell r="C3614" t="str">
            <v/>
          </cell>
          <cell r="D3614" t="str">
            <v>NJ</v>
          </cell>
          <cell r="E3614" t="str">
            <v/>
          </cell>
          <cell r="F3614" t="str">
            <v/>
          </cell>
          <cell r="G3614" t="str">
            <v>WJ RESCATE LTDA</v>
          </cell>
          <cell r="H3614" t="str">
            <v>REOR</v>
          </cell>
          <cell r="I3614" t="str">
            <v>RENTA REGIMEN ORDINARIO</v>
          </cell>
          <cell r="J3614" t="str">
            <v xml:space="preserve"> CL 35 S  U  R  72 L73</v>
          </cell>
          <cell r="K3614" t="str">
            <v>11001</v>
          </cell>
          <cell r="L3614" t="str">
            <v>BOGOTA DC</v>
          </cell>
          <cell r="M3614" t="str">
            <v>3196213288</v>
          </cell>
        </row>
        <row r="3615">
          <cell r="A3615">
            <v>830041577</v>
          </cell>
          <cell r="B3615" t="str">
            <v>4</v>
          </cell>
          <cell r="C3615" t="str">
            <v/>
          </cell>
          <cell r="D3615" t="str">
            <v>NJ</v>
          </cell>
          <cell r="E3615" t="str">
            <v/>
          </cell>
          <cell r="F3615" t="str">
            <v/>
          </cell>
          <cell r="G3615" t="str">
            <v>CORPORACION EMPRESARIAL CARRERA SA</v>
          </cell>
          <cell r="H3615" t="str">
            <v>RECO</v>
          </cell>
          <cell r="I3615" t="str">
            <v>REGIMEN COMUN</v>
          </cell>
          <cell r="J3615" t="str">
            <v>AV CL 9   50   15</v>
          </cell>
          <cell r="K3615" t="str">
            <v>11001</v>
          </cell>
          <cell r="L3615" t="str">
            <v>BOGOTA DC</v>
          </cell>
          <cell r="M3615" t="str">
            <v>2600288</v>
          </cell>
        </row>
        <row r="3616">
          <cell r="A3616">
            <v>830041688</v>
          </cell>
          <cell r="B3616" t="str">
            <v>3</v>
          </cell>
          <cell r="C3616" t="str">
            <v/>
          </cell>
          <cell r="D3616" t="str">
            <v>NJ</v>
          </cell>
          <cell r="E3616" t="str">
            <v/>
          </cell>
          <cell r="F3616" t="str">
            <v/>
          </cell>
          <cell r="G3616" t="str">
            <v>TYCO ELECTRONICS COLOMBIA LTDA</v>
          </cell>
          <cell r="H3616" t="str">
            <v>GRAU</v>
          </cell>
          <cell r="I3616" t="str">
            <v>GRAN CONTRIBUYENTE AUTORRETENEDO</v>
          </cell>
          <cell r="J3616" t="str">
            <v>CL 74   11   81 BOGOTA / CR 82   48 B 5 MEDELLIN</v>
          </cell>
          <cell r="K3616" t="str">
            <v>25377</v>
          </cell>
          <cell r="L3616" t="str">
            <v>LA CALERA</v>
          </cell>
          <cell r="M3616" t="str">
            <v>3198999</v>
          </cell>
        </row>
        <row r="3617">
          <cell r="A3617">
            <v>830041702</v>
          </cell>
          <cell r="B3617" t="str">
            <v>9</v>
          </cell>
          <cell r="C3617" t="str">
            <v/>
          </cell>
          <cell r="D3617" t="str">
            <v>NJ</v>
          </cell>
          <cell r="E3617" t="str">
            <v/>
          </cell>
          <cell r="F3617" t="str">
            <v/>
          </cell>
          <cell r="G3617" t="str">
            <v>EXTRACTORES Y MOTORES INDUSTRIALES EMI LTDA</v>
          </cell>
          <cell r="H3617" t="str">
            <v>IMVE</v>
          </cell>
          <cell r="I3617" t="str">
            <v>IMPUESTO SOBRE LAS VENTAS</v>
          </cell>
          <cell r="J3617" t="str">
            <v>CL 7 21 08</v>
          </cell>
          <cell r="K3617" t="str">
            <v>11001</v>
          </cell>
          <cell r="L3617" t="str">
            <v>BOGOTA DC</v>
          </cell>
          <cell r="M3617" t="str">
            <v>4091414</v>
          </cell>
        </row>
        <row r="3618">
          <cell r="A3618">
            <v>830042586</v>
          </cell>
          <cell r="B3618" t="str">
            <v>5</v>
          </cell>
          <cell r="C3618" t="str">
            <v/>
          </cell>
          <cell r="D3618" t="str">
            <v>NJ</v>
          </cell>
          <cell r="E3618" t="str">
            <v/>
          </cell>
          <cell r="F3618" t="str">
            <v/>
          </cell>
          <cell r="G3618" t="str">
            <v>AEROCARGA ISLAS SAS</v>
          </cell>
          <cell r="H3618" t="str">
            <v>REOR</v>
          </cell>
          <cell r="I3618" t="str">
            <v>RENTA REGIMEN ORDINARIO</v>
          </cell>
          <cell r="J3618" t="str">
            <v>AV EL DORADO 100 60</v>
          </cell>
          <cell r="K3618" t="str">
            <v>11001</v>
          </cell>
          <cell r="L3618" t="str">
            <v>BOGOTA DC</v>
          </cell>
          <cell r="M3618" t="str">
            <v>4135767</v>
          </cell>
        </row>
        <row r="3619">
          <cell r="A3619">
            <v>830042614</v>
          </cell>
          <cell r="B3619" t="str">
            <v>3</v>
          </cell>
          <cell r="C3619" t="str">
            <v/>
          </cell>
          <cell r="D3619" t="str">
            <v>NJ</v>
          </cell>
          <cell r="E3619" t="str">
            <v/>
          </cell>
          <cell r="F3619" t="str">
            <v/>
          </cell>
          <cell r="G3619" t="str">
            <v>COMPAÑÍA DE PROYECTOS AMBIENTALES E INGENIERÍA  SAS</v>
          </cell>
          <cell r="H3619" t="str">
            <v>RECO</v>
          </cell>
          <cell r="I3619" t="str">
            <v>REGIMEN COMUN</v>
          </cell>
          <cell r="J3619" t="str">
            <v>CL 106 59 21</v>
          </cell>
          <cell r="K3619" t="str">
            <v>11001</v>
          </cell>
          <cell r="L3619" t="str">
            <v>BOGOTA DC</v>
          </cell>
          <cell r="M3619" t="str">
            <v>2265544</v>
          </cell>
        </row>
        <row r="3620">
          <cell r="A3620">
            <v>830042636</v>
          </cell>
          <cell r="B3620" t="str">
            <v>5</v>
          </cell>
          <cell r="C3620" t="str">
            <v/>
          </cell>
          <cell r="D3620" t="str">
            <v>NJ</v>
          </cell>
          <cell r="E3620" t="str">
            <v/>
          </cell>
          <cell r="F3620" t="str">
            <v/>
          </cell>
          <cell r="G3620" t="str">
            <v xml:space="preserve">ENERGING S.A E.S.P            </v>
          </cell>
          <cell r="H3620" t="str">
            <v>RECO</v>
          </cell>
          <cell r="I3620" t="str">
            <v>REGIMEN COMUN</v>
          </cell>
          <cell r="J3620" t="str">
            <v>CR 11 A   93 A   80</v>
          </cell>
          <cell r="K3620" t="str">
            <v>91001</v>
          </cell>
          <cell r="L3620" t="str">
            <v>LETICIA</v>
          </cell>
          <cell r="M3620" t="str">
            <v>7851426</v>
          </cell>
        </row>
        <row r="3621">
          <cell r="A3621">
            <v>830042976</v>
          </cell>
          <cell r="B3621" t="str">
            <v>4</v>
          </cell>
          <cell r="C3621" t="str">
            <v/>
          </cell>
          <cell r="D3621" t="str">
            <v>NJ</v>
          </cell>
          <cell r="E3621" t="str">
            <v/>
          </cell>
          <cell r="F3621" t="str">
            <v/>
          </cell>
          <cell r="G3621" t="str">
            <v>MECM PROFESIONALES CONTRATISTAS SAS</v>
          </cell>
          <cell r="H3621" t="str">
            <v>RECO</v>
          </cell>
          <cell r="I3621" t="str">
            <v>REGIMEN COMUN</v>
          </cell>
          <cell r="J3621" t="str">
            <v>CL 78   80 A 47</v>
          </cell>
          <cell r="K3621" t="str">
            <v>11001</v>
          </cell>
          <cell r="L3621" t="str">
            <v>BOGOTA DC</v>
          </cell>
          <cell r="M3621" t="str">
            <v>2230541</v>
          </cell>
        </row>
        <row r="3622">
          <cell r="A3622">
            <v>830043090</v>
          </cell>
          <cell r="B3622" t="str">
            <v>9</v>
          </cell>
          <cell r="C3622" t="str">
            <v/>
          </cell>
          <cell r="D3622" t="str">
            <v>NJ</v>
          </cell>
          <cell r="E3622" t="str">
            <v/>
          </cell>
          <cell r="F3622" t="str">
            <v/>
          </cell>
          <cell r="G3622" t="str">
            <v xml:space="preserve">TELENORMA COLOMBIA S.A.       </v>
          </cell>
          <cell r="H3622" t="str">
            <v>RECO</v>
          </cell>
          <cell r="I3622" t="str">
            <v>REGIMEN COMUN</v>
          </cell>
          <cell r="J3622" t="str">
            <v xml:space="preserve"> CR 17  120 05  OF 101</v>
          </cell>
          <cell r="K3622" t="str">
            <v>11001</v>
          </cell>
          <cell r="L3622" t="str">
            <v>BOGOTA DC</v>
          </cell>
          <cell r="M3622" t="str">
            <v>6000400</v>
          </cell>
        </row>
        <row r="3623">
          <cell r="A3623">
            <v>830043332</v>
          </cell>
          <cell r="B3623" t="str">
            <v>6</v>
          </cell>
          <cell r="C3623" t="str">
            <v/>
          </cell>
          <cell r="D3623" t="str">
            <v>NJ</v>
          </cell>
          <cell r="E3623" t="str">
            <v/>
          </cell>
          <cell r="F3623" t="str">
            <v/>
          </cell>
          <cell r="G3623" t="str">
            <v>INGENIERIA Y PROYECTOS DE COLOMBIA S.A.S.</v>
          </cell>
          <cell r="H3623" t="str">
            <v>IMVE</v>
          </cell>
          <cell r="I3623" t="str">
            <v>IMPUESTO SOBRE LAS VENTAS</v>
          </cell>
          <cell r="J3623" t="str">
            <v xml:space="preserve"> CL 43 28 45</v>
          </cell>
          <cell r="K3623" t="str">
            <v>11001</v>
          </cell>
          <cell r="L3623" t="str">
            <v>BOGOTA DC</v>
          </cell>
          <cell r="M3623" t="str">
            <v>4146445</v>
          </cell>
        </row>
        <row r="3624">
          <cell r="A3624">
            <v>830044171</v>
          </cell>
          <cell r="B3624" t="str">
            <v>1</v>
          </cell>
          <cell r="C3624" t="str">
            <v/>
          </cell>
          <cell r="D3624" t="str">
            <v>NJ</v>
          </cell>
          <cell r="E3624" t="str">
            <v/>
          </cell>
          <cell r="F3624" t="str">
            <v/>
          </cell>
          <cell r="G3624" t="str">
            <v xml:space="preserve">CONFECCIONES EL OVEROL LTDA                                 </v>
          </cell>
          <cell r="H3624" t="str">
            <v>RECO</v>
          </cell>
          <cell r="I3624" t="str">
            <v>REGIMEN COMUN</v>
          </cell>
          <cell r="J3624" t="str">
            <v xml:space="preserve">CL 9 24A 04                             </v>
          </cell>
          <cell r="K3624" t="str">
            <v>15238</v>
          </cell>
          <cell r="L3624" t="str">
            <v>DUITAMA</v>
          </cell>
          <cell r="M3624" t="str">
            <v>7614345</v>
          </cell>
        </row>
        <row r="3625">
          <cell r="A3625">
            <v>830044356</v>
          </cell>
          <cell r="B3625" t="str">
            <v>7</v>
          </cell>
          <cell r="C3625" t="str">
            <v/>
          </cell>
          <cell r="D3625" t="str">
            <v>NJ</v>
          </cell>
          <cell r="E3625" t="str">
            <v/>
          </cell>
          <cell r="F3625" t="str">
            <v/>
          </cell>
          <cell r="G3625" t="str">
            <v>ELASTOMEROS P V M S.A.S.</v>
          </cell>
          <cell r="H3625" t="str">
            <v>RECO</v>
          </cell>
          <cell r="I3625" t="str">
            <v>REGIMEN COMUN</v>
          </cell>
          <cell r="J3625" t="str">
            <v xml:space="preserve"> CL 20  69 B  35</v>
          </cell>
          <cell r="K3625" t="str">
            <v>11001</v>
          </cell>
          <cell r="L3625" t="str">
            <v>BOGOTA DC</v>
          </cell>
          <cell r="M3625" t="str">
            <v>4192400</v>
          </cell>
        </row>
        <row r="3626">
          <cell r="A3626">
            <v>830044598</v>
          </cell>
          <cell r="B3626" t="str">
            <v>2</v>
          </cell>
          <cell r="C3626" t="str">
            <v/>
          </cell>
          <cell r="D3626" t="str">
            <v>NJ</v>
          </cell>
          <cell r="E3626" t="str">
            <v/>
          </cell>
          <cell r="F3626" t="str">
            <v/>
          </cell>
          <cell r="G3626" t="str">
            <v>QUIMICA MERCURIO LTDA</v>
          </cell>
          <cell r="H3626" t="str">
            <v>RECO</v>
          </cell>
          <cell r="I3626" t="str">
            <v>REGIMEN COMUN</v>
          </cell>
          <cell r="J3626" t="str">
            <v>CR  27  A 40 A 42 LC 102</v>
          </cell>
          <cell r="K3626" t="str">
            <v>11001</v>
          </cell>
          <cell r="L3626" t="str">
            <v>BOGOTA DC</v>
          </cell>
          <cell r="M3626" t="str">
            <v>3132120609</v>
          </cell>
        </row>
        <row r="3627">
          <cell r="A3627">
            <v>830044977</v>
          </cell>
          <cell r="B3627" t="str">
            <v>0</v>
          </cell>
          <cell r="C3627" t="str">
            <v/>
          </cell>
          <cell r="D3627" t="str">
            <v>NJ</v>
          </cell>
          <cell r="E3627" t="str">
            <v/>
          </cell>
          <cell r="F3627" t="str">
            <v/>
          </cell>
          <cell r="G3627" t="str">
            <v>XSYSTEM LTDA</v>
          </cell>
          <cell r="H3627" t="str">
            <v>RECO</v>
          </cell>
          <cell r="I3627" t="str">
            <v>REGIMEN COMUN</v>
          </cell>
          <cell r="J3627" t="str">
            <v>AV CL 26 69 D 91 OF 705</v>
          </cell>
          <cell r="K3627" t="str">
            <v>11001</v>
          </cell>
          <cell r="L3627" t="str">
            <v>BOGOTA DC</v>
          </cell>
          <cell r="M3627" t="str">
            <v>4160177</v>
          </cell>
        </row>
        <row r="3628">
          <cell r="A3628">
            <v>830045373</v>
          </cell>
          <cell r="B3628" t="str">
            <v>7</v>
          </cell>
          <cell r="C3628" t="str">
            <v/>
          </cell>
          <cell r="D3628" t="str">
            <v>NJ</v>
          </cell>
          <cell r="E3628" t="str">
            <v/>
          </cell>
          <cell r="F3628" t="str">
            <v/>
          </cell>
          <cell r="G3628" t="str">
            <v>JCP SUPPLIES LTDA</v>
          </cell>
          <cell r="H3628" t="str">
            <v>IMVE</v>
          </cell>
          <cell r="I3628" t="str">
            <v>IMPUESTO SOBRE LAS VENTAS</v>
          </cell>
          <cell r="J3628" t="str">
            <v>CR 46 167 61</v>
          </cell>
          <cell r="K3628" t="str">
            <v>11001</v>
          </cell>
          <cell r="L3628" t="str">
            <v>BOGOTA DC</v>
          </cell>
          <cell r="M3628" t="str">
            <v>7563925</v>
          </cell>
        </row>
        <row r="3629">
          <cell r="A3629">
            <v>830045614</v>
          </cell>
          <cell r="B3629" t="str">
            <v>7</v>
          </cell>
          <cell r="C3629" t="str">
            <v/>
          </cell>
          <cell r="D3629" t="str">
            <v>NJ</v>
          </cell>
          <cell r="E3629" t="str">
            <v/>
          </cell>
          <cell r="F3629" t="str">
            <v/>
          </cell>
          <cell r="G3629" t="str">
            <v>DETER RICO S.A.S</v>
          </cell>
          <cell r="H3629" t="str">
            <v>RECO</v>
          </cell>
          <cell r="I3629" t="str">
            <v>REGIMEN COMUN</v>
          </cell>
          <cell r="J3629" t="str">
            <v xml:space="preserve"> CL 23 B  108 40</v>
          </cell>
          <cell r="K3629" t="str">
            <v>11001</v>
          </cell>
          <cell r="L3629" t="str">
            <v>BOGOTA DC</v>
          </cell>
          <cell r="M3629" t="str">
            <v>2988629</v>
          </cell>
        </row>
        <row r="3630">
          <cell r="A3630">
            <v>830046430</v>
          </cell>
          <cell r="B3630" t="str">
            <v>3</v>
          </cell>
          <cell r="C3630" t="str">
            <v/>
          </cell>
          <cell r="D3630" t="str">
            <v>NJ</v>
          </cell>
          <cell r="E3630" t="str">
            <v/>
          </cell>
          <cell r="F3630" t="str">
            <v/>
          </cell>
          <cell r="G3630" t="str">
            <v>MISTY WELLS &amp; ZEA ASOCIADOS SAS</v>
          </cell>
          <cell r="H3630" t="str">
            <v>RECO</v>
          </cell>
          <cell r="I3630" t="str">
            <v>REGIMEN COMUN</v>
          </cell>
          <cell r="J3630" t="str">
            <v>CL 70  7  78</v>
          </cell>
          <cell r="K3630" t="str">
            <v>11001</v>
          </cell>
          <cell r="L3630" t="str">
            <v>BOGOTA DC</v>
          </cell>
          <cell r="M3630" t="str">
            <v>6068500</v>
          </cell>
        </row>
        <row r="3631">
          <cell r="A3631">
            <v>830047746</v>
          </cell>
          <cell r="B3631" t="str">
            <v>1</v>
          </cell>
          <cell r="C3631" t="str">
            <v/>
          </cell>
          <cell r="D3631" t="str">
            <v>NJ</v>
          </cell>
          <cell r="E3631" t="str">
            <v/>
          </cell>
          <cell r="F3631" t="str">
            <v/>
          </cell>
          <cell r="G3631" t="str">
            <v>CONJUNTO CENTRO EMPRESARIAL SANTA BARBARA</v>
          </cell>
          <cell r="H3631" t="str">
            <v>RECO</v>
          </cell>
          <cell r="I3631" t="str">
            <v>REGIMEN COMUN</v>
          </cell>
          <cell r="J3631" t="str">
            <v>CR 115   7</v>
          </cell>
          <cell r="K3631" t="str">
            <v>11001</v>
          </cell>
          <cell r="L3631" t="str">
            <v>BOGOTA DC</v>
          </cell>
          <cell r="M3631" t="str">
            <v>8596321</v>
          </cell>
        </row>
        <row r="3632">
          <cell r="A3632">
            <v>830048419</v>
          </cell>
          <cell r="B3632" t="str">
            <v>0</v>
          </cell>
          <cell r="C3632" t="str">
            <v/>
          </cell>
          <cell r="D3632" t="str">
            <v>NJ</v>
          </cell>
          <cell r="E3632" t="str">
            <v/>
          </cell>
          <cell r="F3632" t="str">
            <v/>
          </cell>
          <cell r="G3632" t="str">
            <v>HSP CONSTRUCCIONES SAS</v>
          </cell>
          <cell r="H3632" t="str">
            <v>RECO</v>
          </cell>
          <cell r="I3632" t="str">
            <v>REGIMEN COMUN</v>
          </cell>
          <cell r="J3632" t="str">
            <v>DG 60 22 A 20</v>
          </cell>
          <cell r="K3632" t="str">
            <v>11001</v>
          </cell>
          <cell r="L3632" t="str">
            <v>BOGOTA DC</v>
          </cell>
          <cell r="M3632" t="str">
            <v>3144602349</v>
          </cell>
        </row>
        <row r="3633">
          <cell r="A3633">
            <v>830050228</v>
          </cell>
          <cell r="B3633" t="str">
            <v>7</v>
          </cell>
          <cell r="C3633" t="str">
            <v/>
          </cell>
          <cell r="D3633" t="str">
            <v>NJ</v>
          </cell>
          <cell r="E3633" t="str">
            <v/>
          </cell>
          <cell r="F3633" t="str">
            <v/>
          </cell>
          <cell r="G3633" t="str">
            <v>ADECCO SERVICIOS COLOMBIA SA</v>
          </cell>
          <cell r="H3633" t="str">
            <v>GRCO</v>
          </cell>
          <cell r="I3633" t="str">
            <v>GRAN CONTRIBUYENTE</v>
          </cell>
          <cell r="J3633" t="str">
            <v>CR 7 76 35 P 6 BRR EL NOGAL</v>
          </cell>
          <cell r="K3633" t="str">
            <v>11001</v>
          </cell>
          <cell r="L3633" t="str">
            <v>BOGOTA DC</v>
          </cell>
          <cell r="M3633" t="str">
            <v>4895454</v>
          </cell>
        </row>
        <row r="3634">
          <cell r="A3634">
            <v>830050604</v>
          </cell>
          <cell r="B3634" t="str">
            <v>3</v>
          </cell>
          <cell r="C3634" t="str">
            <v/>
          </cell>
          <cell r="D3634" t="str">
            <v>NJ</v>
          </cell>
          <cell r="E3634" t="str">
            <v/>
          </cell>
          <cell r="F3634" t="str">
            <v/>
          </cell>
          <cell r="G3634" t="str">
            <v>NTS NATIONAL TRUCK SERVICE S.A.S</v>
          </cell>
          <cell r="H3634" t="str">
            <v>GRCO</v>
          </cell>
          <cell r="I3634" t="str">
            <v>GRAN CONTRIBUYENTE</v>
          </cell>
          <cell r="J3634" t="str">
            <v>CR 72 57 H 89 SUR</v>
          </cell>
          <cell r="K3634" t="str">
            <v>11001</v>
          </cell>
          <cell r="L3634" t="str">
            <v>BOGOTA DC</v>
          </cell>
          <cell r="M3634" t="str">
            <v>4055554</v>
          </cell>
        </row>
        <row r="3635">
          <cell r="A3635">
            <v>830050619</v>
          </cell>
          <cell r="B3635" t="str">
            <v>3</v>
          </cell>
          <cell r="C3635" t="str">
            <v/>
          </cell>
          <cell r="D3635" t="str">
            <v>NJ</v>
          </cell>
          <cell r="E3635" t="str">
            <v/>
          </cell>
          <cell r="F3635" t="str">
            <v/>
          </cell>
          <cell r="G3635" t="str">
            <v>CITY PARKING</v>
          </cell>
          <cell r="H3635" t="str">
            <v>RECO</v>
          </cell>
          <cell r="I3635" t="str">
            <v>REGIMEN COMUN</v>
          </cell>
          <cell r="J3635" t="str">
            <v>CL 12 1   10</v>
          </cell>
          <cell r="K3635" t="str">
            <v>11001</v>
          </cell>
          <cell r="L3635" t="str">
            <v>BOGOTA DC</v>
          </cell>
          <cell r="M3635" t="str">
            <v>6210357</v>
          </cell>
        </row>
        <row r="3636">
          <cell r="A3636">
            <v>830051180</v>
          </cell>
          <cell r="B3636" t="str">
            <v>7</v>
          </cell>
          <cell r="C3636" t="str">
            <v/>
          </cell>
          <cell r="D3636" t="str">
            <v>NJ</v>
          </cell>
          <cell r="E3636" t="str">
            <v/>
          </cell>
          <cell r="F3636" t="str">
            <v/>
          </cell>
          <cell r="G3636" t="str">
            <v>ESTACION EL PINO 73S.A.S</v>
          </cell>
          <cell r="H3636" t="str">
            <v>RECO</v>
          </cell>
          <cell r="I3636" t="str">
            <v>REGIMEN COMUN</v>
          </cell>
          <cell r="J3636" t="str">
            <v>CL 73   11   94</v>
          </cell>
          <cell r="K3636" t="str">
            <v>11001</v>
          </cell>
          <cell r="L3636" t="str">
            <v>BOGOTA DC</v>
          </cell>
          <cell r="M3636" t="str">
            <v>3107855</v>
          </cell>
        </row>
        <row r="3637">
          <cell r="A3637">
            <v>830051298</v>
          </cell>
          <cell r="B3637" t="str">
            <v>7</v>
          </cell>
          <cell r="C3637" t="str">
            <v/>
          </cell>
          <cell r="D3637" t="str">
            <v>NJ</v>
          </cell>
          <cell r="E3637" t="str">
            <v/>
          </cell>
          <cell r="F3637" t="str">
            <v/>
          </cell>
          <cell r="G3637" t="str">
            <v>GEOSYSTEM INGENIERIA S.A.S.</v>
          </cell>
          <cell r="H3637" t="str">
            <v>IMVE</v>
          </cell>
          <cell r="I3637" t="str">
            <v>IMPUESTO SOBRE LAS VENTAS</v>
          </cell>
          <cell r="J3637" t="str">
            <v>CL  53 67 83</v>
          </cell>
          <cell r="K3637" t="str">
            <v>11001</v>
          </cell>
          <cell r="L3637" t="str">
            <v>BOGOTA DC</v>
          </cell>
          <cell r="M3637" t="str">
            <v>7452929</v>
          </cell>
        </row>
        <row r="3638">
          <cell r="A3638">
            <v>830051764</v>
          </cell>
          <cell r="B3638" t="str">
            <v>8</v>
          </cell>
          <cell r="C3638" t="str">
            <v/>
          </cell>
          <cell r="D3638" t="str">
            <v>NJ</v>
          </cell>
          <cell r="E3638" t="str">
            <v/>
          </cell>
          <cell r="F3638" t="str">
            <v/>
          </cell>
          <cell r="G3638" t="str">
            <v xml:space="preserve">INTERPESAJE SA                                              </v>
          </cell>
          <cell r="H3638" t="str">
            <v>RECO</v>
          </cell>
          <cell r="I3638" t="str">
            <v>REGIMEN COMUN</v>
          </cell>
          <cell r="J3638" t="str">
            <v xml:space="preserve"> AV EL DORADO  84 A  55 BG A 150 G</v>
          </cell>
          <cell r="K3638" t="str">
            <v>11001</v>
          </cell>
          <cell r="L3638" t="str">
            <v>BOGOTA DC</v>
          </cell>
          <cell r="M3638" t="str">
            <v>3153078460</v>
          </cell>
        </row>
        <row r="3639">
          <cell r="A3639">
            <v>830052449</v>
          </cell>
          <cell r="B3639" t="str">
            <v>7</v>
          </cell>
          <cell r="C3639" t="str">
            <v/>
          </cell>
          <cell r="D3639" t="str">
            <v>NJ</v>
          </cell>
          <cell r="E3639" t="str">
            <v/>
          </cell>
          <cell r="F3639" t="str">
            <v/>
          </cell>
          <cell r="G3639" t="str">
            <v>SODECA LATAM SAS</v>
          </cell>
          <cell r="H3639" t="str">
            <v>IMVE</v>
          </cell>
          <cell r="I3639" t="str">
            <v>IMPUESTO SOBRE LAS VENTAS</v>
          </cell>
          <cell r="J3639" t="str">
            <v xml:space="preserve"> CL 7 13 A 44 ZN EMPRESARIAL MONTANA</v>
          </cell>
          <cell r="K3639" t="str">
            <v>52473</v>
          </cell>
          <cell r="L3639" t="str">
            <v>MOSQUERA</v>
          </cell>
          <cell r="M3639" t="str">
            <v>7564213</v>
          </cell>
        </row>
        <row r="3640">
          <cell r="A3640">
            <v>830052998</v>
          </cell>
          <cell r="B3640" t="str">
            <v>9</v>
          </cell>
          <cell r="C3640" t="str">
            <v>923273402</v>
          </cell>
          <cell r="D3640" t="str">
            <v>NJ</v>
          </cell>
          <cell r="E3640" t="str">
            <v/>
          </cell>
          <cell r="F3640" t="str">
            <v/>
          </cell>
          <cell r="G3640" t="str">
            <v>PEAJE SIBERIA FIDECOMISO FIDUGAN</v>
          </cell>
          <cell r="H3640" t="str">
            <v>GRCO</v>
          </cell>
          <cell r="I3640" t="str">
            <v>GRAN CONTRIBUYENTE</v>
          </cell>
          <cell r="J3640" t="str">
            <v xml:space="preserve">CL 18 N 26 40                        </v>
          </cell>
          <cell r="K3640" t="str">
            <v>11001</v>
          </cell>
          <cell r="L3640" t="str">
            <v>BOGOTA DC</v>
          </cell>
          <cell r="M3640" t="str">
            <v>3210000</v>
          </cell>
        </row>
        <row r="3641">
          <cell r="A3641">
            <v>830053360</v>
          </cell>
          <cell r="B3641" t="str">
            <v>5</v>
          </cell>
          <cell r="C3641" t="str">
            <v/>
          </cell>
          <cell r="D3641" t="str">
            <v>NJ</v>
          </cell>
          <cell r="E3641" t="str">
            <v/>
          </cell>
          <cell r="F3641" t="str">
            <v/>
          </cell>
          <cell r="G3641" t="str">
            <v>ARDIKO A&amp;S CONSTRUCCIONES SUMINISTROS Y SERVICIOS SAS</v>
          </cell>
          <cell r="H3641" t="str">
            <v>RECO</v>
          </cell>
          <cell r="I3641" t="str">
            <v>REGIMEN COMUN</v>
          </cell>
          <cell r="J3641" t="str">
            <v>CR 24 39B 25 OF 502</v>
          </cell>
          <cell r="K3641" t="str">
            <v>03</v>
          </cell>
          <cell r="L3641" t="str">
            <v>BOGOTA</v>
          </cell>
          <cell r="M3641" t="str">
            <v>7046139</v>
          </cell>
        </row>
        <row r="3642">
          <cell r="A3642">
            <v>830053700</v>
          </cell>
          <cell r="B3642" t="str">
            <v>6</v>
          </cell>
          <cell r="C3642" t="str">
            <v/>
          </cell>
          <cell r="D3642" t="str">
            <v>NJ</v>
          </cell>
          <cell r="E3642" t="str">
            <v/>
          </cell>
          <cell r="F3642" t="str">
            <v/>
          </cell>
          <cell r="G3642" t="str">
            <v>PATRIMONIOS AUTÓNOMOS ADMINISTRADOS POR FIDUCIARIA DAVIVIENDA</v>
          </cell>
          <cell r="H3642" t="str">
            <v>GRCO</v>
          </cell>
          <cell r="I3642" t="str">
            <v>GRAN CONTRIBUYENTE</v>
          </cell>
          <cell r="J3642" t="str">
            <v>AV EL DORADO  68 B  85 P 2</v>
          </cell>
          <cell r="K3642" t="str">
            <v>11001</v>
          </cell>
          <cell r="L3642" t="str">
            <v>BOGOTA DC</v>
          </cell>
          <cell r="M3642" t="str">
            <v>3300000</v>
          </cell>
        </row>
        <row r="3643">
          <cell r="A3643">
            <v>830053800</v>
          </cell>
          <cell r="B3643" t="str">
            <v>4</v>
          </cell>
          <cell r="C3643" t="str">
            <v/>
          </cell>
          <cell r="D3643" t="str">
            <v>NJ</v>
          </cell>
          <cell r="E3643" t="str">
            <v/>
          </cell>
          <cell r="F3643" t="str">
            <v/>
          </cell>
          <cell r="G3643" t="str">
            <v xml:space="preserve">TELMEX                                                      </v>
          </cell>
          <cell r="H3643" t="str">
            <v>RECO</v>
          </cell>
          <cell r="I3643" t="str">
            <v>REGIMEN COMUN</v>
          </cell>
          <cell r="J3643" t="str">
            <v xml:space="preserve">CRA 11A N 94 76                         </v>
          </cell>
          <cell r="K3643" t="str">
            <v>11001</v>
          </cell>
          <cell r="L3643" t="str">
            <v>BOGOTA DC</v>
          </cell>
          <cell r="M3643" t="str">
            <v>4273496</v>
          </cell>
        </row>
        <row r="3644">
          <cell r="A3644">
            <v>830053812</v>
          </cell>
          <cell r="B3644" t="str">
            <v>2</v>
          </cell>
          <cell r="C3644" t="str">
            <v/>
          </cell>
          <cell r="D3644" t="str">
            <v>NJ</v>
          </cell>
          <cell r="E3644" t="str">
            <v/>
          </cell>
          <cell r="F3644" t="str">
            <v/>
          </cell>
          <cell r="G3644" t="str">
            <v>ALIANZA FIDUCIARIA S.A. FIDEICOMISOS</v>
          </cell>
          <cell r="H3644" t="str">
            <v>GRCO</v>
          </cell>
          <cell r="I3644" t="str">
            <v>GRAN CONTRIBUYENTE</v>
          </cell>
          <cell r="J3644" t="str">
            <v>CR 15 82 99</v>
          </cell>
          <cell r="K3644" t="str">
            <v>11001</v>
          </cell>
          <cell r="L3644" t="str">
            <v>BOGOTA DC</v>
          </cell>
          <cell r="M3644" t="str">
            <v>6447700</v>
          </cell>
        </row>
        <row r="3645">
          <cell r="A3645">
            <v>830053963</v>
          </cell>
          <cell r="B3645" t="str">
            <v>6</v>
          </cell>
          <cell r="C3645" t="str">
            <v/>
          </cell>
          <cell r="D3645" t="str">
            <v>NJ</v>
          </cell>
          <cell r="E3645" t="str">
            <v/>
          </cell>
          <cell r="F3645" t="str">
            <v/>
          </cell>
          <cell r="G3645" t="str">
            <v>ITAU FIDUCIARIA PATRIMONIOS AUTONOMOS</v>
          </cell>
          <cell r="H3645" t="str">
            <v>GRCO</v>
          </cell>
          <cell r="I3645" t="str">
            <v>GRAN CONTRIBUYENTE</v>
          </cell>
          <cell r="J3645" t="str">
            <v>CR 7 27 18 P 19</v>
          </cell>
          <cell r="K3645" t="str">
            <v>11001</v>
          </cell>
          <cell r="L3645" t="str">
            <v>BOGOTA DC</v>
          </cell>
          <cell r="M3645" t="str">
            <v>5816181</v>
          </cell>
        </row>
        <row r="3646">
          <cell r="A3646">
            <v>830053994</v>
          </cell>
          <cell r="B3646" t="str">
            <v>4</v>
          </cell>
          <cell r="C3646" t="str">
            <v/>
          </cell>
          <cell r="D3646" t="str">
            <v>NJ</v>
          </cell>
          <cell r="E3646" t="str">
            <v/>
          </cell>
          <cell r="F3646" t="str">
            <v/>
          </cell>
          <cell r="G3646" t="str">
            <v>PATRIMONIO AUTONOMOS FIDUCIARIA COLPATRIA</v>
          </cell>
          <cell r="H3646" t="str">
            <v>GRCO</v>
          </cell>
          <cell r="I3646" t="str">
            <v>GRAN CONTRIBUYENTE</v>
          </cell>
          <cell r="J3646" t="str">
            <v>CR 7 24 89P 21</v>
          </cell>
          <cell r="K3646" t="str">
            <v>11001</v>
          </cell>
          <cell r="L3646" t="str">
            <v>BOGOTA DC</v>
          </cell>
          <cell r="M3646" t="str">
            <v>3138863287</v>
          </cell>
        </row>
        <row r="3647">
          <cell r="A3647">
            <v>830053998</v>
          </cell>
          <cell r="B3647" t="str">
            <v>3</v>
          </cell>
          <cell r="C3647" t="str">
            <v/>
          </cell>
          <cell r="D3647" t="str">
            <v>NJ</v>
          </cell>
          <cell r="E3647" t="str">
            <v/>
          </cell>
          <cell r="F3647" t="str">
            <v/>
          </cell>
          <cell r="G3647" t="str">
            <v>ALIADOS ENERGÉTICOS DE COLOMBIA SAS</v>
          </cell>
          <cell r="H3647" t="str">
            <v>RECO</v>
          </cell>
          <cell r="I3647" t="str">
            <v>REGIMEN COMUN</v>
          </cell>
          <cell r="J3647" t="str">
            <v>CR 60 D BIS 97 70</v>
          </cell>
          <cell r="K3647" t="str">
            <v>11001</v>
          </cell>
          <cell r="L3647" t="str">
            <v>BOGOTA DC</v>
          </cell>
          <cell r="M3647" t="str">
            <v>2369687</v>
          </cell>
        </row>
        <row r="3648">
          <cell r="A3648">
            <v>830054060</v>
          </cell>
          <cell r="B3648" t="str">
            <v>5</v>
          </cell>
          <cell r="C3648" t="str">
            <v>44800000</v>
          </cell>
          <cell r="D3648" t="str">
            <v>NJ</v>
          </cell>
          <cell r="E3648" t="str">
            <v/>
          </cell>
          <cell r="F3648" t="str">
            <v/>
          </cell>
          <cell r="G3648" t="str">
            <v xml:space="preserve">AUTOPISTA DEL CAFE                                          </v>
          </cell>
          <cell r="H3648" t="str">
            <v>GRAU</v>
          </cell>
          <cell r="I3648" t="str">
            <v>GRAN CONTRIBUYENTE AUTORRETENEDO</v>
          </cell>
          <cell r="J3648" t="str">
            <v>AUT DEL CAFE</v>
          </cell>
          <cell r="K3648" t="str">
            <v>17001</v>
          </cell>
          <cell r="L3648" t="str">
            <v>MANIZALES</v>
          </cell>
          <cell r="M3648" t="str">
            <v>3280062</v>
          </cell>
        </row>
        <row r="3649">
          <cell r="A3649">
            <v>830054076</v>
          </cell>
          <cell r="B3649" t="str">
            <v>2</v>
          </cell>
          <cell r="C3649" t="str">
            <v/>
          </cell>
          <cell r="D3649" t="str">
            <v>NJ</v>
          </cell>
          <cell r="E3649" t="str">
            <v/>
          </cell>
          <cell r="F3649" t="str">
            <v/>
          </cell>
          <cell r="G3649" t="str">
            <v>FIDEICOMISO NO. 3-4-1331 CONCESIONARIA DE OCCIDENTE S.A.</v>
          </cell>
          <cell r="H3649" t="str">
            <v>GRCO</v>
          </cell>
          <cell r="I3649" t="str">
            <v>GRAN CONTRIBUYENTE</v>
          </cell>
          <cell r="J3649" t="str">
            <v>CR 13 27 47 P9</v>
          </cell>
          <cell r="K3649" t="str">
            <v>11001</v>
          </cell>
          <cell r="L3649" t="str">
            <v>BOGOTA DC</v>
          </cell>
          <cell r="M3649" t="str">
            <v>2973030</v>
          </cell>
        </row>
        <row r="3650">
          <cell r="A3650">
            <v>830054265</v>
          </cell>
          <cell r="B3650" t="str">
            <v>8</v>
          </cell>
          <cell r="C3650" t="str">
            <v/>
          </cell>
          <cell r="D3650" t="str">
            <v>NJ</v>
          </cell>
          <cell r="E3650" t="str">
            <v/>
          </cell>
          <cell r="F3650" t="str">
            <v/>
          </cell>
          <cell r="G3650" t="str">
            <v>CONCESIONARIA PANAMERIANA</v>
          </cell>
          <cell r="H3650" t="str">
            <v>RECO</v>
          </cell>
          <cell r="I3650" t="str">
            <v>REGIMEN COMUN</v>
          </cell>
          <cell r="J3650" t="str">
            <v>GUAYABAL</v>
          </cell>
          <cell r="K3650" t="str">
            <v>17001</v>
          </cell>
          <cell r="L3650" t="str">
            <v>MANIZALES</v>
          </cell>
          <cell r="M3650" t="str">
            <v>3102576509</v>
          </cell>
        </row>
        <row r="3651">
          <cell r="A3651">
            <v>830054539</v>
          </cell>
          <cell r="B3651" t="str">
            <v>0</v>
          </cell>
          <cell r="C3651" t="str">
            <v/>
          </cell>
          <cell r="D3651" t="str">
            <v>NJ</v>
          </cell>
          <cell r="E3651" t="str">
            <v/>
          </cell>
          <cell r="F3651" t="str">
            <v/>
          </cell>
          <cell r="G3651" t="str">
            <v>PATRIMONIOS AUTONOMOS FIDUCOLOMBIA S.A SOCIEDAD FIDUCIARIA</v>
          </cell>
          <cell r="H3651" t="str">
            <v>GRCO</v>
          </cell>
          <cell r="I3651" t="str">
            <v>GRAN CONTRIBUYENTE</v>
          </cell>
          <cell r="J3651" t="str">
            <v>CL 30 A   6   38 P 19</v>
          </cell>
          <cell r="K3651" t="str">
            <v>11001</v>
          </cell>
          <cell r="L3651" t="str">
            <v>BOGOTA DC</v>
          </cell>
          <cell r="M3651" t="str">
            <v>8536668</v>
          </cell>
        </row>
        <row r="3652">
          <cell r="A3652">
            <v>830055049</v>
          </cell>
          <cell r="B3652" t="str">
            <v>8</v>
          </cell>
          <cell r="C3652" t="str">
            <v/>
          </cell>
          <cell r="D3652" t="str">
            <v>NJ</v>
          </cell>
          <cell r="E3652" t="str">
            <v/>
          </cell>
          <cell r="F3652" t="str">
            <v/>
          </cell>
          <cell r="G3652" t="str">
            <v>BVQI COLOMBIA LTDA</v>
          </cell>
          <cell r="H3652" t="str">
            <v>GRAU</v>
          </cell>
          <cell r="I3652" t="str">
            <v>GRAN CONTRIBUYENTE AUTORRETENEDO</v>
          </cell>
          <cell r="J3652" t="str">
            <v>CL 72   7   82 P 3</v>
          </cell>
          <cell r="K3652" t="str">
            <v>11001</v>
          </cell>
          <cell r="L3652" t="str">
            <v>BOGOTA DC</v>
          </cell>
          <cell r="M3652" t="str">
            <v>3129191</v>
          </cell>
        </row>
        <row r="3653">
          <cell r="A3653">
            <v>830055392</v>
          </cell>
          <cell r="B3653" t="str">
            <v>1</v>
          </cell>
          <cell r="C3653" t="str">
            <v/>
          </cell>
          <cell r="D3653" t="str">
            <v>NJ</v>
          </cell>
          <cell r="E3653" t="str">
            <v/>
          </cell>
          <cell r="F3653" t="str">
            <v/>
          </cell>
          <cell r="G3653" t="str">
            <v>LAMAOS S.A.</v>
          </cell>
          <cell r="H3653" t="str">
            <v>IMVE</v>
          </cell>
          <cell r="I3653" t="str">
            <v>IMPUESTO SOBRE LAS VENTAS</v>
          </cell>
          <cell r="J3653" t="str">
            <v>AV 6  27 B  37 BRR RICAURTE</v>
          </cell>
          <cell r="K3653" t="str">
            <v>11001</v>
          </cell>
          <cell r="L3653" t="str">
            <v>BOGOTA DC</v>
          </cell>
          <cell r="M3653" t="str">
            <v>3753738</v>
          </cell>
        </row>
        <row r="3654">
          <cell r="A3654">
            <v>830055841</v>
          </cell>
          <cell r="B3654" t="str">
            <v>5</v>
          </cell>
          <cell r="C3654" t="str">
            <v/>
          </cell>
          <cell r="D3654" t="str">
            <v>NJ</v>
          </cell>
          <cell r="E3654" t="str">
            <v/>
          </cell>
          <cell r="F3654" t="str">
            <v/>
          </cell>
          <cell r="G3654" t="str">
            <v>ANALQUIM LTDA</v>
          </cell>
          <cell r="H3654" t="str">
            <v>RECO</v>
          </cell>
          <cell r="I3654" t="str">
            <v>REGIMEN COMUN</v>
          </cell>
          <cell r="J3654" t="str">
            <v>CR 25 73 60</v>
          </cell>
          <cell r="K3654" t="str">
            <v>11001</v>
          </cell>
          <cell r="L3654" t="str">
            <v>BOGOTA DC</v>
          </cell>
          <cell r="M3654" t="str">
            <v>6309945</v>
          </cell>
        </row>
        <row r="3655">
          <cell r="A3655">
            <v>830055849</v>
          </cell>
          <cell r="B3655" t="str">
            <v>3</v>
          </cell>
          <cell r="C3655" t="str">
            <v/>
          </cell>
          <cell r="D3655" t="str">
            <v>NJ</v>
          </cell>
          <cell r="E3655" t="str">
            <v/>
          </cell>
          <cell r="F3655" t="str">
            <v/>
          </cell>
          <cell r="G3655" t="str">
            <v>TRANSPORTES FATACAR LTDA</v>
          </cell>
          <cell r="H3655" t="str">
            <v>REOR</v>
          </cell>
          <cell r="I3655" t="str">
            <v>RENTA REGIMEN ORDINARIO</v>
          </cell>
          <cell r="J3655" t="str">
            <v>CR 64  160 08 AP 301  BRR GILMAR</v>
          </cell>
          <cell r="K3655" t="str">
            <v>11001</v>
          </cell>
          <cell r="L3655" t="str">
            <v>BOGOTA DC</v>
          </cell>
          <cell r="M3655" t="str">
            <v>4853530</v>
          </cell>
        </row>
        <row r="3656">
          <cell r="A3656">
            <v>830055897</v>
          </cell>
          <cell r="B3656" t="str">
            <v>7</v>
          </cell>
          <cell r="C3656" t="str">
            <v/>
          </cell>
          <cell r="D3656" t="str">
            <v>NJ</v>
          </cell>
          <cell r="E3656" t="str">
            <v/>
          </cell>
          <cell r="F3656" t="str">
            <v/>
          </cell>
          <cell r="G3656" t="str">
            <v>PATRIMONIOS AUTÓNOMOS FIDUCIARIA BOGOTA S.A.</v>
          </cell>
          <cell r="H3656" t="str">
            <v>GRCO</v>
          </cell>
          <cell r="I3656" t="str">
            <v>GRAN CONTRIBUYENTE</v>
          </cell>
          <cell r="J3656" t="str">
            <v>CL 67 7 37 P 3</v>
          </cell>
          <cell r="K3656" t="str">
            <v>11001</v>
          </cell>
          <cell r="L3656" t="str">
            <v>BOGOTA DC</v>
          </cell>
          <cell r="M3656" t="str">
            <v>3485400</v>
          </cell>
        </row>
        <row r="3657">
          <cell r="A3657">
            <v>830057186</v>
          </cell>
          <cell r="B3657" t="str">
            <v>8</v>
          </cell>
          <cell r="C3657" t="str">
            <v/>
          </cell>
          <cell r="D3657" t="str">
            <v>NJ</v>
          </cell>
          <cell r="E3657" t="str">
            <v/>
          </cell>
          <cell r="F3657" t="str">
            <v/>
          </cell>
          <cell r="G3657" t="str">
            <v>MUNDIAL DE TORNILLOS S.A.</v>
          </cell>
          <cell r="H3657" t="str">
            <v>GRAU</v>
          </cell>
          <cell r="I3657" t="str">
            <v>GRAN CONTRIBUYENTE AUTORRETENEDO</v>
          </cell>
          <cell r="J3657" t="str">
            <v>CR 22 19 63</v>
          </cell>
          <cell r="K3657" t="str">
            <v>03</v>
          </cell>
          <cell r="L3657" t="str">
            <v>BOGOTA</v>
          </cell>
          <cell r="M3657" t="str">
            <v>3123186158</v>
          </cell>
        </row>
        <row r="3658">
          <cell r="A3658">
            <v>830057749</v>
          </cell>
          <cell r="B3658" t="str">
            <v>4</v>
          </cell>
          <cell r="C3658" t="str">
            <v/>
          </cell>
          <cell r="D3658" t="str">
            <v>NJ</v>
          </cell>
          <cell r="E3658" t="str">
            <v/>
          </cell>
          <cell r="F3658" t="str">
            <v/>
          </cell>
          <cell r="G3658" t="str">
            <v>SETEFER LTDA.</v>
          </cell>
          <cell r="H3658" t="str">
            <v>RECO</v>
          </cell>
          <cell r="I3658" t="str">
            <v>REGIMEN COMUN</v>
          </cell>
          <cell r="J3658" t="str">
            <v xml:space="preserve"> CR 27  13 23 BRR PALOQUEMAO</v>
          </cell>
          <cell r="K3658" t="str">
            <v>11001</v>
          </cell>
          <cell r="L3658" t="str">
            <v>BOGOTA DC</v>
          </cell>
          <cell r="M3658" t="str">
            <v>3752701</v>
          </cell>
        </row>
        <row r="3659">
          <cell r="A3659">
            <v>830057750</v>
          </cell>
          <cell r="B3659" t="str">
            <v>2</v>
          </cell>
          <cell r="C3659" t="str">
            <v/>
          </cell>
          <cell r="D3659" t="str">
            <v>NJ</v>
          </cell>
          <cell r="E3659" t="str">
            <v/>
          </cell>
          <cell r="F3659" t="str">
            <v/>
          </cell>
          <cell r="G3659" t="str">
            <v>MISTER LEE</v>
          </cell>
          <cell r="H3659" t="str">
            <v>RECO</v>
          </cell>
          <cell r="I3659" t="str">
            <v>REGIMEN COMUN</v>
          </cell>
          <cell r="J3659" t="str">
            <v>CR 41 168 72</v>
          </cell>
          <cell r="K3659" t="str">
            <v>11001</v>
          </cell>
          <cell r="L3659" t="str">
            <v>BOGOTA DC</v>
          </cell>
          <cell r="M3659" t="str">
            <v>6777072</v>
          </cell>
        </row>
        <row r="3660">
          <cell r="A3660">
            <v>830058272</v>
          </cell>
          <cell r="B3660" t="str">
            <v>8</v>
          </cell>
          <cell r="C3660" t="str">
            <v/>
          </cell>
          <cell r="D3660" t="str">
            <v>NJ</v>
          </cell>
          <cell r="E3660" t="str">
            <v/>
          </cell>
          <cell r="F3660" t="str">
            <v/>
          </cell>
          <cell r="G3660" t="str">
            <v>CAM COLOMBIA MULTISERVICIOS SAS</v>
          </cell>
          <cell r="H3660" t="str">
            <v>IMVE</v>
          </cell>
          <cell r="I3660" t="str">
            <v>IMPUESTO SOBRE LAS VENTAS</v>
          </cell>
          <cell r="J3660" t="str">
            <v>CR 65 B 13  78</v>
          </cell>
          <cell r="K3660" t="str">
            <v>11001</v>
          </cell>
          <cell r="L3660" t="str">
            <v>BOGOTA DC</v>
          </cell>
          <cell r="M3660" t="str">
            <v>3124584045</v>
          </cell>
        </row>
        <row r="3661">
          <cell r="A3661">
            <v>830058737</v>
          </cell>
          <cell r="B3661" t="str">
            <v>0</v>
          </cell>
          <cell r="C3661" t="str">
            <v/>
          </cell>
          <cell r="D3661" t="str">
            <v>NJ</v>
          </cell>
          <cell r="E3661" t="str">
            <v/>
          </cell>
          <cell r="F3661" t="str">
            <v/>
          </cell>
          <cell r="G3661" t="str">
            <v>V Q INGENIERIA SOCIEDAD POR ACCIONES SIMPLIFICADA SAS</v>
          </cell>
          <cell r="H3661" t="str">
            <v>IMVE</v>
          </cell>
          <cell r="I3661" t="str">
            <v>IMPUESTO SOBRE LAS VENTAS</v>
          </cell>
          <cell r="J3661" t="str">
            <v>CR 7 BIS 124 10 OF 401 ES AMC</v>
          </cell>
          <cell r="K3661" t="str">
            <v>11001</v>
          </cell>
          <cell r="L3661" t="str">
            <v>BOGOTA DC</v>
          </cell>
          <cell r="M3661" t="str">
            <v>5188487</v>
          </cell>
        </row>
        <row r="3662">
          <cell r="A3662">
            <v>830059605</v>
          </cell>
          <cell r="B3662" t="str">
            <v>1</v>
          </cell>
          <cell r="C3662" t="str">
            <v/>
          </cell>
          <cell r="D3662" t="str">
            <v>NJ</v>
          </cell>
          <cell r="E3662" t="str">
            <v/>
          </cell>
          <cell r="F3662" t="str">
            <v/>
          </cell>
          <cell r="G3662" t="str">
            <v>ESTACION DE PEAJE LOBOGUERRERO</v>
          </cell>
          <cell r="H3662" t="str">
            <v>GRCO</v>
          </cell>
          <cell r="I3662" t="str">
            <v>GRAN CONTRIBUYENTE</v>
          </cell>
          <cell r="J3662" t="str">
            <v>CR 11   86   60 PJ 06 OF 602</v>
          </cell>
          <cell r="K3662" t="str">
            <v>17001</v>
          </cell>
          <cell r="L3662" t="str">
            <v>MANIZALES</v>
          </cell>
          <cell r="M3662" t="str">
            <v>6671050</v>
          </cell>
        </row>
        <row r="3663">
          <cell r="A3663">
            <v>830059754</v>
          </cell>
          <cell r="B3663" t="str">
            <v>0</v>
          </cell>
          <cell r="C3663" t="str">
            <v/>
          </cell>
          <cell r="D3663" t="str">
            <v>NJ</v>
          </cell>
          <cell r="E3663" t="str">
            <v/>
          </cell>
          <cell r="F3663" t="str">
            <v/>
          </cell>
          <cell r="G3663" t="str">
            <v>NACIONAL DE TRANSFORMADORES SAS</v>
          </cell>
          <cell r="H3663" t="str">
            <v>IMVE</v>
          </cell>
          <cell r="I3663" t="str">
            <v>IMPUESTO SOBRE LAS VENTAS</v>
          </cell>
          <cell r="J3663" t="str">
            <v>CR 157 34  MANZ 9 LOTE 5</v>
          </cell>
          <cell r="K3663" t="str">
            <v>25473</v>
          </cell>
          <cell r="L3663" t="str">
            <v>MOSQUERA</v>
          </cell>
          <cell r="M3663" t="str">
            <v>8932308</v>
          </cell>
        </row>
        <row r="3664">
          <cell r="A3664">
            <v>830059789</v>
          </cell>
          <cell r="B3664" t="str">
            <v>8</v>
          </cell>
          <cell r="C3664" t="str">
            <v/>
          </cell>
          <cell r="D3664" t="str">
            <v>NJ</v>
          </cell>
          <cell r="E3664" t="str">
            <v/>
          </cell>
          <cell r="F3664" t="str">
            <v/>
          </cell>
          <cell r="G3664" t="str">
            <v>INVERSIONES Y CONSULTORIA RUEDA Y BARRERA S.A.</v>
          </cell>
          <cell r="H3664" t="str">
            <v>RECO</v>
          </cell>
          <cell r="I3664" t="str">
            <v>REGIMEN COMUN</v>
          </cell>
          <cell r="J3664" t="str">
            <v xml:space="preserve"> CR 13 96 67 OF 501</v>
          </cell>
          <cell r="K3664" t="str">
            <v>11001</v>
          </cell>
          <cell r="L3664" t="str">
            <v>BOGOTA DC</v>
          </cell>
          <cell r="M3664" t="str">
            <v>6102144</v>
          </cell>
        </row>
        <row r="3665">
          <cell r="A3665">
            <v>830060256</v>
          </cell>
          <cell r="B3665" t="str">
            <v>6</v>
          </cell>
          <cell r="C3665" t="str">
            <v/>
          </cell>
          <cell r="D3665" t="str">
            <v>NJ</v>
          </cell>
          <cell r="E3665" t="str">
            <v/>
          </cell>
          <cell r="F3665" t="str">
            <v/>
          </cell>
          <cell r="G3665" t="str">
            <v>FOURTELCO LTDA</v>
          </cell>
          <cell r="H3665" t="str">
            <v>RECO</v>
          </cell>
          <cell r="I3665" t="str">
            <v>REGIMEN COMUN</v>
          </cell>
          <cell r="J3665" t="str">
            <v>CL 67 59 46</v>
          </cell>
          <cell r="K3665" t="str">
            <v>11001</v>
          </cell>
          <cell r="L3665" t="str">
            <v>BOGOTA DC</v>
          </cell>
          <cell r="M3665" t="str">
            <v>3112112</v>
          </cell>
        </row>
        <row r="3666">
          <cell r="A3666">
            <v>830060331</v>
          </cell>
          <cell r="B3666" t="str">
            <v>0</v>
          </cell>
          <cell r="C3666" t="str">
            <v/>
          </cell>
          <cell r="D3666" t="str">
            <v>NJ</v>
          </cell>
          <cell r="E3666" t="str">
            <v/>
          </cell>
          <cell r="F3666" t="str">
            <v/>
          </cell>
          <cell r="G3666" t="str">
            <v>KOMATSU COLOMBIA S.A.S.</v>
          </cell>
          <cell r="H3666" t="str">
            <v>IMVE</v>
          </cell>
          <cell r="I3666" t="str">
            <v>IMPUESTO SOBRE LAS VENTAS</v>
          </cell>
          <cell r="J3666" t="str">
            <v>CL 30 26 12</v>
          </cell>
          <cell r="K3666" t="str">
            <v>08758</v>
          </cell>
          <cell r="L3666" t="str">
            <v>SOLEDAD</v>
          </cell>
          <cell r="M3666" t="str">
            <v>3163144742</v>
          </cell>
        </row>
        <row r="3667">
          <cell r="A3667">
            <v>830060579</v>
          </cell>
          <cell r="B3667" t="str">
            <v>1</v>
          </cell>
          <cell r="C3667" t="str">
            <v/>
          </cell>
          <cell r="D3667" t="str">
            <v>NJ</v>
          </cell>
          <cell r="E3667" t="str">
            <v/>
          </cell>
          <cell r="F3667" t="str">
            <v/>
          </cell>
          <cell r="G3667" t="str">
            <v xml:space="preserve">CIVELEC CONSTRUCCIONES LTDA.                                </v>
          </cell>
          <cell r="H3667" t="str">
            <v>RECO</v>
          </cell>
          <cell r="I3667" t="str">
            <v>REGIMEN COMUN</v>
          </cell>
          <cell r="J3667" t="str">
            <v xml:space="preserve">CL 169 55A 49 BOGOTA                    </v>
          </cell>
          <cell r="K3667" t="str">
            <v>11001</v>
          </cell>
          <cell r="L3667" t="str">
            <v>BOGOTA DC</v>
          </cell>
          <cell r="M3667" t="str">
            <v>5265413</v>
          </cell>
        </row>
        <row r="3668">
          <cell r="A3668">
            <v>830060952</v>
          </cell>
          <cell r="B3668" t="str">
            <v>4</v>
          </cell>
          <cell r="C3668" t="str">
            <v/>
          </cell>
          <cell r="D3668" t="str">
            <v>NJ</v>
          </cell>
          <cell r="E3668" t="str">
            <v/>
          </cell>
          <cell r="F3668" t="str">
            <v/>
          </cell>
          <cell r="G3668" t="str">
            <v>COMERCIALIZADORA DE CEMENTOS SAS</v>
          </cell>
          <cell r="H3668" t="str">
            <v>RECO</v>
          </cell>
          <cell r="I3668" t="str">
            <v>REGIMEN COMUN</v>
          </cell>
          <cell r="J3668" t="str">
            <v>CR 22A 134 55 CA A 4</v>
          </cell>
          <cell r="K3668" t="str">
            <v>11001</v>
          </cell>
          <cell r="L3668" t="str">
            <v>BOGOTA DC</v>
          </cell>
          <cell r="M3668" t="str">
            <v>3102879085</v>
          </cell>
        </row>
        <row r="3669">
          <cell r="A3669">
            <v>830061241</v>
          </cell>
          <cell r="B3669" t="str">
            <v>0</v>
          </cell>
          <cell r="C3669" t="str">
            <v/>
          </cell>
          <cell r="D3669" t="str">
            <v>NJ</v>
          </cell>
          <cell r="E3669" t="str">
            <v/>
          </cell>
          <cell r="F3669" t="str">
            <v/>
          </cell>
          <cell r="G3669" t="str">
            <v>RED MARINA SAS</v>
          </cell>
          <cell r="H3669" t="str">
            <v>IMVE</v>
          </cell>
          <cell r="I3669" t="str">
            <v>IMPUESTO SOBRE LAS VENTAS</v>
          </cell>
          <cell r="J3669" t="str">
            <v>CR 60 92 15 P 1</v>
          </cell>
          <cell r="K3669" t="str">
            <v>11001</v>
          </cell>
          <cell r="L3669" t="str">
            <v>BOGOTA DC</v>
          </cell>
          <cell r="M3669" t="str">
            <v>7501607</v>
          </cell>
        </row>
        <row r="3670">
          <cell r="A3670">
            <v>830061945</v>
          </cell>
          <cell r="B3670" t="str">
            <v>7</v>
          </cell>
          <cell r="C3670" t="str">
            <v/>
          </cell>
          <cell r="D3670" t="str">
            <v>NJ</v>
          </cell>
          <cell r="E3670" t="str">
            <v/>
          </cell>
          <cell r="F3670" t="str">
            <v/>
          </cell>
          <cell r="G3670" t="str">
            <v>BIP TRANSPORTES S.A.S</v>
          </cell>
          <cell r="H3670" t="str">
            <v>IMVE</v>
          </cell>
          <cell r="I3670" t="str">
            <v>IMPUESTO SOBRE LAS VENTAS</v>
          </cell>
          <cell r="J3670" t="str">
            <v xml:space="preserve"> CR 53 74 86 OF 310</v>
          </cell>
          <cell r="K3670" t="str">
            <v>02</v>
          </cell>
          <cell r="L3670" t="str">
            <v>BARRANQUILLA</v>
          </cell>
          <cell r="M3670" t="str">
            <v>3174284268</v>
          </cell>
        </row>
        <row r="3671">
          <cell r="A3671">
            <v>830062441</v>
          </cell>
          <cell r="B3671" t="str">
            <v>1</v>
          </cell>
          <cell r="C3671" t="str">
            <v/>
          </cell>
          <cell r="D3671" t="str">
            <v>NJ</v>
          </cell>
          <cell r="E3671" t="str">
            <v/>
          </cell>
          <cell r="F3671" t="str">
            <v/>
          </cell>
          <cell r="G3671" t="str">
            <v>ENVASAR S.A.S</v>
          </cell>
          <cell r="H3671" t="str">
            <v>RECO</v>
          </cell>
          <cell r="I3671" t="str">
            <v>REGIMEN COMUN</v>
          </cell>
          <cell r="J3671" t="str">
            <v>CR 30   17   20</v>
          </cell>
          <cell r="K3671" t="str">
            <v>11001</v>
          </cell>
          <cell r="L3671" t="str">
            <v>BOGOTA DC</v>
          </cell>
          <cell r="M3671" t="str">
            <v>3712906</v>
          </cell>
        </row>
        <row r="3672">
          <cell r="A3672">
            <v>830062674</v>
          </cell>
          <cell r="B3672" t="str">
            <v>0</v>
          </cell>
          <cell r="C3672" t="str">
            <v/>
          </cell>
          <cell r="D3672" t="str">
            <v>NJ</v>
          </cell>
          <cell r="E3672" t="str">
            <v/>
          </cell>
          <cell r="F3672" t="str">
            <v/>
          </cell>
          <cell r="G3672" t="str">
            <v>INFORMACIÓN LOCALIZADA S.A.S.</v>
          </cell>
          <cell r="H3672" t="str">
            <v>IMVE</v>
          </cell>
          <cell r="I3672" t="str">
            <v>IMPUESTO SOBRE LAS VENTAS</v>
          </cell>
          <cell r="J3672" t="str">
            <v>CL 84 24 78</v>
          </cell>
          <cell r="K3672" t="str">
            <v>11001</v>
          </cell>
          <cell r="L3672" t="str">
            <v>BOGOTA DC</v>
          </cell>
          <cell r="M3672" t="str">
            <v>2562030</v>
          </cell>
        </row>
        <row r="3673">
          <cell r="A3673">
            <v>830063261</v>
          </cell>
          <cell r="B3673" t="str">
            <v>7</v>
          </cell>
          <cell r="C3673" t="str">
            <v/>
          </cell>
          <cell r="D3673" t="str">
            <v>NJ</v>
          </cell>
          <cell r="E3673" t="str">
            <v/>
          </cell>
          <cell r="F3673" t="str">
            <v/>
          </cell>
          <cell r="G3673" t="str">
            <v>BIOCIDAS Y QUIMICOS S.A.S.</v>
          </cell>
          <cell r="H3673" t="str">
            <v>IMVE</v>
          </cell>
          <cell r="I3673" t="str">
            <v>IMPUESTO SOBRE LAS VENTAS</v>
          </cell>
          <cell r="J3673" t="str">
            <v xml:space="preserve"> CEN EMPRESARIAL CIEM OIKOS OCCIDENTE AUT MEDELLIN KM 2 5 EN PAR</v>
          </cell>
          <cell r="K3673" t="str">
            <v>25214</v>
          </cell>
          <cell r="L3673" t="str">
            <v>COTA</v>
          </cell>
          <cell r="M3673" t="str">
            <v>8966192</v>
          </cell>
        </row>
        <row r="3674">
          <cell r="A3674">
            <v>830063376</v>
          </cell>
          <cell r="B3674" t="str">
            <v>5</v>
          </cell>
          <cell r="C3674" t="str">
            <v/>
          </cell>
          <cell r="D3674" t="str">
            <v>NJ</v>
          </cell>
          <cell r="E3674" t="str">
            <v/>
          </cell>
          <cell r="F3674" t="str">
            <v/>
          </cell>
          <cell r="G3674" t="str">
            <v>CONSORCIO EXEQUIAL SAS</v>
          </cell>
          <cell r="H3674" t="str">
            <v>RECO</v>
          </cell>
          <cell r="I3674" t="str">
            <v>REGIMEN COMUN</v>
          </cell>
          <cell r="J3674" t="str">
            <v>CR 11   69   11</v>
          </cell>
          <cell r="K3674" t="str">
            <v>11001</v>
          </cell>
          <cell r="L3674" t="str">
            <v>BOGOTA DC</v>
          </cell>
          <cell r="M3674" t="str">
            <v>2481125</v>
          </cell>
        </row>
        <row r="3675">
          <cell r="A3675">
            <v>830063486</v>
          </cell>
          <cell r="B3675" t="str">
            <v>7</v>
          </cell>
          <cell r="C3675" t="str">
            <v/>
          </cell>
          <cell r="D3675" t="str">
            <v>NJ</v>
          </cell>
          <cell r="E3675" t="str">
            <v/>
          </cell>
          <cell r="F3675" t="str">
            <v/>
          </cell>
          <cell r="G3675" t="str">
            <v>JOJAC LTDA</v>
          </cell>
          <cell r="H3675" t="str">
            <v>RECO</v>
          </cell>
          <cell r="I3675" t="str">
            <v>REGIMEN COMUN</v>
          </cell>
          <cell r="J3675" t="str">
            <v>CL 17 28 05 SEC PALOQUEMAO</v>
          </cell>
          <cell r="K3675" t="str">
            <v>11001</v>
          </cell>
          <cell r="L3675" t="str">
            <v>BOGOTA DC</v>
          </cell>
          <cell r="M3675" t="str">
            <v>2376169</v>
          </cell>
        </row>
        <row r="3676">
          <cell r="A3676">
            <v>830063800</v>
          </cell>
          <cell r="B3676" t="str">
            <v>7</v>
          </cell>
          <cell r="C3676" t="str">
            <v/>
          </cell>
          <cell r="D3676" t="str">
            <v>NJ</v>
          </cell>
          <cell r="E3676" t="str">
            <v/>
          </cell>
          <cell r="F3676" t="str">
            <v/>
          </cell>
          <cell r="G3676" t="str">
            <v>COVAL COMERCIAL S.A</v>
          </cell>
          <cell r="H3676" t="str">
            <v>GRAU</v>
          </cell>
          <cell r="I3676" t="str">
            <v>GRAN CONTRIBUYENTE AUTORRETENEDO</v>
          </cell>
          <cell r="J3676" t="str">
            <v>AUT NORTE 138 47</v>
          </cell>
          <cell r="K3676" t="str">
            <v>11001</v>
          </cell>
          <cell r="L3676" t="str">
            <v>BOGOTA DC</v>
          </cell>
          <cell r="M3676" t="str">
            <v>8759100</v>
          </cell>
        </row>
        <row r="3677">
          <cell r="A3677">
            <v>830064896</v>
          </cell>
          <cell r="B3677" t="str">
            <v>8</v>
          </cell>
          <cell r="C3677" t="str">
            <v/>
          </cell>
          <cell r="D3677" t="str">
            <v>NJ</v>
          </cell>
          <cell r="E3677" t="str">
            <v/>
          </cell>
          <cell r="F3677" t="str">
            <v/>
          </cell>
          <cell r="G3677" t="str">
            <v>TECSUD S.A.S</v>
          </cell>
          <cell r="H3677" t="str">
            <v>RECO</v>
          </cell>
          <cell r="I3677" t="str">
            <v>REGIMEN COMUN</v>
          </cell>
          <cell r="J3677" t="str">
            <v>CL 31 13 A  51 TO 1 OF 210</v>
          </cell>
          <cell r="K3677" t="str">
            <v>11001</v>
          </cell>
          <cell r="L3677" t="str">
            <v>BOGOTA DC</v>
          </cell>
          <cell r="M3677" t="str">
            <v>3593998</v>
          </cell>
        </row>
        <row r="3678">
          <cell r="A3678">
            <v>830065503</v>
          </cell>
          <cell r="B3678" t="str">
            <v>3</v>
          </cell>
          <cell r="C3678" t="str">
            <v/>
          </cell>
          <cell r="D3678" t="str">
            <v>NJ</v>
          </cell>
          <cell r="E3678" t="str">
            <v/>
          </cell>
          <cell r="F3678" t="str">
            <v/>
          </cell>
          <cell r="G3678" t="str">
            <v>QUIMICOS CAMPOTA Y CIA LTDA</v>
          </cell>
          <cell r="H3678" t="str">
            <v>RECO</v>
          </cell>
          <cell r="I3678" t="str">
            <v>REGIMEN COMUN</v>
          </cell>
          <cell r="J3678" t="str">
            <v>CL 13 13 27</v>
          </cell>
          <cell r="K3678" t="str">
            <v>11001</v>
          </cell>
          <cell r="L3678" t="str">
            <v>BOGOTA DC</v>
          </cell>
          <cell r="M3678" t="str">
            <v>2834315</v>
          </cell>
        </row>
        <row r="3679">
          <cell r="A3679">
            <v>830065626</v>
          </cell>
          <cell r="B3679" t="str">
            <v>0</v>
          </cell>
          <cell r="C3679" t="str">
            <v/>
          </cell>
          <cell r="D3679" t="str">
            <v>NJ</v>
          </cell>
          <cell r="E3679" t="str">
            <v/>
          </cell>
          <cell r="F3679" t="str">
            <v/>
          </cell>
          <cell r="G3679" t="str">
            <v>MAGNETIC SAS</v>
          </cell>
          <cell r="H3679" t="str">
            <v>RECO</v>
          </cell>
          <cell r="I3679" t="str">
            <v>REGIMEN COMUN</v>
          </cell>
          <cell r="J3679" t="str">
            <v>CR 15 77 75 LC 1-208</v>
          </cell>
          <cell r="K3679" t="str">
            <v>11001</v>
          </cell>
          <cell r="L3679" t="str">
            <v>BOGOTA DC</v>
          </cell>
          <cell r="M3679" t="str">
            <v>2561568</v>
          </cell>
        </row>
        <row r="3680">
          <cell r="A3680">
            <v>830066209</v>
          </cell>
          <cell r="B3680" t="str">
            <v>7</v>
          </cell>
          <cell r="C3680" t="str">
            <v/>
          </cell>
          <cell r="D3680" t="str">
            <v>NJ</v>
          </cell>
          <cell r="E3680" t="str">
            <v/>
          </cell>
          <cell r="F3680" t="str">
            <v/>
          </cell>
          <cell r="G3680" t="str">
            <v>PUENTES GRUAS Y POLIPASTOS HANSECOL SAS</v>
          </cell>
          <cell r="H3680" t="str">
            <v>IMVE</v>
          </cell>
          <cell r="I3680" t="str">
            <v>IMPUESTO SOBRE LAS VENTAS</v>
          </cell>
          <cell r="J3680" t="str">
            <v>PAR LOGISTICO CIEN OIKOS OCCIDENTE BD E 75 ET 2 VDA SIBERIA</v>
          </cell>
          <cell r="K3680" t="str">
            <v>25214</v>
          </cell>
          <cell r="L3680" t="str">
            <v>COTA</v>
          </cell>
          <cell r="M3680" t="str">
            <v>7440202</v>
          </cell>
        </row>
        <row r="3681">
          <cell r="A3681">
            <v>830066396</v>
          </cell>
          <cell r="B3681" t="str">
            <v>6</v>
          </cell>
          <cell r="C3681" t="str">
            <v/>
          </cell>
          <cell r="D3681" t="str">
            <v>NJ</v>
          </cell>
          <cell r="E3681" t="str">
            <v/>
          </cell>
          <cell r="F3681" t="str">
            <v/>
          </cell>
          <cell r="G3681" t="str">
            <v>REFRACTERMIC S.A</v>
          </cell>
          <cell r="H3681" t="str">
            <v>RECO</v>
          </cell>
          <cell r="I3681" t="str">
            <v>REGIMEN COMUN</v>
          </cell>
          <cell r="J3681" t="str">
            <v>CLL 155 C 99 60 BRR TUNA BAJA SUBA</v>
          </cell>
          <cell r="K3681" t="str">
            <v>11001</v>
          </cell>
          <cell r="L3681" t="str">
            <v>BOGOTA DC</v>
          </cell>
          <cell r="M3681" t="str">
            <v>6922715</v>
          </cell>
        </row>
        <row r="3682">
          <cell r="A3682">
            <v>830066870</v>
          </cell>
          <cell r="B3682" t="str">
            <v>6</v>
          </cell>
          <cell r="C3682" t="str">
            <v/>
          </cell>
          <cell r="D3682" t="str">
            <v>NJ</v>
          </cell>
          <cell r="E3682" t="str">
            <v/>
          </cell>
          <cell r="F3682" t="str">
            <v/>
          </cell>
          <cell r="G3682" t="str">
            <v>MORENO SERVICIOS LEGALES SAS</v>
          </cell>
          <cell r="H3682" t="str">
            <v>IMVE</v>
          </cell>
          <cell r="I3682" t="str">
            <v>IMPUESTO SOBRE LAS VENTAS</v>
          </cell>
          <cell r="J3682" t="str">
            <v>CL 82   11   37 OF 402</v>
          </cell>
          <cell r="K3682" t="str">
            <v>11001</v>
          </cell>
          <cell r="L3682" t="str">
            <v>BOGOTA DC</v>
          </cell>
          <cell r="M3682" t="str">
            <v>2360847</v>
          </cell>
        </row>
        <row r="3683">
          <cell r="A3683">
            <v>830067414</v>
          </cell>
          <cell r="B3683" t="str">
            <v>5</v>
          </cell>
          <cell r="C3683" t="str">
            <v/>
          </cell>
          <cell r="D3683" t="str">
            <v>NJ</v>
          </cell>
          <cell r="E3683" t="str">
            <v/>
          </cell>
          <cell r="F3683" t="str">
            <v/>
          </cell>
          <cell r="G3683" t="str">
            <v>KAESER COMPRESORES DE COLOMBIA LIMITADA</v>
          </cell>
          <cell r="H3683" t="str">
            <v>GRCO</v>
          </cell>
          <cell r="I3683" t="str">
            <v>GRAN CONTRIBUYENTE</v>
          </cell>
          <cell r="J3683" t="str">
            <v xml:space="preserve"> AUT MEDELLIN KM 6 3 VDA LA PUNTA COSTADO SUR</v>
          </cell>
          <cell r="K3683" t="str">
            <v>30</v>
          </cell>
          <cell r="L3683" t="str">
            <v>CUNDINAMARCA</v>
          </cell>
          <cell r="M3683" t="str">
            <v>7429393</v>
          </cell>
        </row>
        <row r="3684">
          <cell r="A3684">
            <v>830067633</v>
          </cell>
          <cell r="B3684" t="str">
            <v>1</v>
          </cell>
          <cell r="C3684" t="str">
            <v/>
          </cell>
          <cell r="D3684" t="str">
            <v>NJ</v>
          </cell>
          <cell r="E3684" t="str">
            <v/>
          </cell>
          <cell r="F3684" t="str">
            <v/>
          </cell>
          <cell r="G3684" t="str">
            <v>CIBERC SA</v>
          </cell>
          <cell r="H3684" t="str">
            <v>IMVE</v>
          </cell>
          <cell r="I3684" t="str">
            <v>IMPUESTO SOBRE LAS VENTAS</v>
          </cell>
          <cell r="J3684" t="str">
            <v>CR 7 156 80 O  F 1402</v>
          </cell>
          <cell r="K3684" t="str">
            <v>11001</v>
          </cell>
          <cell r="L3684" t="str">
            <v>BOGOTA DC</v>
          </cell>
          <cell r="M3684" t="str">
            <v>5800618</v>
          </cell>
        </row>
        <row r="3685">
          <cell r="A3685">
            <v>830067768</v>
          </cell>
          <cell r="B3685" t="str">
            <v>7</v>
          </cell>
          <cell r="C3685" t="str">
            <v/>
          </cell>
          <cell r="D3685" t="str">
            <v>NJ</v>
          </cell>
          <cell r="E3685" t="str">
            <v/>
          </cell>
          <cell r="F3685" t="str">
            <v/>
          </cell>
          <cell r="G3685" t="str">
            <v>LIGHGEN INGENIERIA SA</v>
          </cell>
          <cell r="H3685" t="str">
            <v>RECO</v>
          </cell>
          <cell r="I3685" t="str">
            <v>REGIMEN COMUN</v>
          </cell>
          <cell r="J3685" t="str">
            <v>CL 67 7 35 OF 404</v>
          </cell>
          <cell r="K3685" t="str">
            <v>11001</v>
          </cell>
          <cell r="L3685" t="str">
            <v>BOGOTA DC</v>
          </cell>
          <cell r="M3685" t="str">
            <v>5414623</v>
          </cell>
        </row>
        <row r="3686">
          <cell r="A3686">
            <v>830067892</v>
          </cell>
          <cell r="B3686" t="str">
            <v>2</v>
          </cell>
          <cell r="C3686" t="str">
            <v>24300000</v>
          </cell>
          <cell r="D3686" t="str">
            <v>NJ</v>
          </cell>
          <cell r="E3686" t="str">
            <v/>
          </cell>
          <cell r="F3686" t="str">
            <v/>
          </cell>
          <cell r="G3686" t="str">
            <v>INSTITUTO COLOMBIANO DE ANTROPOLOGIA E HISTORIA ICANH</v>
          </cell>
          <cell r="H3686" t="str">
            <v>RECO</v>
          </cell>
          <cell r="I3686" t="str">
            <v>REGIMEN COMUN</v>
          </cell>
          <cell r="J3686" t="str">
            <v>CL 12   2   38</v>
          </cell>
          <cell r="K3686" t="str">
            <v>11001</v>
          </cell>
          <cell r="L3686" t="str">
            <v>BOGOTA DC</v>
          </cell>
          <cell r="M3686" t="str">
            <v>5619400</v>
          </cell>
        </row>
        <row r="3687">
          <cell r="A3687">
            <v>830068458</v>
          </cell>
          <cell r="B3687" t="str">
            <v>3</v>
          </cell>
          <cell r="C3687" t="str">
            <v/>
          </cell>
          <cell r="D3687" t="str">
            <v>NJ</v>
          </cell>
          <cell r="E3687" t="str">
            <v/>
          </cell>
          <cell r="F3687" t="str">
            <v/>
          </cell>
          <cell r="G3687" t="str">
            <v>PIZARRO Y COMPAÑÍA LTDA</v>
          </cell>
          <cell r="H3687" t="str">
            <v>RECO</v>
          </cell>
          <cell r="I3687" t="str">
            <v>REGIMEN COMUN</v>
          </cell>
          <cell r="J3687" t="str">
            <v>CL 127 A 18 B 96</v>
          </cell>
          <cell r="K3687" t="str">
            <v>11001</v>
          </cell>
          <cell r="L3687" t="str">
            <v>BOGOTA DC</v>
          </cell>
          <cell r="M3687" t="str">
            <v>2586468</v>
          </cell>
        </row>
        <row r="3688">
          <cell r="A3688">
            <v>830068911</v>
          </cell>
          <cell r="B3688" t="str">
            <v>9</v>
          </cell>
          <cell r="C3688" t="str">
            <v/>
          </cell>
          <cell r="D3688" t="str">
            <v>NJ</v>
          </cell>
          <cell r="E3688" t="str">
            <v/>
          </cell>
          <cell r="F3688" t="str">
            <v/>
          </cell>
          <cell r="G3688" t="str">
            <v>COLOMBIANA DE VINTILADORES VENTO SAS</v>
          </cell>
          <cell r="H3688" t="str">
            <v>IMVE</v>
          </cell>
          <cell r="I3688" t="str">
            <v>IMPUESTO SOBRE LAS VENTAS</v>
          </cell>
          <cell r="J3688" t="str">
            <v>CR 69 B 22 76 SUR</v>
          </cell>
          <cell r="K3688" t="str">
            <v>11001</v>
          </cell>
          <cell r="L3688" t="str">
            <v>BOGOTA DC</v>
          </cell>
          <cell r="M3688" t="str">
            <v>3124306703</v>
          </cell>
        </row>
        <row r="3689">
          <cell r="A3689">
            <v>830069847</v>
          </cell>
          <cell r="B3689" t="str">
            <v>1</v>
          </cell>
          <cell r="C3689" t="str">
            <v/>
          </cell>
          <cell r="D3689" t="str">
            <v>NJ</v>
          </cell>
          <cell r="E3689" t="str">
            <v/>
          </cell>
          <cell r="F3689" t="str">
            <v/>
          </cell>
          <cell r="G3689" t="str">
            <v>TIAMAT LTDA</v>
          </cell>
          <cell r="H3689" t="str">
            <v>IMVE</v>
          </cell>
          <cell r="I3689" t="str">
            <v>IMPUESTO SOBRE LAS VENTAS</v>
          </cell>
          <cell r="J3689" t="str">
            <v>CL 7015 06</v>
          </cell>
          <cell r="K3689" t="str">
            <v>11001</v>
          </cell>
          <cell r="L3689" t="str">
            <v>BOGOTA DC</v>
          </cell>
          <cell r="M3689" t="str">
            <v>6746849</v>
          </cell>
        </row>
        <row r="3690">
          <cell r="A3690">
            <v>830071757</v>
          </cell>
          <cell r="B3690" t="str">
            <v>1</v>
          </cell>
          <cell r="C3690" t="str">
            <v/>
          </cell>
          <cell r="D3690" t="str">
            <v>NJ</v>
          </cell>
          <cell r="E3690" t="str">
            <v/>
          </cell>
          <cell r="F3690" t="str">
            <v/>
          </cell>
          <cell r="G3690" t="str">
            <v>H&amp;VARGAS INGENIEROS LTDA</v>
          </cell>
          <cell r="H3690" t="str">
            <v>RECO</v>
          </cell>
          <cell r="I3690" t="str">
            <v>REGIMEN COMUN</v>
          </cell>
          <cell r="J3690" t="str">
            <v>CARRERA 72A NO 11A - 20 TORRE A OFC 503</v>
          </cell>
          <cell r="K3690" t="str">
            <v>11001</v>
          </cell>
          <cell r="L3690" t="str">
            <v>BOGOTA DC</v>
          </cell>
          <cell r="M3690" t="str">
            <v>4246412</v>
          </cell>
        </row>
        <row r="3691">
          <cell r="A3691">
            <v>830072297</v>
          </cell>
          <cell r="B3691" t="str">
            <v>1</v>
          </cell>
          <cell r="C3691" t="str">
            <v/>
          </cell>
          <cell r="D3691" t="str">
            <v>NJ</v>
          </cell>
          <cell r="E3691" t="str">
            <v/>
          </cell>
          <cell r="F3691" t="str">
            <v/>
          </cell>
          <cell r="G3691" t="str">
            <v>QUIMBAYA TELEMETRIA SAS</v>
          </cell>
          <cell r="H3691" t="str">
            <v>RECO</v>
          </cell>
          <cell r="I3691" t="str">
            <v>REGIMEN COMUN</v>
          </cell>
          <cell r="J3691" t="str">
            <v>CL  127 BIS  46  18 BRR CANODROMO</v>
          </cell>
          <cell r="K3691" t="str">
            <v>11001</v>
          </cell>
          <cell r="L3691" t="str">
            <v>BOGOTA DC</v>
          </cell>
          <cell r="M3691" t="str">
            <v>6261499</v>
          </cell>
        </row>
        <row r="3692">
          <cell r="A3692">
            <v>830072436</v>
          </cell>
          <cell r="B3692" t="str">
            <v>7</v>
          </cell>
          <cell r="C3692" t="str">
            <v/>
          </cell>
          <cell r="D3692" t="str">
            <v>NJ</v>
          </cell>
          <cell r="E3692" t="str">
            <v/>
          </cell>
          <cell r="F3692" t="str">
            <v/>
          </cell>
          <cell r="G3692" t="str">
            <v>LABORATORIOS DE METROLOGIA SIGMA LTDA</v>
          </cell>
          <cell r="H3692" t="str">
            <v>IMVE</v>
          </cell>
          <cell r="I3692" t="str">
            <v>IMPUESTO SOBRE LAS VENTAS</v>
          </cell>
          <cell r="J3692" t="str">
            <v>AV CL 26 85 D 55 LC EX E 35</v>
          </cell>
          <cell r="K3692" t="str">
            <v>11001</v>
          </cell>
          <cell r="L3692" t="str">
            <v>BOGOTA DC</v>
          </cell>
          <cell r="M3692" t="str">
            <v>4107374</v>
          </cell>
        </row>
        <row r="3693">
          <cell r="A3693">
            <v>830072857</v>
          </cell>
          <cell r="B3693" t="str">
            <v>4</v>
          </cell>
          <cell r="C3693" t="str">
            <v/>
          </cell>
          <cell r="D3693" t="str">
            <v>NJ</v>
          </cell>
          <cell r="E3693" t="str">
            <v/>
          </cell>
          <cell r="F3693" t="str">
            <v/>
          </cell>
          <cell r="G3693" t="str">
            <v>MGM INGENIERIA Y PROYECTOS SAS</v>
          </cell>
          <cell r="H3693" t="str">
            <v>IMVE</v>
          </cell>
          <cell r="I3693" t="str">
            <v>IMPUESTO SOBRE LAS VENTAS</v>
          </cell>
          <cell r="J3693" t="str">
            <v>CL 19 SUR 28 15 BG 3</v>
          </cell>
          <cell r="K3693" t="str">
            <v>11001</v>
          </cell>
          <cell r="L3693" t="str">
            <v>BOGOTA DC</v>
          </cell>
          <cell r="M3693" t="str">
            <v>4321120</v>
          </cell>
        </row>
        <row r="3694">
          <cell r="A3694">
            <v>830073145</v>
          </cell>
          <cell r="B3694" t="str">
            <v>3</v>
          </cell>
          <cell r="C3694" t="str">
            <v/>
          </cell>
          <cell r="D3694" t="str">
            <v>NJ</v>
          </cell>
          <cell r="E3694" t="str">
            <v/>
          </cell>
          <cell r="F3694" t="str">
            <v/>
          </cell>
          <cell r="G3694" t="str">
            <v>ADMINISTRADORA DE HOTELES NUEVA GRANADA SA</v>
          </cell>
          <cell r="H3694" t="str">
            <v>RECO</v>
          </cell>
          <cell r="I3694" t="str">
            <v>REGIMEN COMUN</v>
          </cell>
          <cell r="J3694" t="str">
            <v>CL 74 15 60</v>
          </cell>
          <cell r="K3694" t="str">
            <v>11001</v>
          </cell>
          <cell r="L3694" t="str">
            <v>BOGOTA DC</v>
          </cell>
          <cell r="M3694" t="str">
            <v>3175959</v>
          </cell>
        </row>
        <row r="3695">
          <cell r="A3695">
            <v>830073347</v>
          </cell>
          <cell r="B3695" t="str">
            <v>4</v>
          </cell>
          <cell r="C3695" t="str">
            <v/>
          </cell>
          <cell r="D3695" t="str">
            <v>NJ</v>
          </cell>
          <cell r="E3695" t="str">
            <v/>
          </cell>
          <cell r="F3695" t="str">
            <v/>
          </cell>
          <cell r="G3695" t="str">
            <v>INSTITUTO DE AUDITORES INTERNOS DE COLOMBIA</v>
          </cell>
          <cell r="H3695" t="str">
            <v>RECO</v>
          </cell>
          <cell r="I3695" t="str">
            <v>REGIMEN COMUN</v>
          </cell>
          <cell r="J3695" t="str">
            <v xml:space="preserve"> CR 19 B  85 08 OF 401</v>
          </cell>
          <cell r="K3695" t="str">
            <v>11001</v>
          </cell>
          <cell r="L3695" t="str">
            <v>BOGOTA DC</v>
          </cell>
          <cell r="M3695" t="str">
            <v>6914033</v>
          </cell>
        </row>
        <row r="3696">
          <cell r="A3696">
            <v>830073395</v>
          </cell>
          <cell r="B3696" t="str">
            <v>8</v>
          </cell>
          <cell r="C3696" t="str">
            <v/>
          </cell>
          <cell r="D3696" t="str">
            <v>NJ</v>
          </cell>
          <cell r="E3696" t="str">
            <v/>
          </cell>
          <cell r="F3696" t="str">
            <v/>
          </cell>
          <cell r="G3696" t="str">
            <v xml:space="preserve">CLEAN SHESTER DE COLOMBIA LTDA                              </v>
          </cell>
          <cell r="H3696" t="str">
            <v>IMVE</v>
          </cell>
          <cell r="I3696" t="str">
            <v>IMPUESTO SOBRE LAS VENTAS</v>
          </cell>
          <cell r="J3696" t="str">
            <v>CL 93   58   24</v>
          </cell>
          <cell r="K3696" t="str">
            <v>11001</v>
          </cell>
          <cell r="L3696" t="str">
            <v>BOGOTA DC</v>
          </cell>
          <cell r="M3696" t="str">
            <v>6104497</v>
          </cell>
        </row>
        <row r="3697">
          <cell r="A3697">
            <v>830073450</v>
          </cell>
          <cell r="B3697" t="str">
            <v>5</v>
          </cell>
          <cell r="C3697" t="str">
            <v/>
          </cell>
          <cell r="D3697" t="str">
            <v>NJ</v>
          </cell>
          <cell r="E3697" t="str">
            <v/>
          </cell>
          <cell r="F3697" t="str">
            <v/>
          </cell>
          <cell r="G3697" t="str">
            <v>MCS CONSULTORIA Y MONITOREO AMBIENTAL SAS</v>
          </cell>
          <cell r="H3697" t="str">
            <v>IMVE</v>
          </cell>
          <cell r="I3697" t="str">
            <v>IMPUESTO SOBRE LAS VENTAS</v>
          </cell>
          <cell r="J3697" t="str">
            <v>CR 17 166 72</v>
          </cell>
          <cell r="K3697" t="str">
            <v>11001</v>
          </cell>
          <cell r="L3697" t="str">
            <v>BOGOTA DC</v>
          </cell>
          <cell r="M3697" t="str">
            <v>6797855</v>
          </cell>
        </row>
        <row r="3698">
          <cell r="A3698">
            <v>830073458</v>
          </cell>
          <cell r="B3698" t="str">
            <v>3</v>
          </cell>
          <cell r="C3698" t="str">
            <v/>
          </cell>
          <cell r="D3698" t="str">
            <v>NJ</v>
          </cell>
          <cell r="E3698" t="str">
            <v/>
          </cell>
          <cell r="F3698" t="str">
            <v/>
          </cell>
          <cell r="G3698" t="str">
            <v>DISTRIBUIDORA LH TERPEL CARRERA</v>
          </cell>
          <cell r="H3698" t="str">
            <v>RECO</v>
          </cell>
          <cell r="I3698" t="str">
            <v>REGIMEN COMUN</v>
          </cell>
          <cell r="J3698" t="str">
            <v>AV AMERICAS   50   15</v>
          </cell>
          <cell r="K3698" t="str">
            <v>11001</v>
          </cell>
          <cell r="L3698" t="str">
            <v>BOGOTA DC</v>
          </cell>
          <cell r="M3698" t="str">
            <v>2600354</v>
          </cell>
        </row>
        <row r="3699">
          <cell r="A3699">
            <v>830073770</v>
          </cell>
          <cell r="B3699" t="str">
            <v>7</v>
          </cell>
          <cell r="C3699" t="str">
            <v/>
          </cell>
          <cell r="D3699" t="str">
            <v>NJ</v>
          </cell>
          <cell r="E3699" t="str">
            <v/>
          </cell>
          <cell r="F3699" t="str">
            <v/>
          </cell>
          <cell r="G3699" t="str">
            <v>EGC COLOMBIA SAS</v>
          </cell>
          <cell r="H3699" t="str">
            <v>RECO</v>
          </cell>
          <cell r="I3699" t="str">
            <v>REGIMEN COMUN</v>
          </cell>
          <cell r="J3699" t="str">
            <v>CR 48 91 32 BR LA CASTELLANA</v>
          </cell>
          <cell r="K3699" t="str">
            <v>11001</v>
          </cell>
          <cell r="L3699" t="str">
            <v>BOGOTA DC</v>
          </cell>
          <cell r="M3699" t="str">
            <v>2362022</v>
          </cell>
        </row>
        <row r="3700">
          <cell r="A3700">
            <v>830074182</v>
          </cell>
          <cell r="B3700" t="str">
            <v>0</v>
          </cell>
          <cell r="C3700" t="str">
            <v/>
          </cell>
          <cell r="D3700" t="str">
            <v>NJ</v>
          </cell>
          <cell r="E3700" t="str">
            <v/>
          </cell>
          <cell r="F3700" t="str">
            <v/>
          </cell>
          <cell r="G3700" t="str">
            <v>DISTRIELECTRICOS JM Y CIA LTDA</v>
          </cell>
          <cell r="H3700" t="str">
            <v>IMVE</v>
          </cell>
          <cell r="I3700" t="str">
            <v>IMPUESTO SOBRE LAS VENTAS</v>
          </cell>
          <cell r="J3700" t="str">
            <v>CL 19 B 35 11</v>
          </cell>
          <cell r="K3700" t="str">
            <v>17001</v>
          </cell>
          <cell r="L3700" t="str">
            <v>MANIZALES</v>
          </cell>
          <cell r="M3700" t="str">
            <v>6950215</v>
          </cell>
        </row>
        <row r="3701">
          <cell r="A3701">
            <v>830074184</v>
          </cell>
          <cell r="B3701" t="str">
            <v>5</v>
          </cell>
          <cell r="C3701" t="str">
            <v/>
          </cell>
          <cell r="D3701" t="str">
            <v>NJ</v>
          </cell>
          <cell r="E3701" t="str">
            <v/>
          </cell>
          <cell r="F3701" t="str">
            <v/>
          </cell>
          <cell r="G3701" t="str">
            <v>SALUDVIDA S.A. EMPRESA PROMOTORA DE SALULD</v>
          </cell>
          <cell r="H3701" t="str">
            <v>GRCO</v>
          </cell>
          <cell r="I3701" t="str">
            <v>GRAN CONTRIBUYENTE</v>
          </cell>
          <cell r="J3701" t="str">
            <v>Avenida Calle 40A N° 13-06</v>
          </cell>
          <cell r="K3701" t="str">
            <v>17001</v>
          </cell>
          <cell r="L3701" t="str">
            <v>MANIZALES</v>
          </cell>
          <cell r="M3701" t="str">
            <v>3274145</v>
          </cell>
        </row>
        <row r="3702">
          <cell r="A3702">
            <v>830074852</v>
          </cell>
          <cell r="B3702" t="str">
            <v>7</v>
          </cell>
          <cell r="C3702" t="str">
            <v/>
          </cell>
          <cell r="D3702" t="str">
            <v>NJ</v>
          </cell>
          <cell r="E3702" t="str">
            <v/>
          </cell>
          <cell r="F3702" t="str">
            <v/>
          </cell>
          <cell r="G3702" t="str">
            <v>SELEKTRON SAS</v>
          </cell>
          <cell r="H3702" t="str">
            <v>RECO</v>
          </cell>
          <cell r="I3702" t="str">
            <v>REGIMEN COMUN</v>
          </cell>
          <cell r="J3702" t="str">
            <v>AV CL 26 69 D 91 TO AVENIDA EL DORADO OF 403</v>
          </cell>
          <cell r="K3702" t="str">
            <v>11001</v>
          </cell>
          <cell r="L3702" t="str">
            <v>BOGOTA DC</v>
          </cell>
          <cell r="M3702" t="str">
            <v>2630000</v>
          </cell>
        </row>
        <row r="3703">
          <cell r="A3703">
            <v>830075502</v>
          </cell>
          <cell r="B3703" t="str">
            <v>9</v>
          </cell>
          <cell r="C3703" t="str">
            <v/>
          </cell>
          <cell r="D3703" t="str">
            <v>NJ</v>
          </cell>
          <cell r="E3703" t="str">
            <v/>
          </cell>
          <cell r="F3703" t="str">
            <v/>
          </cell>
          <cell r="G3703" t="str">
            <v>J COMUNICACIONES LTDA</v>
          </cell>
          <cell r="H3703" t="str">
            <v>IMVE</v>
          </cell>
          <cell r="I3703" t="str">
            <v>IMPUESTO SOBRE LAS VENTAS</v>
          </cell>
          <cell r="J3703" t="str">
            <v>CL  98 N 9 A 41 O  F 409</v>
          </cell>
          <cell r="K3703" t="str">
            <v>11001</v>
          </cell>
          <cell r="L3703" t="str">
            <v>BOGOTA DC</v>
          </cell>
          <cell r="M3703" t="str">
            <v>7441606</v>
          </cell>
        </row>
        <row r="3704">
          <cell r="A3704">
            <v>830077380</v>
          </cell>
          <cell r="B3704" t="str">
            <v>6</v>
          </cell>
          <cell r="C3704" t="str">
            <v/>
          </cell>
          <cell r="D3704" t="str">
            <v>NJ</v>
          </cell>
          <cell r="E3704" t="str">
            <v/>
          </cell>
          <cell r="F3704" t="str">
            <v/>
          </cell>
          <cell r="G3704" t="str">
            <v>EFORCERS S.A.S</v>
          </cell>
          <cell r="H3704" t="str">
            <v>IMVE</v>
          </cell>
          <cell r="I3704" t="str">
            <v>IMPUESTO SOBRE LAS VENTAS</v>
          </cell>
          <cell r="J3704" t="str">
            <v xml:space="preserve"> CR 11 A 93 35 P 2</v>
          </cell>
          <cell r="K3704" t="str">
            <v>11001</v>
          </cell>
          <cell r="L3704" t="str">
            <v>BOGOTA DC</v>
          </cell>
          <cell r="M3704" t="str">
            <v>6228320</v>
          </cell>
        </row>
        <row r="3705">
          <cell r="A3705">
            <v>830079019</v>
          </cell>
          <cell r="B3705" t="str">
            <v>0</v>
          </cell>
          <cell r="C3705" t="str">
            <v/>
          </cell>
          <cell r="D3705" t="str">
            <v>NJ</v>
          </cell>
          <cell r="E3705" t="str">
            <v/>
          </cell>
          <cell r="F3705" t="str">
            <v/>
          </cell>
          <cell r="G3705" t="str">
            <v>EKIP DE COLOMBIA SAS</v>
          </cell>
          <cell r="H3705" t="str">
            <v>IMVE</v>
          </cell>
          <cell r="I3705" t="str">
            <v>IMPUESTO SOBRE LAS VENTAS</v>
          </cell>
          <cell r="J3705" t="str">
            <v>CL 93 49 41</v>
          </cell>
          <cell r="K3705" t="str">
            <v>11001</v>
          </cell>
          <cell r="L3705" t="str">
            <v>BOGOTA DC</v>
          </cell>
          <cell r="M3705" t="str">
            <v>6167474</v>
          </cell>
        </row>
        <row r="3706">
          <cell r="A3706">
            <v>830079479</v>
          </cell>
          <cell r="B3706" t="str">
            <v>5</v>
          </cell>
          <cell r="C3706" t="str">
            <v>81700000</v>
          </cell>
          <cell r="D3706" t="str">
            <v>NJ</v>
          </cell>
          <cell r="E3706" t="str">
            <v/>
          </cell>
          <cell r="F3706" t="str">
            <v/>
          </cell>
          <cell r="G3706" t="str">
            <v>COMPUTADORES PARA EDUCAR</v>
          </cell>
          <cell r="H3706" t="str">
            <v>REIC</v>
          </cell>
          <cell r="I3706" t="str">
            <v>RENTA REGIMEN ESPECIAL</v>
          </cell>
          <cell r="J3706" t="str">
            <v>CR 11   71   73 P 10 11</v>
          </cell>
          <cell r="K3706" t="str">
            <v>11001</v>
          </cell>
          <cell r="L3706" t="str">
            <v>BOGOTA DC</v>
          </cell>
          <cell r="M3706" t="str">
            <v>3137777</v>
          </cell>
        </row>
        <row r="3707">
          <cell r="A3707">
            <v>830079490</v>
          </cell>
          <cell r="B3707" t="str">
            <v>7</v>
          </cell>
          <cell r="C3707" t="str">
            <v/>
          </cell>
          <cell r="D3707" t="str">
            <v>NJ</v>
          </cell>
          <cell r="E3707" t="str">
            <v/>
          </cell>
          <cell r="F3707" t="str">
            <v/>
          </cell>
          <cell r="G3707" t="str">
            <v>INMOBILIARIA ROYAL S.A.S</v>
          </cell>
          <cell r="H3707" t="str">
            <v>RECO</v>
          </cell>
          <cell r="I3707" t="str">
            <v>REGIMEN COMUN</v>
          </cell>
          <cell r="J3707" t="str">
            <v>CR 11 86 60 OF 101</v>
          </cell>
          <cell r="K3707" t="str">
            <v>11001</v>
          </cell>
          <cell r="L3707" t="str">
            <v>BOGOTA DC</v>
          </cell>
          <cell r="M3707" t="str">
            <v>7449999</v>
          </cell>
        </row>
        <row r="3708">
          <cell r="A3708">
            <v>830080641</v>
          </cell>
          <cell r="B3708" t="str">
            <v>4</v>
          </cell>
          <cell r="C3708" t="str">
            <v/>
          </cell>
          <cell r="D3708" t="str">
            <v>NJ</v>
          </cell>
          <cell r="E3708" t="str">
            <v/>
          </cell>
          <cell r="F3708" t="str">
            <v/>
          </cell>
          <cell r="G3708" t="str">
            <v>PARTEQUIPOS SAS</v>
          </cell>
          <cell r="H3708" t="str">
            <v>IMVE</v>
          </cell>
          <cell r="I3708" t="str">
            <v>IMPUESTO SOBRE LAS VENTAS</v>
          </cell>
          <cell r="J3708" t="str">
            <v>CR 68 D 17  A 84</v>
          </cell>
          <cell r="K3708" t="str">
            <v>11001</v>
          </cell>
          <cell r="L3708" t="str">
            <v>BOGOTA DC</v>
          </cell>
          <cell r="M3708" t="str">
            <v>3128895501</v>
          </cell>
        </row>
        <row r="3709">
          <cell r="A3709">
            <v>830080652</v>
          </cell>
          <cell r="B3709" t="str">
            <v>5</v>
          </cell>
          <cell r="C3709" t="str">
            <v/>
          </cell>
          <cell r="D3709" t="str">
            <v>NJ</v>
          </cell>
          <cell r="E3709" t="str">
            <v/>
          </cell>
          <cell r="F3709" t="str">
            <v/>
          </cell>
          <cell r="G3709" t="str">
            <v>SOLUCIONES INTEGRALES DE OFICINA SAS</v>
          </cell>
          <cell r="H3709" t="str">
            <v>RECO</v>
          </cell>
          <cell r="I3709" t="str">
            <v>REGIMEN COMUN</v>
          </cell>
          <cell r="J3709" t="str">
            <v>CL 65 13 50 OF 603</v>
          </cell>
          <cell r="K3709" t="str">
            <v>11001</v>
          </cell>
          <cell r="L3709" t="str">
            <v>BOGOTA DC</v>
          </cell>
          <cell r="M3709" t="str">
            <v>7043251</v>
          </cell>
        </row>
        <row r="3710">
          <cell r="A3710">
            <v>830081566</v>
          </cell>
          <cell r="B3710" t="str">
            <v>4</v>
          </cell>
          <cell r="C3710" t="str">
            <v/>
          </cell>
          <cell r="D3710" t="str">
            <v>NJ</v>
          </cell>
          <cell r="E3710" t="str">
            <v/>
          </cell>
          <cell r="F3710" t="str">
            <v/>
          </cell>
          <cell r="G3710" t="str">
            <v>DIELCO S.A.S.</v>
          </cell>
          <cell r="H3710" t="str">
            <v>RCAU</v>
          </cell>
          <cell r="I3710" t="str">
            <v>RESPONSABLE IVA - AUTORETENEDOR</v>
          </cell>
          <cell r="J3710" t="str">
            <v>CL 15 12 57</v>
          </cell>
          <cell r="K3710" t="str">
            <v>11001</v>
          </cell>
          <cell r="L3710" t="str">
            <v>BOGOTA DC</v>
          </cell>
          <cell r="M3710" t="str">
            <v>3004536730</v>
          </cell>
        </row>
        <row r="3711">
          <cell r="A3711">
            <v>830081824</v>
          </cell>
          <cell r="B3711" t="str">
            <v>1</v>
          </cell>
          <cell r="C3711" t="str">
            <v/>
          </cell>
          <cell r="D3711" t="str">
            <v>NJ</v>
          </cell>
          <cell r="E3711" t="str">
            <v/>
          </cell>
          <cell r="F3711" t="str">
            <v/>
          </cell>
          <cell r="G3711" t="str">
            <v>RHENA INTERNACIONAL SAS</v>
          </cell>
          <cell r="H3711" t="str">
            <v>IMVE</v>
          </cell>
          <cell r="I3711" t="str">
            <v>IMPUESTO SOBRE LAS VENTAS</v>
          </cell>
          <cell r="J3711" t="str">
            <v>CR 21 100 20 OF 202</v>
          </cell>
          <cell r="K3711" t="str">
            <v>11001</v>
          </cell>
          <cell r="L3711" t="str">
            <v>BOGOTA DC</v>
          </cell>
          <cell r="M3711" t="str">
            <v>6010225</v>
          </cell>
        </row>
        <row r="3712">
          <cell r="A3712">
            <v>830082522</v>
          </cell>
          <cell r="B3712" t="str">
            <v>5</v>
          </cell>
          <cell r="C3712" t="str">
            <v/>
          </cell>
          <cell r="D3712" t="str">
            <v>NJ</v>
          </cell>
          <cell r="E3712" t="str">
            <v/>
          </cell>
          <cell r="F3712" t="str">
            <v/>
          </cell>
          <cell r="G3712" t="str">
            <v>ELECTRÓNICA Y EQUIPOS INDUSTRIALES S EN C</v>
          </cell>
          <cell r="H3712" t="str">
            <v>IMVE</v>
          </cell>
          <cell r="I3712" t="str">
            <v>IMPUESTO SOBRE LAS VENTAS</v>
          </cell>
          <cell r="J3712" t="str">
            <v>CR 9 19 30 LC</v>
          </cell>
          <cell r="K3712" t="str">
            <v>03</v>
          </cell>
          <cell r="L3712" t="str">
            <v>BOGOTA</v>
          </cell>
          <cell r="M3712" t="str">
            <v>2821322</v>
          </cell>
        </row>
        <row r="3713">
          <cell r="A3713">
            <v>830083756</v>
          </cell>
          <cell r="B3713" t="str">
            <v>6</v>
          </cell>
          <cell r="C3713" t="str">
            <v/>
          </cell>
          <cell r="D3713" t="str">
            <v>NJ</v>
          </cell>
          <cell r="E3713" t="str">
            <v/>
          </cell>
          <cell r="F3713" t="str">
            <v/>
          </cell>
          <cell r="G3713" t="str">
            <v>ACJ HIGH VOLTAGE S.A.S</v>
          </cell>
          <cell r="H3713" t="str">
            <v>IMVE</v>
          </cell>
          <cell r="I3713" t="str">
            <v>IMPUESTO SOBRE LAS VENTAS</v>
          </cell>
          <cell r="J3713" t="str">
            <v>AUT MEDELLIN KM 8 VDA LA PUNTA  COSTADO SUR PAR EMPRESARIAL MILA</v>
          </cell>
          <cell r="K3713" t="str">
            <v>25799</v>
          </cell>
          <cell r="L3713" t="str">
            <v>TENJO</v>
          </cell>
          <cell r="M3713" t="str">
            <v>2635780</v>
          </cell>
        </row>
        <row r="3714">
          <cell r="A3714">
            <v>830084423</v>
          </cell>
          <cell r="B3714" t="str">
            <v>3</v>
          </cell>
          <cell r="C3714" t="str">
            <v/>
          </cell>
          <cell r="D3714" t="str">
            <v>NJ</v>
          </cell>
          <cell r="E3714" t="str">
            <v/>
          </cell>
          <cell r="F3714" t="str">
            <v/>
          </cell>
          <cell r="G3714" t="str">
            <v>ARANGO ESCOBAR ASESORIAS EMPRESARIALES LTDA</v>
          </cell>
          <cell r="H3714" t="str">
            <v>RECO</v>
          </cell>
          <cell r="I3714" t="str">
            <v>REGIMEN COMUN</v>
          </cell>
          <cell r="J3714" t="str">
            <v>CR 11 D 123 46 IN 2 AP 207</v>
          </cell>
          <cell r="K3714" t="str">
            <v>11001</v>
          </cell>
          <cell r="L3714" t="str">
            <v>BOGOTA DC</v>
          </cell>
          <cell r="M3714" t="str">
            <v>7032905</v>
          </cell>
        </row>
        <row r="3715">
          <cell r="A3715">
            <v>830084433</v>
          </cell>
          <cell r="B3715" t="str">
            <v>7</v>
          </cell>
          <cell r="C3715" t="str">
            <v/>
          </cell>
          <cell r="D3715" t="str">
            <v>NJ</v>
          </cell>
          <cell r="E3715" t="str">
            <v/>
          </cell>
          <cell r="F3715" t="str">
            <v/>
          </cell>
          <cell r="G3715" t="str">
            <v>CERTICAMARA S.A.</v>
          </cell>
          <cell r="H3715" t="str">
            <v>RCAU</v>
          </cell>
          <cell r="I3715" t="str">
            <v>RESPONSABLE IVA - AUTORETENEDOR</v>
          </cell>
          <cell r="J3715" t="str">
            <v>CR 7   26   20 P 18</v>
          </cell>
          <cell r="K3715" t="str">
            <v>11001</v>
          </cell>
          <cell r="L3715" t="str">
            <v>BOGOTA DC</v>
          </cell>
          <cell r="M3715" t="str">
            <v>3790300</v>
          </cell>
        </row>
        <row r="3716">
          <cell r="A3716">
            <v>830084672</v>
          </cell>
          <cell r="B3716" t="str">
            <v>0</v>
          </cell>
          <cell r="C3716" t="str">
            <v/>
          </cell>
          <cell r="D3716" t="str">
            <v>NJ</v>
          </cell>
          <cell r="E3716" t="str">
            <v/>
          </cell>
          <cell r="F3716" t="str">
            <v/>
          </cell>
          <cell r="G3716" t="str">
            <v>WARNER INDUSTRIAL LTDA</v>
          </cell>
          <cell r="H3716" t="str">
            <v>RECO</v>
          </cell>
          <cell r="I3716" t="str">
            <v>REGIMEN COMUN</v>
          </cell>
          <cell r="J3716" t="str">
            <v>CL 169   53   31</v>
          </cell>
          <cell r="K3716" t="str">
            <v>11001</v>
          </cell>
          <cell r="L3716" t="str">
            <v>BOGOTA DC</v>
          </cell>
          <cell r="M3716" t="str">
            <v>6793323</v>
          </cell>
        </row>
        <row r="3717">
          <cell r="A3717">
            <v>830085008</v>
          </cell>
          <cell r="B3717" t="str">
            <v>4</v>
          </cell>
          <cell r="C3717" t="str">
            <v/>
          </cell>
          <cell r="D3717" t="str">
            <v>NJ</v>
          </cell>
          <cell r="E3717" t="str">
            <v/>
          </cell>
          <cell r="F3717" t="str">
            <v/>
          </cell>
          <cell r="G3717" t="str">
            <v>ESTACION DE SERVICIO COMBUSTIBLES UNIGAS SAS ESSO</v>
          </cell>
          <cell r="H3717" t="str">
            <v>RECO</v>
          </cell>
          <cell r="I3717" t="str">
            <v>REGIMEN COMUN</v>
          </cell>
          <cell r="J3717" t="str">
            <v>AUT NORTE  193</v>
          </cell>
          <cell r="K3717" t="str">
            <v>11001</v>
          </cell>
          <cell r="L3717" t="str">
            <v>BOGOTA DC</v>
          </cell>
          <cell r="M3717" t="str">
            <v>7448370</v>
          </cell>
        </row>
        <row r="3718">
          <cell r="A3718">
            <v>830085250</v>
          </cell>
          <cell r="B3718" t="str">
            <v>0</v>
          </cell>
          <cell r="C3718" t="str">
            <v/>
          </cell>
          <cell r="D3718" t="str">
            <v>NJ</v>
          </cell>
          <cell r="E3718" t="str">
            <v/>
          </cell>
          <cell r="F3718" t="str">
            <v/>
          </cell>
          <cell r="G3718" t="str">
            <v>PROYETEC COLOMBIA S.A.S.</v>
          </cell>
          <cell r="H3718" t="str">
            <v>IMVE</v>
          </cell>
          <cell r="I3718" t="str">
            <v>IMPUESTO SOBRE LAS VENTAS</v>
          </cell>
          <cell r="J3718" t="str">
            <v>CR 54 176 20</v>
          </cell>
          <cell r="K3718" t="str">
            <v>03</v>
          </cell>
          <cell r="L3718" t="str">
            <v>BOGOTA</v>
          </cell>
          <cell r="M3718" t="str">
            <v>3102889971</v>
          </cell>
        </row>
        <row r="3719">
          <cell r="A3719">
            <v>830085294</v>
          </cell>
          <cell r="B3719" t="str">
            <v>4</v>
          </cell>
          <cell r="C3719" t="str">
            <v/>
          </cell>
          <cell r="D3719" t="str">
            <v>NJ</v>
          </cell>
          <cell r="E3719" t="str">
            <v/>
          </cell>
          <cell r="F3719" t="str">
            <v/>
          </cell>
          <cell r="G3719" t="str">
            <v>ACEROS INOXIDABLES S.A</v>
          </cell>
          <cell r="H3719" t="str">
            <v>RECO</v>
          </cell>
          <cell r="I3719" t="str">
            <v>REGIMEN COMUN</v>
          </cell>
          <cell r="J3719" t="str">
            <v>CR 42 F  75- 75  LC16</v>
          </cell>
          <cell r="K3719" t="str">
            <v>08001</v>
          </cell>
          <cell r="L3719" t="str">
            <v>BARRANQUILLA</v>
          </cell>
          <cell r="M3719" t="str">
            <v>3423118</v>
          </cell>
        </row>
        <row r="3720">
          <cell r="A3720">
            <v>830085370</v>
          </cell>
          <cell r="B3720" t="str">
            <v>6</v>
          </cell>
          <cell r="C3720" t="str">
            <v/>
          </cell>
          <cell r="D3720" t="str">
            <v>NJ</v>
          </cell>
          <cell r="E3720" t="str">
            <v/>
          </cell>
          <cell r="F3720" t="str">
            <v/>
          </cell>
          <cell r="G3720" t="str">
            <v>ASUAGRO S.A.S</v>
          </cell>
          <cell r="H3720" t="str">
            <v>IMVE</v>
          </cell>
          <cell r="I3720" t="str">
            <v>IMPUESTO SOBRE LAS VENTAS</v>
          </cell>
          <cell r="J3720" t="str">
            <v xml:space="preserve"> CL  98 70 91 OF  713</v>
          </cell>
          <cell r="K3720" t="str">
            <v>11001</v>
          </cell>
          <cell r="L3720" t="str">
            <v>BOGOTA DC</v>
          </cell>
          <cell r="M3720" t="str">
            <v>7461254</v>
          </cell>
        </row>
        <row r="3721">
          <cell r="A3721">
            <v>830085726</v>
          </cell>
          <cell r="B3721" t="str">
            <v>4</v>
          </cell>
          <cell r="C3721" t="str">
            <v/>
          </cell>
          <cell r="D3721" t="str">
            <v>NJ</v>
          </cell>
          <cell r="E3721" t="str">
            <v/>
          </cell>
          <cell r="F3721" t="str">
            <v/>
          </cell>
          <cell r="G3721" t="str">
            <v>PMI BOGOTA COLOMBIA CHAPTER</v>
          </cell>
          <cell r="H3721" t="str">
            <v>RECO</v>
          </cell>
          <cell r="I3721" t="str">
            <v>REGIMEN COMUN</v>
          </cell>
          <cell r="J3721" t="str">
            <v>CL 125 19 89 OF 502</v>
          </cell>
          <cell r="K3721" t="str">
            <v>11001</v>
          </cell>
          <cell r="L3721" t="str">
            <v>BOGOTA DC</v>
          </cell>
          <cell r="M3721" t="str">
            <v>6381085</v>
          </cell>
        </row>
        <row r="3722">
          <cell r="A3722">
            <v>830086882</v>
          </cell>
          <cell r="B3722" t="str">
            <v>1</v>
          </cell>
          <cell r="C3722" t="str">
            <v/>
          </cell>
          <cell r="D3722" t="str">
            <v>NJ</v>
          </cell>
          <cell r="E3722" t="str">
            <v/>
          </cell>
          <cell r="F3722" t="str">
            <v/>
          </cell>
          <cell r="G3722" t="str">
            <v xml:space="preserve">CASTAÑEDA &amp; VELASCO ASOCIADOS                               </v>
          </cell>
          <cell r="H3722" t="str">
            <v>RECO</v>
          </cell>
          <cell r="I3722" t="str">
            <v>REGIMEN COMUN</v>
          </cell>
          <cell r="J3722" t="str">
            <v>CL 72   10   3 OF 301</v>
          </cell>
          <cell r="K3722" t="str">
            <v>11001</v>
          </cell>
          <cell r="L3722" t="str">
            <v>BOGOTA DC</v>
          </cell>
          <cell r="M3722" t="str">
            <v>3490155</v>
          </cell>
        </row>
        <row r="3723">
          <cell r="A3723">
            <v>830087099</v>
          </cell>
          <cell r="B3723" t="str">
            <v>3</v>
          </cell>
          <cell r="C3723" t="str">
            <v/>
          </cell>
          <cell r="D3723" t="str">
            <v>NJ</v>
          </cell>
          <cell r="E3723" t="str">
            <v/>
          </cell>
          <cell r="F3723" t="str">
            <v/>
          </cell>
          <cell r="G3723" t="str">
            <v>CENTRAL PARKING SYSTEM COL LTDA</v>
          </cell>
          <cell r="H3723" t="str">
            <v>RECO</v>
          </cell>
          <cell r="I3723" t="str">
            <v>REGIMEN COMUN</v>
          </cell>
          <cell r="J3723" t="str">
            <v>CL 85 16   07</v>
          </cell>
          <cell r="K3723" t="str">
            <v>11001</v>
          </cell>
          <cell r="L3723" t="str">
            <v>BOGOTA DC</v>
          </cell>
          <cell r="M3723" t="str">
            <v>6969063</v>
          </cell>
        </row>
        <row r="3724">
          <cell r="A3724">
            <v>830087219</v>
          </cell>
          <cell r="B3724" t="str">
            <v>0</v>
          </cell>
          <cell r="C3724" t="str">
            <v/>
          </cell>
          <cell r="D3724" t="str">
            <v>NJ</v>
          </cell>
          <cell r="E3724" t="str">
            <v/>
          </cell>
          <cell r="F3724" t="str">
            <v/>
          </cell>
          <cell r="G3724" t="str">
            <v>PROASEM S.A</v>
          </cell>
          <cell r="H3724" t="str">
            <v>RECO</v>
          </cell>
          <cell r="I3724" t="str">
            <v>REGIMEN COMUN</v>
          </cell>
          <cell r="J3724" t="str">
            <v>CL 120 45 A 32</v>
          </cell>
          <cell r="K3724" t="str">
            <v>11001</v>
          </cell>
          <cell r="L3724" t="str">
            <v>BOGOTA DC</v>
          </cell>
          <cell r="M3724" t="str">
            <v>2138791</v>
          </cell>
        </row>
        <row r="3725">
          <cell r="A3725">
            <v>830089204</v>
          </cell>
          <cell r="B3725" t="str">
            <v>1</v>
          </cell>
          <cell r="C3725" t="str">
            <v/>
          </cell>
          <cell r="D3725" t="str">
            <v>NJ</v>
          </cell>
          <cell r="E3725" t="str">
            <v/>
          </cell>
          <cell r="F3725" t="str">
            <v/>
          </cell>
          <cell r="G3725" t="str">
            <v>METALES JORAL LTDA</v>
          </cell>
          <cell r="H3725" t="str">
            <v>RECO</v>
          </cell>
          <cell r="I3725" t="str">
            <v>REGIMEN COMUN</v>
          </cell>
          <cell r="J3725" t="str">
            <v xml:space="preserve"> CL  129 B  58 D  06 BRR CIUDAD JARDIN NORTE</v>
          </cell>
          <cell r="K3725" t="str">
            <v>11001</v>
          </cell>
          <cell r="L3725" t="str">
            <v>BOGOTA DC</v>
          </cell>
          <cell r="M3725" t="str">
            <v>535109</v>
          </cell>
        </row>
        <row r="3726">
          <cell r="A3726">
            <v>830089480</v>
          </cell>
          <cell r="B3726" t="str">
            <v>6</v>
          </cell>
          <cell r="C3726" t="str">
            <v/>
          </cell>
          <cell r="D3726" t="str">
            <v>NJ</v>
          </cell>
          <cell r="E3726" t="str">
            <v/>
          </cell>
          <cell r="F3726" t="str">
            <v/>
          </cell>
          <cell r="G3726" t="str">
            <v>GUAYALRES LTDA</v>
          </cell>
          <cell r="H3726" t="str">
            <v>IMVE</v>
          </cell>
          <cell r="I3726" t="str">
            <v>IMPUESTO SOBRE LAS VENTAS</v>
          </cell>
          <cell r="J3726" t="str">
            <v>TV 42 9 70</v>
          </cell>
          <cell r="K3726" t="str">
            <v>11001</v>
          </cell>
          <cell r="L3726" t="str">
            <v>BOGOTA DC</v>
          </cell>
          <cell r="M3726" t="str">
            <v>7455422</v>
          </cell>
        </row>
        <row r="3727">
          <cell r="A3727">
            <v>830089544</v>
          </cell>
          <cell r="B3727" t="str">
            <v>9</v>
          </cell>
          <cell r="C3727" t="str">
            <v/>
          </cell>
          <cell r="D3727" t="str">
            <v>NJ</v>
          </cell>
          <cell r="E3727" t="str">
            <v/>
          </cell>
          <cell r="F3727" t="str">
            <v/>
          </cell>
          <cell r="G3727" t="str">
            <v>PARQUEADEROS IC 72 SAS</v>
          </cell>
          <cell r="H3727" t="str">
            <v>RECO</v>
          </cell>
          <cell r="I3727" t="str">
            <v>REGIMEN COMUN</v>
          </cell>
          <cell r="J3727" t="str">
            <v>CL 72   11   61</v>
          </cell>
          <cell r="K3727" t="str">
            <v>11001</v>
          </cell>
          <cell r="L3727" t="str">
            <v>BOGOTA DC</v>
          </cell>
          <cell r="M3727" t="str">
            <v>2496794</v>
          </cell>
        </row>
        <row r="3728">
          <cell r="A3728">
            <v>830090037</v>
          </cell>
          <cell r="B3728" t="str">
            <v>8</v>
          </cell>
          <cell r="C3728" t="str">
            <v/>
          </cell>
          <cell r="D3728" t="str">
            <v>NJ</v>
          </cell>
          <cell r="E3728" t="str">
            <v/>
          </cell>
          <cell r="F3728" t="str">
            <v/>
          </cell>
          <cell r="G3728" t="str">
            <v>SERVITAC SAS</v>
          </cell>
          <cell r="H3728" t="str">
            <v>IMVE</v>
          </cell>
          <cell r="I3728" t="str">
            <v>IMPUESTO SOBRE LAS VENTAS</v>
          </cell>
          <cell r="J3728" t="str">
            <v>CR 70  H  127  A 06</v>
          </cell>
          <cell r="K3728" t="str">
            <v>11001</v>
          </cell>
          <cell r="L3728" t="str">
            <v>BOGOTA DC</v>
          </cell>
          <cell r="M3728" t="str">
            <v>3153568419</v>
          </cell>
        </row>
        <row r="3729">
          <cell r="A3729">
            <v>830090766</v>
          </cell>
          <cell r="B3729" t="str">
            <v>9</v>
          </cell>
          <cell r="C3729" t="str">
            <v/>
          </cell>
          <cell r="D3729" t="str">
            <v>NJ</v>
          </cell>
          <cell r="E3729" t="str">
            <v/>
          </cell>
          <cell r="F3729" t="str">
            <v/>
          </cell>
          <cell r="G3729" t="str">
            <v>MAQUICAMPO Y CIA LTDA</v>
          </cell>
          <cell r="H3729" t="str">
            <v>RECO</v>
          </cell>
          <cell r="I3729" t="str">
            <v>REGIMEN COMUN</v>
          </cell>
          <cell r="J3729" t="str">
            <v>CL 13 26 85</v>
          </cell>
          <cell r="K3729" t="str">
            <v>11001</v>
          </cell>
          <cell r="L3729" t="str">
            <v>BOGOTA DC</v>
          </cell>
          <cell r="M3729" t="str">
            <v>2475684</v>
          </cell>
        </row>
        <row r="3730">
          <cell r="A3730">
            <v>830092384</v>
          </cell>
          <cell r="B3730" t="str">
            <v>8</v>
          </cell>
          <cell r="C3730" t="str">
            <v/>
          </cell>
          <cell r="D3730" t="str">
            <v>NJ</v>
          </cell>
          <cell r="E3730" t="str">
            <v/>
          </cell>
          <cell r="F3730" t="str">
            <v/>
          </cell>
          <cell r="G3730" t="str">
            <v>SERVEX COLOMBIA S.A.S.</v>
          </cell>
          <cell r="H3730" t="str">
            <v>RECO</v>
          </cell>
          <cell r="I3730" t="str">
            <v>REGIMEN COMUN</v>
          </cell>
          <cell r="J3730" t="str">
            <v>CR 42 # 17 A 98</v>
          </cell>
          <cell r="K3730" t="str">
            <v>11001</v>
          </cell>
          <cell r="L3730" t="str">
            <v>BOGOTA DC</v>
          </cell>
          <cell r="M3730" t="str">
            <v>4056969</v>
          </cell>
        </row>
        <row r="3731">
          <cell r="A3731">
            <v>830092965</v>
          </cell>
          <cell r="B3731" t="str">
            <v>7</v>
          </cell>
          <cell r="C3731" t="str">
            <v/>
          </cell>
          <cell r="D3731" t="str">
            <v>NJ</v>
          </cell>
          <cell r="E3731" t="str">
            <v/>
          </cell>
          <cell r="F3731" t="str">
            <v/>
          </cell>
          <cell r="G3731" t="str">
            <v>ENERGETICOS S.A.S E.S.P DISTRIBUIDORA, COMERCIALIZADORA DE ENERG</v>
          </cell>
          <cell r="H3731" t="str">
            <v>RCAU</v>
          </cell>
          <cell r="I3731" t="str">
            <v>RESPONSABLE IVA - AUTORETENEDOR</v>
          </cell>
          <cell r="J3731" t="str">
            <v>CR 100 5 169 OF 716 A</v>
          </cell>
          <cell r="K3731" t="str">
            <v>76001</v>
          </cell>
          <cell r="L3731" t="str">
            <v>CALI</v>
          </cell>
          <cell r="M3731" t="str">
            <v>3157796845</v>
          </cell>
        </row>
        <row r="3732">
          <cell r="A3732">
            <v>830093986</v>
          </cell>
          <cell r="B3732" t="str">
            <v>6</v>
          </cell>
          <cell r="C3732" t="str">
            <v/>
          </cell>
          <cell r="D3732" t="str">
            <v>NJ</v>
          </cell>
          <cell r="E3732" t="str">
            <v/>
          </cell>
          <cell r="F3732" t="str">
            <v/>
          </cell>
          <cell r="G3732" t="str">
            <v>JOHN CRANE COLOMBIA S.A</v>
          </cell>
          <cell r="H3732" t="str">
            <v>GRCO</v>
          </cell>
          <cell r="I3732" t="str">
            <v>GRAN CONTRIBUYENTE</v>
          </cell>
          <cell r="J3732" t="str">
            <v>CL 46A  82 54 IN 14  PAR EMPRESARIAL SAN CAYETANO</v>
          </cell>
          <cell r="K3732" t="str">
            <v>11001</v>
          </cell>
          <cell r="L3732" t="str">
            <v>BOGOTA DC</v>
          </cell>
          <cell r="M3732" t="str">
            <v>4101747</v>
          </cell>
        </row>
        <row r="3733">
          <cell r="A3733">
            <v>830094405</v>
          </cell>
          <cell r="B3733" t="str">
            <v>3</v>
          </cell>
          <cell r="C3733" t="str">
            <v/>
          </cell>
          <cell r="D3733" t="str">
            <v>NJ</v>
          </cell>
          <cell r="E3733" t="str">
            <v/>
          </cell>
          <cell r="F3733" t="str">
            <v/>
          </cell>
          <cell r="G3733" t="str">
            <v>ONF ANDINA SUCURSAL COLOMBIANA DE ONF INTERNATIONAL</v>
          </cell>
          <cell r="H3733" t="str">
            <v>RECO</v>
          </cell>
          <cell r="I3733" t="str">
            <v>REGIMEN COMUN</v>
          </cell>
          <cell r="J3733" t="str">
            <v>CR 8  69 60</v>
          </cell>
          <cell r="K3733" t="str">
            <v>11001</v>
          </cell>
          <cell r="L3733" t="str">
            <v>BOGOTA DC</v>
          </cell>
          <cell r="M3733" t="str">
            <v>7041531</v>
          </cell>
        </row>
        <row r="3734">
          <cell r="A3734">
            <v>830094666</v>
          </cell>
          <cell r="B3734" t="str">
            <v>9</v>
          </cell>
          <cell r="C3734" t="str">
            <v/>
          </cell>
          <cell r="D3734" t="str">
            <v>NJ</v>
          </cell>
          <cell r="E3734" t="str">
            <v/>
          </cell>
          <cell r="F3734" t="str">
            <v/>
          </cell>
          <cell r="G3734" t="str">
            <v>EDITORA EMPRESARIAL S.A.S</v>
          </cell>
          <cell r="H3734" t="str">
            <v>RECO</v>
          </cell>
          <cell r="I3734" t="str">
            <v>REGIMEN COMUN</v>
          </cell>
          <cell r="J3734" t="str">
            <v>CL 66 A   15 38 BRR CHAPINERO</v>
          </cell>
          <cell r="K3734" t="str">
            <v>11001</v>
          </cell>
          <cell r="L3734" t="str">
            <v>BOGOTA DC</v>
          </cell>
          <cell r="M3734" t="str">
            <v>7477760</v>
          </cell>
        </row>
        <row r="3735">
          <cell r="A3735">
            <v>830095213</v>
          </cell>
          <cell r="B3735" t="str">
            <v>0</v>
          </cell>
          <cell r="C3735" t="str">
            <v/>
          </cell>
          <cell r="D3735" t="str">
            <v>NJ</v>
          </cell>
          <cell r="E3735" t="str">
            <v/>
          </cell>
          <cell r="F3735" t="str">
            <v/>
          </cell>
          <cell r="G3735" t="str">
            <v>ORGANIZACION TERPEL S.A.</v>
          </cell>
          <cell r="H3735" t="str">
            <v>GRAU</v>
          </cell>
          <cell r="I3735" t="str">
            <v>GRAN CONTRIBUYENTE AUTORRETENEDO</v>
          </cell>
          <cell r="J3735" t="str">
            <v>CR 7 75 51 OF 13 1</v>
          </cell>
          <cell r="K3735" t="str">
            <v>11001</v>
          </cell>
          <cell r="L3735" t="str">
            <v>BOGOTA DC</v>
          </cell>
          <cell r="M3735" t="str">
            <v>3175353</v>
          </cell>
        </row>
        <row r="3736">
          <cell r="A3736">
            <v>830095579</v>
          </cell>
          <cell r="B3736" t="str">
            <v>0</v>
          </cell>
          <cell r="C3736" t="str">
            <v/>
          </cell>
          <cell r="D3736" t="str">
            <v>NJ</v>
          </cell>
          <cell r="E3736" t="str">
            <v/>
          </cell>
          <cell r="F3736" t="str">
            <v/>
          </cell>
          <cell r="G3736" t="str">
            <v>INVERSIONES INNOVAR DE COLOMBIA SA</v>
          </cell>
          <cell r="H3736" t="str">
            <v>RECO</v>
          </cell>
          <cell r="I3736" t="str">
            <v>REGIMEN COMUN</v>
          </cell>
          <cell r="J3736" t="str">
            <v>CR 13   16   36</v>
          </cell>
          <cell r="K3736" t="str">
            <v>11001</v>
          </cell>
          <cell r="L3736" t="str">
            <v>BOGOTA DC</v>
          </cell>
          <cell r="M3736" t="str">
            <v>2846389</v>
          </cell>
        </row>
        <row r="3737">
          <cell r="A3737">
            <v>830096905</v>
          </cell>
          <cell r="B3737" t="str">
            <v>3</v>
          </cell>
          <cell r="C3737" t="str">
            <v/>
          </cell>
          <cell r="D3737" t="str">
            <v>NJ</v>
          </cell>
          <cell r="E3737" t="str">
            <v/>
          </cell>
          <cell r="F3737" t="str">
            <v/>
          </cell>
          <cell r="G3737" t="str">
            <v>RC INDUQUIMICAS SAS</v>
          </cell>
          <cell r="H3737" t="str">
            <v>IMVE</v>
          </cell>
          <cell r="I3737" t="str">
            <v>IMPUESTO SOBRE LAS VENTAS</v>
          </cell>
          <cell r="J3737" t="str">
            <v>CR 17 120 35</v>
          </cell>
          <cell r="K3737" t="str">
            <v>11001</v>
          </cell>
          <cell r="L3737" t="str">
            <v>BOGOTA DC</v>
          </cell>
          <cell r="M3737" t="str">
            <v>4797660</v>
          </cell>
        </row>
        <row r="3738">
          <cell r="A3738">
            <v>830096917</v>
          </cell>
          <cell r="B3738" t="str">
            <v>1</v>
          </cell>
          <cell r="C3738" t="str">
            <v/>
          </cell>
          <cell r="D3738" t="str">
            <v>NJ</v>
          </cell>
          <cell r="E3738" t="str">
            <v/>
          </cell>
          <cell r="F3738" t="str">
            <v/>
          </cell>
          <cell r="G3738" t="str">
            <v>HNA INGENIERIA S.A.S</v>
          </cell>
          <cell r="H3738" t="str">
            <v>IMVE</v>
          </cell>
          <cell r="I3738" t="str">
            <v>IMPUESTO SOBRE LAS VENTAS</v>
          </cell>
          <cell r="J3738" t="str">
            <v>CR 7 B BIS 124 68</v>
          </cell>
          <cell r="K3738" t="str">
            <v>17001</v>
          </cell>
          <cell r="L3738" t="str">
            <v>MANIZALES</v>
          </cell>
          <cell r="M3738" t="str">
            <v>3158011636</v>
          </cell>
        </row>
        <row r="3739">
          <cell r="A3739">
            <v>830097473</v>
          </cell>
          <cell r="B3739" t="str">
            <v>8</v>
          </cell>
          <cell r="C3739" t="str">
            <v/>
          </cell>
          <cell r="D3739" t="str">
            <v>NJ</v>
          </cell>
          <cell r="E3739" t="str">
            <v/>
          </cell>
          <cell r="F3739" t="str">
            <v/>
          </cell>
          <cell r="G3739" t="str">
            <v>RPH INGENIERIA &amp; CONSTRUCCION SAS</v>
          </cell>
          <cell r="H3739" t="str">
            <v>REOR</v>
          </cell>
          <cell r="I3739" t="str">
            <v>RENTA REGIMEN ORDINARIO</v>
          </cell>
          <cell r="J3739" t="str">
            <v>L 131 50 42</v>
          </cell>
          <cell r="K3739" t="str">
            <v>11001</v>
          </cell>
          <cell r="L3739" t="str">
            <v>BOGOTA DC</v>
          </cell>
          <cell r="M3739" t="str">
            <v>6142421</v>
          </cell>
        </row>
        <row r="3740">
          <cell r="A3740">
            <v>830097543</v>
          </cell>
          <cell r="B3740" t="str">
            <v>5</v>
          </cell>
          <cell r="C3740" t="str">
            <v/>
          </cell>
          <cell r="D3740" t="str">
            <v>NJ</v>
          </cell>
          <cell r="E3740" t="str">
            <v/>
          </cell>
          <cell r="F3740" t="str">
            <v/>
          </cell>
          <cell r="G3740" t="str">
            <v xml:space="preserve">ENERGIA, HIDROCARBUROS Y MINERALES                          </v>
          </cell>
          <cell r="H3740" t="str">
            <v>RECO</v>
          </cell>
          <cell r="I3740" t="str">
            <v>REGIMEN COMUN</v>
          </cell>
          <cell r="J3740" t="str">
            <v xml:space="preserve">CR 63 98 56 BOGOTA                 </v>
          </cell>
          <cell r="K3740" t="str">
            <v>11001</v>
          </cell>
          <cell r="L3740" t="str">
            <v>BOGOTA DC</v>
          </cell>
          <cell r="M3740" t="str">
            <v>5333218</v>
          </cell>
        </row>
        <row r="3741">
          <cell r="A3741">
            <v>830098592</v>
          </cell>
          <cell r="B3741" t="str">
            <v>0</v>
          </cell>
          <cell r="C3741" t="str">
            <v/>
          </cell>
          <cell r="D3741" t="str">
            <v>NJ</v>
          </cell>
          <cell r="E3741" t="str">
            <v/>
          </cell>
          <cell r="F3741" t="str">
            <v/>
          </cell>
          <cell r="G3741" t="str">
            <v>HUMAN CAPITAL CONSULTING S.A</v>
          </cell>
          <cell r="H3741" t="str">
            <v>RECO</v>
          </cell>
          <cell r="I3741" t="str">
            <v>REGIMEN COMUN</v>
          </cell>
          <cell r="J3741" t="str">
            <v>CL  99 10 19 P  3</v>
          </cell>
          <cell r="K3741" t="str">
            <v>11001</v>
          </cell>
          <cell r="L3741" t="str">
            <v>BOGOTA DC</v>
          </cell>
          <cell r="M3741" t="str">
            <v>6461555</v>
          </cell>
        </row>
        <row r="3742">
          <cell r="A3742">
            <v>830098612</v>
          </cell>
          <cell r="B3742" t="str">
            <v>1</v>
          </cell>
          <cell r="C3742" t="str">
            <v/>
          </cell>
          <cell r="D3742" t="str">
            <v>NJ</v>
          </cell>
          <cell r="E3742" t="str">
            <v/>
          </cell>
          <cell r="F3742" t="str">
            <v/>
          </cell>
          <cell r="G3742" t="str">
            <v>EVCOL LIMITADA</v>
          </cell>
          <cell r="H3742" t="str">
            <v>IMVE</v>
          </cell>
          <cell r="I3742" t="str">
            <v>IMPUESTO SOBRE LAS VENTAS</v>
          </cell>
          <cell r="J3742" t="str">
            <v>AV CL 17 60 71</v>
          </cell>
          <cell r="K3742" t="str">
            <v>03</v>
          </cell>
          <cell r="L3742" t="str">
            <v>BOGOTA</v>
          </cell>
          <cell r="M3742" t="str">
            <v>4208566</v>
          </cell>
        </row>
        <row r="3743">
          <cell r="A3743">
            <v>830099210</v>
          </cell>
          <cell r="B3743" t="str">
            <v>7</v>
          </cell>
          <cell r="C3743" t="str">
            <v/>
          </cell>
          <cell r="D3743" t="str">
            <v>NJ</v>
          </cell>
          <cell r="E3743" t="str">
            <v/>
          </cell>
          <cell r="F3743" t="str">
            <v/>
          </cell>
          <cell r="G3743" t="str">
            <v>HART ENERGY &amp; CONTROL CONSULTING SAS</v>
          </cell>
          <cell r="H3743" t="str">
            <v>RECO</v>
          </cell>
          <cell r="I3743" t="str">
            <v>REGIMEN COMUN</v>
          </cell>
          <cell r="J3743" t="str">
            <v>CR 14   90   31 OF 304</v>
          </cell>
          <cell r="K3743" t="str">
            <v>11001</v>
          </cell>
          <cell r="L3743" t="str">
            <v>BOGOTA DC</v>
          </cell>
          <cell r="M3743" t="str">
            <v>6233785</v>
          </cell>
        </row>
        <row r="3744">
          <cell r="A3744">
            <v>830099412</v>
          </cell>
          <cell r="B3744" t="str">
            <v>8</v>
          </cell>
          <cell r="C3744" t="str">
            <v/>
          </cell>
          <cell r="D3744" t="str">
            <v>NJ</v>
          </cell>
          <cell r="E3744" t="str">
            <v/>
          </cell>
          <cell r="F3744" t="str">
            <v/>
          </cell>
          <cell r="G3744" t="str">
            <v>CENTRO COMERCIAL FUTURO 147 PH</v>
          </cell>
          <cell r="H3744" t="str">
            <v>RECO</v>
          </cell>
          <cell r="I3744" t="str">
            <v>REGIMEN COMUN</v>
          </cell>
          <cell r="J3744" t="str">
            <v>AV CL 147   19   50</v>
          </cell>
          <cell r="K3744" t="str">
            <v>11001</v>
          </cell>
          <cell r="L3744" t="str">
            <v>BOGOTA DC</v>
          </cell>
          <cell r="M3744" t="str">
            <v>6951870</v>
          </cell>
        </row>
        <row r="3745">
          <cell r="A3745">
            <v>830099766</v>
          </cell>
          <cell r="B3745" t="str">
            <v>1</v>
          </cell>
          <cell r="C3745" t="str">
            <v/>
          </cell>
          <cell r="D3745" t="str">
            <v>NJ</v>
          </cell>
          <cell r="E3745" t="str">
            <v/>
          </cell>
          <cell r="F3745" t="str">
            <v/>
          </cell>
          <cell r="G3745" t="str">
            <v>ARANDA SOFTWARE ANDINA SAS</v>
          </cell>
          <cell r="H3745" t="str">
            <v>RECO</v>
          </cell>
          <cell r="I3745" t="str">
            <v>REGIMEN COMUN</v>
          </cell>
          <cell r="J3745" t="str">
            <v>CR  11 N 93 53 OFI  403</v>
          </cell>
          <cell r="K3745" t="str">
            <v>11001</v>
          </cell>
          <cell r="L3745" t="str">
            <v>BOGOTA DC</v>
          </cell>
          <cell r="M3745" t="str">
            <v>571 7563000</v>
          </cell>
        </row>
        <row r="3746">
          <cell r="A3746">
            <v>830100220</v>
          </cell>
          <cell r="B3746" t="str">
            <v>4</v>
          </cell>
          <cell r="C3746" t="str">
            <v/>
          </cell>
          <cell r="D3746" t="str">
            <v>NJ</v>
          </cell>
          <cell r="E3746" t="str">
            <v/>
          </cell>
          <cell r="F3746" t="str">
            <v/>
          </cell>
          <cell r="G3746" t="str">
            <v>CENTRO COMERCIAL OUTLET PLAZA PROPIEDAD HORIZONTAL</v>
          </cell>
          <cell r="H3746" t="str">
            <v>RECO</v>
          </cell>
          <cell r="I3746" t="str">
            <v>REGIMEN COMUN</v>
          </cell>
          <cell r="J3746" t="str">
            <v>AV DE LAS AMERICAS 60-56</v>
          </cell>
          <cell r="K3746" t="str">
            <v>11001</v>
          </cell>
          <cell r="L3746" t="str">
            <v>BOGOTA DC</v>
          </cell>
          <cell r="M3746" t="str">
            <v>7424330</v>
          </cell>
        </row>
        <row r="3747">
          <cell r="A3747">
            <v>830100582</v>
          </cell>
          <cell r="B3747" t="str">
            <v>5</v>
          </cell>
          <cell r="C3747" t="str">
            <v/>
          </cell>
          <cell r="D3747" t="str">
            <v>NJ</v>
          </cell>
          <cell r="E3747" t="str">
            <v/>
          </cell>
          <cell r="F3747" t="str">
            <v/>
          </cell>
          <cell r="G3747" t="str">
            <v>COMPAÑIA DE VIGILANCIA PPH LIMITADA</v>
          </cell>
          <cell r="H3747" t="str">
            <v>IMVE</v>
          </cell>
          <cell r="I3747" t="str">
            <v>IMPUESTO SOBRE LAS VENTAS</v>
          </cell>
          <cell r="J3747" t="str">
            <v xml:space="preserve"> CL 143 46 09</v>
          </cell>
          <cell r="K3747" t="str">
            <v>11001</v>
          </cell>
          <cell r="L3747" t="str">
            <v>BOGOTA DC</v>
          </cell>
          <cell r="M3747" t="str">
            <v>7442510</v>
          </cell>
        </row>
        <row r="3748">
          <cell r="A3748">
            <v>830100593</v>
          </cell>
          <cell r="B3748" t="str">
            <v>6</v>
          </cell>
          <cell r="C3748" t="str">
            <v/>
          </cell>
          <cell r="D3748" t="str">
            <v>NJ</v>
          </cell>
          <cell r="E3748" t="str">
            <v/>
          </cell>
          <cell r="F3748" t="str">
            <v/>
          </cell>
          <cell r="G3748" t="str">
            <v>CA-TEKOM SAS</v>
          </cell>
          <cell r="H3748" t="str">
            <v>IMVE</v>
          </cell>
          <cell r="I3748" t="str">
            <v>IMPUESTO SOBRE LAS VENTAS</v>
          </cell>
          <cell r="J3748" t="str">
            <v>CR 25 2 A 87</v>
          </cell>
          <cell r="K3748" t="str">
            <v>11001</v>
          </cell>
          <cell r="L3748" t="str">
            <v>BOGOTA DC</v>
          </cell>
          <cell r="M3748" t="str">
            <v>3373729</v>
          </cell>
        </row>
        <row r="3749">
          <cell r="A3749">
            <v>830101585</v>
          </cell>
          <cell r="B3749" t="str">
            <v>1</v>
          </cell>
          <cell r="C3749" t="str">
            <v/>
          </cell>
          <cell r="D3749" t="str">
            <v>NJ</v>
          </cell>
          <cell r="E3749" t="str">
            <v/>
          </cell>
          <cell r="F3749" t="str">
            <v/>
          </cell>
          <cell r="G3749" t="str">
            <v>CALZADO SIETE CUEROS SAS</v>
          </cell>
          <cell r="H3749" t="str">
            <v>IMVE</v>
          </cell>
          <cell r="I3749" t="str">
            <v>IMPUESTO SOBRE LAS VENTAS</v>
          </cell>
          <cell r="J3749" t="str">
            <v>CL 18 A 69 F 46</v>
          </cell>
          <cell r="K3749" t="str">
            <v>11001</v>
          </cell>
          <cell r="L3749" t="str">
            <v>BOGOTA DC</v>
          </cell>
          <cell r="M3749" t="str">
            <v>3217533148</v>
          </cell>
        </row>
        <row r="3750">
          <cell r="A3750">
            <v>830101778</v>
          </cell>
          <cell r="B3750" t="str">
            <v>6</v>
          </cell>
          <cell r="C3750" t="str">
            <v/>
          </cell>
          <cell r="D3750" t="str">
            <v>NJ</v>
          </cell>
          <cell r="E3750" t="str">
            <v/>
          </cell>
          <cell r="F3750" t="str">
            <v/>
          </cell>
          <cell r="G3750" t="str">
            <v>FRAYCO S.A</v>
          </cell>
          <cell r="H3750" t="str">
            <v>RECO</v>
          </cell>
          <cell r="I3750" t="str">
            <v>REGIMEN COMUN</v>
          </cell>
          <cell r="J3750" t="str">
            <v>AER BUCARAMANGA</v>
          </cell>
          <cell r="K3750" t="str">
            <v>68001</v>
          </cell>
          <cell r="L3750" t="str">
            <v>BUCARAMANGA</v>
          </cell>
          <cell r="M3750" t="str">
            <v>41309245</v>
          </cell>
        </row>
        <row r="3751">
          <cell r="A3751">
            <v>830102766</v>
          </cell>
          <cell r="B3751" t="str">
            <v>2</v>
          </cell>
          <cell r="C3751" t="str">
            <v/>
          </cell>
          <cell r="D3751" t="str">
            <v>NJ</v>
          </cell>
          <cell r="E3751" t="str">
            <v/>
          </cell>
          <cell r="F3751" t="str">
            <v/>
          </cell>
          <cell r="G3751" t="str">
            <v>LAB &amp; SERVICE ELECTRONICA ESPECIALIZADA LTDA</v>
          </cell>
          <cell r="H3751" t="str">
            <v>RECO</v>
          </cell>
          <cell r="I3751" t="str">
            <v>REGIMEN COMUN</v>
          </cell>
          <cell r="J3751" t="str">
            <v>CR 67   167   61 OF 209</v>
          </cell>
          <cell r="K3751" t="str">
            <v>11001</v>
          </cell>
          <cell r="L3751" t="str">
            <v>BOGOTA DC</v>
          </cell>
          <cell r="M3751" t="str">
            <v>4827646</v>
          </cell>
        </row>
        <row r="3752">
          <cell r="A3752">
            <v>830103614</v>
          </cell>
          <cell r="B3752" t="str">
            <v>6</v>
          </cell>
          <cell r="C3752" t="str">
            <v/>
          </cell>
          <cell r="D3752" t="str">
            <v>NJ</v>
          </cell>
          <cell r="E3752" t="str">
            <v/>
          </cell>
          <cell r="F3752" t="str">
            <v/>
          </cell>
          <cell r="G3752" t="str">
            <v>ASOCIACION NACIONAL DE ALUMBRADO PUBLICO</v>
          </cell>
          <cell r="H3752" t="str">
            <v>RECO</v>
          </cell>
          <cell r="I3752" t="str">
            <v>REGIMEN COMUN</v>
          </cell>
          <cell r="J3752" t="str">
            <v>CR 11 CL 94 A 25 OF 601</v>
          </cell>
          <cell r="K3752" t="str">
            <v>11001</v>
          </cell>
          <cell r="L3752" t="str">
            <v>BOGOTA DC</v>
          </cell>
          <cell r="M3752" t="str">
            <v>3014135567</v>
          </cell>
        </row>
        <row r="3753">
          <cell r="A3753">
            <v>830104010</v>
          </cell>
          <cell r="B3753" t="str">
            <v>2</v>
          </cell>
          <cell r="C3753" t="str">
            <v/>
          </cell>
          <cell r="D3753" t="str">
            <v>NJ</v>
          </cell>
          <cell r="E3753" t="str">
            <v/>
          </cell>
          <cell r="F3753" t="str">
            <v/>
          </cell>
          <cell r="G3753" t="str">
            <v>PEOPLE S VOICE SAS</v>
          </cell>
          <cell r="H3753" t="str">
            <v>RECO</v>
          </cell>
          <cell r="I3753" t="str">
            <v>REGIMEN COMUN</v>
          </cell>
          <cell r="J3753" t="str">
            <v>CL 72 9 55 OF 1102</v>
          </cell>
          <cell r="K3753" t="str">
            <v>03</v>
          </cell>
          <cell r="L3753" t="str">
            <v>BOGOTA</v>
          </cell>
          <cell r="M3753" t="str">
            <v>2124299</v>
          </cell>
        </row>
        <row r="3754">
          <cell r="A3754">
            <v>830104017</v>
          </cell>
          <cell r="B3754" t="str">
            <v>3</v>
          </cell>
          <cell r="C3754" t="str">
            <v/>
          </cell>
          <cell r="D3754" t="str">
            <v>NJ</v>
          </cell>
          <cell r="E3754" t="str">
            <v/>
          </cell>
          <cell r="F3754" t="str">
            <v/>
          </cell>
          <cell r="G3754" t="str">
            <v>PROFESSIONAL SERVCES SAS</v>
          </cell>
          <cell r="H3754" t="str">
            <v>IMVE</v>
          </cell>
          <cell r="I3754" t="str">
            <v>IMPUESTO SOBRE LAS VENTAS</v>
          </cell>
          <cell r="J3754" t="str">
            <v xml:space="preserve"> CL 23 G 82 10 BRR MODELIA</v>
          </cell>
          <cell r="K3754" t="str">
            <v>11001</v>
          </cell>
          <cell r="L3754" t="str">
            <v>BOGOTA DC</v>
          </cell>
          <cell r="M3754" t="str">
            <v>6583423</v>
          </cell>
        </row>
        <row r="3755">
          <cell r="A3755">
            <v>830106854</v>
          </cell>
          <cell r="B3755" t="str">
            <v>0</v>
          </cell>
          <cell r="C3755" t="str">
            <v/>
          </cell>
          <cell r="D3755" t="str">
            <v>NJ</v>
          </cell>
          <cell r="E3755" t="str">
            <v/>
          </cell>
          <cell r="F3755" t="str">
            <v/>
          </cell>
          <cell r="G3755" t="str">
            <v>IMPORTADORA DE LLANTAS ESPECIALES S.A.S.</v>
          </cell>
          <cell r="H3755" t="str">
            <v>RCAU</v>
          </cell>
          <cell r="I3755" t="str">
            <v>RESPONSABLE IVA - AUTORETENEDOR</v>
          </cell>
          <cell r="J3755" t="str">
            <v xml:space="preserve"> CL 24 F 100 A 33</v>
          </cell>
          <cell r="K3755" t="str">
            <v>03</v>
          </cell>
          <cell r="L3755" t="str">
            <v>BOGOTA</v>
          </cell>
          <cell r="M3755" t="str">
            <v>4159799</v>
          </cell>
        </row>
        <row r="3756">
          <cell r="A3756">
            <v>830106944</v>
          </cell>
          <cell r="B3756" t="str">
            <v>5</v>
          </cell>
          <cell r="C3756" t="str">
            <v/>
          </cell>
          <cell r="D3756" t="str">
            <v>NJ</v>
          </cell>
          <cell r="E3756" t="str">
            <v/>
          </cell>
          <cell r="F3756" t="str">
            <v/>
          </cell>
          <cell r="G3756" t="str">
            <v>GIA CONSULTORES LTDA</v>
          </cell>
          <cell r="H3756" t="str">
            <v>IMVE</v>
          </cell>
          <cell r="I3756" t="str">
            <v>IMPUESTO SOBRE LAS VENTAS</v>
          </cell>
          <cell r="J3756" t="str">
            <v xml:space="preserve"> CR 16A  86 A  02 OF 202</v>
          </cell>
          <cell r="K3756" t="str">
            <v>11001</v>
          </cell>
          <cell r="L3756" t="str">
            <v>BOGOTA DC</v>
          </cell>
          <cell r="M3756" t="str">
            <v>2577407</v>
          </cell>
        </row>
        <row r="3757">
          <cell r="A3757">
            <v>830107120</v>
          </cell>
          <cell r="B3757" t="str">
            <v>8</v>
          </cell>
          <cell r="C3757" t="str">
            <v/>
          </cell>
          <cell r="D3757" t="str">
            <v>NJ</v>
          </cell>
          <cell r="E3757" t="str">
            <v/>
          </cell>
          <cell r="F3757" t="str">
            <v/>
          </cell>
          <cell r="G3757" t="str">
            <v>FONDO DE EMPLEADOS UNIVERSIDAD SAN BUENAVENTURA</v>
          </cell>
          <cell r="H3757" t="str">
            <v>RECO</v>
          </cell>
          <cell r="I3757" t="str">
            <v>REGIMEN COMUN</v>
          </cell>
          <cell r="J3757" t="str">
            <v>CR 10   72   67</v>
          </cell>
          <cell r="K3757" t="str">
            <v>11001</v>
          </cell>
          <cell r="L3757" t="str">
            <v>BOGOTA DC</v>
          </cell>
          <cell r="M3757" t="str">
            <v>5408016</v>
          </cell>
        </row>
        <row r="3758">
          <cell r="A3758">
            <v>830107169</v>
          </cell>
          <cell r="B3758" t="str">
            <v>8</v>
          </cell>
          <cell r="C3758" t="str">
            <v/>
          </cell>
          <cell r="D3758" t="str">
            <v>NJ</v>
          </cell>
          <cell r="E3758" t="str">
            <v/>
          </cell>
          <cell r="F3758" t="str">
            <v/>
          </cell>
          <cell r="G3758" t="str">
            <v>ART SUITES SAS</v>
          </cell>
          <cell r="H3758" t="str">
            <v>RECO</v>
          </cell>
          <cell r="I3758" t="str">
            <v>REGIMEN COMUN</v>
          </cell>
          <cell r="J3758" t="str">
            <v>CR 18 A   104   77 BRR CHICO NAVARRA</v>
          </cell>
          <cell r="K3758" t="str">
            <v>11001</v>
          </cell>
          <cell r="L3758" t="str">
            <v>BOGOTA DC</v>
          </cell>
          <cell r="M3758" t="str">
            <v>6025959</v>
          </cell>
        </row>
        <row r="3759">
          <cell r="A3759">
            <v>830107528</v>
          </cell>
          <cell r="B3759" t="str">
            <v>9</v>
          </cell>
          <cell r="C3759" t="str">
            <v/>
          </cell>
          <cell r="D3759" t="str">
            <v>NJ</v>
          </cell>
          <cell r="E3759" t="str">
            <v/>
          </cell>
          <cell r="F3759" t="str">
            <v/>
          </cell>
          <cell r="G3759" t="str">
            <v>GENERARCO S.A.S E.S.P</v>
          </cell>
          <cell r="H3759" t="str">
            <v>GRCO</v>
          </cell>
          <cell r="I3759" t="str">
            <v>GRAN CONTRIBUYENTE</v>
          </cell>
          <cell r="J3759" t="str">
            <v>CL 6 4 09</v>
          </cell>
          <cell r="K3759" t="str">
            <v>25873</v>
          </cell>
          <cell r="L3759" t="str">
            <v>VILLAPINZÓN</v>
          </cell>
          <cell r="M3759" t="str">
            <v>3214692300</v>
          </cell>
        </row>
        <row r="3760">
          <cell r="A3760">
            <v>830107741</v>
          </cell>
          <cell r="B3760" t="str">
            <v>1</v>
          </cell>
          <cell r="C3760" t="str">
            <v/>
          </cell>
          <cell r="D3760" t="str">
            <v>NJ</v>
          </cell>
          <cell r="E3760" t="str">
            <v/>
          </cell>
          <cell r="F3760" t="str">
            <v/>
          </cell>
          <cell r="G3760" t="str">
            <v>GLOBAL KNOWLEDGE COLOMBIA LTDA</v>
          </cell>
          <cell r="H3760" t="str">
            <v>RECO</v>
          </cell>
          <cell r="I3760" t="str">
            <v>REGIMEN COMUN</v>
          </cell>
          <cell r="J3760" t="str">
            <v>CR 13  94 A 25 O  F 501</v>
          </cell>
          <cell r="K3760" t="str">
            <v>11001</v>
          </cell>
          <cell r="L3760" t="str">
            <v>BOGOTA DC</v>
          </cell>
          <cell r="M3760" t="str">
            <v>7436677</v>
          </cell>
        </row>
        <row r="3761">
          <cell r="A3761">
            <v>830107783</v>
          </cell>
          <cell r="B3761" t="str">
            <v>0</v>
          </cell>
          <cell r="C3761" t="str">
            <v/>
          </cell>
          <cell r="D3761" t="str">
            <v>NJ</v>
          </cell>
          <cell r="E3761" t="str">
            <v/>
          </cell>
          <cell r="F3761" t="str">
            <v/>
          </cell>
          <cell r="G3761" t="str">
            <v>TECNOSOFT UPS S.A.S.</v>
          </cell>
          <cell r="H3761" t="str">
            <v>RECO</v>
          </cell>
          <cell r="I3761" t="str">
            <v>REGIMEN COMUN</v>
          </cell>
          <cell r="J3761" t="str">
            <v>CR 101 B 139 57</v>
          </cell>
          <cell r="K3761" t="str">
            <v>11001</v>
          </cell>
          <cell r="L3761" t="str">
            <v>BOGOTA DC</v>
          </cell>
          <cell r="M3761" t="str">
            <v>3112220372</v>
          </cell>
        </row>
        <row r="3762">
          <cell r="A3762">
            <v>830108265</v>
          </cell>
          <cell r="B3762" t="str">
            <v>1</v>
          </cell>
          <cell r="C3762" t="str">
            <v/>
          </cell>
          <cell r="D3762" t="str">
            <v>NJ</v>
          </cell>
          <cell r="E3762" t="str">
            <v/>
          </cell>
          <cell r="F3762" t="str">
            <v/>
          </cell>
          <cell r="G3762" t="str">
            <v>ABCONTROL INGENIERIA S.A.S.</v>
          </cell>
          <cell r="H3762" t="str">
            <v>RECO</v>
          </cell>
          <cell r="I3762" t="str">
            <v>REGIMEN COMUN</v>
          </cell>
          <cell r="J3762" t="str">
            <v>CR 80   73 A   29</v>
          </cell>
          <cell r="K3762" t="str">
            <v>11001</v>
          </cell>
          <cell r="L3762" t="str">
            <v>BOGOTA DC</v>
          </cell>
          <cell r="M3762" t="str">
            <v>5449951</v>
          </cell>
        </row>
        <row r="3763">
          <cell r="A3763">
            <v>830109078</v>
          </cell>
          <cell r="B3763" t="str">
            <v>5</v>
          </cell>
          <cell r="C3763" t="str">
            <v/>
          </cell>
          <cell r="D3763" t="str">
            <v>NJ</v>
          </cell>
          <cell r="E3763" t="str">
            <v/>
          </cell>
          <cell r="F3763" t="str">
            <v/>
          </cell>
          <cell r="G3763" t="str">
            <v>TRANSMISION MECANICA SAS</v>
          </cell>
          <cell r="H3763" t="str">
            <v>RECO</v>
          </cell>
          <cell r="I3763" t="str">
            <v>REGIMEN COMUN</v>
          </cell>
          <cell r="J3763" t="str">
            <v xml:space="preserve"> AUT MEDELLIN  KM 2  EN PARCELAS PAR EMPRESARIAL LUTRA</v>
          </cell>
          <cell r="K3763" t="str">
            <v>25214</v>
          </cell>
          <cell r="L3763" t="str">
            <v>COTA</v>
          </cell>
          <cell r="M3763" t="str">
            <v>8966121</v>
          </cell>
        </row>
        <row r="3764">
          <cell r="A3764">
            <v>830109209</v>
          </cell>
          <cell r="B3764" t="str">
            <v>3</v>
          </cell>
          <cell r="C3764" t="str">
            <v/>
          </cell>
          <cell r="D3764" t="str">
            <v>NJ</v>
          </cell>
          <cell r="E3764" t="str">
            <v/>
          </cell>
          <cell r="F3764" t="str">
            <v/>
          </cell>
          <cell r="G3764" t="str">
            <v>COMERCIAL LOMARSA S.C.A</v>
          </cell>
          <cell r="H3764" t="str">
            <v>RECO</v>
          </cell>
          <cell r="I3764" t="str">
            <v>REGIMEN COMUN</v>
          </cell>
          <cell r="J3764" t="str">
            <v>CR 7   82   66 OF 213</v>
          </cell>
          <cell r="K3764" t="str">
            <v>11001</v>
          </cell>
          <cell r="L3764" t="str">
            <v>BOGOTA DC</v>
          </cell>
          <cell r="M3764" t="str">
            <v>6308139</v>
          </cell>
        </row>
        <row r="3765">
          <cell r="A3765">
            <v>830109420</v>
          </cell>
          <cell r="B3765" t="str">
            <v>1</v>
          </cell>
          <cell r="C3765" t="str">
            <v/>
          </cell>
          <cell r="D3765" t="str">
            <v>NJ</v>
          </cell>
          <cell r="E3765" t="str">
            <v/>
          </cell>
          <cell r="F3765" t="str">
            <v/>
          </cell>
          <cell r="G3765" t="str">
            <v>FERRETERIA BRAND LTDA</v>
          </cell>
          <cell r="H3765" t="str">
            <v>RECO</v>
          </cell>
          <cell r="I3765" t="str">
            <v>REGIMEN COMUN</v>
          </cell>
          <cell r="J3765" t="str">
            <v>CL  15  20  71</v>
          </cell>
          <cell r="K3765" t="str">
            <v>11001</v>
          </cell>
          <cell r="L3765" t="str">
            <v>BOGOTA DC</v>
          </cell>
          <cell r="M3765" t="str">
            <v>2084882</v>
          </cell>
        </row>
        <row r="3766">
          <cell r="A3766">
            <v>830110570</v>
          </cell>
          <cell r="B3766" t="str">
            <v>1</v>
          </cell>
          <cell r="C3766" t="str">
            <v/>
          </cell>
          <cell r="D3766" t="str">
            <v>NJ</v>
          </cell>
          <cell r="E3766" t="str">
            <v/>
          </cell>
          <cell r="F3766" t="str">
            <v/>
          </cell>
          <cell r="G3766" t="str">
            <v>NEX COMPUTER SAS</v>
          </cell>
          <cell r="H3766" t="str">
            <v>RECO</v>
          </cell>
          <cell r="I3766" t="str">
            <v>REGIMEN COMUN</v>
          </cell>
          <cell r="J3766" t="str">
            <v>AUT MEDELLIN KM 3 5 CEN EMPRESARIAL METROPOLITANO LC B 5</v>
          </cell>
          <cell r="K3766" t="str">
            <v>25214</v>
          </cell>
          <cell r="L3766" t="str">
            <v>COTA</v>
          </cell>
          <cell r="M3766" t="str">
            <v>5520777</v>
          </cell>
        </row>
        <row r="3767">
          <cell r="A3767">
            <v>830112317</v>
          </cell>
          <cell r="B3767" t="str">
            <v>1</v>
          </cell>
          <cell r="C3767" t="str">
            <v/>
          </cell>
          <cell r="D3767" t="str">
            <v>NJ</v>
          </cell>
          <cell r="E3767" t="str">
            <v/>
          </cell>
          <cell r="F3767" t="str">
            <v/>
          </cell>
          <cell r="G3767" t="str">
            <v>PROCAFECOL S.A TIENDA DE CAFE JUAN VALDEZ</v>
          </cell>
          <cell r="H3767" t="str">
            <v>GRAU</v>
          </cell>
          <cell r="I3767" t="str">
            <v>GRAN CONTRIBUYENTE AUTORRETENEDO</v>
          </cell>
          <cell r="J3767" t="str">
            <v>AV EL DORADO N 93-30</v>
          </cell>
          <cell r="K3767" t="str">
            <v>11001</v>
          </cell>
          <cell r="L3767" t="str">
            <v>BOGOTA DC</v>
          </cell>
          <cell r="M3767" t="str">
            <v>4135003</v>
          </cell>
        </row>
        <row r="3768">
          <cell r="A3768">
            <v>830113152</v>
          </cell>
          <cell r="B3768" t="str">
            <v>8</v>
          </cell>
          <cell r="C3768" t="str">
            <v/>
          </cell>
          <cell r="D3768" t="str">
            <v>NJ</v>
          </cell>
          <cell r="E3768" t="str">
            <v/>
          </cell>
          <cell r="F3768" t="str">
            <v/>
          </cell>
          <cell r="G3768" t="str">
            <v>INSTITUTO DE HIGIENE AMBIENTAL SAS</v>
          </cell>
          <cell r="H3768" t="str">
            <v>IMVE</v>
          </cell>
          <cell r="I3768" t="str">
            <v>IMPUESTO SOBRE LAS VENTAS</v>
          </cell>
          <cell r="J3768" t="str">
            <v>CL 25 F 84 B 47</v>
          </cell>
          <cell r="K3768" t="str">
            <v>11001</v>
          </cell>
          <cell r="L3768" t="str">
            <v>BOGOTA DC</v>
          </cell>
          <cell r="M3768" t="str">
            <v>2632445</v>
          </cell>
        </row>
        <row r="3769">
          <cell r="A3769">
            <v>830113424</v>
          </cell>
          <cell r="B3769" t="str">
            <v>6</v>
          </cell>
          <cell r="C3769" t="str">
            <v/>
          </cell>
          <cell r="D3769" t="str">
            <v>NJ</v>
          </cell>
          <cell r="E3769" t="str">
            <v/>
          </cell>
          <cell r="F3769" t="str">
            <v/>
          </cell>
          <cell r="G3769" t="str">
            <v>17020 25 RETIE INGENIERIA Y GESTION SAS</v>
          </cell>
          <cell r="H3769" t="str">
            <v>IMVE</v>
          </cell>
          <cell r="I3769" t="str">
            <v>IMPUESTO SOBRE LAS VENTAS</v>
          </cell>
          <cell r="J3769" t="str">
            <v xml:space="preserve"> CL CALLE 114 #47A 19</v>
          </cell>
          <cell r="K3769" t="str">
            <v>17001</v>
          </cell>
          <cell r="L3769" t="str">
            <v>MANIZALES</v>
          </cell>
          <cell r="M3769" t="str">
            <v>3217581134</v>
          </cell>
        </row>
        <row r="3770">
          <cell r="A3770">
            <v>830113629</v>
          </cell>
          <cell r="B3770" t="str">
            <v>9</v>
          </cell>
          <cell r="C3770" t="str">
            <v/>
          </cell>
          <cell r="D3770" t="str">
            <v>NJ</v>
          </cell>
          <cell r="E3770" t="str">
            <v/>
          </cell>
          <cell r="F3770" t="str">
            <v/>
          </cell>
          <cell r="G3770" t="str">
            <v>I E INTER ELECTRICAS LIMITADA</v>
          </cell>
          <cell r="H3770" t="str">
            <v>IMVE</v>
          </cell>
          <cell r="I3770" t="str">
            <v>IMPUESTO SOBRE LAS VENTAS</v>
          </cell>
          <cell r="J3770" t="str">
            <v>CR 12 13 46</v>
          </cell>
          <cell r="K3770" t="str">
            <v>11001</v>
          </cell>
          <cell r="L3770" t="str">
            <v>BOGOTA DC</v>
          </cell>
          <cell r="M3770" t="str">
            <v>3360755</v>
          </cell>
        </row>
        <row r="3771">
          <cell r="A3771">
            <v>830113630</v>
          </cell>
          <cell r="B3771" t="str">
            <v>7</v>
          </cell>
          <cell r="C3771" t="str">
            <v/>
          </cell>
          <cell r="D3771" t="str">
            <v>NJ</v>
          </cell>
          <cell r="E3771" t="str">
            <v/>
          </cell>
          <cell r="F3771" t="str">
            <v/>
          </cell>
          <cell r="G3771" t="str">
            <v>ZONA FRANCA CELSIA S.A E.S.P</v>
          </cell>
          <cell r="H3771" t="str">
            <v>GRCO</v>
          </cell>
          <cell r="I3771" t="str">
            <v>GRAN CONTRIBUYENTE</v>
          </cell>
          <cell r="J3771" t="str">
            <v>VIA 40 85 555</v>
          </cell>
          <cell r="K3771" t="str">
            <v>08001</v>
          </cell>
          <cell r="L3771" t="str">
            <v>BARRANQUILLA</v>
          </cell>
          <cell r="M3771" t="str">
            <v>3678400</v>
          </cell>
        </row>
        <row r="3772">
          <cell r="A3772">
            <v>830113831</v>
          </cell>
          <cell r="B3772" t="str">
            <v>0</v>
          </cell>
          <cell r="C3772" t="str">
            <v/>
          </cell>
          <cell r="D3772" t="str">
            <v>NJ</v>
          </cell>
          <cell r="E3772" t="str">
            <v/>
          </cell>
          <cell r="F3772" t="str">
            <v/>
          </cell>
          <cell r="G3772" t="str">
            <v>ALIANSALUD EPS</v>
          </cell>
          <cell r="H3772" t="str">
            <v>GRCO</v>
          </cell>
          <cell r="I3772" t="str">
            <v>GRAN CONTRIBUYENTE</v>
          </cell>
          <cell r="J3772" t="str">
            <v>CALLE 63 28 71</v>
          </cell>
          <cell r="K3772" t="str">
            <v>11001</v>
          </cell>
          <cell r="L3772" t="str">
            <v>BOGOTA DC</v>
          </cell>
          <cell r="M3772" t="str">
            <v>7568000</v>
          </cell>
        </row>
        <row r="3773">
          <cell r="A3773">
            <v>830114164</v>
          </cell>
          <cell r="B3773" t="str">
            <v>0</v>
          </cell>
          <cell r="C3773" t="str">
            <v/>
          </cell>
          <cell r="D3773" t="str">
            <v>NJ</v>
          </cell>
          <cell r="E3773" t="str">
            <v/>
          </cell>
          <cell r="F3773" t="str">
            <v/>
          </cell>
          <cell r="G3773" t="str">
            <v>COPY COMPEL/MI PAPELERIA</v>
          </cell>
          <cell r="H3773" t="str">
            <v>RECO</v>
          </cell>
          <cell r="I3773" t="str">
            <v>REGIMEN COMUN</v>
          </cell>
          <cell r="J3773" t="str">
            <v>CL 69 43 75</v>
          </cell>
          <cell r="K3773" t="str">
            <v>11001</v>
          </cell>
          <cell r="L3773" t="str">
            <v>BOGOTA DC</v>
          </cell>
          <cell r="M3773" t="str">
            <v>2959341</v>
          </cell>
        </row>
        <row r="3774">
          <cell r="A3774">
            <v>830114376</v>
          </cell>
          <cell r="B3774" t="str">
            <v>5</v>
          </cell>
          <cell r="C3774" t="str">
            <v/>
          </cell>
          <cell r="D3774" t="str">
            <v>NJ</v>
          </cell>
          <cell r="E3774" t="str">
            <v/>
          </cell>
          <cell r="F3774" t="str">
            <v/>
          </cell>
          <cell r="G3774" t="str">
            <v>SCHENCK PROCESS AMERICAS S.A.S.</v>
          </cell>
          <cell r="H3774" t="str">
            <v>RECO</v>
          </cell>
          <cell r="I3774" t="str">
            <v>REGIMEN COMUN</v>
          </cell>
          <cell r="J3774" t="str">
            <v>CL 13  32 36</v>
          </cell>
          <cell r="K3774" t="str">
            <v>11001</v>
          </cell>
          <cell r="L3774" t="str">
            <v>BOGOTA DC</v>
          </cell>
          <cell r="M3774" t="str">
            <v>4273496</v>
          </cell>
        </row>
        <row r="3775">
          <cell r="A3775">
            <v>830114475</v>
          </cell>
          <cell r="B3775" t="str">
            <v>6</v>
          </cell>
          <cell r="C3775" t="str">
            <v/>
          </cell>
          <cell r="D3775" t="str">
            <v>NJ</v>
          </cell>
          <cell r="E3775" t="str">
            <v/>
          </cell>
          <cell r="F3775" t="str">
            <v/>
          </cell>
          <cell r="G3775" t="str">
            <v>MINISTERIO DEL INTERIOR</v>
          </cell>
          <cell r="H3775" t="str">
            <v>COIM</v>
          </cell>
          <cell r="I3775" t="str">
            <v>CONTROL DE IMPUESTOS</v>
          </cell>
          <cell r="J3775" t="str">
            <v>CR 8  12 B 31</v>
          </cell>
          <cell r="K3775" t="str">
            <v>11001</v>
          </cell>
          <cell r="L3775" t="str">
            <v>BOGOTA DC</v>
          </cell>
          <cell r="M3775" t="str">
            <v>2427400</v>
          </cell>
        </row>
        <row r="3776">
          <cell r="A3776">
            <v>830114793</v>
          </cell>
          <cell r="B3776" t="str">
            <v>3</v>
          </cell>
          <cell r="C3776" t="str">
            <v/>
          </cell>
          <cell r="D3776" t="str">
            <v>NJ</v>
          </cell>
          <cell r="E3776" t="str">
            <v/>
          </cell>
          <cell r="F3776" t="str">
            <v/>
          </cell>
          <cell r="G3776" t="str">
            <v>COMBUSTIBLES EQUIPOS Y SERVICIOS CES LTDA</v>
          </cell>
          <cell r="H3776" t="str">
            <v>RECO</v>
          </cell>
          <cell r="I3776" t="str">
            <v>REGIMEN COMUN</v>
          </cell>
          <cell r="J3776" t="str">
            <v>AUT MEDELLIN KM  12</v>
          </cell>
          <cell r="K3776" t="str">
            <v>25799</v>
          </cell>
          <cell r="L3776" t="str">
            <v>TENJO</v>
          </cell>
          <cell r="M3776" t="str">
            <v>8772682</v>
          </cell>
        </row>
        <row r="3777">
          <cell r="A3777">
            <v>830115051</v>
          </cell>
          <cell r="B3777" t="str">
            <v>1</v>
          </cell>
          <cell r="C3777" t="str">
            <v/>
          </cell>
          <cell r="D3777" t="str">
            <v>NJ</v>
          </cell>
          <cell r="E3777" t="str">
            <v/>
          </cell>
          <cell r="F3777" t="str">
            <v/>
          </cell>
          <cell r="G3777" t="str">
            <v>ALLCHEM CIA LTDA</v>
          </cell>
          <cell r="H3777" t="str">
            <v>RECO</v>
          </cell>
          <cell r="I3777" t="str">
            <v>REGIMEN COMUN</v>
          </cell>
          <cell r="J3777" t="str">
            <v>TV 39 20 A  72  P 1</v>
          </cell>
          <cell r="K3777" t="str">
            <v>11001</v>
          </cell>
          <cell r="L3777" t="str">
            <v>BOGOTA DC</v>
          </cell>
          <cell r="M3777" t="str">
            <v>7450685</v>
          </cell>
        </row>
        <row r="3778">
          <cell r="A3778">
            <v>830115250</v>
          </cell>
          <cell r="B3778" t="str">
            <v>0</v>
          </cell>
          <cell r="C3778" t="str">
            <v/>
          </cell>
          <cell r="D3778" t="str">
            <v>NJ</v>
          </cell>
          <cell r="E3778" t="str">
            <v/>
          </cell>
          <cell r="F3778" t="str">
            <v/>
          </cell>
          <cell r="G3778" t="str">
            <v>RODAMIENTOS Y REPUESTOS MUNDIALES SA</v>
          </cell>
          <cell r="H3778" t="str">
            <v>RCAU</v>
          </cell>
          <cell r="I3778" t="str">
            <v>RESPONSABLE IVA - AUTORETENEDOR</v>
          </cell>
          <cell r="J3778" t="str">
            <v>CR 27 A 70  84</v>
          </cell>
          <cell r="K3778" t="str">
            <v>11001</v>
          </cell>
          <cell r="L3778" t="str">
            <v>BOGOTA DC</v>
          </cell>
          <cell r="M3778" t="str">
            <v>4321321</v>
          </cell>
        </row>
        <row r="3779">
          <cell r="A3779">
            <v>830115629</v>
          </cell>
          <cell r="B3779" t="str">
            <v>8</v>
          </cell>
          <cell r="C3779" t="str">
            <v/>
          </cell>
          <cell r="D3779" t="str">
            <v>NJ</v>
          </cell>
          <cell r="E3779" t="str">
            <v/>
          </cell>
          <cell r="F3779" t="str">
            <v/>
          </cell>
          <cell r="G3779" t="str">
            <v>WT S.A.S</v>
          </cell>
          <cell r="H3779" t="str">
            <v>IMVE</v>
          </cell>
          <cell r="I3779" t="str">
            <v>IMPUESTO SOBRE LAS VENTAS</v>
          </cell>
          <cell r="J3779" t="str">
            <v xml:space="preserve"> CR 7  64  50 EX 301</v>
          </cell>
          <cell r="K3779" t="str">
            <v>11001</v>
          </cell>
          <cell r="L3779" t="str">
            <v>BOGOTA DC</v>
          </cell>
          <cell r="M3779" t="str">
            <v>5414870</v>
          </cell>
        </row>
        <row r="3780">
          <cell r="A3780">
            <v>830116015</v>
          </cell>
          <cell r="B3780" t="str">
            <v>0</v>
          </cell>
          <cell r="C3780" t="str">
            <v/>
          </cell>
          <cell r="D3780" t="str">
            <v>NJ</v>
          </cell>
          <cell r="E3780" t="str">
            <v/>
          </cell>
          <cell r="F3780" t="str">
            <v/>
          </cell>
          <cell r="G3780" t="str">
            <v>US BIOSOLUTIONS COLOMBIA S.A.S.</v>
          </cell>
          <cell r="H3780" t="str">
            <v>IMVE</v>
          </cell>
          <cell r="I3780" t="str">
            <v>IMPUESTO SOBRE LAS VENTAS</v>
          </cell>
          <cell r="J3780" t="str">
            <v>CR 66C 42 55</v>
          </cell>
          <cell r="K3780" t="str">
            <v>11001</v>
          </cell>
          <cell r="L3780" t="str">
            <v>BOGOTA DC</v>
          </cell>
          <cell r="M3780" t="str">
            <v>2214749</v>
          </cell>
        </row>
        <row r="3781">
          <cell r="A3781">
            <v>830116807</v>
          </cell>
          <cell r="B3781" t="str">
            <v>7</v>
          </cell>
          <cell r="C3781" t="str">
            <v/>
          </cell>
          <cell r="D3781" t="str">
            <v>NJ</v>
          </cell>
          <cell r="E3781" t="str">
            <v/>
          </cell>
          <cell r="F3781" t="str">
            <v/>
          </cell>
          <cell r="G3781" t="str">
            <v>PARTEQUIPOS MAQUINARIA S.A.S</v>
          </cell>
          <cell r="H3781" t="str">
            <v>IMVE</v>
          </cell>
          <cell r="I3781" t="str">
            <v>IMPUESTO SOBRE LAS VENTAS</v>
          </cell>
          <cell r="J3781" t="str">
            <v>DG 16  96 G 85</v>
          </cell>
          <cell r="K3781" t="str">
            <v>11001</v>
          </cell>
          <cell r="L3781" t="str">
            <v>BOGOTA DC</v>
          </cell>
          <cell r="M3781" t="str">
            <v>4926260</v>
          </cell>
        </row>
        <row r="3782">
          <cell r="A3782">
            <v>830117360</v>
          </cell>
          <cell r="B3782" t="str">
            <v>1</v>
          </cell>
          <cell r="C3782" t="str">
            <v/>
          </cell>
          <cell r="D3782" t="str">
            <v>NJ</v>
          </cell>
          <cell r="E3782" t="str">
            <v/>
          </cell>
          <cell r="F3782" t="str">
            <v/>
          </cell>
          <cell r="G3782" t="str">
            <v>INDUSTRIA DE EMPAQUETADURAS INDEPACK S.A.S.</v>
          </cell>
          <cell r="H3782" t="str">
            <v>IMVE</v>
          </cell>
          <cell r="I3782" t="str">
            <v>IMPUESTO SOBRE LAS VENTAS</v>
          </cell>
          <cell r="J3782" t="str">
            <v>CR 77 76 68</v>
          </cell>
          <cell r="K3782" t="str">
            <v>11001</v>
          </cell>
          <cell r="L3782" t="str">
            <v>BOGOTA DC</v>
          </cell>
          <cell r="M3782" t="str">
            <v>2243223</v>
          </cell>
        </row>
        <row r="3783">
          <cell r="A3783">
            <v>830117659</v>
          </cell>
          <cell r="B3783" t="str">
            <v>8</v>
          </cell>
          <cell r="C3783" t="str">
            <v/>
          </cell>
          <cell r="D3783" t="str">
            <v>NJ</v>
          </cell>
          <cell r="E3783" t="str">
            <v/>
          </cell>
          <cell r="F3783" t="str">
            <v/>
          </cell>
          <cell r="G3783" t="str">
            <v>FRC INGENIERIA S.A.S.</v>
          </cell>
          <cell r="H3783" t="str">
            <v>RECO</v>
          </cell>
          <cell r="I3783" t="str">
            <v>REGIMEN COMUN</v>
          </cell>
          <cell r="J3783" t="str">
            <v>CL 63 SUR 81 16 BRR BOSA LA PAZ</v>
          </cell>
          <cell r="K3783" t="str">
            <v>11001</v>
          </cell>
          <cell r="L3783" t="str">
            <v>BOGOTA DC</v>
          </cell>
          <cell r="M3783" t="str">
            <v>3175170198</v>
          </cell>
        </row>
        <row r="3784">
          <cell r="A3784">
            <v>830118111</v>
          </cell>
          <cell r="B3784" t="str">
            <v>9</v>
          </cell>
          <cell r="C3784" t="str">
            <v/>
          </cell>
          <cell r="D3784" t="str">
            <v>NJ</v>
          </cell>
          <cell r="E3784" t="str">
            <v/>
          </cell>
          <cell r="F3784" t="str">
            <v/>
          </cell>
          <cell r="G3784" t="str">
            <v>EQUINEHY SAS</v>
          </cell>
          <cell r="H3784" t="str">
            <v>IMVE</v>
          </cell>
          <cell r="I3784" t="str">
            <v>IMPUESTO SOBRE LAS VENTAS</v>
          </cell>
          <cell r="J3784" t="str">
            <v>CR 84 7 D 49</v>
          </cell>
          <cell r="K3784" t="str">
            <v>11001</v>
          </cell>
          <cell r="L3784" t="str">
            <v>BOGOTA DC</v>
          </cell>
          <cell r="M3784" t="str">
            <v>4004765</v>
          </cell>
        </row>
        <row r="3785">
          <cell r="A3785">
            <v>830118409</v>
          </cell>
          <cell r="B3785" t="str">
            <v>8</v>
          </cell>
          <cell r="C3785" t="str">
            <v/>
          </cell>
          <cell r="D3785" t="str">
            <v>NJ</v>
          </cell>
          <cell r="E3785" t="str">
            <v/>
          </cell>
          <cell r="F3785" t="str">
            <v/>
          </cell>
          <cell r="G3785" t="str">
            <v>AMERICA EMPRESARIAL LTDA O SIMPLEMENTE AMERICA EMPRESARIAL</v>
          </cell>
          <cell r="H3785" t="str">
            <v>RECO</v>
          </cell>
          <cell r="I3785" t="str">
            <v>REGIMEN COMUN</v>
          </cell>
          <cell r="J3785" t="str">
            <v>CL 93 18 28 OF 501 502</v>
          </cell>
          <cell r="K3785" t="str">
            <v>11001</v>
          </cell>
          <cell r="L3785" t="str">
            <v>BOGOTA DC</v>
          </cell>
          <cell r="M3785" t="str">
            <v>7440024</v>
          </cell>
        </row>
        <row r="3786">
          <cell r="A3786">
            <v>830118667</v>
          </cell>
          <cell r="B3786" t="str">
            <v>1</v>
          </cell>
          <cell r="C3786" t="str">
            <v/>
          </cell>
          <cell r="D3786" t="str">
            <v>NJ</v>
          </cell>
          <cell r="E3786" t="str">
            <v/>
          </cell>
          <cell r="F3786" t="str">
            <v/>
          </cell>
          <cell r="G3786" t="str">
            <v>A T I ASISTENCIA TECNICA INDUSTRIAL S.A.S</v>
          </cell>
          <cell r="H3786" t="str">
            <v>IMVE</v>
          </cell>
          <cell r="I3786" t="str">
            <v>IMPUESTO SOBRE LAS VENTAS</v>
          </cell>
          <cell r="J3786" t="str">
            <v xml:space="preserve"> CL 16 #14-41 OF 1107</v>
          </cell>
          <cell r="K3786" t="str">
            <v>15238</v>
          </cell>
          <cell r="L3786" t="str">
            <v>DUITAMA</v>
          </cell>
          <cell r="M3786" t="str">
            <v>7626820</v>
          </cell>
        </row>
        <row r="3787">
          <cell r="A3787">
            <v>830119905</v>
          </cell>
          <cell r="B3787" t="str">
            <v>4</v>
          </cell>
          <cell r="C3787" t="str">
            <v/>
          </cell>
          <cell r="D3787" t="str">
            <v>NJ</v>
          </cell>
          <cell r="E3787" t="str">
            <v/>
          </cell>
          <cell r="F3787" t="str">
            <v/>
          </cell>
          <cell r="G3787" t="str">
            <v>FUSSAND S.A.S.</v>
          </cell>
          <cell r="H3787" t="str">
            <v>IMVE</v>
          </cell>
          <cell r="I3787" t="str">
            <v>IMPUESTO SOBRE LAS VENTAS</v>
          </cell>
          <cell r="J3787" t="str">
            <v>CL 72 A  60 19</v>
          </cell>
          <cell r="K3787" t="str">
            <v>11001</v>
          </cell>
          <cell r="L3787" t="str">
            <v>BOGOTA DC</v>
          </cell>
          <cell r="M3787" t="str">
            <v>6302111</v>
          </cell>
        </row>
        <row r="3788">
          <cell r="A3788">
            <v>830122210</v>
          </cell>
          <cell r="B3788" t="str">
            <v>5</v>
          </cell>
          <cell r="C3788" t="str">
            <v/>
          </cell>
          <cell r="D3788" t="str">
            <v>NJ</v>
          </cell>
          <cell r="E3788" t="str">
            <v/>
          </cell>
          <cell r="F3788" t="str">
            <v/>
          </cell>
          <cell r="G3788" t="str">
            <v>KIMAC LTDA</v>
          </cell>
          <cell r="H3788" t="str">
            <v>RECO</v>
          </cell>
          <cell r="I3788" t="str">
            <v>REGIMEN COMUN</v>
          </cell>
          <cell r="J3788" t="str">
            <v>CR 50   71 A 62</v>
          </cell>
          <cell r="K3788" t="str">
            <v>11001</v>
          </cell>
          <cell r="L3788" t="str">
            <v>BOGOTA DC</v>
          </cell>
          <cell r="M3788" t="str">
            <v>6606942</v>
          </cell>
        </row>
        <row r="3789">
          <cell r="A3789">
            <v>830122566</v>
          </cell>
          <cell r="B3789" t="str">
            <v>1</v>
          </cell>
          <cell r="C3789" t="str">
            <v/>
          </cell>
          <cell r="D3789" t="str">
            <v>NJ</v>
          </cell>
          <cell r="E3789" t="str">
            <v/>
          </cell>
          <cell r="F3789" t="str">
            <v/>
          </cell>
          <cell r="G3789" t="str">
            <v xml:space="preserve">COLOMBIA TELECOMUNICACIONES S.A. E.S.P.                     </v>
          </cell>
          <cell r="H3789" t="str">
            <v>GRAU</v>
          </cell>
          <cell r="I3789" t="str">
            <v>GRAN CONTRIBUYENTE AUTORRETENEDO</v>
          </cell>
          <cell r="J3789" t="str">
            <v>TV 60 (AV  SUBA) N 114 A  55</v>
          </cell>
          <cell r="K3789" t="str">
            <v>11001</v>
          </cell>
          <cell r="L3789" t="str">
            <v>BOGOTA DC</v>
          </cell>
          <cell r="M3789" t="str">
            <v>15935399</v>
          </cell>
        </row>
        <row r="3790">
          <cell r="A3790">
            <v>830122835</v>
          </cell>
          <cell r="B3790" t="str">
            <v>8</v>
          </cell>
          <cell r="C3790" t="str">
            <v/>
          </cell>
          <cell r="D3790" t="str">
            <v>NJ</v>
          </cell>
          <cell r="E3790" t="str">
            <v/>
          </cell>
          <cell r="F3790" t="str">
            <v/>
          </cell>
          <cell r="G3790" t="str">
            <v>CIPRO COMPAÑIA DE INGENIERIA Y PROYECTOS LTDA</v>
          </cell>
          <cell r="H3790" t="str">
            <v>RECO</v>
          </cell>
          <cell r="I3790" t="str">
            <v>REGIMEN COMUN</v>
          </cell>
          <cell r="J3790" t="str">
            <v>CL 77 A 76 39</v>
          </cell>
          <cell r="K3790" t="str">
            <v>11001</v>
          </cell>
          <cell r="L3790" t="str">
            <v>BOGOTA DC</v>
          </cell>
          <cell r="M3790" t="str">
            <v>4308716</v>
          </cell>
        </row>
        <row r="3791">
          <cell r="A3791">
            <v>830122983</v>
          </cell>
          <cell r="B3791" t="str">
            <v>1</v>
          </cell>
          <cell r="C3791" t="str">
            <v/>
          </cell>
          <cell r="D3791" t="str">
            <v>NJ</v>
          </cell>
          <cell r="E3791" t="str">
            <v/>
          </cell>
          <cell r="F3791" t="str">
            <v/>
          </cell>
          <cell r="G3791" t="str">
            <v>ESRI COLOMBIA SAS</v>
          </cell>
          <cell r="H3791" t="str">
            <v>IMVE</v>
          </cell>
          <cell r="I3791" t="str">
            <v>IMPUESTO SOBRE LAS VENTAS</v>
          </cell>
          <cell r="J3791" t="str">
            <v>CL 90  13 40 P 5</v>
          </cell>
          <cell r="K3791" t="str">
            <v>11001</v>
          </cell>
          <cell r="L3791" t="str">
            <v>BOGOTA DC</v>
          </cell>
          <cell r="M3791" t="str">
            <v>6501550</v>
          </cell>
        </row>
        <row r="3792">
          <cell r="A3792">
            <v>830123182</v>
          </cell>
          <cell r="B3792" t="str">
            <v>1</v>
          </cell>
          <cell r="C3792" t="str">
            <v/>
          </cell>
          <cell r="D3792" t="str">
            <v>NJ</v>
          </cell>
          <cell r="E3792" t="str">
            <v/>
          </cell>
          <cell r="F3792" t="str">
            <v/>
          </cell>
          <cell r="G3792" t="str">
            <v>LASEA SOLUCIONES EU</v>
          </cell>
          <cell r="H3792" t="str">
            <v>RECO</v>
          </cell>
          <cell r="I3792" t="str">
            <v>REGIMEN COMUN</v>
          </cell>
          <cell r="J3792" t="str">
            <v>CL 151 8 84 IN 38 BRR CEDRO GOLF</v>
          </cell>
          <cell r="K3792" t="str">
            <v>11001</v>
          </cell>
          <cell r="L3792" t="str">
            <v>BOGOTA DC</v>
          </cell>
          <cell r="M3792" t="str">
            <v>2929329</v>
          </cell>
        </row>
        <row r="3793">
          <cell r="A3793">
            <v>830123869</v>
          </cell>
          <cell r="B3793" t="str">
            <v>2</v>
          </cell>
          <cell r="C3793" t="str">
            <v/>
          </cell>
          <cell r="D3793" t="str">
            <v>NJ</v>
          </cell>
          <cell r="E3793" t="str">
            <v/>
          </cell>
          <cell r="F3793" t="str">
            <v/>
          </cell>
          <cell r="G3793" t="str">
            <v>SAUFER SOLUCIONES LTDA.</v>
          </cell>
          <cell r="H3793" t="str">
            <v>IMVE</v>
          </cell>
          <cell r="I3793" t="str">
            <v>IMPUESTO SOBRE LAS VENTAS</v>
          </cell>
          <cell r="J3793" t="str">
            <v>CL 2 18 93  MZ P 5 BG 50</v>
          </cell>
          <cell r="K3793" t="str">
            <v>52473</v>
          </cell>
          <cell r="L3793" t="str">
            <v>MOSQUERA</v>
          </cell>
          <cell r="M3793" t="str">
            <v>4190600</v>
          </cell>
        </row>
        <row r="3794">
          <cell r="A3794">
            <v>830124312</v>
          </cell>
          <cell r="B3794" t="str">
            <v>7</v>
          </cell>
          <cell r="C3794" t="str">
            <v/>
          </cell>
          <cell r="D3794" t="str">
            <v>NJ</v>
          </cell>
          <cell r="E3794" t="str">
            <v/>
          </cell>
          <cell r="F3794" t="str">
            <v/>
          </cell>
          <cell r="G3794" t="str">
            <v>NESITELCO S.A</v>
          </cell>
          <cell r="H3794" t="str">
            <v>RECO</v>
          </cell>
          <cell r="I3794" t="str">
            <v>REGIMEN COMUN</v>
          </cell>
          <cell r="J3794" t="str">
            <v>KM 7 AUT MEDELLIN CELTA TRADE PARK LT 62 BG 3</v>
          </cell>
          <cell r="K3794" t="str">
            <v>11001</v>
          </cell>
          <cell r="L3794" t="str">
            <v>BOGOTA DC</v>
          </cell>
          <cell r="M3794" t="str">
            <v>3123302804</v>
          </cell>
        </row>
        <row r="3795">
          <cell r="A3795">
            <v>830125996</v>
          </cell>
          <cell r="B3795" t="str">
            <v>9</v>
          </cell>
          <cell r="C3795" t="str">
            <v>14300000</v>
          </cell>
          <cell r="D3795" t="str">
            <v>NJ</v>
          </cell>
          <cell r="E3795" t="str">
            <v/>
          </cell>
          <cell r="F3795" t="str">
            <v/>
          </cell>
          <cell r="G3795" t="str">
            <v>AGENCIA NACIONA DE INFRAESTRUCTURA</v>
          </cell>
          <cell r="H3795" t="str">
            <v>GRCO</v>
          </cell>
          <cell r="I3795" t="str">
            <v>GRAN CONTRIBUYENTE</v>
          </cell>
          <cell r="J3795" t="str">
            <v>AV CL 26 59 51 TO 4 P 2</v>
          </cell>
          <cell r="K3795" t="str">
            <v>11001</v>
          </cell>
          <cell r="L3795" t="str">
            <v>BOGOTA DC</v>
          </cell>
          <cell r="M3795" t="str">
            <v>4848860</v>
          </cell>
        </row>
        <row r="3796">
          <cell r="A3796">
            <v>830126219</v>
          </cell>
          <cell r="B3796" t="str">
            <v>9</v>
          </cell>
          <cell r="C3796" t="str">
            <v/>
          </cell>
          <cell r="D3796" t="str">
            <v>NJ</v>
          </cell>
          <cell r="E3796" t="str">
            <v/>
          </cell>
          <cell r="F3796" t="str">
            <v/>
          </cell>
          <cell r="G3796" t="str">
            <v xml:space="preserve">TELMETERGY LTDA.                                            </v>
          </cell>
          <cell r="H3796" t="str">
            <v>IMVE</v>
          </cell>
          <cell r="I3796" t="str">
            <v>IMPUESTO SOBRE LAS VENTAS</v>
          </cell>
          <cell r="J3796" t="str">
            <v>CL 19 97 31 OF 405</v>
          </cell>
          <cell r="K3796" t="str">
            <v>11001</v>
          </cell>
          <cell r="L3796" t="str">
            <v>BOGOTA DC</v>
          </cell>
          <cell r="M3796" t="str">
            <v>6353835</v>
          </cell>
        </row>
        <row r="3797">
          <cell r="A3797">
            <v>830126518</v>
          </cell>
          <cell r="B3797" t="str">
            <v>6</v>
          </cell>
          <cell r="C3797" t="str">
            <v/>
          </cell>
          <cell r="D3797" t="str">
            <v>NJ</v>
          </cell>
          <cell r="E3797" t="str">
            <v/>
          </cell>
          <cell r="F3797" t="str">
            <v/>
          </cell>
          <cell r="G3797" t="str">
            <v>FUNDACION SOCIO ECONOMICA LATINOAMERICANA</v>
          </cell>
          <cell r="H3797" t="str">
            <v>RECO</v>
          </cell>
          <cell r="I3797" t="str">
            <v>REGIMEN COMUN</v>
          </cell>
          <cell r="J3797" t="str">
            <v>CL 121 6 46 OF 245 BRR USAQUEN</v>
          </cell>
          <cell r="K3797" t="str">
            <v>11001</v>
          </cell>
          <cell r="L3797" t="str">
            <v>BOGOTA DC</v>
          </cell>
          <cell r="M3797" t="str">
            <v>3006641741</v>
          </cell>
        </row>
        <row r="3798">
          <cell r="A3798">
            <v>830126635</v>
          </cell>
          <cell r="B3798" t="str">
            <v>1</v>
          </cell>
          <cell r="C3798" t="str">
            <v/>
          </cell>
          <cell r="D3798" t="str">
            <v>NJ</v>
          </cell>
          <cell r="E3798" t="str">
            <v/>
          </cell>
          <cell r="F3798" t="str">
            <v/>
          </cell>
          <cell r="G3798" t="str">
            <v>SCADA Y TECNOLOGIA S.A.S.</v>
          </cell>
          <cell r="H3798" t="str">
            <v>IMVE</v>
          </cell>
          <cell r="I3798" t="str">
            <v>IMPUESTO SOBRE LAS VENTAS</v>
          </cell>
          <cell r="J3798" t="str">
            <v xml:space="preserve"> CL 124  18  78 501</v>
          </cell>
          <cell r="K3798" t="str">
            <v>11001</v>
          </cell>
          <cell r="L3798" t="str">
            <v>BOGOTA DC</v>
          </cell>
          <cell r="M3798" t="str">
            <v>3105608931</v>
          </cell>
        </row>
        <row r="3799">
          <cell r="A3799">
            <v>830126874</v>
          </cell>
          <cell r="B3799" t="str">
            <v>3</v>
          </cell>
          <cell r="C3799" t="str">
            <v/>
          </cell>
          <cell r="D3799" t="str">
            <v>NJ</v>
          </cell>
          <cell r="E3799" t="str">
            <v/>
          </cell>
          <cell r="F3799" t="str">
            <v/>
          </cell>
          <cell r="G3799" t="str">
            <v>PRODUCTOS Y SOLUCIONES COLMUCOL S.A.S.</v>
          </cell>
          <cell r="H3799" t="str">
            <v>RECO</v>
          </cell>
          <cell r="I3799" t="str">
            <v>REGIMEN COMUN</v>
          </cell>
          <cell r="J3799" t="str">
            <v>CL 57 13 27 OF 505 BRR CHAPINERO</v>
          </cell>
          <cell r="K3799" t="str">
            <v>03</v>
          </cell>
          <cell r="L3799" t="str">
            <v>BOGOTA</v>
          </cell>
          <cell r="M3799" t="str">
            <v>6424744</v>
          </cell>
        </row>
        <row r="3800">
          <cell r="A3800">
            <v>830128335</v>
          </cell>
          <cell r="B3800" t="str">
            <v>4</v>
          </cell>
          <cell r="C3800" t="str">
            <v/>
          </cell>
          <cell r="D3800" t="str">
            <v>NJ</v>
          </cell>
          <cell r="E3800" t="str">
            <v/>
          </cell>
          <cell r="F3800" t="str">
            <v/>
          </cell>
          <cell r="G3800" t="str">
            <v>CORPORACION CIVICA SANTA BARBARA</v>
          </cell>
          <cell r="H3800" t="str">
            <v>RECO</v>
          </cell>
          <cell r="I3800" t="str">
            <v>REGIMEN COMUN</v>
          </cell>
          <cell r="J3800" t="str">
            <v>CL 116   9   95</v>
          </cell>
          <cell r="K3800" t="str">
            <v>11001</v>
          </cell>
          <cell r="L3800" t="str">
            <v>BOGOTA DC</v>
          </cell>
          <cell r="M3800" t="str">
            <v>4425365</v>
          </cell>
        </row>
        <row r="3801">
          <cell r="A3801">
            <v>830128434</v>
          </cell>
          <cell r="B3801" t="str">
            <v>5</v>
          </cell>
          <cell r="C3801" t="str">
            <v/>
          </cell>
          <cell r="D3801" t="str">
            <v>NJ</v>
          </cell>
          <cell r="E3801" t="str">
            <v/>
          </cell>
          <cell r="F3801" t="str">
            <v/>
          </cell>
          <cell r="G3801" t="str">
            <v>WEG COLOMBIA SAS</v>
          </cell>
          <cell r="H3801" t="str">
            <v>GRCO</v>
          </cell>
          <cell r="I3801" t="str">
            <v>GRAN CONTRIBUYENTE</v>
          </cell>
          <cell r="J3801" t="str">
            <v>KM 2 CARR SIBERIA-TENJO MZ 2 OF2 PAR TLC TERMINALES LOGISTICOS D</v>
          </cell>
          <cell r="K3801" t="str">
            <v>25214</v>
          </cell>
          <cell r="L3801" t="str">
            <v>COTA</v>
          </cell>
          <cell r="M3801" t="str">
            <v>3074820</v>
          </cell>
        </row>
        <row r="3802">
          <cell r="A3802">
            <v>830129277</v>
          </cell>
          <cell r="B3802" t="str">
            <v>1</v>
          </cell>
          <cell r="C3802" t="str">
            <v/>
          </cell>
          <cell r="D3802" t="str">
            <v>NJ</v>
          </cell>
          <cell r="E3802" t="str">
            <v/>
          </cell>
          <cell r="F3802" t="str">
            <v/>
          </cell>
          <cell r="G3802" t="str">
            <v>TERMOYOPAL GENERACIÓN 2 SAS ESP</v>
          </cell>
          <cell r="H3802" t="str">
            <v>GRCO</v>
          </cell>
          <cell r="I3802" t="str">
            <v>GRAN CONTRIBUYENTE</v>
          </cell>
          <cell r="J3802" t="str">
            <v>CR 14 93 B 32 OF 204</v>
          </cell>
          <cell r="K3802" t="str">
            <v>11001</v>
          </cell>
          <cell r="L3802" t="str">
            <v>BOGOTA DC</v>
          </cell>
          <cell r="M3802" t="str">
            <v>5188427</v>
          </cell>
        </row>
        <row r="3803">
          <cell r="A3803">
            <v>830129831</v>
          </cell>
          <cell r="B3803" t="str">
            <v>0</v>
          </cell>
          <cell r="C3803" t="str">
            <v/>
          </cell>
          <cell r="D3803" t="str">
            <v>NJ</v>
          </cell>
          <cell r="E3803" t="str">
            <v/>
          </cell>
          <cell r="F3803" t="str">
            <v/>
          </cell>
          <cell r="G3803" t="str">
            <v>FUNDACIÓN DE EGRESADOS DE LA UNIVERSIDAD DISTRITAL</v>
          </cell>
          <cell r="H3803" t="str">
            <v>IMVE</v>
          </cell>
          <cell r="I3803" t="str">
            <v>IMPUESTO SOBRE LAS VENTAS</v>
          </cell>
          <cell r="J3803" t="str">
            <v xml:space="preserve"> CR 20 32 A 45</v>
          </cell>
          <cell r="K3803" t="str">
            <v>11001</v>
          </cell>
          <cell r="L3803" t="str">
            <v>BOGOTA DC</v>
          </cell>
          <cell r="M3803" t="str">
            <v>3015692958</v>
          </cell>
        </row>
        <row r="3804">
          <cell r="A3804">
            <v>830129869</v>
          </cell>
          <cell r="B3804" t="str">
            <v>1</v>
          </cell>
          <cell r="C3804" t="str">
            <v/>
          </cell>
          <cell r="D3804" t="str">
            <v>NJ</v>
          </cell>
          <cell r="E3804" t="str">
            <v/>
          </cell>
          <cell r="F3804" t="str">
            <v/>
          </cell>
          <cell r="G3804" t="str">
            <v>ASESORIAS Y CONSULTORIAS INTEGRALES DE PROYECTOS S.A.S</v>
          </cell>
          <cell r="H3804" t="str">
            <v>RECO</v>
          </cell>
          <cell r="I3804" t="str">
            <v>REGIMEN COMUN</v>
          </cell>
          <cell r="J3804" t="str">
            <v>C R 14 81 19 O F 404</v>
          </cell>
          <cell r="K3804" t="str">
            <v>11001</v>
          </cell>
          <cell r="L3804" t="str">
            <v>BOGOTA DC</v>
          </cell>
          <cell r="M3804" t="str">
            <v>6444222</v>
          </cell>
        </row>
        <row r="3805">
          <cell r="A3805">
            <v>830130106</v>
          </cell>
          <cell r="B3805" t="str">
            <v>0</v>
          </cell>
          <cell r="C3805" t="str">
            <v/>
          </cell>
          <cell r="D3805" t="str">
            <v>NJ</v>
          </cell>
          <cell r="E3805" t="str">
            <v/>
          </cell>
          <cell r="F3805" t="str">
            <v/>
          </cell>
          <cell r="G3805" t="str">
            <v>SOENERGY INTERNATIONAL COLOMBIA SAS</v>
          </cell>
          <cell r="H3805" t="str">
            <v>GRCO</v>
          </cell>
          <cell r="I3805" t="str">
            <v>GRAN CONTRIBUYENTE</v>
          </cell>
          <cell r="J3805" t="str">
            <v>CL 98 A 51 69 BRR CASTELLANA</v>
          </cell>
          <cell r="K3805" t="str">
            <v>11001</v>
          </cell>
          <cell r="L3805" t="str">
            <v>BOGOTA DC</v>
          </cell>
          <cell r="M3805" t="str">
            <v>6231077</v>
          </cell>
        </row>
        <row r="3806">
          <cell r="A3806">
            <v>830130676</v>
          </cell>
          <cell r="B3806" t="str">
            <v>7</v>
          </cell>
          <cell r="C3806" t="str">
            <v/>
          </cell>
          <cell r="D3806" t="str">
            <v>NJ</v>
          </cell>
          <cell r="E3806" t="str">
            <v/>
          </cell>
          <cell r="F3806" t="str">
            <v/>
          </cell>
          <cell r="G3806" t="str">
            <v>L G SERVICIOS DE INGENIERIA ESPECIALIZADA S.A.S</v>
          </cell>
          <cell r="H3806" t="str">
            <v>IMVE</v>
          </cell>
          <cell r="I3806" t="str">
            <v>IMPUESTO SOBRE LAS VENTAS</v>
          </cell>
          <cell r="J3806" t="str">
            <v xml:space="preserve"> C R 71 54 33</v>
          </cell>
          <cell r="K3806" t="str">
            <v>11001</v>
          </cell>
          <cell r="L3806" t="str">
            <v>BOGOTA DC</v>
          </cell>
          <cell r="M3806" t="str">
            <v>3157908225</v>
          </cell>
        </row>
        <row r="3807">
          <cell r="A3807">
            <v>830130849</v>
          </cell>
          <cell r="B3807" t="str">
            <v>4</v>
          </cell>
          <cell r="C3807" t="str">
            <v/>
          </cell>
          <cell r="D3807" t="str">
            <v>NJ</v>
          </cell>
          <cell r="E3807" t="str">
            <v/>
          </cell>
          <cell r="F3807" t="str">
            <v/>
          </cell>
          <cell r="G3807" t="str">
            <v>PRISCOL SALS</v>
          </cell>
          <cell r="H3807" t="str">
            <v>RECO</v>
          </cell>
          <cell r="I3807" t="str">
            <v>REGIMEN COMUN</v>
          </cell>
          <cell r="J3807" t="str">
            <v>CL 12 7-32 BRR CENTRO</v>
          </cell>
          <cell r="K3807" t="str">
            <v>11001</v>
          </cell>
          <cell r="L3807" t="str">
            <v>BOGOTA DC</v>
          </cell>
          <cell r="M3807" t="str">
            <v>3341926</v>
          </cell>
        </row>
        <row r="3808">
          <cell r="A3808">
            <v>830131572</v>
          </cell>
          <cell r="B3808" t="str">
            <v>4</v>
          </cell>
          <cell r="C3808" t="str">
            <v/>
          </cell>
          <cell r="D3808" t="str">
            <v>NJ</v>
          </cell>
          <cell r="E3808" t="str">
            <v/>
          </cell>
          <cell r="F3808" t="str">
            <v/>
          </cell>
          <cell r="G3808" t="str">
            <v>COJARDIN S A ESP</v>
          </cell>
          <cell r="H3808" t="str">
            <v>IMVE</v>
          </cell>
          <cell r="I3808" t="str">
            <v>IMPUESTO SOBRE LAS VENTAS</v>
          </cell>
          <cell r="J3808" t="str">
            <v xml:space="preserve"> CR 54 221 89</v>
          </cell>
          <cell r="K3808" t="str">
            <v>11001</v>
          </cell>
          <cell r="L3808" t="str">
            <v>BOGOTA DC</v>
          </cell>
          <cell r="M3808" t="str">
            <v>7441106</v>
          </cell>
        </row>
        <row r="3809">
          <cell r="A3809">
            <v>830131935</v>
          </cell>
          <cell r="B3809" t="str">
            <v>4</v>
          </cell>
          <cell r="C3809" t="str">
            <v/>
          </cell>
          <cell r="D3809" t="str">
            <v>NJ</v>
          </cell>
          <cell r="E3809" t="str">
            <v/>
          </cell>
          <cell r="F3809" t="str">
            <v/>
          </cell>
          <cell r="G3809" t="str">
            <v>TRANSPORTE LOYOLA SAS</v>
          </cell>
          <cell r="H3809" t="str">
            <v>REOR</v>
          </cell>
          <cell r="I3809" t="str">
            <v>RENTA REGIMEN ORDINARIO</v>
          </cell>
          <cell r="J3809" t="str">
            <v>AK 28   39   62</v>
          </cell>
          <cell r="K3809" t="str">
            <v>11001</v>
          </cell>
          <cell r="L3809" t="str">
            <v>BOGOTA DC</v>
          </cell>
          <cell r="M3809" t="str">
            <v>2873766</v>
          </cell>
        </row>
        <row r="3810">
          <cell r="A3810">
            <v>830131993</v>
          </cell>
          <cell r="B3810" t="str">
            <v>1</v>
          </cell>
          <cell r="C3810" t="str">
            <v/>
          </cell>
          <cell r="D3810" t="str">
            <v>NJ</v>
          </cell>
          <cell r="E3810" t="str">
            <v/>
          </cell>
          <cell r="F3810" t="str">
            <v/>
          </cell>
          <cell r="G3810" t="str">
            <v>EFECTIVO LIMITADA</v>
          </cell>
          <cell r="H3810" t="str">
            <v>GRCO</v>
          </cell>
          <cell r="I3810" t="str">
            <v>GRAN CONTRIBUYENTE</v>
          </cell>
          <cell r="J3810" t="str">
            <v>CALLE  96 N 12 55</v>
          </cell>
          <cell r="K3810" t="str">
            <v>11001</v>
          </cell>
          <cell r="L3810" t="str">
            <v>BOGOTA DC</v>
          </cell>
          <cell r="M3810" t="str">
            <v>6341900</v>
          </cell>
        </row>
        <row r="3811">
          <cell r="A3811">
            <v>830133309</v>
          </cell>
          <cell r="B3811" t="str">
            <v>2</v>
          </cell>
          <cell r="C3811" t="str">
            <v/>
          </cell>
          <cell r="D3811" t="str">
            <v>NJ</v>
          </cell>
          <cell r="E3811" t="str">
            <v/>
          </cell>
          <cell r="F3811" t="str">
            <v/>
          </cell>
          <cell r="G3811" t="str">
            <v>VECTORS AND PEST MANAGEMENT LTDA</v>
          </cell>
          <cell r="H3811" t="str">
            <v>RECO</v>
          </cell>
          <cell r="I3811" t="str">
            <v>REGIMEN COMUN</v>
          </cell>
          <cell r="J3811" t="str">
            <v>CL 98  22 64 OF 610</v>
          </cell>
          <cell r="K3811" t="str">
            <v>11001</v>
          </cell>
          <cell r="L3811" t="str">
            <v>BOGOTA DC</v>
          </cell>
          <cell r="M3811" t="str">
            <v>4897390</v>
          </cell>
        </row>
        <row r="3812">
          <cell r="A3812">
            <v>830133588</v>
          </cell>
          <cell r="B3812" t="str">
            <v>0</v>
          </cell>
          <cell r="C3812" t="str">
            <v/>
          </cell>
          <cell r="D3812" t="str">
            <v>NJ</v>
          </cell>
          <cell r="E3812" t="str">
            <v/>
          </cell>
          <cell r="F3812" t="str">
            <v/>
          </cell>
          <cell r="G3812" t="str">
            <v>A &amp; CI SAS</v>
          </cell>
          <cell r="H3812" t="str">
            <v>IMVE</v>
          </cell>
          <cell r="I3812" t="str">
            <v>IMPUESTO SOBRE LAS VENTAS</v>
          </cell>
          <cell r="J3812" t="str">
            <v xml:space="preserve"> CR 81 D 25 D 19</v>
          </cell>
          <cell r="K3812" t="str">
            <v>11001</v>
          </cell>
          <cell r="L3812" t="str">
            <v>BOGOTA DC</v>
          </cell>
          <cell r="M3812" t="str">
            <v>4109502</v>
          </cell>
        </row>
        <row r="3813">
          <cell r="A3813">
            <v>830134580</v>
          </cell>
          <cell r="B3813" t="str">
            <v>7</v>
          </cell>
          <cell r="C3813" t="str">
            <v/>
          </cell>
          <cell r="D3813" t="str">
            <v>NJ</v>
          </cell>
          <cell r="E3813" t="str">
            <v/>
          </cell>
          <cell r="F3813" t="str">
            <v/>
          </cell>
          <cell r="G3813" t="str">
            <v>PROMONOVELTY S.A.S</v>
          </cell>
          <cell r="H3813" t="str">
            <v>RECO</v>
          </cell>
          <cell r="I3813" t="str">
            <v>REGIMEN COMUN</v>
          </cell>
          <cell r="J3813" t="str">
            <v>CR 7   180   75 MD 3 BG 11 Y 12</v>
          </cell>
          <cell r="K3813" t="str">
            <v>11001</v>
          </cell>
          <cell r="L3813" t="str">
            <v>BOGOTA DC</v>
          </cell>
          <cell r="M3813" t="str">
            <v>526 9939</v>
          </cell>
        </row>
        <row r="3814">
          <cell r="A3814">
            <v>830135600</v>
          </cell>
          <cell r="B3814" t="str">
            <v>0</v>
          </cell>
          <cell r="C3814" t="str">
            <v/>
          </cell>
          <cell r="D3814" t="str">
            <v>NJ</v>
          </cell>
          <cell r="E3814" t="str">
            <v/>
          </cell>
          <cell r="F3814" t="str">
            <v/>
          </cell>
          <cell r="G3814" t="str">
            <v>CYCEL COLOMBIA SAS</v>
          </cell>
          <cell r="H3814" t="str">
            <v>IMVE</v>
          </cell>
          <cell r="I3814" t="str">
            <v>IMPUESTO SOBRE LAS VENTAS</v>
          </cell>
          <cell r="J3814" t="str">
            <v xml:space="preserve"> CL 8 22 04 BRR PABLO EMILIO</v>
          </cell>
          <cell r="K3814" t="str">
            <v>50006</v>
          </cell>
          <cell r="L3814" t="str">
            <v>META</v>
          </cell>
          <cell r="M3814" t="str">
            <v>3105503832</v>
          </cell>
        </row>
        <row r="3815">
          <cell r="A3815">
            <v>830135709</v>
          </cell>
          <cell r="B3815" t="str">
            <v>4</v>
          </cell>
          <cell r="C3815" t="str">
            <v/>
          </cell>
          <cell r="D3815" t="str">
            <v>NJ</v>
          </cell>
          <cell r="E3815" t="str">
            <v/>
          </cell>
          <cell r="F3815" t="str">
            <v/>
          </cell>
          <cell r="G3815" t="str">
            <v>FERRETERIA RHINO S.A</v>
          </cell>
          <cell r="H3815" t="str">
            <v>IMVE</v>
          </cell>
          <cell r="I3815" t="str">
            <v>IMPUESTO SOBRE LAS VENTAS</v>
          </cell>
          <cell r="J3815" t="str">
            <v>CR 25 15 58 60</v>
          </cell>
          <cell r="K3815" t="str">
            <v>11001</v>
          </cell>
          <cell r="L3815" t="str">
            <v>BOGOTA DC</v>
          </cell>
          <cell r="M3815" t="str">
            <v>3604947</v>
          </cell>
        </row>
        <row r="3816">
          <cell r="A3816">
            <v>830136498</v>
          </cell>
          <cell r="B3816" t="str">
            <v>1</v>
          </cell>
          <cell r="C3816" t="str">
            <v/>
          </cell>
          <cell r="D3816" t="str">
            <v>NJ</v>
          </cell>
          <cell r="E3816" t="str">
            <v/>
          </cell>
          <cell r="F3816" t="str">
            <v/>
          </cell>
          <cell r="G3816" t="str">
            <v>SEAL HOUSE SAS</v>
          </cell>
          <cell r="H3816" t="str">
            <v>RECO</v>
          </cell>
          <cell r="I3816" t="str">
            <v>REGIMEN COMUN</v>
          </cell>
          <cell r="J3816" t="str">
            <v>CL 15 25 83</v>
          </cell>
          <cell r="K3816" t="str">
            <v>11001</v>
          </cell>
          <cell r="L3816" t="str">
            <v>BOGOTA DC</v>
          </cell>
          <cell r="M3816" t="str">
            <v>7469801</v>
          </cell>
        </row>
        <row r="3817">
          <cell r="A3817">
            <v>830136779</v>
          </cell>
          <cell r="B3817" t="str">
            <v>4</v>
          </cell>
          <cell r="C3817" t="str">
            <v/>
          </cell>
          <cell r="D3817" t="str">
            <v>NJ</v>
          </cell>
          <cell r="E3817" t="str">
            <v/>
          </cell>
          <cell r="F3817" t="str">
            <v/>
          </cell>
          <cell r="G3817" t="str">
            <v>DATUM INGENIERIA SAS</v>
          </cell>
          <cell r="H3817" t="str">
            <v>IMVE</v>
          </cell>
          <cell r="I3817" t="str">
            <v>IMPUESTO SOBRE LAS VENTAS</v>
          </cell>
          <cell r="J3817" t="str">
            <v>CL 46 67 04</v>
          </cell>
          <cell r="K3817" t="str">
            <v>03</v>
          </cell>
          <cell r="L3817" t="str">
            <v>BOGOTA</v>
          </cell>
          <cell r="M3817" t="str">
            <v>7431989</v>
          </cell>
        </row>
        <row r="3818">
          <cell r="A3818">
            <v>830136799</v>
          </cell>
          <cell r="B3818" t="str">
            <v>1</v>
          </cell>
          <cell r="C3818" t="str">
            <v/>
          </cell>
          <cell r="D3818" t="str">
            <v>NJ</v>
          </cell>
          <cell r="E3818" t="str">
            <v/>
          </cell>
          <cell r="F3818" t="str">
            <v/>
          </cell>
          <cell r="G3818" t="str">
            <v>BIOMAX BIOCOMBUSTIBLE SA</v>
          </cell>
          <cell r="H3818" t="str">
            <v>GRAU</v>
          </cell>
          <cell r="I3818" t="str">
            <v>GRAN CONTRIBUYENTE AUTORRETENEDO</v>
          </cell>
          <cell r="J3818" t="str">
            <v>CR 14 99 33 P 8 TO BIOMAX</v>
          </cell>
          <cell r="K3818" t="str">
            <v>11001</v>
          </cell>
          <cell r="L3818" t="str">
            <v>BOGOTA DC</v>
          </cell>
          <cell r="M3818" t="str">
            <v>3798000</v>
          </cell>
        </row>
        <row r="3819">
          <cell r="A3819">
            <v>830136984</v>
          </cell>
          <cell r="B3819" t="str">
            <v>8</v>
          </cell>
          <cell r="C3819" t="str">
            <v/>
          </cell>
          <cell r="D3819" t="str">
            <v>NJ</v>
          </cell>
          <cell r="E3819" t="str">
            <v/>
          </cell>
          <cell r="F3819" t="str">
            <v/>
          </cell>
          <cell r="G3819" t="str">
            <v>CONSTRUCTORA VMJ LTDA</v>
          </cell>
          <cell r="H3819" t="str">
            <v>RECO</v>
          </cell>
          <cell r="I3819" t="str">
            <v>REGIMEN COMUN</v>
          </cell>
          <cell r="J3819" t="str">
            <v>CL 3   2  43  OF 110 CENTRO EMPRESARIAL CAJICA</v>
          </cell>
          <cell r="K3819" t="str">
            <v>17001</v>
          </cell>
          <cell r="L3819" t="str">
            <v>MANIZALES</v>
          </cell>
          <cell r="M3819" t="str">
            <v>2160649</v>
          </cell>
        </row>
        <row r="3820">
          <cell r="A3820">
            <v>830137163</v>
          </cell>
          <cell r="B3820" t="str">
            <v>2</v>
          </cell>
          <cell r="C3820" t="str">
            <v/>
          </cell>
          <cell r="D3820" t="str">
            <v>NJ</v>
          </cell>
          <cell r="E3820" t="str">
            <v/>
          </cell>
          <cell r="F3820" t="str">
            <v/>
          </cell>
          <cell r="G3820" t="str">
            <v>MUNDIAL DE LIJAS Y ESMERILES E.U</v>
          </cell>
          <cell r="H3820" t="str">
            <v>RECO</v>
          </cell>
          <cell r="I3820" t="str">
            <v>REGIMEN COMUN</v>
          </cell>
          <cell r="J3820" t="str">
            <v>CR 22 17 59</v>
          </cell>
          <cell r="K3820" t="str">
            <v>11001</v>
          </cell>
          <cell r="L3820" t="str">
            <v>BOGOTA DC</v>
          </cell>
          <cell r="M3820" t="str">
            <v>3504815061</v>
          </cell>
        </row>
        <row r="3821">
          <cell r="A3821">
            <v>830137513</v>
          </cell>
          <cell r="B3821" t="str">
            <v>7</v>
          </cell>
          <cell r="C3821" t="str">
            <v/>
          </cell>
          <cell r="D3821" t="str">
            <v>NJ</v>
          </cell>
          <cell r="E3821" t="str">
            <v/>
          </cell>
          <cell r="F3821" t="str">
            <v/>
          </cell>
          <cell r="G3821" t="str">
            <v>AEXPRESS S.A</v>
          </cell>
          <cell r="H3821" t="str">
            <v>RECO</v>
          </cell>
          <cell r="I3821" t="str">
            <v>REGIMEN COMUN</v>
          </cell>
          <cell r="J3821" t="str">
            <v>CR 103 24 B 20 BRR FONTIBON</v>
          </cell>
          <cell r="K3821" t="str">
            <v>11001</v>
          </cell>
          <cell r="L3821" t="str">
            <v>BOGOTA DC</v>
          </cell>
          <cell r="M3821" t="str">
            <v>4263490</v>
          </cell>
        </row>
        <row r="3822">
          <cell r="A3822">
            <v>830138467</v>
          </cell>
          <cell r="B3822" t="str">
            <v>0</v>
          </cell>
          <cell r="C3822" t="str">
            <v/>
          </cell>
          <cell r="D3822" t="str">
            <v>NJ</v>
          </cell>
          <cell r="E3822" t="str">
            <v/>
          </cell>
          <cell r="F3822" t="str">
            <v/>
          </cell>
          <cell r="G3822" t="str">
            <v>ESPECIALIDADES AUXILIARES Y COLORANTES SAS</v>
          </cell>
          <cell r="H3822" t="str">
            <v>IMVE</v>
          </cell>
          <cell r="I3822" t="str">
            <v>IMPUESTO SOBRE LAS VENTAS</v>
          </cell>
          <cell r="J3822" t="str">
            <v>CL 26 69 TO OF 1301</v>
          </cell>
          <cell r="K3822" t="str">
            <v>03</v>
          </cell>
          <cell r="L3822" t="str">
            <v>BOGOTA</v>
          </cell>
          <cell r="M3822" t="str">
            <v>7956132</v>
          </cell>
        </row>
        <row r="3823">
          <cell r="A3823">
            <v>830139401</v>
          </cell>
          <cell r="B3823" t="str">
            <v>1</v>
          </cell>
          <cell r="C3823" t="str">
            <v/>
          </cell>
          <cell r="D3823" t="str">
            <v>NJ</v>
          </cell>
          <cell r="E3823" t="str">
            <v/>
          </cell>
          <cell r="F3823" t="str">
            <v/>
          </cell>
          <cell r="G3823" t="str">
            <v>INVERSIONES MR MOTOR COMPAÑIA LIMITADA</v>
          </cell>
          <cell r="H3823" t="str">
            <v>IMVE</v>
          </cell>
          <cell r="I3823" t="str">
            <v>IMPUESTO SOBRE LAS VENTAS</v>
          </cell>
          <cell r="J3823" t="str">
            <v>CR 29 11 67</v>
          </cell>
          <cell r="K3823" t="str">
            <v>03</v>
          </cell>
          <cell r="L3823" t="str">
            <v>BOGOTA</v>
          </cell>
          <cell r="M3823" t="str">
            <v>3159271610</v>
          </cell>
        </row>
        <row r="3824">
          <cell r="A3824">
            <v>830139893</v>
          </cell>
          <cell r="B3824" t="str">
            <v>1</v>
          </cell>
          <cell r="C3824" t="str">
            <v/>
          </cell>
          <cell r="D3824" t="str">
            <v>NJ</v>
          </cell>
          <cell r="E3824" t="str">
            <v/>
          </cell>
          <cell r="F3824" t="str">
            <v/>
          </cell>
          <cell r="G3824" t="str">
            <v>IMPORTSOLUCIONES S.A.S.</v>
          </cell>
          <cell r="H3824" t="str">
            <v>RECO</v>
          </cell>
          <cell r="I3824" t="str">
            <v>REGIMEN COMUN</v>
          </cell>
          <cell r="J3824" t="str">
            <v>CLL 102  70 G 45</v>
          </cell>
          <cell r="K3824" t="str">
            <v>11001</v>
          </cell>
          <cell r="L3824" t="str">
            <v>BOGOTA DC</v>
          </cell>
          <cell r="M3824" t="str">
            <v>4828271</v>
          </cell>
        </row>
        <row r="3825">
          <cell r="A3825">
            <v>830140371</v>
          </cell>
          <cell r="B3825" t="str">
            <v>9</v>
          </cell>
          <cell r="C3825" t="str">
            <v/>
          </cell>
          <cell r="D3825" t="str">
            <v>NJ</v>
          </cell>
          <cell r="E3825" t="str">
            <v/>
          </cell>
          <cell r="F3825" t="str">
            <v/>
          </cell>
          <cell r="G3825" t="str">
            <v>INDUSTRIAL RUBBER PRODUCTS COLOMBIA S A</v>
          </cell>
          <cell r="H3825" t="str">
            <v>RECO</v>
          </cell>
          <cell r="I3825" t="str">
            <v>REGIMEN COMUN</v>
          </cell>
          <cell r="J3825" t="str">
            <v>CL 21 43 A 14 BRR ZONA INDUSTRIAL DE LAS AMERICAS</v>
          </cell>
          <cell r="K3825" t="str">
            <v>03</v>
          </cell>
          <cell r="L3825" t="str">
            <v>BOGOTA</v>
          </cell>
          <cell r="M3825" t="str">
            <v>3161718</v>
          </cell>
        </row>
        <row r="3826">
          <cell r="A3826">
            <v>830140712</v>
          </cell>
          <cell r="B3826" t="str">
            <v>7</v>
          </cell>
          <cell r="C3826" t="str">
            <v/>
          </cell>
          <cell r="D3826" t="str">
            <v>NJ</v>
          </cell>
          <cell r="E3826" t="str">
            <v/>
          </cell>
          <cell r="F3826" t="str">
            <v/>
          </cell>
          <cell r="G3826" t="str">
            <v xml:space="preserve">FONDO NACIONAL DE REGALIAS                                  </v>
          </cell>
          <cell r="H3826" t="str">
            <v>RECO</v>
          </cell>
          <cell r="I3826" t="str">
            <v>REGIMEN COMUN</v>
          </cell>
          <cell r="J3826" t="str">
            <v>CALLE 26 13 19 BOGOTA</v>
          </cell>
          <cell r="K3826" t="str">
            <v>11001</v>
          </cell>
          <cell r="L3826" t="str">
            <v>BOGOTA DC</v>
          </cell>
          <cell r="M3826" t="str">
            <v>3815000</v>
          </cell>
        </row>
        <row r="3827">
          <cell r="A3827">
            <v>830141537</v>
          </cell>
          <cell r="B3827" t="str">
            <v>9</v>
          </cell>
          <cell r="C3827" t="str">
            <v/>
          </cell>
          <cell r="D3827" t="str">
            <v>NJ</v>
          </cell>
          <cell r="E3827" t="str">
            <v/>
          </cell>
          <cell r="F3827" t="str">
            <v/>
          </cell>
          <cell r="G3827" t="str">
            <v>PROYECTOS GESTION CAPACITACION Y CALIDAD LTDA</v>
          </cell>
          <cell r="H3827" t="str">
            <v>RECO</v>
          </cell>
          <cell r="I3827" t="str">
            <v>REGIMEN COMUN</v>
          </cell>
          <cell r="J3827" t="str">
            <v>CR 50  150  A 50 IN 04 501</v>
          </cell>
          <cell r="K3827" t="str">
            <v>11001</v>
          </cell>
          <cell r="L3827" t="str">
            <v>BOGOTA DC</v>
          </cell>
          <cell r="M3827" t="str">
            <v>3164723443</v>
          </cell>
        </row>
        <row r="3828">
          <cell r="A3828">
            <v>830142721</v>
          </cell>
          <cell r="B3828" t="str">
            <v>2</v>
          </cell>
          <cell r="C3828" t="str">
            <v/>
          </cell>
          <cell r="D3828" t="str">
            <v>NJ</v>
          </cell>
          <cell r="E3828" t="str">
            <v/>
          </cell>
          <cell r="F3828" t="str">
            <v/>
          </cell>
          <cell r="G3828" t="str">
            <v>MEDICINA LABORAL SAS</v>
          </cell>
          <cell r="H3828" t="str">
            <v>RECO</v>
          </cell>
          <cell r="I3828" t="str">
            <v>REGIMEN COMUN</v>
          </cell>
          <cell r="J3828" t="str">
            <v>CR 7 BIS A   123   86</v>
          </cell>
          <cell r="K3828" t="str">
            <v>11001</v>
          </cell>
          <cell r="L3828" t="str">
            <v>BOGOTA DC</v>
          </cell>
          <cell r="M3828" t="str">
            <v>7032505</v>
          </cell>
        </row>
        <row r="3829">
          <cell r="A3829">
            <v>830144243</v>
          </cell>
          <cell r="B3829" t="str">
            <v>2</v>
          </cell>
          <cell r="C3829" t="str">
            <v/>
          </cell>
          <cell r="D3829" t="str">
            <v>NJ</v>
          </cell>
          <cell r="E3829" t="str">
            <v/>
          </cell>
          <cell r="F3829" t="str">
            <v/>
          </cell>
          <cell r="G3829" t="str">
            <v>S Y Z COLOMBIA SAS</v>
          </cell>
          <cell r="H3829" t="str">
            <v>RECO</v>
          </cell>
          <cell r="I3829" t="str">
            <v>REGIMEN COMUN</v>
          </cell>
          <cell r="J3829" t="str">
            <v>AUT BOGOTA-MEDELLIN KM 7 CONJ CELTA TRADE PARK LT SIETE BG  3 LC</v>
          </cell>
          <cell r="K3829" t="str">
            <v>25286</v>
          </cell>
          <cell r="L3829" t="str">
            <v>FUNZA</v>
          </cell>
          <cell r="M3829" t="str">
            <v>7433799</v>
          </cell>
        </row>
        <row r="3830">
          <cell r="A3830">
            <v>830144288</v>
          </cell>
          <cell r="B3830" t="str">
            <v>3</v>
          </cell>
          <cell r="C3830" t="str">
            <v/>
          </cell>
          <cell r="D3830" t="str">
            <v>NJ</v>
          </cell>
          <cell r="E3830" t="str">
            <v/>
          </cell>
          <cell r="F3830" t="str">
            <v/>
          </cell>
          <cell r="G3830" t="str">
            <v xml:space="preserve"> DISTRIBRONCES SECO S.A.</v>
          </cell>
          <cell r="H3830" t="str">
            <v>IMVE</v>
          </cell>
          <cell r="I3830" t="str">
            <v>IMPUESTO SOBRE LAS VENTAS</v>
          </cell>
          <cell r="J3830" t="str">
            <v>DG 15 22 28</v>
          </cell>
          <cell r="K3830" t="str">
            <v>11001</v>
          </cell>
          <cell r="L3830" t="str">
            <v>BOGOTA DC</v>
          </cell>
          <cell r="M3830" t="str">
            <v>3143340598</v>
          </cell>
        </row>
        <row r="3831">
          <cell r="A3831">
            <v>830144550</v>
          </cell>
          <cell r="B3831" t="str">
            <v>9</v>
          </cell>
          <cell r="C3831" t="str">
            <v/>
          </cell>
          <cell r="D3831" t="str">
            <v>NJ</v>
          </cell>
          <cell r="E3831" t="str">
            <v/>
          </cell>
          <cell r="F3831" t="str">
            <v/>
          </cell>
          <cell r="G3831" t="str">
            <v>STRATEGAS CONSULTORES SA</v>
          </cell>
          <cell r="H3831" t="str">
            <v>RECO</v>
          </cell>
          <cell r="I3831" t="str">
            <v>REGIMEN COMUN</v>
          </cell>
          <cell r="J3831" t="str">
            <v>CL 80  9  92  OF  201</v>
          </cell>
          <cell r="K3831" t="str">
            <v>11001</v>
          </cell>
          <cell r="L3831" t="str">
            <v>BOGOTA DC</v>
          </cell>
          <cell r="M3831" t="str">
            <v>2102885</v>
          </cell>
        </row>
        <row r="3832">
          <cell r="A3832">
            <v>830145559</v>
          </cell>
          <cell r="B3832" t="str">
            <v>9</v>
          </cell>
          <cell r="C3832" t="str">
            <v/>
          </cell>
          <cell r="D3832" t="str">
            <v>NJ</v>
          </cell>
          <cell r="E3832" t="str">
            <v/>
          </cell>
          <cell r="F3832" t="str">
            <v/>
          </cell>
          <cell r="G3832" t="str">
            <v>IDEAS E IMAGEN SAS</v>
          </cell>
          <cell r="H3832" t="str">
            <v>RECO</v>
          </cell>
          <cell r="I3832" t="str">
            <v>REGIMEN COMUN</v>
          </cell>
          <cell r="J3832" t="str">
            <v>CR 68 D 25 B 86</v>
          </cell>
          <cell r="K3832" t="str">
            <v>17001</v>
          </cell>
          <cell r="L3832" t="str">
            <v>MANIZALES</v>
          </cell>
          <cell r="M3832" t="str">
            <v>4276811</v>
          </cell>
        </row>
        <row r="3833">
          <cell r="A3833">
            <v>830146063</v>
          </cell>
          <cell r="B3833" t="str">
            <v>2</v>
          </cell>
          <cell r="C3833" t="str">
            <v/>
          </cell>
          <cell r="D3833" t="str">
            <v>NJ</v>
          </cell>
          <cell r="E3833" t="str">
            <v/>
          </cell>
          <cell r="F3833" t="str">
            <v/>
          </cell>
          <cell r="G3833" t="str">
            <v>JBY SERVICIOS</v>
          </cell>
          <cell r="H3833" t="str">
            <v>RECO</v>
          </cell>
          <cell r="I3833" t="str">
            <v>REGIMEN COMUN</v>
          </cell>
          <cell r="J3833" t="str">
            <v>AV DORADO   68 C 61</v>
          </cell>
          <cell r="K3833" t="str">
            <v>17001</v>
          </cell>
          <cell r="L3833" t="str">
            <v>MANIZALES</v>
          </cell>
          <cell r="M3833" t="str">
            <v>4441561</v>
          </cell>
        </row>
        <row r="3834">
          <cell r="A3834">
            <v>830146665</v>
          </cell>
          <cell r="B3834" t="str">
            <v>6</v>
          </cell>
          <cell r="C3834" t="str">
            <v/>
          </cell>
          <cell r="D3834" t="str">
            <v>NJ</v>
          </cell>
          <cell r="E3834" t="str">
            <v/>
          </cell>
          <cell r="F3834" t="str">
            <v/>
          </cell>
          <cell r="G3834" t="str">
            <v>GEODINAMICA INGENIERIA SA</v>
          </cell>
          <cell r="H3834" t="str">
            <v>IMVE</v>
          </cell>
          <cell r="I3834" t="str">
            <v>IMPUESTO SOBRE LAS VENTAS</v>
          </cell>
          <cell r="J3834" t="str">
            <v>CR 48 101 A 99</v>
          </cell>
          <cell r="K3834" t="str">
            <v>11001</v>
          </cell>
          <cell r="L3834" t="str">
            <v>BOGOTA DC</v>
          </cell>
          <cell r="M3834" t="str">
            <v>2184170</v>
          </cell>
        </row>
        <row r="3835">
          <cell r="A3835">
            <v>830147271</v>
          </cell>
          <cell r="B3835" t="str">
            <v>2</v>
          </cell>
          <cell r="C3835" t="str">
            <v/>
          </cell>
          <cell r="D3835" t="str">
            <v>NJ</v>
          </cell>
          <cell r="E3835" t="str">
            <v/>
          </cell>
          <cell r="F3835" t="str">
            <v/>
          </cell>
          <cell r="G3835" t="str">
            <v>SISTOLE SAS</v>
          </cell>
          <cell r="H3835" t="str">
            <v>GRCO</v>
          </cell>
          <cell r="I3835" t="str">
            <v>GRAN CONTRIBUYENTE</v>
          </cell>
          <cell r="J3835" t="str">
            <v>CL 99 7 A 77 P3</v>
          </cell>
          <cell r="K3835" t="str">
            <v>11001</v>
          </cell>
          <cell r="L3835" t="str">
            <v>BOGOTA DC</v>
          </cell>
          <cell r="M3835" t="str">
            <v>6505656</v>
          </cell>
        </row>
        <row r="3836">
          <cell r="A3836">
            <v>830147341</v>
          </cell>
          <cell r="B3836" t="str">
            <v>1</v>
          </cell>
          <cell r="C3836" t="str">
            <v/>
          </cell>
          <cell r="D3836" t="str">
            <v>NJ</v>
          </cell>
          <cell r="E3836" t="str">
            <v/>
          </cell>
          <cell r="F3836" t="str">
            <v/>
          </cell>
          <cell r="G3836" t="str">
            <v>COMERCIALIZADORA DEL CAFE S.A.S ESP</v>
          </cell>
          <cell r="H3836" t="str">
            <v>RECO</v>
          </cell>
          <cell r="I3836" t="str">
            <v>REGIMEN COMUN</v>
          </cell>
          <cell r="J3836" t="str">
            <v>CALLE 2 N° 4-13</v>
          </cell>
          <cell r="K3836" t="str">
            <v>25873</v>
          </cell>
          <cell r="L3836" t="str">
            <v>VILLAPINZÓN</v>
          </cell>
          <cell r="M3836" t="str">
            <v>3107994297</v>
          </cell>
        </row>
        <row r="3837">
          <cell r="A3837">
            <v>830147547</v>
          </cell>
          <cell r="B3837" t="str">
            <v>1</v>
          </cell>
          <cell r="C3837" t="str">
            <v/>
          </cell>
          <cell r="D3837" t="str">
            <v>NJ</v>
          </cell>
          <cell r="E3837" t="str">
            <v/>
          </cell>
          <cell r="F3837" t="str">
            <v/>
          </cell>
          <cell r="G3837" t="str">
            <v>E TRAINING S A S - EN REORGANIZACION</v>
          </cell>
          <cell r="H3837" t="str">
            <v>IMVE</v>
          </cell>
          <cell r="I3837" t="str">
            <v>IMPUESTO SOBRE LAS VENTAS</v>
          </cell>
          <cell r="J3837" t="str">
            <v xml:space="preserve"> CL CL 59 A BIS 5 53 OF 206</v>
          </cell>
          <cell r="K3837" t="str">
            <v>11001</v>
          </cell>
          <cell r="L3837" t="str">
            <v>BOGOTA DC</v>
          </cell>
          <cell r="M3837" t="str">
            <v>2565899</v>
          </cell>
        </row>
        <row r="3838">
          <cell r="A3838">
            <v>830500217</v>
          </cell>
          <cell r="B3838" t="str">
            <v>8</v>
          </cell>
          <cell r="C3838" t="str">
            <v/>
          </cell>
          <cell r="D3838" t="str">
            <v>NJ</v>
          </cell>
          <cell r="E3838" t="str">
            <v/>
          </cell>
          <cell r="F3838" t="str">
            <v/>
          </cell>
          <cell r="G3838" t="str">
            <v>HOTEL OCEANIA SAS CARTAGENA</v>
          </cell>
          <cell r="H3838" t="str">
            <v>RECO</v>
          </cell>
          <cell r="I3838" t="str">
            <v>REGIMEN COMUN</v>
          </cell>
          <cell r="J3838" t="str">
            <v>BARRIO LAGUITO CARRERA 1 A   3   231</v>
          </cell>
          <cell r="K3838" t="str">
            <v>13001</v>
          </cell>
          <cell r="L3838" t="str">
            <v>CARTAGENA</v>
          </cell>
          <cell r="M3838" t="str">
            <v>6550085</v>
          </cell>
        </row>
        <row r="3839">
          <cell r="A3839">
            <v>830503109</v>
          </cell>
          <cell r="B3839" t="str">
            <v>4</v>
          </cell>
          <cell r="C3839" t="str">
            <v/>
          </cell>
          <cell r="D3839" t="str">
            <v>NJ</v>
          </cell>
          <cell r="E3839" t="str">
            <v/>
          </cell>
          <cell r="F3839" t="str">
            <v/>
          </cell>
          <cell r="G3839" t="str">
            <v>VALORES INGENIERÍA SAS.</v>
          </cell>
          <cell r="H3839" t="str">
            <v>RECO</v>
          </cell>
          <cell r="I3839" t="str">
            <v>REGIMEN COMUN</v>
          </cell>
          <cell r="J3839" t="str">
            <v>CL 27  21  86  BRR LA MARIA</v>
          </cell>
          <cell r="K3839" t="str">
            <v>70001</v>
          </cell>
          <cell r="L3839" t="str">
            <v>SINCELEJO</v>
          </cell>
          <cell r="M3839" t="str">
            <v>3217397880</v>
          </cell>
        </row>
        <row r="3840">
          <cell r="A3840">
            <v>830504015</v>
          </cell>
          <cell r="B3840" t="str">
            <v>5</v>
          </cell>
          <cell r="C3840" t="str">
            <v/>
          </cell>
          <cell r="D3840" t="str">
            <v>NJ</v>
          </cell>
          <cell r="E3840" t="str">
            <v/>
          </cell>
          <cell r="F3840" t="str">
            <v/>
          </cell>
          <cell r="G3840" t="str">
            <v>TEJADA INGENIEROS &amp; CIA S.A.</v>
          </cell>
          <cell r="H3840" t="str">
            <v>IMVE</v>
          </cell>
          <cell r="I3840" t="str">
            <v>IMPUESTO SOBRE LAS VENTAS</v>
          </cell>
          <cell r="J3840" t="str">
            <v>CL 9 42 78 OF 101</v>
          </cell>
          <cell r="K3840" t="str">
            <v>76001</v>
          </cell>
          <cell r="L3840" t="str">
            <v>CALI</v>
          </cell>
          <cell r="M3840" t="str">
            <v>3507592759</v>
          </cell>
        </row>
        <row r="3841">
          <cell r="A3841">
            <v>830504499</v>
          </cell>
          <cell r="B3841" t="str">
            <v>6</v>
          </cell>
          <cell r="C3841" t="str">
            <v/>
          </cell>
          <cell r="D3841" t="str">
            <v>NJ</v>
          </cell>
          <cell r="E3841" t="str">
            <v/>
          </cell>
          <cell r="F3841" t="str">
            <v/>
          </cell>
          <cell r="G3841" t="str">
            <v>JULIAN SAADE Y CIA LTDA</v>
          </cell>
          <cell r="H3841" t="str">
            <v>RECO</v>
          </cell>
          <cell r="I3841" t="str">
            <v>REGIMEN COMUN</v>
          </cell>
          <cell r="J3841" t="str">
            <v>CR 59   74   184</v>
          </cell>
          <cell r="K3841" t="str">
            <v>08001</v>
          </cell>
          <cell r="L3841" t="str">
            <v>BARRANQUILLA</v>
          </cell>
          <cell r="M3841" t="str">
            <v>3687575</v>
          </cell>
        </row>
        <row r="3842">
          <cell r="A3842">
            <v>830505076</v>
          </cell>
          <cell r="B3842" t="str">
            <v>9</v>
          </cell>
          <cell r="C3842" t="str">
            <v/>
          </cell>
          <cell r="D3842" t="str">
            <v>NJ</v>
          </cell>
          <cell r="E3842" t="str">
            <v/>
          </cell>
          <cell r="F3842" t="str">
            <v/>
          </cell>
          <cell r="G3842" t="str">
            <v xml:space="preserve">INDECO INGENIERIA LTDA                                      </v>
          </cell>
          <cell r="H3842" t="str">
            <v>RECO</v>
          </cell>
          <cell r="I3842" t="str">
            <v>REGIMEN COMUN</v>
          </cell>
          <cell r="J3842" t="str">
            <v>CR 42 14 39</v>
          </cell>
          <cell r="K3842" t="str">
            <v>15238</v>
          </cell>
          <cell r="L3842" t="str">
            <v>DUITAMA</v>
          </cell>
          <cell r="M3842" t="str">
            <v>(098)7631890</v>
          </cell>
        </row>
        <row r="3843">
          <cell r="A3843">
            <v>830505238</v>
          </cell>
          <cell r="B3843" t="str">
            <v>5</v>
          </cell>
          <cell r="C3843" t="str">
            <v/>
          </cell>
          <cell r="D3843" t="str">
            <v>NJ</v>
          </cell>
          <cell r="E3843" t="str">
            <v/>
          </cell>
          <cell r="F3843" t="str">
            <v/>
          </cell>
          <cell r="G3843" t="str">
            <v>INSE GROUP S.A.S</v>
          </cell>
          <cell r="H3843" t="str">
            <v>IMVE</v>
          </cell>
          <cell r="I3843" t="str">
            <v>IMPUESTO SOBRE LAS VENTAS</v>
          </cell>
          <cell r="J3843" t="str">
            <v>AV 2 20 50 BRR SAN LUIS</v>
          </cell>
          <cell r="K3843" t="str">
            <v>17001</v>
          </cell>
          <cell r="L3843" t="str">
            <v>MANIZALES</v>
          </cell>
          <cell r="M3843" t="str">
            <v>5 8 4 4 4 2 6</v>
          </cell>
        </row>
        <row r="3844">
          <cell r="A3844">
            <v>830505512</v>
          </cell>
          <cell r="B3844" t="str">
            <v>9</v>
          </cell>
          <cell r="C3844" t="str">
            <v/>
          </cell>
          <cell r="D3844" t="str">
            <v>NJ</v>
          </cell>
          <cell r="E3844" t="str">
            <v/>
          </cell>
          <cell r="F3844" t="str">
            <v/>
          </cell>
          <cell r="G3844" t="str">
            <v>SIERRA CONSULTING SAS</v>
          </cell>
          <cell r="H3844" t="str">
            <v>RECO</v>
          </cell>
          <cell r="I3844" t="str">
            <v>REGIMEN COMUN</v>
          </cell>
          <cell r="J3844" t="str">
            <v>CR 16  135  61 OF 205</v>
          </cell>
          <cell r="K3844" t="str">
            <v>11001</v>
          </cell>
          <cell r="L3844" t="str">
            <v>BOGOTA DC</v>
          </cell>
          <cell r="M3844" t="str">
            <v>3132824295</v>
          </cell>
        </row>
        <row r="3845">
          <cell r="A3845">
            <v>830506773</v>
          </cell>
          <cell r="B3845" t="str">
            <v>9</v>
          </cell>
          <cell r="C3845" t="str">
            <v/>
          </cell>
          <cell r="D3845" t="str">
            <v>NJ</v>
          </cell>
          <cell r="E3845" t="str">
            <v/>
          </cell>
          <cell r="F3845" t="str">
            <v/>
          </cell>
          <cell r="G3845" t="str">
            <v>INVERSIONES GG SAS</v>
          </cell>
          <cell r="H3845" t="str">
            <v>RECO</v>
          </cell>
          <cell r="I3845" t="str">
            <v>REGIMEN COMUN</v>
          </cell>
          <cell r="J3845" t="str">
            <v>CL 77 21 74</v>
          </cell>
          <cell r="K3845" t="str">
            <v>17001</v>
          </cell>
          <cell r="L3845" t="str">
            <v>MANIZALES</v>
          </cell>
          <cell r="M3845" t="str">
            <v>8865571</v>
          </cell>
        </row>
        <row r="3846">
          <cell r="A3846">
            <v>830506962</v>
          </cell>
          <cell r="B3846" t="str">
            <v>4</v>
          </cell>
          <cell r="C3846" t="str">
            <v/>
          </cell>
          <cell r="D3846" t="str">
            <v>NJ</v>
          </cell>
          <cell r="E3846" t="str">
            <v/>
          </cell>
          <cell r="F3846" t="str">
            <v/>
          </cell>
          <cell r="G3846" t="str">
            <v>ARIAS Y CIA SAS</v>
          </cell>
          <cell r="H3846" t="str">
            <v>RECO</v>
          </cell>
          <cell r="I3846" t="str">
            <v>REGIMEN COMUN</v>
          </cell>
          <cell r="J3846" t="str">
            <v>CL 50 5-72</v>
          </cell>
          <cell r="K3846" t="str">
            <v>63001</v>
          </cell>
          <cell r="L3846" t="str">
            <v>ARMENIA</v>
          </cell>
          <cell r="M3846" t="str">
            <v>7470380</v>
          </cell>
        </row>
        <row r="3847">
          <cell r="A3847">
            <v>830507152</v>
          </cell>
          <cell r="B3847" t="str">
            <v>1</v>
          </cell>
          <cell r="C3847" t="str">
            <v/>
          </cell>
          <cell r="D3847" t="str">
            <v>NJ</v>
          </cell>
          <cell r="E3847" t="str">
            <v/>
          </cell>
          <cell r="F3847" t="str">
            <v/>
          </cell>
          <cell r="G3847" t="str">
            <v>MICRO PNEUMATIC S.A</v>
          </cell>
          <cell r="H3847" t="str">
            <v>IMVE</v>
          </cell>
          <cell r="I3847" t="str">
            <v>IMPUESTO SOBRE LAS VENTAS</v>
          </cell>
          <cell r="J3847" t="str">
            <v xml:space="preserve"> CL 19  70 63</v>
          </cell>
          <cell r="K3847" t="str">
            <v>11001</v>
          </cell>
          <cell r="L3847" t="str">
            <v>BOGOTA DC</v>
          </cell>
          <cell r="M3847" t="str">
            <v>3118113656</v>
          </cell>
        </row>
        <row r="3848">
          <cell r="A3848">
            <v>830507705</v>
          </cell>
          <cell r="B3848" t="str">
            <v>2</v>
          </cell>
          <cell r="C3848" t="str">
            <v/>
          </cell>
          <cell r="D3848" t="str">
            <v>NJ</v>
          </cell>
          <cell r="E3848" t="str">
            <v/>
          </cell>
          <cell r="F3848" t="str">
            <v/>
          </cell>
          <cell r="G3848" t="str">
            <v>RELIABILITY MAINTENANCE SERVICES S.A.S.</v>
          </cell>
          <cell r="H3848" t="str">
            <v>IMVE</v>
          </cell>
          <cell r="I3848" t="str">
            <v>IMPUESTO SOBRE LAS VENTAS</v>
          </cell>
          <cell r="J3848" t="str">
            <v>CR 14 109 21 CA 1</v>
          </cell>
          <cell r="K3848" t="str">
            <v>03</v>
          </cell>
          <cell r="L3848" t="str">
            <v>BOGOTA</v>
          </cell>
          <cell r="M3848" t="str">
            <v>6208103</v>
          </cell>
        </row>
        <row r="3849">
          <cell r="A3849">
            <v>830508512</v>
          </cell>
          <cell r="B3849" t="str">
            <v>2</v>
          </cell>
          <cell r="C3849" t="str">
            <v/>
          </cell>
          <cell r="D3849" t="str">
            <v>NJ</v>
          </cell>
          <cell r="E3849" t="str">
            <v/>
          </cell>
          <cell r="F3849" t="str">
            <v/>
          </cell>
          <cell r="G3849" t="str">
            <v>COOPERATIVA DE TRANSPORTADORES DEL SUR DE BOLIVAR</v>
          </cell>
          <cell r="H3849" t="str">
            <v>IMVE</v>
          </cell>
          <cell r="I3849" t="str">
            <v>IMPUESTO SOBRE LAS VENTAS</v>
          </cell>
          <cell r="J3849" t="str">
            <v>CL 12 CR 15 47 BRR SAN MARTIN</v>
          </cell>
          <cell r="K3849" t="str">
            <v>13688</v>
          </cell>
          <cell r="L3849" t="str">
            <v>SANTA ROSA DEL SUR</v>
          </cell>
          <cell r="M3849" t="str">
            <v>3502826989</v>
          </cell>
        </row>
        <row r="3850">
          <cell r="A3850">
            <v>830509024</v>
          </cell>
          <cell r="B3850" t="str">
            <v>4</v>
          </cell>
          <cell r="C3850" t="str">
            <v/>
          </cell>
          <cell r="D3850" t="str">
            <v>NJ</v>
          </cell>
          <cell r="E3850" t="str">
            <v/>
          </cell>
          <cell r="F3850" t="str">
            <v/>
          </cell>
          <cell r="G3850" t="str">
            <v>INVERSIONES LAMY Y COMPAÑIA SOCIEDAD EN COMANDITA SIMPLE</v>
          </cell>
          <cell r="H3850" t="str">
            <v>RECO</v>
          </cell>
          <cell r="I3850" t="str">
            <v>REGIMEN COMUN</v>
          </cell>
          <cell r="J3850" t="str">
            <v>AV 3 E NORTE 45 N 88</v>
          </cell>
          <cell r="K3850" t="str">
            <v>76001</v>
          </cell>
          <cell r="L3850" t="str">
            <v>CALI</v>
          </cell>
          <cell r="M3850" t="str">
            <v>6642158</v>
          </cell>
        </row>
        <row r="3851">
          <cell r="A3851">
            <v>830509064</v>
          </cell>
          <cell r="B3851" t="str">
            <v>9</v>
          </cell>
          <cell r="C3851" t="str">
            <v/>
          </cell>
          <cell r="D3851" t="str">
            <v>NJ</v>
          </cell>
          <cell r="E3851" t="str">
            <v/>
          </cell>
          <cell r="F3851" t="str">
            <v/>
          </cell>
          <cell r="G3851" t="str">
            <v>CORPORACION EJE CAFE</v>
          </cell>
          <cell r="H3851" t="str">
            <v>IMVE</v>
          </cell>
          <cell r="I3851" t="str">
            <v>IMPUESTO SOBRE LAS VENTAS</v>
          </cell>
          <cell r="J3851" t="str">
            <v>CR 9 D 45 F 41 BRR ALTOS DE CAPRI</v>
          </cell>
          <cell r="K3851" t="str">
            <v>17001</v>
          </cell>
          <cell r="L3851" t="str">
            <v>MANIZALES</v>
          </cell>
          <cell r="M3851" t="str">
            <v>3104980231</v>
          </cell>
        </row>
        <row r="3852">
          <cell r="A3852">
            <v>830511110</v>
          </cell>
          <cell r="B3852" t="str">
            <v>6</v>
          </cell>
          <cell r="C3852" t="str">
            <v/>
          </cell>
          <cell r="D3852" t="str">
            <v>NJ</v>
          </cell>
          <cell r="E3852" t="str">
            <v/>
          </cell>
          <cell r="F3852" t="str">
            <v/>
          </cell>
          <cell r="G3852" t="str">
            <v xml:space="preserve">SKF LATIN AMERICAN LTDA       </v>
          </cell>
          <cell r="H3852" t="str">
            <v>GRCO</v>
          </cell>
          <cell r="I3852" t="str">
            <v>GRAN CONTRIBUYENTE</v>
          </cell>
          <cell r="J3852" t="str">
            <v xml:space="preserve"> CL 100  19 54 OF 501</v>
          </cell>
          <cell r="K3852" t="str">
            <v>11001</v>
          </cell>
          <cell r="L3852" t="str">
            <v>BOGOTA DC</v>
          </cell>
          <cell r="M3852" t="str">
            <v>6516161</v>
          </cell>
        </row>
        <row r="3853">
          <cell r="A3853">
            <v>830511280</v>
          </cell>
          <cell r="B3853" t="str">
            <v>1</v>
          </cell>
          <cell r="C3853" t="str">
            <v/>
          </cell>
          <cell r="D3853" t="str">
            <v>NJ</v>
          </cell>
          <cell r="E3853" t="str">
            <v/>
          </cell>
          <cell r="F3853" t="str">
            <v/>
          </cell>
          <cell r="G3853" t="str">
            <v>HABITEL S.A.S</v>
          </cell>
          <cell r="H3853" t="str">
            <v>GRCO</v>
          </cell>
          <cell r="I3853" t="str">
            <v>GRAN CONTRIBUYENTE</v>
          </cell>
          <cell r="J3853" t="str">
            <v>AV CL 26 100 97</v>
          </cell>
          <cell r="K3853" t="str">
            <v>11001</v>
          </cell>
          <cell r="L3853" t="str">
            <v>BOGOTA DC</v>
          </cell>
          <cell r="M3853" t="str">
            <v>4199999</v>
          </cell>
        </row>
        <row r="3854">
          <cell r="A3854">
            <v>830511284</v>
          </cell>
          <cell r="B3854" t="str">
            <v>9</v>
          </cell>
          <cell r="C3854" t="str">
            <v/>
          </cell>
          <cell r="D3854" t="str">
            <v>NJ</v>
          </cell>
          <cell r="E3854" t="str">
            <v/>
          </cell>
          <cell r="F3854" t="str">
            <v/>
          </cell>
          <cell r="G3854" t="str">
            <v>ASOCIACION COLOMBIANA DE PROFESIONALES DE INSTRUMENTACION Y AUTO</v>
          </cell>
          <cell r="H3854" t="str">
            <v>IMVE</v>
          </cell>
          <cell r="I3854" t="str">
            <v>IMPUESTO SOBRE LAS VENTAS</v>
          </cell>
          <cell r="J3854" t="str">
            <v>CL 148 54 C 91 AP 501 IN 12</v>
          </cell>
          <cell r="K3854" t="str">
            <v>11001</v>
          </cell>
          <cell r="L3854" t="str">
            <v>BOGOTA DC</v>
          </cell>
          <cell r="M3854" t="str">
            <v>3123698328</v>
          </cell>
        </row>
        <row r="3855">
          <cell r="A3855">
            <v>830511421</v>
          </cell>
          <cell r="B3855" t="str">
            <v>1</v>
          </cell>
          <cell r="C3855" t="str">
            <v/>
          </cell>
          <cell r="D3855" t="str">
            <v>NJ</v>
          </cell>
          <cell r="E3855" t="str">
            <v/>
          </cell>
          <cell r="F3855" t="str">
            <v/>
          </cell>
          <cell r="G3855" t="str">
            <v>PARQUEADERO RENOVACION 120 LTDA</v>
          </cell>
          <cell r="H3855" t="str">
            <v>RECO</v>
          </cell>
          <cell r="I3855" t="str">
            <v>REGIMEN COMUN</v>
          </cell>
          <cell r="J3855" t="str">
            <v>CL 10   37   61</v>
          </cell>
          <cell r="K3855" t="str">
            <v>11001</v>
          </cell>
          <cell r="L3855" t="str">
            <v>BOGOTA DC</v>
          </cell>
          <cell r="M3855" t="str">
            <v>2471415</v>
          </cell>
        </row>
        <row r="3856">
          <cell r="A3856">
            <v>830512563</v>
          </cell>
          <cell r="B3856" t="str">
            <v>3</v>
          </cell>
          <cell r="C3856" t="str">
            <v/>
          </cell>
          <cell r="D3856" t="str">
            <v>NJ</v>
          </cell>
          <cell r="E3856" t="str">
            <v/>
          </cell>
          <cell r="F3856" t="str">
            <v/>
          </cell>
          <cell r="G3856" t="str">
            <v>BET INGENIERIA S.A.S</v>
          </cell>
          <cell r="H3856" t="str">
            <v>IMVE</v>
          </cell>
          <cell r="I3856" t="str">
            <v>IMPUESTO SOBRE LAS VENTAS</v>
          </cell>
          <cell r="J3856" t="str">
            <v>CR 7 C 182 B 20</v>
          </cell>
          <cell r="K3856" t="str">
            <v>11001</v>
          </cell>
          <cell r="L3856" t="str">
            <v>BOGOTA DC</v>
          </cell>
          <cell r="M3856" t="str">
            <v>3114401273</v>
          </cell>
        </row>
        <row r="3857">
          <cell r="A3857">
            <v>830512593</v>
          </cell>
          <cell r="B3857" t="str">
            <v>4</v>
          </cell>
          <cell r="C3857" t="str">
            <v/>
          </cell>
          <cell r="D3857" t="str">
            <v>NJ</v>
          </cell>
          <cell r="E3857" t="str">
            <v/>
          </cell>
          <cell r="F3857" t="str">
            <v/>
          </cell>
          <cell r="G3857" t="str">
            <v>INDUROB S.A.S</v>
          </cell>
          <cell r="H3857" t="str">
            <v>RECO</v>
          </cell>
          <cell r="I3857" t="str">
            <v>REGIMEN COMUN</v>
          </cell>
          <cell r="J3857" t="str">
            <v>CR 45 CL 31 192</v>
          </cell>
          <cell r="K3857" t="str">
            <v>05002</v>
          </cell>
          <cell r="L3857" t="str">
            <v>MEDELLIN</v>
          </cell>
          <cell r="M3857" t="str">
            <v>4445577</v>
          </cell>
        </row>
        <row r="3858">
          <cell r="A3858">
            <v>830513210</v>
          </cell>
          <cell r="B3858" t="str">
            <v>3</v>
          </cell>
          <cell r="C3858" t="str">
            <v/>
          </cell>
          <cell r="D3858" t="str">
            <v>NJ</v>
          </cell>
          <cell r="E3858" t="str">
            <v/>
          </cell>
          <cell r="F3858" t="str">
            <v/>
          </cell>
          <cell r="G3858" t="str">
            <v>AGENCIA DE VIAJE ROSA DE LOS VIENTOS SAS</v>
          </cell>
          <cell r="H3858" t="str">
            <v>RECO</v>
          </cell>
          <cell r="I3858" t="str">
            <v>REGIMEN COMUN</v>
          </cell>
          <cell r="J3858" t="str">
            <v xml:space="preserve"> CC PARQUE CALDAS</v>
          </cell>
          <cell r="K3858" t="str">
            <v>17001</v>
          </cell>
          <cell r="L3858" t="str">
            <v>MANIZALES</v>
          </cell>
          <cell r="M3858" t="str">
            <v>3105032656</v>
          </cell>
        </row>
        <row r="3859">
          <cell r="A3859">
            <v>830513280</v>
          </cell>
          <cell r="B3859" t="str">
            <v>9</v>
          </cell>
          <cell r="C3859" t="str">
            <v/>
          </cell>
          <cell r="D3859" t="str">
            <v>NJ</v>
          </cell>
          <cell r="E3859" t="str">
            <v/>
          </cell>
          <cell r="F3859" t="str">
            <v/>
          </cell>
          <cell r="G3859" t="str">
            <v>MINERCOAL SAS</v>
          </cell>
          <cell r="H3859" t="str">
            <v>IMVE</v>
          </cell>
          <cell r="I3859" t="str">
            <v>IMPUESTO SOBRE LAS VENTAS</v>
          </cell>
          <cell r="J3859" t="str">
            <v>CL 8 7 71 P 3</v>
          </cell>
          <cell r="K3859" t="str">
            <v>30</v>
          </cell>
          <cell r="L3859" t="str">
            <v>CUNDINAMARCA</v>
          </cell>
          <cell r="M3859" t="str">
            <v>3112335568</v>
          </cell>
        </row>
        <row r="3860">
          <cell r="A3860">
            <v>830513729</v>
          </cell>
          <cell r="B3860" t="str">
            <v>3</v>
          </cell>
          <cell r="C3860" t="str">
            <v/>
          </cell>
          <cell r="D3860" t="str">
            <v>NJ</v>
          </cell>
          <cell r="E3860" t="str">
            <v/>
          </cell>
          <cell r="F3860" t="str">
            <v/>
          </cell>
          <cell r="G3860" t="str">
            <v xml:space="preserve">COMBUSTIBLES DE COLOMBIA S.A                                </v>
          </cell>
          <cell r="H3860" t="str">
            <v>GRCO</v>
          </cell>
          <cell r="I3860" t="str">
            <v>GRAN CONTRIBUYENTE</v>
          </cell>
          <cell r="J3860" t="str">
            <v>AV EL DORADO 66 A 28</v>
          </cell>
          <cell r="K3860" t="str">
            <v>11001</v>
          </cell>
          <cell r="L3860" t="str">
            <v>BOGOTA DC</v>
          </cell>
          <cell r="M3860" t="str">
            <v>7537791</v>
          </cell>
        </row>
        <row r="3861">
          <cell r="A3861">
            <v>830513754</v>
          </cell>
          <cell r="B3861" t="str">
            <v>8</v>
          </cell>
          <cell r="C3861" t="str">
            <v/>
          </cell>
          <cell r="D3861" t="str">
            <v>NJ</v>
          </cell>
          <cell r="E3861" t="str">
            <v/>
          </cell>
          <cell r="F3861" t="str">
            <v/>
          </cell>
          <cell r="G3861" t="str">
            <v xml:space="preserve">ELECTRIZAUTOS LTDA                                          </v>
          </cell>
          <cell r="H3861" t="str">
            <v>RECO</v>
          </cell>
          <cell r="I3861" t="str">
            <v>REGIMEN COMUN</v>
          </cell>
          <cell r="J3861" t="str">
            <v>CL 21   11 05</v>
          </cell>
          <cell r="K3861" t="str">
            <v>17001</v>
          </cell>
          <cell r="L3861" t="str">
            <v>MANIZALES</v>
          </cell>
          <cell r="M3861" t="str">
            <v>8835268</v>
          </cell>
        </row>
        <row r="3862">
          <cell r="A3862">
            <v>830513773</v>
          </cell>
          <cell r="B3862" t="str">
            <v>8</v>
          </cell>
          <cell r="C3862" t="str">
            <v/>
          </cell>
          <cell r="D3862" t="str">
            <v>NJ</v>
          </cell>
          <cell r="E3862" t="str">
            <v/>
          </cell>
          <cell r="F3862" t="str">
            <v/>
          </cell>
          <cell r="G3862" t="str">
            <v>APPLUS NORCONTROL COLOMBIA LTDA</v>
          </cell>
          <cell r="H3862" t="str">
            <v>GRCO</v>
          </cell>
          <cell r="I3862" t="str">
            <v>GRAN CONTRIBUYENTE</v>
          </cell>
          <cell r="J3862" t="str">
            <v>CL 17  69  46</v>
          </cell>
          <cell r="K3862" t="str">
            <v>11001</v>
          </cell>
          <cell r="L3862" t="str">
            <v>BOGOTA DC</v>
          </cell>
          <cell r="M3862" t="str">
            <v>7441133</v>
          </cell>
        </row>
        <row r="3863">
          <cell r="A3863">
            <v>830513863</v>
          </cell>
          <cell r="B3863" t="str">
            <v>2</v>
          </cell>
          <cell r="C3863" t="str">
            <v/>
          </cell>
          <cell r="D3863" t="str">
            <v>NJ</v>
          </cell>
          <cell r="E3863" t="str">
            <v/>
          </cell>
          <cell r="F3863" t="str">
            <v/>
          </cell>
          <cell r="G3863" t="str">
            <v>DOTACION INTEGRAL S.A.S.</v>
          </cell>
          <cell r="H3863" t="str">
            <v>RECO</v>
          </cell>
          <cell r="I3863" t="str">
            <v>REGIMEN COMUN</v>
          </cell>
          <cell r="J3863" t="str">
            <v>CL 12 B  16   08  PINARES DE SAN MARTIN</v>
          </cell>
          <cell r="K3863" t="str">
            <v>66001</v>
          </cell>
          <cell r="L3863" t="str">
            <v>PEREIRA</v>
          </cell>
          <cell r="M3863" t="str">
            <v>3343232</v>
          </cell>
        </row>
        <row r="3864">
          <cell r="A3864">
            <v>830514243</v>
          </cell>
          <cell r="B3864" t="str">
            <v>0</v>
          </cell>
          <cell r="C3864" t="str">
            <v/>
          </cell>
          <cell r="D3864" t="str">
            <v>NJ</v>
          </cell>
          <cell r="E3864" t="str">
            <v/>
          </cell>
          <cell r="F3864" t="str">
            <v/>
          </cell>
          <cell r="G3864" t="str">
            <v>ABORDO VIAJES Y TURISMO S.A.S.</v>
          </cell>
          <cell r="H3864" t="str">
            <v>IMVE</v>
          </cell>
          <cell r="I3864" t="str">
            <v>IMPUESTO SOBRE LAS VENTAS</v>
          </cell>
          <cell r="J3864" t="str">
            <v>CR 5 66 B 24</v>
          </cell>
          <cell r="K3864" t="str">
            <v>05002</v>
          </cell>
          <cell r="L3864" t="str">
            <v>MEDELLIN</v>
          </cell>
          <cell r="M3864" t="str">
            <v>4483510</v>
          </cell>
        </row>
        <row r="3865">
          <cell r="A3865">
            <v>830514941</v>
          </cell>
          <cell r="B3865" t="str">
            <v>3</v>
          </cell>
          <cell r="C3865" t="str">
            <v/>
          </cell>
          <cell r="D3865" t="str">
            <v>NJ</v>
          </cell>
          <cell r="E3865" t="str">
            <v/>
          </cell>
          <cell r="F3865" t="str">
            <v/>
          </cell>
          <cell r="G3865" t="str">
            <v>ADEMINSA COLOMBIA SAS</v>
          </cell>
          <cell r="H3865" t="str">
            <v>RECO</v>
          </cell>
          <cell r="I3865" t="str">
            <v>REGIMEN COMUN</v>
          </cell>
          <cell r="J3865" t="str">
            <v>CR 48 170 43</v>
          </cell>
          <cell r="K3865" t="str">
            <v>11001</v>
          </cell>
          <cell r="L3865" t="str">
            <v>BOGOTA DC</v>
          </cell>
          <cell r="M3865" t="str">
            <v>7516435</v>
          </cell>
        </row>
        <row r="3866">
          <cell r="A3866">
            <v>830515242</v>
          </cell>
          <cell r="B3866" t="str">
            <v>8</v>
          </cell>
          <cell r="C3866" t="str">
            <v/>
          </cell>
          <cell r="D3866" t="str">
            <v>NJ</v>
          </cell>
          <cell r="E3866" t="str">
            <v/>
          </cell>
          <cell r="F3866" t="str">
            <v/>
          </cell>
          <cell r="G3866" t="str">
            <v>VAUPES SANO IPS SAS</v>
          </cell>
          <cell r="H3866" t="str">
            <v>IMVE</v>
          </cell>
          <cell r="I3866" t="str">
            <v>IMPUESTO SOBRE LAS VENTAS</v>
          </cell>
          <cell r="J3866" t="str">
            <v>CR 71 G 6 D 71</v>
          </cell>
          <cell r="K3866" t="str">
            <v>11001</v>
          </cell>
          <cell r="L3866" t="str">
            <v>BOGOTA DC</v>
          </cell>
          <cell r="M3866" t="str">
            <v>4661536</v>
          </cell>
        </row>
        <row r="3867">
          <cell r="A3867">
            <v>832000283</v>
          </cell>
          <cell r="B3867" t="str">
            <v>6</v>
          </cell>
          <cell r="C3867" t="str">
            <v>826185000</v>
          </cell>
          <cell r="D3867" t="str">
            <v>NJ</v>
          </cell>
          <cell r="E3867" t="str">
            <v/>
          </cell>
          <cell r="F3867" t="str">
            <v/>
          </cell>
          <cell r="G3867" t="str">
            <v>CORPORACIÓN AUTONOMA REGIONAL DE LA ORINOQUIA CORPORINOQUIA</v>
          </cell>
          <cell r="H3867" t="str">
            <v>REIC</v>
          </cell>
          <cell r="I3867" t="str">
            <v>RENTA REGIMEN ESPECIAL</v>
          </cell>
          <cell r="J3867" t="str">
            <v>CL 23 18 31 BRR EL GALVAN</v>
          </cell>
          <cell r="K3867" t="str">
            <v>85001</v>
          </cell>
          <cell r="L3867" t="str">
            <v>YOPAL</v>
          </cell>
          <cell r="M3867" t="str">
            <v>6354382</v>
          </cell>
        </row>
        <row r="3868">
          <cell r="A3868">
            <v>832000464</v>
          </cell>
          <cell r="B3868" t="str">
            <v>2</v>
          </cell>
          <cell r="C3868" t="str">
            <v/>
          </cell>
          <cell r="D3868" t="str">
            <v>NJ</v>
          </cell>
          <cell r="E3868" t="str">
            <v/>
          </cell>
          <cell r="F3868" t="str">
            <v/>
          </cell>
          <cell r="G3868" t="str">
            <v>VISIONAMOS SALUD CENTRO DE DIAGNOSTICO CLINICO LTDA</v>
          </cell>
          <cell r="H3868" t="str">
            <v>REOR</v>
          </cell>
          <cell r="I3868" t="str">
            <v>RENTA REGIMEN ORDINARIO</v>
          </cell>
          <cell r="J3868" t="str">
            <v>CR 29   12 A 03 BRR BRISAS CRAVO</v>
          </cell>
          <cell r="K3868" t="str">
            <v>85001</v>
          </cell>
          <cell r="L3868" t="str">
            <v>YOPAL</v>
          </cell>
          <cell r="M3868" t="str">
            <v>6359021</v>
          </cell>
        </row>
        <row r="3869">
          <cell r="A3869">
            <v>832000933</v>
          </cell>
          <cell r="B3869" t="str">
            <v>5</v>
          </cell>
          <cell r="C3869" t="str">
            <v/>
          </cell>
          <cell r="D3869" t="str">
            <v>NJ</v>
          </cell>
          <cell r="E3869" t="str">
            <v/>
          </cell>
          <cell r="F3869" t="str">
            <v/>
          </cell>
          <cell r="G3869" t="str">
            <v>AWA  INGENIERIA  LTDA</v>
          </cell>
          <cell r="H3869" t="str">
            <v>RECO</v>
          </cell>
          <cell r="I3869" t="str">
            <v>REGIMEN COMUN</v>
          </cell>
          <cell r="J3869" t="str">
            <v>CR 42 C   20   38</v>
          </cell>
          <cell r="K3869" t="str">
            <v>11001</v>
          </cell>
          <cell r="L3869" t="str">
            <v>BOGOTA DC</v>
          </cell>
          <cell r="M3869" t="str">
            <v>3690009</v>
          </cell>
        </row>
        <row r="3870">
          <cell r="A3870">
            <v>832002329</v>
          </cell>
          <cell r="B3870" t="str">
            <v>5</v>
          </cell>
          <cell r="C3870" t="str">
            <v/>
          </cell>
          <cell r="D3870" t="str">
            <v>NJ</v>
          </cell>
          <cell r="E3870" t="str">
            <v/>
          </cell>
          <cell r="F3870" t="str">
            <v/>
          </cell>
          <cell r="G3870" t="str">
            <v>WATER CLEAR SAS</v>
          </cell>
          <cell r="H3870" t="str">
            <v>IMVE</v>
          </cell>
          <cell r="I3870" t="str">
            <v>IMPUESTO SOBRE LAS VENTAS</v>
          </cell>
          <cell r="J3870" t="str">
            <v>KM 2 VIA CHIA CAJICA FINCA LA JUANITA</v>
          </cell>
          <cell r="K3870" t="str">
            <v>30</v>
          </cell>
          <cell r="L3870" t="str">
            <v>CUNDINAMARCA</v>
          </cell>
          <cell r="M3870" t="str">
            <v>8621185</v>
          </cell>
        </row>
        <row r="3871">
          <cell r="A3871">
            <v>832005223</v>
          </cell>
          <cell r="B3871" t="str">
            <v>7</v>
          </cell>
          <cell r="C3871" t="str">
            <v/>
          </cell>
          <cell r="D3871" t="str">
            <v>NJ</v>
          </cell>
          <cell r="E3871" t="str">
            <v/>
          </cell>
          <cell r="F3871" t="str">
            <v/>
          </cell>
          <cell r="G3871" t="str">
            <v>INVERSIONES AGUILA S.A</v>
          </cell>
          <cell r="H3871" t="str">
            <v>RECO</v>
          </cell>
          <cell r="I3871" t="str">
            <v>REGIMEN COMUN</v>
          </cell>
          <cell r="J3871" t="str">
            <v>CR 2 N 5-42</v>
          </cell>
          <cell r="K3871" t="str">
            <v>25799</v>
          </cell>
          <cell r="L3871" t="str">
            <v>TENJO</v>
          </cell>
          <cell r="M3871" t="str">
            <v>8646059</v>
          </cell>
        </row>
        <row r="3872">
          <cell r="A3872">
            <v>832006599</v>
          </cell>
          <cell r="B3872" t="str">
            <v>5</v>
          </cell>
          <cell r="C3872" t="str">
            <v/>
          </cell>
          <cell r="D3872" t="str">
            <v>NJ</v>
          </cell>
          <cell r="E3872" t="str">
            <v/>
          </cell>
          <cell r="F3872" t="str">
            <v/>
          </cell>
          <cell r="G3872" t="str">
            <v>CSS. CONSTRUCTORES S.A</v>
          </cell>
          <cell r="H3872" t="str">
            <v>GRCO</v>
          </cell>
          <cell r="I3872" t="str">
            <v>GRAN CONTRIBUYENTE</v>
          </cell>
          <cell r="J3872" t="str">
            <v>AUT NORTE KM 21 IN OLIMPICA</v>
          </cell>
          <cell r="K3872" t="str">
            <v>25175</v>
          </cell>
          <cell r="L3872" t="str">
            <v>CHÍA</v>
          </cell>
          <cell r="M3872" t="str">
            <v>6671030</v>
          </cell>
        </row>
        <row r="3873">
          <cell r="A3873">
            <v>832008957</v>
          </cell>
          <cell r="B3873" t="str">
            <v>8</v>
          </cell>
          <cell r="C3873" t="str">
            <v/>
          </cell>
          <cell r="D3873" t="str">
            <v>NJ</v>
          </cell>
          <cell r="E3873" t="str">
            <v/>
          </cell>
          <cell r="F3873" t="str">
            <v/>
          </cell>
          <cell r="G3873" t="str">
            <v>A&amp;M INGENIERÍA SAS</v>
          </cell>
          <cell r="H3873" t="str">
            <v>RECO</v>
          </cell>
          <cell r="I3873" t="str">
            <v>REGIMEN COMUN</v>
          </cell>
          <cell r="J3873" t="str">
            <v xml:space="preserve"> AV 15  1 40 SUR  IN 3</v>
          </cell>
          <cell r="K3873" t="str">
            <v>25899</v>
          </cell>
          <cell r="L3873" t="str">
            <v>ZIPAQUIRÁ</v>
          </cell>
          <cell r="M3873" t="str">
            <v>3103421762</v>
          </cell>
        </row>
        <row r="3874">
          <cell r="A3874">
            <v>834001242</v>
          </cell>
          <cell r="B3874" t="str">
            <v>6</v>
          </cell>
          <cell r="C3874" t="str">
            <v/>
          </cell>
          <cell r="D3874" t="str">
            <v>NJ</v>
          </cell>
          <cell r="E3874" t="str">
            <v/>
          </cell>
          <cell r="F3874" t="str">
            <v/>
          </cell>
          <cell r="G3874" t="str">
            <v>TECNOCOL LTDA</v>
          </cell>
          <cell r="H3874" t="str">
            <v>IMVE</v>
          </cell>
          <cell r="I3874" t="str">
            <v>IMPUESTO SOBRE LAS VENTAS</v>
          </cell>
          <cell r="J3874" t="str">
            <v xml:space="preserve"> CR 23 17 74</v>
          </cell>
          <cell r="K3874" t="str">
            <v>81001</v>
          </cell>
          <cell r="L3874" t="str">
            <v>ARAUCA</v>
          </cell>
          <cell r="M3874" t="str">
            <v>8850242</v>
          </cell>
        </row>
        <row r="3875">
          <cell r="A3875">
            <v>835000142</v>
          </cell>
          <cell r="B3875" t="str">
            <v>7</v>
          </cell>
          <cell r="C3875" t="str">
            <v/>
          </cell>
          <cell r="D3875" t="str">
            <v>NJ</v>
          </cell>
          <cell r="E3875" t="str">
            <v/>
          </cell>
          <cell r="F3875" t="str">
            <v/>
          </cell>
          <cell r="G3875" t="str">
            <v xml:space="preserve">ENERGUAPI S.A. E.S.P          </v>
          </cell>
          <cell r="H3875" t="str">
            <v>RECO</v>
          </cell>
          <cell r="I3875" t="str">
            <v>REGIMEN COMUN</v>
          </cell>
          <cell r="J3875" t="str">
            <v>CR 4   7 ESQ , BRR LAS FLORES</v>
          </cell>
          <cell r="K3875" t="str">
            <v>19318</v>
          </cell>
          <cell r="L3875" t="str">
            <v>GUAPI</v>
          </cell>
          <cell r="M3875" t="str">
            <v>8756262</v>
          </cell>
        </row>
        <row r="3876">
          <cell r="A3876">
            <v>835001744</v>
          </cell>
          <cell r="B3876" t="str">
            <v>5</v>
          </cell>
          <cell r="C3876" t="str">
            <v/>
          </cell>
          <cell r="D3876" t="str">
            <v>NJ</v>
          </cell>
          <cell r="E3876" t="str">
            <v/>
          </cell>
          <cell r="F3876" t="str">
            <v/>
          </cell>
          <cell r="G3876" t="str">
            <v>GRAN HOTEL BUENAVENTURA SAS.</v>
          </cell>
          <cell r="H3876" t="str">
            <v>RECO</v>
          </cell>
          <cell r="I3876" t="str">
            <v>REGIMEN COMUN</v>
          </cell>
          <cell r="J3876" t="str">
            <v>CL 1 N 2 A 71</v>
          </cell>
          <cell r="K3876" t="str">
            <v>76109</v>
          </cell>
          <cell r="L3876" t="str">
            <v>BUENAVENTURA</v>
          </cell>
          <cell r="M3876" t="str">
            <v>2415449</v>
          </cell>
        </row>
        <row r="3877">
          <cell r="A3877">
            <v>837000084</v>
          </cell>
          <cell r="B3877" t="str">
            <v>5</v>
          </cell>
          <cell r="C3877" t="str">
            <v>923272648</v>
          </cell>
          <cell r="D3877" t="str">
            <v>NJ</v>
          </cell>
          <cell r="E3877" t="str">
            <v/>
          </cell>
          <cell r="F3877" t="str">
            <v/>
          </cell>
          <cell r="G3877" t="str">
            <v>MALLAMAS - EMPRESA PROMOTORA DE SALUD MALLAMAS EPS INDIGENA</v>
          </cell>
          <cell r="H3877" t="str">
            <v>GRCO</v>
          </cell>
          <cell r="I3877" t="str">
            <v>GRAN CONTRIBUYENTE</v>
          </cell>
          <cell r="J3877" t="str">
            <v>Carrera 1 norte 4 - 56 Avenida Panamericana, Ipiales-Nariño</v>
          </cell>
          <cell r="K3877" t="str">
            <v>52480</v>
          </cell>
          <cell r="L3877" t="str">
            <v>NARIÑO</v>
          </cell>
          <cell r="M3877" t="str">
            <v>7255600</v>
          </cell>
        </row>
        <row r="3878">
          <cell r="A3878">
            <v>838000009</v>
          </cell>
          <cell r="B3878" t="str">
            <v>6</v>
          </cell>
          <cell r="C3878" t="str">
            <v>827294000</v>
          </cell>
          <cell r="D3878" t="str">
            <v>NJ</v>
          </cell>
          <cell r="E3878" t="str">
            <v/>
          </cell>
          <cell r="F3878" t="str">
            <v/>
          </cell>
          <cell r="G3878" t="str">
            <v>CORPORACION PARA EL DESARROLLO SOSTENIBLE DEL NORTE Y ORIENTE AM</v>
          </cell>
          <cell r="H3878" t="str">
            <v>COIM</v>
          </cell>
          <cell r="I3878" t="str">
            <v>CONTROL DE IMPUESTOS</v>
          </cell>
          <cell r="J3878" t="str">
            <v>BRR CINCO DE DICIEMBRE CL 26 11 131</v>
          </cell>
          <cell r="K3878" t="str">
            <v>94001</v>
          </cell>
          <cell r="L3878" t="str">
            <v>INÍRIDA</v>
          </cell>
          <cell r="M3878" t="str">
            <v>5656352</v>
          </cell>
        </row>
        <row r="3879">
          <cell r="A3879">
            <v>838000252</v>
          </cell>
          <cell r="B3879" t="str">
            <v>1</v>
          </cell>
          <cell r="C3879" t="str">
            <v/>
          </cell>
          <cell r="D3879" t="str">
            <v>NJ</v>
          </cell>
          <cell r="E3879" t="str">
            <v/>
          </cell>
          <cell r="F3879" t="str">
            <v/>
          </cell>
          <cell r="G3879" t="str">
            <v>LINES AMAZONAS SAS</v>
          </cell>
          <cell r="H3879" t="str">
            <v>RECO</v>
          </cell>
          <cell r="I3879" t="str">
            <v>REGIMEN COMUN</v>
          </cell>
          <cell r="J3879" t="str">
            <v>CR 12 7-36 CC MALECON PLAZA LC 101</v>
          </cell>
          <cell r="K3879" t="str">
            <v>91001</v>
          </cell>
          <cell r="L3879" t="str">
            <v>LETICIA</v>
          </cell>
          <cell r="M3879" t="str">
            <v>3115320633</v>
          </cell>
        </row>
        <row r="3880">
          <cell r="A3880">
            <v>840000850</v>
          </cell>
          <cell r="B3880" t="str">
            <v>1</v>
          </cell>
          <cell r="C3880" t="str">
            <v/>
          </cell>
          <cell r="D3880" t="str">
            <v>NJ</v>
          </cell>
          <cell r="E3880" t="str">
            <v/>
          </cell>
          <cell r="F3880" t="str">
            <v/>
          </cell>
          <cell r="G3880" t="str">
            <v>EAT.TRANSMART</v>
          </cell>
          <cell r="H3880" t="str">
            <v>RECO</v>
          </cell>
          <cell r="I3880" t="str">
            <v>REGIMEN COMUN</v>
          </cell>
          <cell r="J3880" t="str">
            <v>CL DEL COMERCIO</v>
          </cell>
          <cell r="K3880" t="str">
            <v>52835</v>
          </cell>
          <cell r="L3880" t="str">
            <v>TUMACO</v>
          </cell>
          <cell r="M3880" t="str">
            <v>3173264779</v>
          </cell>
        </row>
        <row r="3881">
          <cell r="A3881">
            <v>841000178</v>
          </cell>
          <cell r="B3881" t="str">
            <v>3</v>
          </cell>
          <cell r="C3881" t="str">
            <v/>
          </cell>
          <cell r="D3881" t="str">
            <v>NJ</v>
          </cell>
          <cell r="E3881" t="str">
            <v/>
          </cell>
          <cell r="F3881" t="str">
            <v/>
          </cell>
          <cell r="G3881" t="str">
            <v>COOTRANSFLUMAR</v>
          </cell>
          <cell r="H3881" t="str">
            <v>RECO</v>
          </cell>
          <cell r="I3881" t="str">
            <v>REGIMEN COMUN</v>
          </cell>
          <cell r="J3881" t="str">
            <v>TER DE TRANSPORTE FLUVIAL</v>
          </cell>
          <cell r="K3881" t="str">
            <v>05837</v>
          </cell>
          <cell r="L3881" t="str">
            <v>TURBO</v>
          </cell>
          <cell r="M3881" t="str">
            <v>8278790</v>
          </cell>
        </row>
        <row r="3882">
          <cell r="A3882">
            <v>843000004</v>
          </cell>
          <cell r="B3882" t="str">
            <v>8</v>
          </cell>
          <cell r="C3882" t="str">
            <v/>
          </cell>
          <cell r="D3882" t="str">
            <v>NJ</v>
          </cell>
          <cell r="E3882" t="str">
            <v/>
          </cell>
          <cell r="F3882" t="str">
            <v/>
          </cell>
          <cell r="G3882" t="str">
            <v>INIRIDA VIAJES Y TURISMO LTDA</v>
          </cell>
          <cell r="H3882" t="str">
            <v>RECO</v>
          </cell>
          <cell r="I3882" t="str">
            <v>REGIMEN COMUN</v>
          </cell>
          <cell r="J3882" t="str">
            <v>CL 18 9 96 BRR COMUNEROS</v>
          </cell>
          <cell r="K3882" t="str">
            <v>94001</v>
          </cell>
          <cell r="L3882" t="str">
            <v>INÍRIDA</v>
          </cell>
          <cell r="M3882" t="str">
            <v>5656069</v>
          </cell>
        </row>
        <row r="3883">
          <cell r="A3883">
            <v>843000057</v>
          </cell>
          <cell r="B3883" t="str">
            <v>8</v>
          </cell>
          <cell r="C3883" t="str">
            <v>130194000</v>
          </cell>
          <cell r="D3883" t="str">
            <v>NJ</v>
          </cell>
          <cell r="E3883" t="str">
            <v/>
          </cell>
          <cell r="F3883" t="str">
            <v/>
          </cell>
          <cell r="G3883" t="str">
            <v>EMPRESA DE ENERGIA DEL GUAINIA LA CEIBA SA</v>
          </cell>
          <cell r="H3883" t="str">
            <v>IMVE</v>
          </cell>
          <cell r="I3883" t="str">
            <v>IMPUESTO SOBRE LAS VENTAS</v>
          </cell>
          <cell r="J3883" t="str">
            <v>CL 19  CR  10  12  BRR LOS COMUNEROS</v>
          </cell>
          <cell r="K3883" t="str">
            <v>94001</v>
          </cell>
          <cell r="L3883" t="str">
            <v>INÍRIDA</v>
          </cell>
          <cell r="M3883" t="str">
            <v>5656838</v>
          </cell>
        </row>
        <row r="3884">
          <cell r="A3884">
            <v>843000169</v>
          </cell>
          <cell r="B3884" t="str">
            <v>4</v>
          </cell>
          <cell r="C3884" t="str">
            <v/>
          </cell>
          <cell r="D3884" t="str">
            <v>NJ</v>
          </cell>
          <cell r="E3884" t="str">
            <v/>
          </cell>
          <cell r="F3884" t="str">
            <v/>
          </cell>
          <cell r="G3884" t="str">
            <v>ASOCIACIÓN PARA EL DESARROLLO INTEGRAL HUMANO Y SOSTENIBLE AKAYU</v>
          </cell>
          <cell r="H3884" t="str">
            <v>RECO</v>
          </cell>
          <cell r="I3884" t="str">
            <v>REGIMEN COMUN</v>
          </cell>
          <cell r="J3884" t="str">
            <v>CL 17 13 10 BRR LOS LIBERTADORES</v>
          </cell>
          <cell r="K3884" t="str">
            <v>94001</v>
          </cell>
          <cell r="L3884" t="str">
            <v>INÍRIDA</v>
          </cell>
          <cell r="M3884" t="str">
            <v>5656771</v>
          </cell>
        </row>
        <row r="3885">
          <cell r="A3885">
            <v>844000132</v>
          </cell>
          <cell r="B3885" t="str">
            <v>6</v>
          </cell>
          <cell r="C3885" t="str">
            <v/>
          </cell>
          <cell r="D3885" t="str">
            <v>NJ</v>
          </cell>
          <cell r="E3885" t="str">
            <v/>
          </cell>
          <cell r="F3885" t="str">
            <v/>
          </cell>
          <cell r="G3885" t="str">
            <v>TRANSPORTES COROMOTO SAS</v>
          </cell>
          <cell r="H3885" t="str">
            <v>REOR</v>
          </cell>
          <cell r="I3885" t="str">
            <v>RENTA REGIMEN ORDINARIO</v>
          </cell>
          <cell r="J3885" t="str">
            <v>FCA LA CASONA BUENA VISTA BAJA</v>
          </cell>
          <cell r="K3885" t="str">
            <v>85001</v>
          </cell>
          <cell r="L3885" t="str">
            <v>YOPAL</v>
          </cell>
          <cell r="M3885" t="str">
            <v>3108828127</v>
          </cell>
        </row>
        <row r="3886">
          <cell r="A3886">
            <v>844000433</v>
          </cell>
          <cell r="B3886" t="str">
            <v>8</v>
          </cell>
          <cell r="C3886" t="str">
            <v/>
          </cell>
          <cell r="D3886" t="str">
            <v>NJ</v>
          </cell>
          <cell r="E3886" t="str">
            <v/>
          </cell>
          <cell r="F3886" t="str">
            <v/>
          </cell>
          <cell r="G3886" t="str">
            <v>ARDCO CONSTRUCCIONES LTDA</v>
          </cell>
          <cell r="H3886" t="str">
            <v>RECO</v>
          </cell>
          <cell r="I3886" t="str">
            <v>REGIMEN COMUN</v>
          </cell>
          <cell r="J3886" t="str">
            <v>AC 116   71 B 14 ED ALTO V OF 204</v>
          </cell>
          <cell r="K3886" t="str">
            <v>11001</v>
          </cell>
          <cell r="L3886" t="str">
            <v>BOGOTA DC</v>
          </cell>
          <cell r="M3886" t="str">
            <v>6245277</v>
          </cell>
        </row>
        <row r="3887">
          <cell r="A3887">
            <v>844000522</v>
          </cell>
          <cell r="B3887" t="str">
            <v>5</v>
          </cell>
          <cell r="C3887" t="str">
            <v/>
          </cell>
          <cell r="D3887" t="str">
            <v>NJ</v>
          </cell>
          <cell r="E3887" t="str">
            <v/>
          </cell>
          <cell r="F3887" t="str">
            <v/>
          </cell>
          <cell r="G3887" t="str">
            <v xml:space="preserve">TEKMAN SOCIEDAD POR ACCIONES SIMPLIFICADA	</v>
          </cell>
          <cell r="H3887" t="str">
            <v>IMVE</v>
          </cell>
          <cell r="I3887" t="str">
            <v>IMPUESTO SOBRE LAS VENTAS</v>
          </cell>
          <cell r="J3887" t="str">
            <v>KM 9 VIA MORICHAL MZ A LT 8 Y 9 ZN VILLA INDUSTRIAL</v>
          </cell>
          <cell r="K3887" t="str">
            <v>85001</v>
          </cell>
          <cell r="L3887" t="str">
            <v>YOPAL</v>
          </cell>
          <cell r="M3887" t="str">
            <v>3114840182</v>
          </cell>
        </row>
        <row r="3888">
          <cell r="A3888">
            <v>844000722</v>
          </cell>
          <cell r="B3888" t="str">
            <v>1</v>
          </cell>
          <cell r="C3888" t="str">
            <v/>
          </cell>
          <cell r="D3888" t="str">
            <v>NJ</v>
          </cell>
          <cell r="E3888" t="str">
            <v/>
          </cell>
          <cell r="F3888" t="str">
            <v/>
          </cell>
          <cell r="G3888" t="str">
            <v>LONJA DE PROPIEDAD RAIZ DEL ORIENTE</v>
          </cell>
          <cell r="H3888" t="str">
            <v>IMVE</v>
          </cell>
          <cell r="I3888" t="str">
            <v>IMPUESTO SOBRE LAS VENTAS</v>
          </cell>
          <cell r="J3888" t="str">
            <v>CL 10 22 76 BRR BELLO HORIZONTES</v>
          </cell>
          <cell r="K3888" t="str">
            <v>85001</v>
          </cell>
          <cell r="L3888" t="str">
            <v>YOPAL</v>
          </cell>
          <cell r="M3888" t="str">
            <v>6340013</v>
          </cell>
        </row>
        <row r="3889">
          <cell r="A3889">
            <v>844000956</v>
          </cell>
          <cell r="B3889" t="str">
            <v>8</v>
          </cell>
          <cell r="C3889" t="str">
            <v/>
          </cell>
          <cell r="D3889" t="str">
            <v>NJ</v>
          </cell>
          <cell r="E3889" t="str">
            <v/>
          </cell>
          <cell r="F3889" t="str">
            <v/>
          </cell>
          <cell r="G3889" t="str">
            <v>INDEQ LTDA</v>
          </cell>
          <cell r="H3889" t="str">
            <v>RECO</v>
          </cell>
          <cell r="I3889" t="str">
            <v>REGIMEN COMUN</v>
          </cell>
          <cell r="J3889" t="str">
            <v>TV 21  23  50</v>
          </cell>
          <cell r="K3889" t="str">
            <v>85010</v>
          </cell>
          <cell r="L3889" t="str">
            <v>AGUAZUL</v>
          </cell>
          <cell r="M3889" t="str">
            <v>6387030</v>
          </cell>
        </row>
        <row r="3890">
          <cell r="A3890">
            <v>844001594</v>
          </cell>
          <cell r="B3890" t="str">
            <v>1</v>
          </cell>
          <cell r="C3890" t="str">
            <v/>
          </cell>
          <cell r="D3890" t="str">
            <v>NJ</v>
          </cell>
          <cell r="E3890" t="str">
            <v/>
          </cell>
          <cell r="F3890" t="str">
            <v/>
          </cell>
          <cell r="G3890" t="str">
            <v>COMUNICACIONES DEL LLANO LTDA</v>
          </cell>
          <cell r="H3890" t="str">
            <v>RECO</v>
          </cell>
          <cell r="I3890" t="str">
            <v>REGIMEN COMUN</v>
          </cell>
          <cell r="J3890" t="str">
            <v>CR 22   9   51</v>
          </cell>
          <cell r="K3890" t="str">
            <v>85001</v>
          </cell>
          <cell r="L3890" t="str">
            <v>YOPAL</v>
          </cell>
          <cell r="M3890" t="str">
            <v>6341973</v>
          </cell>
        </row>
        <row r="3891">
          <cell r="A3891">
            <v>844002749</v>
          </cell>
          <cell r="B3891" t="str">
            <v>9</v>
          </cell>
          <cell r="C3891" t="str">
            <v/>
          </cell>
          <cell r="D3891" t="str">
            <v>NJ</v>
          </cell>
          <cell r="E3891" t="str">
            <v/>
          </cell>
          <cell r="F3891" t="str">
            <v/>
          </cell>
          <cell r="G3891" t="str">
            <v xml:space="preserve">INGELECT LTDA.                                              </v>
          </cell>
          <cell r="H3891" t="str">
            <v>RECO</v>
          </cell>
          <cell r="I3891" t="str">
            <v>REGIMEN COMUN</v>
          </cell>
          <cell r="J3891" t="str">
            <v xml:space="preserve">CL 25 14 95                             </v>
          </cell>
          <cell r="K3891" t="str">
            <v>85001</v>
          </cell>
          <cell r="L3891" t="str">
            <v>YOPAL</v>
          </cell>
          <cell r="M3891" t="str">
            <v>6324261</v>
          </cell>
        </row>
        <row r="3892">
          <cell r="A3892">
            <v>844003226</v>
          </cell>
          <cell r="B3892" t="str">
            <v>3</v>
          </cell>
          <cell r="C3892" t="str">
            <v/>
          </cell>
          <cell r="D3892" t="str">
            <v>NJ</v>
          </cell>
          <cell r="E3892" t="str">
            <v/>
          </cell>
          <cell r="F3892" t="str">
            <v/>
          </cell>
          <cell r="G3892" t="str">
            <v>JUNTA DE ACCION COMUNAL VEREDA PALESTINA</v>
          </cell>
          <cell r="H3892" t="str">
            <v>REIS</v>
          </cell>
          <cell r="I3892" t="str">
            <v>RENTA REGIMEN ESPEC SIMPLIFIC</v>
          </cell>
          <cell r="J3892" t="str">
            <v>VRD PALESTINA  FCA ESCUELA</v>
          </cell>
          <cell r="K3892" t="str">
            <v>85325</v>
          </cell>
          <cell r="L3892" t="str">
            <v>SAN LUIS DE PALENQUE</v>
          </cell>
          <cell r="M3892" t="str">
            <v>3143863527</v>
          </cell>
        </row>
        <row r="3893">
          <cell r="A3893">
            <v>844003392</v>
          </cell>
          <cell r="B3893" t="str">
            <v>8</v>
          </cell>
          <cell r="C3893" t="str">
            <v/>
          </cell>
          <cell r="D3893" t="str">
            <v>NJ</v>
          </cell>
          <cell r="E3893" t="str">
            <v/>
          </cell>
          <cell r="F3893" t="str">
            <v/>
          </cell>
          <cell r="G3893" t="str">
            <v>CAJA DE COMPENSACION FAMILIAR DE CASANARE</v>
          </cell>
          <cell r="H3893" t="str">
            <v>ENSA</v>
          </cell>
          <cell r="I3893" t="str">
            <v>ENTIDADES SIN ANIMO DE LUCRO</v>
          </cell>
          <cell r="J3893" t="str">
            <v>CALLE 6 No. 14 -14</v>
          </cell>
          <cell r="K3893" t="str">
            <v>85001</v>
          </cell>
          <cell r="L3893" t="str">
            <v>YOPAL</v>
          </cell>
          <cell r="M3893" t="str">
            <v>6323030</v>
          </cell>
        </row>
        <row r="3894">
          <cell r="A3894">
            <v>844003556</v>
          </cell>
          <cell r="B3894" t="str">
            <v>9</v>
          </cell>
          <cell r="C3894" t="str">
            <v/>
          </cell>
          <cell r="D3894" t="str">
            <v>NJ</v>
          </cell>
          <cell r="E3894" t="str">
            <v/>
          </cell>
          <cell r="F3894" t="str">
            <v/>
          </cell>
          <cell r="G3894" t="str">
            <v>|AGUA ARCO IRIS LTDA</v>
          </cell>
          <cell r="H3894" t="str">
            <v>RECO</v>
          </cell>
          <cell r="I3894" t="str">
            <v>REGIMEN COMUN</v>
          </cell>
          <cell r="J3894" t="str">
            <v>AV CIRCUNVALAR VIA BOCA DEL PAUTO</v>
          </cell>
          <cell r="K3894" t="str">
            <v>85430</v>
          </cell>
          <cell r="L3894" t="str">
            <v>TRINIDAD</v>
          </cell>
          <cell r="M3894" t="str">
            <v>6324357</v>
          </cell>
        </row>
        <row r="3895">
          <cell r="A3895">
            <v>844004132</v>
          </cell>
          <cell r="B3895" t="str">
            <v>4</v>
          </cell>
          <cell r="C3895" t="str">
            <v/>
          </cell>
          <cell r="D3895" t="str">
            <v>NJ</v>
          </cell>
          <cell r="E3895" t="str">
            <v/>
          </cell>
          <cell r="F3895" t="str">
            <v/>
          </cell>
          <cell r="G3895" t="str">
            <v>KIMOSAVI INTERNCAIONAL E.U</v>
          </cell>
          <cell r="H3895" t="str">
            <v>RECO</v>
          </cell>
          <cell r="I3895" t="str">
            <v>REGIMEN COMUN</v>
          </cell>
          <cell r="J3895" t="str">
            <v>CR 19   7   26</v>
          </cell>
          <cell r="K3895" t="str">
            <v>85001</v>
          </cell>
          <cell r="L3895" t="str">
            <v>YOPAL</v>
          </cell>
          <cell r="M3895" t="str">
            <v>6343593</v>
          </cell>
        </row>
        <row r="3896">
          <cell r="A3896">
            <v>844004576</v>
          </cell>
          <cell r="B3896" t="str">
            <v>0</v>
          </cell>
          <cell r="C3896" t="str">
            <v>130285000</v>
          </cell>
          <cell r="D3896" t="str">
            <v>NJ</v>
          </cell>
          <cell r="E3896" t="str">
            <v/>
          </cell>
          <cell r="F3896" t="str">
            <v/>
          </cell>
          <cell r="G3896" t="str">
            <v>EMPRESA DE ENERGÍA DE CASANARE  S.A. E.S.P.</v>
          </cell>
          <cell r="H3896" t="str">
            <v>GRCO</v>
          </cell>
          <cell r="I3896" t="str">
            <v>GRAN CONTRIBUYENTE</v>
          </cell>
          <cell r="J3896" t="str">
            <v>CR 19 6 100 ED EMIRO SOSSA PACHECO</v>
          </cell>
          <cell r="K3896" t="str">
            <v>85001</v>
          </cell>
          <cell r="L3896" t="str">
            <v>YOPAL</v>
          </cell>
          <cell r="M3896" t="str">
            <v>6344680</v>
          </cell>
        </row>
        <row r="3897">
          <cell r="A3897">
            <v>844005147</v>
          </cell>
          <cell r="B3897" t="str">
            <v>9</v>
          </cell>
          <cell r="C3897" t="str">
            <v/>
          </cell>
          <cell r="D3897" t="str">
            <v>NJ</v>
          </cell>
          <cell r="E3897" t="str">
            <v/>
          </cell>
          <cell r="F3897" t="str">
            <v/>
          </cell>
          <cell r="G3897" t="str">
            <v>FUNDACIÓN ORINOQUENSE RAMON NONATO PEREZ</v>
          </cell>
          <cell r="H3897" t="str">
            <v>REIC</v>
          </cell>
          <cell r="I3897" t="str">
            <v>RENTA REGIMEN ESPECIAL</v>
          </cell>
          <cell r="J3897" t="str">
            <v>CL 15   15   59 OF 402</v>
          </cell>
          <cell r="K3897" t="str">
            <v>85001</v>
          </cell>
          <cell r="L3897" t="str">
            <v>YOPAL</v>
          </cell>
          <cell r="M3897" t="str">
            <v>6324897</v>
          </cell>
        </row>
        <row r="3898">
          <cell r="A3898">
            <v>844005148</v>
          </cell>
          <cell r="B3898" t="str">
            <v>6</v>
          </cell>
          <cell r="C3898" t="str">
            <v/>
          </cell>
          <cell r="D3898" t="str">
            <v>NJ</v>
          </cell>
          <cell r="E3898" t="str">
            <v/>
          </cell>
          <cell r="F3898" t="str">
            <v/>
          </cell>
          <cell r="G3898" t="str">
            <v>PRODUCCIONES VIOLETA LTDA</v>
          </cell>
          <cell r="H3898" t="str">
            <v>RECO</v>
          </cell>
          <cell r="I3898" t="str">
            <v>REGIMEN COMUN</v>
          </cell>
          <cell r="J3898" t="str">
            <v>CR 20   6   77</v>
          </cell>
          <cell r="K3898" t="str">
            <v>85001</v>
          </cell>
          <cell r="L3898" t="str">
            <v>YOPAL</v>
          </cell>
          <cell r="M3898" t="str">
            <v>6347884</v>
          </cell>
        </row>
        <row r="3899">
          <cell r="A3899">
            <v>845000021</v>
          </cell>
          <cell r="B3899" t="str">
            <v>0</v>
          </cell>
          <cell r="C3899" t="str">
            <v>119797000</v>
          </cell>
          <cell r="D3899" t="str">
            <v>NJ</v>
          </cell>
          <cell r="E3899" t="str">
            <v/>
          </cell>
          <cell r="F3899" t="str">
            <v/>
          </cell>
          <cell r="G3899" t="str">
            <v>GOBERNACIÓN DEL VAUPÉS</v>
          </cell>
          <cell r="H3899" t="str">
            <v>RECO</v>
          </cell>
          <cell r="I3899" t="str">
            <v>REGIMEN COMUN</v>
          </cell>
          <cell r="J3899" t="str">
            <v>ED GOBERNACION 1 P</v>
          </cell>
          <cell r="K3899" t="str">
            <v>97001</v>
          </cell>
          <cell r="L3899" t="str">
            <v>MITÚ</v>
          </cell>
          <cell r="M3899" t="str">
            <v>5642007</v>
          </cell>
        </row>
        <row r="3900">
          <cell r="A3900">
            <v>845000038</v>
          </cell>
          <cell r="B3900" t="str">
            <v>5</v>
          </cell>
          <cell r="C3900" t="str">
            <v>120197000</v>
          </cell>
          <cell r="D3900" t="str">
            <v>NJ</v>
          </cell>
          <cell r="E3900" t="str">
            <v/>
          </cell>
          <cell r="F3900" t="str">
            <v/>
          </cell>
          <cell r="G3900" t="str">
            <v>EMPRESA SOCIAL DEL ESTADO SAN ANTONIO</v>
          </cell>
          <cell r="H3900" t="str">
            <v>REIC</v>
          </cell>
          <cell r="I3900" t="str">
            <v>RENTA REGIMEN ESPECIAL</v>
          </cell>
          <cell r="J3900" t="str">
            <v>CR 13 A 15 A 127 BRR CENTRO</v>
          </cell>
          <cell r="K3900" t="str">
            <v>97001</v>
          </cell>
          <cell r="L3900" t="str">
            <v>MITÚ</v>
          </cell>
          <cell r="M3900" t="str">
            <v>5642095</v>
          </cell>
        </row>
        <row r="3901">
          <cell r="A3901">
            <v>845000044</v>
          </cell>
          <cell r="B3901" t="str">
            <v>1</v>
          </cell>
          <cell r="C3901" t="str">
            <v/>
          </cell>
          <cell r="D3901" t="str">
            <v>NJ</v>
          </cell>
          <cell r="E3901" t="str">
            <v/>
          </cell>
          <cell r="F3901" t="str">
            <v/>
          </cell>
          <cell r="G3901" t="str">
            <v>ESTACION DE SERVICIO LA MALOCA MITU S. EN C.</v>
          </cell>
          <cell r="H3901" t="str">
            <v>RECO</v>
          </cell>
          <cell r="I3901" t="str">
            <v>REGIMEN COMUN</v>
          </cell>
          <cell r="J3901" t="str">
            <v>CL PRINCIPAL CR 8 CL 84</v>
          </cell>
          <cell r="K3901" t="str">
            <v>97001</v>
          </cell>
          <cell r="L3901" t="str">
            <v>MITÚ</v>
          </cell>
          <cell r="M3901" t="str">
            <v>6667540</v>
          </cell>
        </row>
        <row r="3902">
          <cell r="A3902">
            <v>845000096</v>
          </cell>
          <cell r="B3902" t="str">
            <v>2</v>
          </cell>
          <cell r="C3902" t="str">
            <v/>
          </cell>
          <cell r="D3902" t="str">
            <v>NJ</v>
          </cell>
          <cell r="E3902" t="str">
            <v/>
          </cell>
          <cell r="F3902" t="str">
            <v/>
          </cell>
          <cell r="G3902" t="str">
            <v>DISTRIBUIDORA RIVERA E.U.</v>
          </cell>
          <cell r="H3902" t="str">
            <v>IMVE</v>
          </cell>
          <cell r="I3902" t="str">
            <v>IMPUESTO SOBRE LAS VENTAS</v>
          </cell>
          <cell r="J3902" t="str">
            <v>CR 50 A  34  08 BRR AZOTEA</v>
          </cell>
          <cell r="K3902" t="str">
            <v>50001</v>
          </cell>
          <cell r="L3902" t="str">
            <v>VILLAVICENCIO</v>
          </cell>
          <cell r="M3902" t="str">
            <v>3107594847</v>
          </cell>
        </row>
        <row r="3903">
          <cell r="A3903">
            <v>846000241</v>
          </cell>
          <cell r="B3903" t="str">
            <v>8</v>
          </cell>
          <cell r="C3903" t="str">
            <v/>
          </cell>
          <cell r="D3903" t="str">
            <v>NJ</v>
          </cell>
          <cell r="E3903" t="str">
            <v/>
          </cell>
          <cell r="F3903" t="str">
            <v/>
          </cell>
          <cell r="G3903" t="str">
            <v xml:space="preserve">EMPRESA DE ENERGIA DEL PUTUMAYO S.A. ESP.                   </v>
          </cell>
          <cell r="H3903" t="str">
            <v>IMVE</v>
          </cell>
          <cell r="I3903" t="str">
            <v>IMPUESTO SOBRE LAS VENTAS</v>
          </cell>
          <cell r="J3903" t="str">
            <v>CR 9 8 10 BRR EL CENTRO</v>
          </cell>
          <cell r="K3903" t="str">
            <v>86001</v>
          </cell>
          <cell r="L3903" t="str">
            <v>MOCOA</v>
          </cell>
          <cell r="M3903" t="str">
            <v>4201300</v>
          </cell>
        </row>
        <row r="3904">
          <cell r="A3904">
            <v>846000553</v>
          </cell>
          <cell r="B3904" t="str">
            <v>0</v>
          </cell>
          <cell r="C3904" t="str">
            <v/>
          </cell>
          <cell r="D3904" t="str">
            <v>NJ</v>
          </cell>
          <cell r="E3904" t="str">
            <v/>
          </cell>
          <cell r="F3904" t="str">
            <v/>
          </cell>
          <cell r="G3904" t="str">
            <v>EMPRESA DE ENERGIA DEL BAJO PUTUMAYO  S.A.  E.S.P</v>
          </cell>
          <cell r="H3904" t="str">
            <v>RCAU</v>
          </cell>
          <cell r="I3904" t="str">
            <v>RESPONSABLE IVA - AUTORETENEDOR</v>
          </cell>
          <cell r="J3904" t="str">
            <v>CR 26 10 68 BRR EL CARMEN</v>
          </cell>
          <cell r="K3904" t="str">
            <v>86568</v>
          </cell>
          <cell r="L3904" t="str">
            <v>PUERTO ASÍS</v>
          </cell>
          <cell r="M3904" t="str">
            <v>4227559</v>
          </cell>
        </row>
        <row r="3905">
          <cell r="A3905">
            <v>860000018</v>
          </cell>
          <cell r="B3905" t="str">
            <v>2</v>
          </cell>
          <cell r="C3905" t="str">
            <v/>
          </cell>
          <cell r="D3905" t="str">
            <v>NJ</v>
          </cell>
          <cell r="E3905" t="str">
            <v/>
          </cell>
          <cell r="F3905" t="str">
            <v/>
          </cell>
          <cell r="G3905" t="str">
            <v xml:space="preserve">AGENCIA DE VIAJES Y TURISMO AVIATUR S A                     </v>
          </cell>
          <cell r="H3905" t="str">
            <v>GRAU</v>
          </cell>
          <cell r="I3905" t="str">
            <v>GRAN CONTRIBUYENTE AUTORRETENEDO</v>
          </cell>
          <cell r="J3905" t="str">
            <v xml:space="preserve"> AV 19  4 62</v>
          </cell>
          <cell r="K3905" t="str">
            <v>11001</v>
          </cell>
          <cell r="L3905" t="str">
            <v>BOGOTA DC</v>
          </cell>
          <cell r="M3905" t="str">
            <v>3817111</v>
          </cell>
        </row>
        <row r="3906">
          <cell r="A3906">
            <v>860000100</v>
          </cell>
          <cell r="B3906" t="str">
            <v>9</v>
          </cell>
          <cell r="C3906" t="str">
            <v/>
          </cell>
          <cell r="D3906" t="str">
            <v>NJ</v>
          </cell>
          <cell r="E3906" t="str">
            <v/>
          </cell>
          <cell r="F3906" t="str">
            <v/>
          </cell>
          <cell r="G3906" t="str">
            <v>HACH COLOMBIA SAS</v>
          </cell>
          <cell r="H3906" t="str">
            <v>RCAU</v>
          </cell>
          <cell r="I3906" t="str">
            <v>RESPONSABLE IVA - AUTORETENEDOR</v>
          </cell>
          <cell r="J3906" t="str">
            <v>CL 60 A   5 77</v>
          </cell>
          <cell r="K3906" t="str">
            <v>11001</v>
          </cell>
          <cell r="L3906" t="str">
            <v>BOGOTA DC</v>
          </cell>
          <cell r="M3906" t="str">
            <v>2351574</v>
          </cell>
        </row>
        <row r="3907">
          <cell r="A3907">
            <v>860000656</v>
          </cell>
          <cell r="B3907" t="str">
            <v>1</v>
          </cell>
          <cell r="C3907" t="str">
            <v/>
          </cell>
          <cell r="D3907" t="str">
            <v>NJ</v>
          </cell>
          <cell r="E3907" t="str">
            <v/>
          </cell>
          <cell r="F3907" t="str">
            <v/>
          </cell>
          <cell r="G3907" t="str">
            <v>HMV INGENIEROS LTDA</v>
          </cell>
          <cell r="H3907" t="str">
            <v>GRCO</v>
          </cell>
          <cell r="I3907" t="str">
            <v>GRAN CONTRIBUYENTE</v>
          </cell>
          <cell r="J3907" t="str">
            <v>CR 43 A 11 A 80</v>
          </cell>
          <cell r="K3907" t="str">
            <v>05001</v>
          </cell>
          <cell r="L3907" t="str">
            <v>MEDELLÍN</v>
          </cell>
          <cell r="M3907" t="str">
            <v>3706666</v>
          </cell>
        </row>
        <row r="3908">
          <cell r="A3908">
            <v>860001022</v>
          </cell>
          <cell r="B3908" t="str">
            <v>7</v>
          </cell>
          <cell r="C3908" t="str">
            <v/>
          </cell>
          <cell r="D3908" t="str">
            <v>NJ</v>
          </cell>
          <cell r="E3908" t="str">
            <v/>
          </cell>
          <cell r="F3908" t="str">
            <v/>
          </cell>
          <cell r="G3908" t="str">
            <v>CASA EDITORIAL EL TIEMPO  S. A.</v>
          </cell>
          <cell r="H3908" t="str">
            <v>GRAU</v>
          </cell>
          <cell r="I3908" t="str">
            <v>GRAN CONTRIBUYENTE AUTORRETENEDO</v>
          </cell>
          <cell r="J3908" t="str">
            <v>AC 26   68 B   70</v>
          </cell>
          <cell r="K3908" t="str">
            <v>11001</v>
          </cell>
          <cell r="L3908" t="str">
            <v>BOGOTA DC</v>
          </cell>
          <cell r="M3908" t="str">
            <v>2940100</v>
          </cell>
        </row>
        <row r="3909">
          <cell r="A3909">
            <v>860001300</v>
          </cell>
          <cell r="B3909" t="str">
            <v>1</v>
          </cell>
          <cell r="C3909" t="str">
            <v/>
          </cell>
          <cell r="D3909" t="str">
            <v>NJ</v>
          </cell>
          <cell r="E3909" t="str">
            <v/>
          </cell>
          <cell r="F3909" t="str">
            <v/>
          </cell>
          <cell r="G3909" t="str">
            <v>IGNACIO GOMEZ IHM SAS</v>
          </cell>
          <cell r="H3909" t="str">
            <v>RCAU</v>
          </cell>
          <cell r="I3909" t="str">
            <v>RESPONSABLE IVA - AUTORETENEDOR</v>
          </cell>
          <cell r="J3909" t="str">
            <v xml:space="preserve">CR 42 BIS 17A 24                        </v>
          </cell>
          <cell r="K3909" t="str">
            <v>11001</v>
          </cell>
          <cell r="L3909" t="str">
            <v>BOGOTA DC</v>
          </cell>
          <cell r="M3909" t="str">
            <v>8200210</v>
          </cell>
        </row>
        <row r="3910">
          <cell r="A3910">
            <v>860001307</v>
          </cell>
          <cell r="B3910" t="str">
            <v>0</v>
          </cell>
          <cell r="C3910" t="str">
            <v/>
          </cell>
          <cell r="D3910" t="str">
            <v>NJ</v>
          </cell>
          <cell r="E3910" t="str">
            <v/>
          </cell>
          <cell r="F3910" t="str">
            <v/>
          </cell>
          <cell r="G3910" t="str">
            <v>DISTRIBUIDORA NISSAN S.A.</v>
          </cell>
          <cell r="H3910" t="str">
            <v>GRAU</v>
          </cell>
          <cell r="I3910" t="str">
            <v>GRAN CONTRIBUYENTE AUTORRETENEDO</v>
          </cell>
          <cell r="J3910" t="str">
            <v>CL 13  50  69</v>
          </cell>
          <cell r="K3910" t="str">
            <v>11001</v>
          </cell>
          <cell r="L3910" t="str">
            <v>BOGOTA DC</v>
          </cell>
          <cell r="M3910" t="str">
            <v>7436737</v>
          </cell>
        </row>
        <row r="3911">
          <cell r="A3911">
            <v>860001317</v>
          </cell>
          <cell r="B3911" t="str">
            <v>4</v>
          </cell>
          <cell r="C3911" t="str">
            <v/>
          </cell>
          <cell r="D3911" t="str">
            <v>NJ</v>
          </cell>
          <cell r="E3911" t="str">
            <v/>
          </cell>
          <cell r="F3911" t="str">
            <v/>
          </cell>
          <cell r="G3911" t="str">
            <v>PUBLICAR PUBLICIDAD MULTIMEDIA S.A.S.</v>
          </cell>
          <cell r="H3911" t="str">
            <v>GRAU</v>
          </cell>
          <cell r="I3911" t="str">
            <v>GRAN CONTRIBUYENTE AUTORRETENEDO</v>
          </cell>
          <cell r="J3911" t="str">
            <v>AV 68  75 A 50  P 4</v>
          </cell>
          <cell r="K3911" t="str">
            <v>11001</v>
          </cell>
          <cell r="L3911" t="str">
            <v>BOGOTA DC</v>
          </cell>
          <cell r="M3911" t="str">
            <v>6465555</v>
          </cell>
        </row>
        <row r="3912">
          <cell r="A3912">
            <v>860001371</v>
          </cell>
          <cell r="B3912" t="str">
            <v>2</v>
          </cell>
          <cell r="C3912" t="str">
            <v/>
          </cell>
          <cell r="D3912" t="str">
            <v>NJ</v>
          </cell>
          <cell r="E3912" t="str">
            <v/>
          </cell>
          <cell r="F3912" t="str">
            <v/>
          </cell>
          <cell r="G3912" t="str">
            <v>AUTOBOY S.A</v>
          </cell>
          <cell r="H3912" t="str">
            <v>REOR</v>
          </cell>
          <cell r="I3912" t="str">
            <v>RENTA REGIMEN ORDINARIO</v>
          </cell>
          <cell r="J3912" t="str">
            <v>DG 23   69   60 OF 603</v>
          </cell>
          <cell r="K3912" t="str">
            <v>11001</v>
          </cell>
          <cell r="L3912" t="str">
            <v>BOGOTA DC</v>
          </cell>
          <cell r="M3912" t="str">
            <v>2635543</v>
          </cell>
        </row>
        <row r="3913">
          <cell r="A3913">
            <v>860001498</v>
          </cell>
          <cell r="B3913" t="str">
            <v>9</v>
          </cell>
          <cell r="C3913" t="str">
            <v/>
          </cell>
          <cell r="D3913" t="str">
            <v>NJ</v>
          </cell>
          <cell r="E3913" t="str">
            <v/>
          </cell>
          <cell r="F3913" t="str">
            <v/>
          </cell>
          <cell r="G3913" t="str">
            <v xml:space="preserve">LEGISLACION ECONOMICA S A LEGIS S A                         </v>
          </cell>
          <cell r="H3913" t="str">
            <v>GRAU</v>
          </cell>
          <cell r="I3913" t="str">
            <v>GRAN CONTRIBUYENTE AUTORRETENEDO</v>
          </cell>
          <cell r="J3913" t="str">
            <v xml:space="preserve"> AC 26 82 70</v>
          </cell>
          <cell r="K3913" t="str">
            <v>11001</v>
          </cell>
          <cell r="L3913" t="str">
            <v>BOGOTA DC</v>
          </cell>
          <cell r="M3913" t="str">
            <v>8847196</v>
          </cell>
        </row>
        <row r="3914">
          <cell r="A3914">
            <v>860001584</v>
          </cell>
          <cell r="B3914" t="str">
            <v>4</v>
          </cell>
          <cell r="C3914" t="str">
            <v/>
          </cell>
          <cell r="D3914" t="str">
            <v>NJ</v>
          </cell>
          <cell r="E3914" t="str">
            <v/>
          </cell>
          <cell r="F3914" t="str">
            <v/>
          </cell>
          <cell r="G3914" t="str">
            <v>MECANELECTRO S.A.S</v>
          </cell>
          <cell r="H3914" t="str">
            <v>GRCO</v>
          </cell>
          <cell r="I3914" t="str">
            <v>GRAN CONTRIBUYENTE</v>
          </cell>
          <cell r="J3914" t="str">
            <v>CL 127 D   45   46</v>
          </cell>
          <cell r="K3914" t="str">
            <v>11001</v>
          </cell>
          <cell r="L3914" t="str">
            <v>BOGOTA DC</v>
          </cell>
          <cell r="M3914" t="str">
            <v>6151515</v>
          </cell>
        </row>
        <row r="3915">
          <cell r="A3915">
            <v>860001607</v>
          </cell>
          <cell r="B3915" t="str">
            <v>5</v>
          </cell>
          <cell r="C3915" t="str">
            <v/>
          </cell>
          <cell r="D3915" t="str">
            <v>NJ</v>
          </cell>
          <cell r="E3915" t="str">
            <v/>
          </cell>
          <cell r="F3915" t="str">
            <v/>
          </cell>
          <cell r="G3915" t="str">
            <v>FERRETERIA REINA S.A</v>
          </cell>
          <cell r="H3915" t="str">
            <v>IMVE</v>
          </cell>
          <cell r="I3915" t="str">
            <v>IMPUESTO SOBRE LAS VENTAS</v>
          </cell>
          <cell r="J3915" t="str">
            <v xml:space="preserve"> CR 25 13 22</v>
          </cell>
          <cell r="K3915" t="str">
            <v>17001</v>
          </cell>
          <cell r="L3915" t="str">
            <v>MANIZALES</v>
          </cell>
          <cell r="M3915" t="str">
            <v>3102312508</v>
          </cell>
        </row>
        <row r="3916">
          <cell r="A3916">
            <v>860001615</v>
          </cell>
          <cell r="B3916" t="str">
            <v>4</v>
          </cell>
          <cell r="C3916" t="str">
            <v/>
          </cell>
          <cell r="D3916" t="str">
            <v>NJ</v>
          </cell>
          <cell r="E3916" t="str">
            <v/>
          </cell>
          <cell r="F3916" t="str">
            <v/>
          </cell>
          <cell r="G3916" t="str">
            <v>AUTOMUNDIAL SA</v>
          </cell>
          <cell r="H3916" t="str">
            <v>IMVE</v>
          </cell>
          <cell r="I3916" t="str">
            <v>IMPUESTO SOBRE LAS VENTAS</v>
          </cell>
          <cell r="J3916" t="str">
            <v>CR 56 9 17</v>
          </cell>
          <cell r="K3916" t="str">
            <v>11001</v>
          </cell>
          <cell r="L3916" t="str">
            <v>BOGOTA DC</v>
          </cell>
          <cell r="M3916" t="str">
            <v>4204350</v>
          </cell>
        </row>
        <row r="3917">
          <cell r="A3917">
            <v>860001911</v>
          </cell>
          <cell r="B3917" t="str">
            <v>1</v>
          </cell>
          <cell r="C3917" t="str">
            <v/>
          </cell>
          <cell r="D3917" t="str">
            <v>NJ</v>
          </cell>
          <cell r="E3917" t="str">
            <v/>
          </cell>
          <cell r="F3917" t="str">
            <v/>
          </cell>
          <cell r="G3917" t="str">
            <v>KAIKA SAS</v>
          </cell>
          <cell r="H3917" t="str">
            <v>RCAU</v>
          </cell>
          <cell r="I3917" t="str">
            <v>RESPONSABLE IVA - AUTORETENEDOR</v>
          </cell>
          <cell r="J3917" t="str">
            <v>CR 7  69 53</v>
          </cell>
          <cell r="K3917" t="str">
            <v>11001</v>
          </cell>
          <cell r="L3917" t="str">
            <v>BOGOTA DC</v>
          </cell>
          <cell r="M3917" t="str">
            <v>3478826</v>
          </cell>
        </row>
        <row r="3918">
          <cell r="A3918">
            <v>860001986</v>
          </cell>
          <cell r="B3918" t="str">
            <v>1</v>
          </cell>
          <cell r="C3918" t="str">
            <v/>
          </cell>
          <cell r="D3918" t="str">
            <v>NJ</v>
          </cell>
          <cell r="E3918" t="str">
            <v/>
          </cell>
          <cell r="F3918" t="str">
            <v/>
          </cell>
          <cell r="G3918" t="str">
            <v>INGENIEROS CONSULTORES CIVILES Y ELECTRICOS SAS</v>
          </cell>
          <cell r="H3918" t="str">
            <v>IMVE</v>
          </cell>
          <cell r="I3918" t="str">
            <v>IMPUESTO SOBRE LAS VENTAS</v>
          </cell>
          <cell r="J3918" t="str">
            <v>CR 6 30 A 30</v>
          </cell>
          <cell r="K3918" t="str">
            <v>17001</v>
          </cell>
          <cell r="L3918" t="str">
            <v>MANIZALES</v>
          </cell>
          <cell r="M3918" t="str">
            <v>3238050</v>
          </cell>
        </row>
        <row r="3919">
          <cell r="A3919">
            <v>860002180</v>
          </cell>
          <cell r="B3919" t="str">
            <v>7</v>
          </cell>
          <cell r="C3919" t="str">
            <v/>
          </cell>
          <cell r="D3919" t="str">
            <v>NJ</v>
          </cell>
          <cell r="E3919" t="str">
            <v/>
          </cell>
          <cell r="F3919" t="str">
            <v/>
          </cell>
          <cell r="G3919" t="str">
            <v>SEGUROS COMERCIALES BOLIVAR S.A</v>
          </cell>
          <cell r="H3919" t="str">
            <v>GRCO</v>
          </cell>
          <cell r="I3919" t="str">
            <v>GRAN CONTRIBUYENTE</v>
          </cell>
          <cell r="J3919" t="str">
            <v>AV EL DORADO   68 B 31</v>
          </cell>
          <cell r="K3919" t="str">
            <v>11001</v>
          </cell>
          <cell r="L3919" t="str">
            <v>BOGOTA DC</v>
          </cell>
          <cell r="M3919" t="str">
            <v>3410077</v>
          </cell>
        </row>
        <row r="3920">
          <cell r="A3920">
            <v>860002184</v>
          </cell>
          <cell r="B3920" t="str">
            <v>6</v>
          </cell>
          <cell r="C3920" t="str">
            <v/>
          </cell>
          <cell r="D3920" t="str">
            <v>NJ</v>
          </cell>
          <cell r="E3920" t="str">
            <v/>
          </cell>
          <cell r="F3920" t="str">
            <v/>
          </cell>
          <cell r="G3920" t="str">
            <v>SEGUROS COLPATRIA S.A.</v>
          </cell>
          <cell r="H3920" t="str">
            <v>GRCO</v>
          </cell>
          <cell r="I3920" t="str">
            <v>GRAN CONTRIBUYENTE</v>
          </cell>
          <cell r="J3920" t="str">
            <v>CR 7 N 24 89  P27</v>
          </cell>
          <cell r="K3920" t="str">
            <v>11001</v>
          </cell>
          <cell r="L3920" t="str">
            <v>BOGOTA DC</v>
          </cell>
          <cell r="M3920" t="str">
            <v>3364677</v>
          </cell>
        </row>
        <row r="3921">
          <cell r="A3921">
            <v>860002400</v>
          </cell>
          <cell r="B3921" t="str">
            <v>2</v>
          </cell>
          <cell r="C3921" t="str">
            <v>41800000</v>
          </cell>
          <cell r="D3921" t="str">
            <v>NJ</v>
          </cell>
          <cell r="E3921" t="str">
            <v/>
          </cell>
          <cell r="F3921" t="str">
            <v/>
          </cell>
          <cell r="G3921" t="str">
            <v>LA PREVISORA S.A COMPAÑIA DE SEGUROS</v>
          </cell>
          <cell r="H3921" t="str">
            <v>GRAU</v>
          </cell>
          <cell r="I3921" t="str">
            <v>GRAN CONTRIBUYENTE AUTORRETENEDO</v>
          </cell>
          <cell r="J3921" t="str">
            <v>CL 57 9 07</v>
          </cell>
          <cell r="K3921" t="str">
            <v>11001</v>
          </cell>
          <cell r="L3921" t="str">
            <v>BOGOTA DC</v>
          </cell>
          <cell r="M3921" t="str">
            <v>3485757</v>
          </cell>
        </row>
        <row r="3922">
          <cell r="A3922">
            <v>860002440</v>
          </cell>
          <cell r="B3922" t="str">
            <v>7</v>
          </cell>
          <cell r="C3922" t="str">
            <v/>
          </cell>
          <cell r="D3922" t="str">
            <v>NJ</v>
          </cell>
          <cell r="E3922" t="str">
            <v/>
          </cell>
          <cell r="F3922" t="str">
            <v/>
          </cell>
          <cell r="G3922" t="str">
            <v>AMERICAN PIPE CONSTRUCTION INTERNATIONAL</v>
          </cell>
          <cell r="H3922" t="str">
            <v>GRCO</v>
          </cell>
          <cell r="I3922" t="str">
            <v>GRAN CONTRIBUYENTE</v>
          </cell>
          <cell r="J3922" t="str">
            <v>CL 193   31   02</v>
          </cell>
          <cell r="K3922" t="str">
            <v>11001</v>
          </cell>
          <cell r="L3922" t="str">
            <v>BOGOTA DC</v>
          </cell>
          <cell r="M3922" t="str">
            <v>6684800</v>
          </cell>
        </row>
        <row r="3923">
          <cell r="A3923">
            <v>860002455</v>
          </cell>
          <cell r="B3923" t="str">
            <v>7</v>
          </cell>
          <cell r="C3923" t="str">
            <v/>
          </cell>
          <cell r="D3923" t="str">
            <v>NJ</v>
          </cell>
          <cell r="E3923" t="str">
            <v/>
          </cell>
          <cell r="F3923" t="str">
            <v/>
          </cell>
          <cell r="G3923" t="str">
            <v>BARNES DE COLOMBIA S.A</v>
          </cell>
          <cell r="H3923" t="str">
            <v>GRAU</v>
          </cell>
          <cell r="I3923" t="str">
            <v>GRAN CONTRIBUYENTE AUTORRETENEDO</v>
          </cell>
          <cell r="J3923" t="str">
            <v>AUT MEDELLIN KM 7 COSTADO OCCIDENTAL BG 86 93 CELTA TRADE PARK</v>
          </cell>
          <cell r="K3923" t="str">
            <v>17001</v>
          </cell>
          <cell r="L3923" t="str">
            <v>MANIZALES</v>
          </cell>
          <cell r="M3923" t="str">
            <v>7439090</v>
          </cell>
        </row>
        <row r="3924">
          <cell r="A3924">
            <v>860002464</v>
          </cell>
          <cell r="B3924" t="str">
            <v>3</v>
          </cell>
          <cell r="C3924" t="str">
            <v/>
          </cell>
          <cell r="D3924" t="str">
            <v>NJ</v>
          </cell>
          <cell r="E3924" t="str">
            <v/>
          </cell>
          <cell r="F3924" t="str">
            <v/>
          </cell>
          <cell r="G3924" t="str">
            <v>CORPORACION Y FERIAS Y EXPOSICIONES S.A USUARIO OPERADOR ZONA F.</v>
          </cell>
          <cell r="H3924" t="str">
            <v>GRCO</v>
          </cell>
          <cell r="I3924" t="str">
            <v>GRAN CONTRIBUYENTE</v>
          </cell>
          <cell r="J3924" t="str">
            <v>CR 37 24 67</v>
          </cell>
          <cell r="K3924" t="str">
            <v>11001</v>
          </cell>
          <cell r="L3924" t="str">
            <v>BOGOTA DC</v>
          </cell>
          <cell r="M3924" t="str">
            <v>3810000</v>
          </cell>
        </row>
        <row r="3925">
          <cell r="A3925">
            <v>860002503</v>
          </cell>
          <cell r="B3925" t="str">
            <v>2</v>
          </cell>
          <cell r="C3925" t="str">
            <v/>
          </cell>
          <cell r="D3925" t="str">
            <v>NJ</v>
          </cell>
          <cell r="E3925" t="str">
            <v/>
          </cell>
          <cell r="F3925" t="str">
            <v/>
          </cell>
          <cell r="G3925" t="str">
            <v xml:space="preserve"> COMPAÑIA DE SEGUROS BOLIVAR S.A</v>
          </cell>
          <cell r="H3925" t="str">
            <v>GRCO</v>
          </cell>
          <cell r="I3925" t="str">
            <v>GRAN CONTRIBUYENTE</v>
          </cell>
          <cell r="J3925" t="str">
            <v>AV EL DORADO 68 B 31</v>
          </cell>
          <cell r="K3925" t="str">
            <v>11001</v>
          </cell>
          <cell r="L3925" t="str">
            <v>BOGOTA DC</v>
          </cell>
          <cell r="M3925" t="str">
            <v>3410077</v>
          </cell>
        </row>
        <row r="3926">
          <cell r="A3926">
            <v>860002504</v>
          </cell>
          <cell r="B3926" t="str">
            <v>1</v>
          </cell>
          <cell r="C3926" t="str">
            <v/>
          </cell>
          <cell r="D3926" t="str">
            <v>NJ</v>
          </cell>
          <cell r="E3926" t="str">
            <v/>
          </cell>
          <cell r="F3926" t="str">
            <v/>
          </cell>
          <cell r="G3926" t="str">
            <v>SKANDIA COMPAÑIA DE SEGUROS DE VIDA S.A</v>
          </cell>
          <cell r="H3926" t="str">
            <v>IMVE</v>
          </cell>
          <cell r="I3926" t="str">
            <v>IMPUESTO SOBRE LAS VENTAS</v>
          </cell>
          <cell r="J3926" t="str">
            <v>AV 19 109A 30</v>
          </cell>
          <cell r="K3926" t="str">
            <v>11001</v>
          </cell>
          <cell r="L3926" t="str">
            <v>BOGOTA DC</v>
          </cell>
          <cell r="M3926" t="str">
            <v>6584300</v>
          </cell>
        </row>
        <row r="3927">
          <cell r="A3927">
            <v>860002523</v>
          </cell>
          <cell r="B3927" t="str">
            <v>1</v>
          </cell>
          <cell r="C3927" t="str">
            <v/>
          </cell>
          <cell r="D3927" t="str">
            <v>NJ</v>
          </cell>
          <cell r="E3927" t="str">
            <v/>
          </cell>
          <cell r="F3927" t="str">
            <v/>
          </cell>
          <cell r="G3927" t="str">
            <v>CEMEX COLOMBIA S.A</v>
          </cell>
          <cell r="H3927" t="str">
            <v>GRCO</v>
          </cell>
          <cell r="I3927" t="str">
            <v>GRAN CONTRIBUYENTE</v>
          </cell>
          <cell r="J3927" t="str">
            <v>CL 99 9 A 54 P 8</v>
          </cell>
          <cell r="K3927" t="str">
            <v>11001</v>
          </cell>
          <cell r="L3927" t="str">
            <v>BOGOTA DC</v>
          </cell>
          <cell r="M3927" t="str">
            <v>6039000</v>
          </cell>
        </row>
        <row r="3928">
          <cell r="A3928">
            <v>860002527</v>
          </cell>
          <cell r="B3928" t="str">
            <v>9</v>
          </cell>
          <cell r="C3928" t="str">
            <v/>
          </cell>
          <cell r="D3928" t="str">
            <v>NJ</v>
          </cell>
          <cell r="E3928" t="str">
            <v/>
          </cell>
          <cell r="F3928" t="str">
            <v/>
          </cell>
          <cell r="G3928" t="str">
            <v>NACIONAL DE SEGUROS S.A</v>
          </cell>
          <cell r="H3928" t="str">
            <v>GRCO</v>
          </cell>
          <cell r="I3928" t="str">
            <v>GRAN CONTRIBUYENTE</v>
          </cell>
          <cell r="J3928" t="str">
            <v>CL 94  11  30 P 4</v>
          </cell>
          <cell r="K3928" t="str">
            <v>11001</v>
          </cell>
          <cell r="L3928" t="str">
            <v>BOGOTA DC</v>
          </cell>
          <cell r="M3928" t="str">
            <v>7463219</v>
          </cell>
        </row>
        <row r="3929">
          <cell r="A3929">
            <v>860002566</v>
          </cell>
          <cell r="B3929" t="str">
            <v>6</v>
          </cell>
          <cell r="C3929" t="str">
            <v/>
          </cell>
          <cell r="D3929" t="str">
            <v>NJ</v>
          </cell>
          <cell r="E3929" t="str">
            <v/>
          </cell>
          <cell r="F3929" t="str">
            <v/>
          </cell>
          <cell r="G3929" t="str">
            <v>FLOTA LA MACARENA S.A.</v>
          </cell>
          <cell r="H3929" t="str">
            <v>RCAU</v>
          </cell>
          <cell r="I3929" t="str">
            <v>RESPONSABLE IVA - AUTORETENEDOR</v>
          </cell>
          <cell r="J3929" t="str">
            <v>CL 127 A 53 A 45 TO I I P 2 OF 201</v>
          </cell>
          <cell r="K3929" t="str">
            <v>11001</v>
          </cell>
          <cell r="L3929" t="str">
            <v>BOGOTA DC</v>
          </cell>
          <cell r="M3929" t="str">
            <v>4254900</v>
          </cell>
        </row>
        <row r="3930">
          <cell r="A3930">
            <v>860002576</v>
          </cell>
          <cell r="B3930" t="str">
            <v>1</v>
          </cell>
          <cell r="C3930" t="str">
            <v/>
          </cell>
          <cell r="D3930" t="str">
            <v>NJ</v>
          </cell>
          <cell r="E3930" t="str">
            <v/>
          </cell>
          <cell r="F3930" t="str">
            <v/>
          </cell>
          <cell r="G3930" t="str">
            <v>GENERAL DE EQUIPOS DE COLOMBIA S.A.</v>
          </cell>
          <cell r="H3930" t="str">
            <v>GRCO</v>
          </cell>
          <cell r="I3930" t="str">
            <v>GRAN CONTRIBUYENTE</v>
          </cell>
          <cell r="J3930" t="str">
            <v>av las americas 42 a 21</v>
          </cell>
          <cell r="K3930" t="str">
            <v>11001</v>
          </cell>
          <cell r="L3930" t="str">
            <v>BOGOTA DC</v>
          </cell>
          <cell r="M3930" t="str">
            <v>4055554</v>
          </cell>
        </row>
        <row r="3931">
          <cell r="A3931">
            <v>860002964</v>
          </cell>
          <cell r="B3931" t="str">
            <v>4</v>
          </cell>
          <cell r="C3931" t="str">
            <v/>
          </cell>
          <cell r="D3931" t="str">
            <v>NJ</v>
          </cell>
          <cell r="E3931" t="str">
            <v/>
          </cell>
          <cell r="F3931" t="str">
            <v/>
          </cell>
          <cell r="G3931" t="str">
            <v>BANCO DE BOGOTA</v>
          </cell>
          <cell r="H3931" t="str">
            <v>GRAU</v>
          </cell>
          <cell r="I3931" t="str">
            <v>GRAN CONTRIBUYENTE AUTORRETENEDO</v>
          </cell>
          <cell r="J3931" t="str">
            <v>CL 22 22 14</v>
          </cell>
          <cell r="K3931" t="str">
            <v>17001</v>
          </cell>
          <cell r="L3931" t="str">
            <v>MANIZALES</v>
          </cell>
          <cell r="M3931" t="str">
            <v>8734640</v>
          </cell>
        </row>
        <row r="3932">
          <cell r="A3932">
            <v>860003020</v>
          </cell>
          <cell r="B3932" t="str">
            <v>1</v>
          </cell>
          <cell r="C3932" t="str">
            <v/>
          </cell>
          <cell r="D3932" t="str">
            <v>NJ</v>
          </cell>
          <cell r="E3932" t="str">
            <v/>
          </cell>
          <cell r="F3932" t="str">
            <v/>
          </cell>
          <cell r="G3932" t="str">
            <v>BANCO BILBAO VIZCAYA ARGENTARIA COLOMBIA S.A</v>
          </cell>
          <cell r="H3932" t="str">
            <v>GRAU</v>
          </cell>
          <cell r="I3932" t="str">
            <v>GRAN CONTRIBUYENTE AUTORRETENEDO</v>
          </cell>
          <cell r="J3932" t="str">
            <v>CR 22 21 05 P 2</v>
          </cell>
          <cell r="K3932" t="str">
            <v>17001</v>
          </cell>
          <cell r="L3932" t="str">
            <v>MANIZALES</v>
          </cell>
          <cell r="M3932" t="str">
            <v>8722215</v>
          </cell>
        </row>
        <row r="3933">
          <cell r="A3933">
            <v>860003168</v>
          </cell>
          <cell r="B3933" t="str">
            <v>2</v>
          </cell>
          <cell r="C3933" t="str">
            <v/>
          </cell>
          <cell r="D3933" t="str">
            <v>NJ</v>
          </cell>
          <cell r="E3933" t="str">
            <v/>
          </cell>
          <cell r="F3933" t="str">
            <v/>
          </cell>
          <cell r="G3933" t="str">
            <v>IMOCOM SAS</v>
          </cell>
          <cell r="H3933" t="str">
            <v>GRCO</v>
          </cell>
          <cell r="I3933" t="str">
            <v>GRAN CONTRIBUYENTE</v>
          </cell>
          <cell r="J3933" t="str">
            <v>CL 17 50 24</v>
          </cell>
          <cell r="K3933" t="str">
            <v>11001</v>
          </cell>
          <cell r="L3933" t="str">
            <v>BOGOTA DC</v>
          </cell>
          <cell r="M3933" t="str">
            <v>4137755</v>
          </cell>
        </row>
        <row r="3934">
          <cell r="A3934">
            <v>860003563</v>
          </cell>
          <cell r="B3934" t="str">
            <v>9</v>
          </cell>
          <cell r="C3934" t="str">
            <v/>
          </cell>
          <cell r="D3934" t="str">
            <v>NJ</v>
          </cell>
          <cell r="E3934" t="str">
            <v/>
          </cell>
          <cell r="F3934" t="str">
            <v/>
          </cell>
          <cell r="G3934" t="str">
            <v>ABB LTDA</v>
          </cell>
          <cell r="H3934" t="str">
            <v>GRAU</v>
          </cell>
          <cell r="I3934" t="str">
            <v>GRAN CONTRIBUYENTE AUTORRETENEDO</v>
          </cell>
          <cell r="J3934" t="str">
            <v xml:space="preserve"> AV CR 45  108  27  TO 1  P 12</v>
          </cell>
          <cell r="K3934" t="str">
            <v>11001</v>
          </cell>
          <cell r="L3934" t="str">
            <v>BOGOTA DC</v>
          </cell>
          <cell r="M3934" t="str">
            <v>4178000</v>
          </cell>
        </row>
        <row r="3935">
          <cell r="A3935">
            <v>860004072</v>
          </cell>
          <cell r="B3935" t="str">
            <v>9</v>
          </cell>
          <cell r="C3935" t="str">
            <v/>
          </cell>
          <cell r="D3935" t="str">
            <v>NJ</v>
          </cell>
          <cell r="E3935" t="str">
            <v/>
          </cell>
          <cell r="F3935" t="str">
            <v/>
          </cell>
          <cell r="G3935" t="str">
            <v>LABORATORIOS PROBIOL S.A.</v>
          </cell>
          <cell r="H3935" t="str">
            <v>IMVE</v>
          </cell>
          <cell r="I3935" t="str">
            <v>IMPUESTO SOBRE LAS VENTAS</v>
          </cell>
          <cell r="J3935" t="str">
            <v xml:space="preserve"> CR 8 187 A 53 BRR LIJACA</v>
          </cell>
          <cell r="K3935" t="str">
            <v>03</v>
          </cell>
          <cell r="L3935" t="str">
            <v>BOGOTA</v>
          </cell>
          <cell r="M3935" t="str">
            <v>8011553</v>
          </cell>
        </row>
        <row r="3936">
          <cell r="A3936">
            <v>860004376</v>
          </cell>
          <cell r="B3936" t="str">
            <v>2</v>
          </cell>
          <cell r="C3936" t="str">
            <v/>
          </cell>
          <cell r="D3936" t="str">
            <v>NJ</v>
          </cell>
          <cell r="E3936" t="str">
            <v/>
          </cell>
          <cell r="F3936" t="str">
            <v/>
          </cell>
          <cell r="G3936" t="str">
            <v>MESA HERMANOS Y CIA SAS</v>
          </cell>
          <cell r="H3936" t="str">
            <v>IMVE</v>
          </cell>
          <cell r="I3936" t="str">
            <v>IMPUESTO SOBRE LAS VENTAS</v>
          </cell>
          <cell r="J3936" t="str">
            <v>CL 12  14 31 BRR VOTO NACIONAL</v>
          </cell>
          <cell r="K3936" t="str">
            <v>11001</v>
          </cell>
          <cell r="L3936" t="str">
            <v>BOGOTA DC</v>
          </cell>
          <cell r="M3936" t="str">
            <v>2829060</v>
          </cell>
        </row>
        <row r="3937">
          <cell r="A3937">
            <v>860004755</v>
          </cell>
          <cell r="B3937" t="str">
            <v>0</v>
          </cell>
          <cell r="C3937" t="str">
            <v/>
          </cell>
          <cell r="D3937" t="str">
            <v>NJ</v>
          </cell>
          <cell r="E3937" t="str">
            <v/>
          </cell>
          <cell r="F3937" t="str">
            <v/>
          </cell>
          <cell r="G3937" t="str">
            <v>FERROSTAAL DE COLOMBIA S.A.S</v>
          </cell>
          <cell r="H3937" t="str">
            <v>RECO</v>
          </cell>
          <cell r="I3937" t="str">
            <v>REGIMEN COMUN</v>
          </cell>
          <cell r="J3937" t="str">
            <v>CL 73 # 7 06 P 3</v>
          </cell>
          <cell r="K3937" t="str">
            <v>11001</v>
          </cell>
          <cell r="L3937" t="str">
            <v>BOGOTA DC</v>
          </cell>
          <cell r="M3937" t="str">
            <v>4011300</v>
          </cell>
        </row>
        <row r="3938">
          <cell r="A3938">
            <v>860004838</v>
          </cell>
          <cell r="B3938" t="str">
            <v>3</v>
          </cell>
          <cell r="C3938" t="str">
            <v/>
          </cell>
          <cell r="D3938" t="str">
            <v>NJ</v>
          </cell>
          <cell r="E3938" t="str">
            <v/>
          </cell>
          <cell r="F3938" t="str">
            <v/>
          </cell>
          <cell r="G3938" t="str">
            <v>FLOTA MAGDALENA S.A.</v>
          </cell>
          <cell r="H3938" t="str">
            <v>IMVE</v>
          </cell>
          <cell r="I3938" t="str">
            <v>IMPUESTO SOBRE LAS VENTAS</v>
          </cell>
          <cell r="J3938" t="str">
            <v>DG 23 69 60 OF</v>
          </cell>
          <cell r="K3938" t="str">
            <v>03</v>
          </cell>
          <cell r="L3938" t="str">
            <v>BOGOTA</v>
          </cell>
          <cell r="M3938" t="str">
            <v>4168648</v>
          </cell>
        </row>
        <row r="3939">
          <cell r="A3939">
            <v>860004875</v>
          </cell>
          <cell r="B3939" t="str">
            <v>6</v>
          </cell>
          <cell r="C3939" t="str">
            <v/>
          </cell>
          <cell r="D3939" t="str">
            <v>NJ</v>
          </cell>
          <cell r="E3939" t="str">
            <v/>
          </cell>
          <cell r="F3939" t="str">
            <v/>
          </cell>
          <cell r="G3939" t="str">
            <v>HDI SEGUROS S.A</v>
          </cell>
          <cell r="H3939" t="str">
            <v>GRCO</v>
          </cell>
          <cell r="I3939" t="str">
            <v>GRAN CONTRIBUYENTE</v>
          </cell>
          <cell r="J3939" t="str">
            <v>CR 7 72 13 P 8</v>
          </cell>
          <cell r="K3939" t="str">
            <v>11001</v>
          </cell>
          <cell r="L3939" t="str">
            <v>BOGOTA DC</v>
          </cell>
          <cell r="M3939" t="str">
            <v>3468888</v>
          </cell>
        </row>
        <row r="3940">
          <cell r="A3940">
            <v>860005050</v>
          </cell>
          <cell r="B3940" t="str">
            <v>1</v>
          </cell>
          <cell r="C3940" t="str">
            <v/>
          </cell>
          <cell r="D3940" t="str">
            <v>NJ</v>
          </cell>
          <cell r="E3940" t="str">
            <v/>
          </cell>
          <cell r="F3940" t="str">
            <v/>
          </cell>
          <cell r="G3940" t="str">
            <v>MEXICHEM COLOMBIA S.A.S.</v>
          </cell>
          <cell r="H3940" t="str">
            <v>GRAU</v>
          </cell>
          <cell r="I3940" t="str">
            <v>GRAN CONTRIBUYENTE AUTORRETENEDO</v>
          </cell>
          <cell r="J3940" t="str">
            <v>AUT SUR   71   75</v>
          </cell>
          <cell r="K3940" t="str">
            <v>11001</v>
          </cell>
          <cell r="L3940" t="str">
            <v>BOGOTA DC</v>
          </cell>
          <cell r="M3940" t="str">
            <v>7825000</v>
          </cell>
        </row>
        <row r="3941">
          <cell r="A3941">
            <v>860005108</v>
          </cell>
          <cell r="B3941" t="str">
            <v>1</v>
          </cell>
          <cell r="C3941" t="str">
            <v/>
          </cell>
          <cell r="D3941" t="str">
            <v>NJ</v>
          </cell>
          <cell r="E3941" t="str">
            <v/>
          </cell>
          <cell r="F3941" t="str">
            <v/>
          </cell>
          <cell r="G3941" t="str">
            <v xml:space="preserve">EXPRESO BOLIVARIANO                                         </v>
          </cell>
          <cell r="H3941" t="str">
            <v>RECO</v>
          </cell>
          <cell r="I3941" t="str">
            <v>REGIMEN COMUN</v>
          </cell>
          <cell r="J3941" t="str">
            <v xml:space="preserve">CR 68D 25B   86                        </v>
          </cell>
          <cell r="K3941" t="str">
            <v>11001</v>
          </cell>
          <cell r="L3941" t="str">
            <v>BOGOTA DC</v>
          </cell>
          <cell r="M3941" t="str">
            <v>4273496</v>
          </cell>
        </row>
        <row r="3942">
          <cell r="A3942">
            <v>860005114</v>
          </cell>
          <cell r="B3942" t="str">
            <v>4</v>
          </cell>
          <cell r="C3942" t="str">
            <v/>
          </cell>
          <cell r="D3942" t="str">
            <v>NJ</v>
          </cell>
          <cell r="E3942" t="str">
            <v/>
          </cell>
          <cell r="F3942" t="str">
            <v/>
          </cell>
          <cell r="G3942" t="str">
            <v>MESSER COLOMBIA S.A.</v>
          </cell>
          <cell r="H3942" t="str">
            <v>GRAU</v>
          </cell>
          <cell r="I3942" t="str">
            <v>GRAN CONTRIBUYENTE AUTORRETENEDO</v>
          </cell>
          <cell r="J3942" t="str">
            <v xml:space="preserve"> CR 68  11 51</v>
          </cell>
          <cell r="K3942" t="str">
            <v>11001</v>
          </cell>
          <cell r="L3942" t="str">
            <v>BOGOTA DC</v>
          </cell>
          <cell r="M3942" t="str">
            <v>4254550</v>
          </cell>
        </row>
        <row r="3943">
          <cell r="A3943">
            <v>860005265</v>
          </cell>
          <cell r="B3943" t="str">
            <v>8</v>
          </cell>
          <cell r="C3943" t="str">
            <v/>
          </cell>
          <cell r="D3943" t="str">
            <v>NJ</v>
          </cell>
          <cell r="E3943" t="str">
            <v/>
          </cell>
          <cell r="F3943" t="str">
            <v/>
          </cell>
          <cell r="G3943" t="str">
            <v xml:space="preserve">GASEOSAS COLOMBIANAS                                        </v>
          </cell>
          <cell r="H3943" t="str">
            <v>GRCO</v>
          </cell>
          <cell r="I3943" t="str">
            <v>GRAN CONTRIBUYENTE</v>
          </cell>
          <cell r="J3943" t="str">
            <v>AK 39   17   40</v>
          </cell>
          <cell r="K3943" t="str">
            <v>11001</v>
          </cell>
          <cell r="L3943" t="str">
            <v>BOGOTA DC</v>
          </cell>
          <cell r="M3943" t="str">
            <v>2204300</v>
          </cell>
        </row>
        <row r="3944">
          <cell r="A3944">
            <v>860005813</v>
          </cell>
          <cell r="B3944" t="str">
            <v>4</v>
          </cell>
          <cell r="C3944" t="str">
            <v/>
          </cell>
          <cell r="D3944" t="str">
            <v>NJ</v>
          </cell>
          <cell r="E3944" t="str">
            <v/>
          </cell>
          <cell r="F3944" t="str">
            <v/>
          </cell>
          <cell r="G3944" t="str">
            <v>DELOITTE &amp; TOUCHE LTDA</v>
          </cell>
          <cell r="H3944" t="str">
            <v>GRAU</v>
          </cell>
          <cell r="I3944" t="str">
            <v>GRAN CONTRIBUYENTE AUTORRETENEDO</v>
          </cell>
          <cell r="J3944" t="str">
            <v xml:space="preserve"> CR 7  74 09</v>
          </cell>
          <cell r="K3944" t="str">
            <v>11001</v>
          </cell>
          <cell r="L3944" t="str">
            <v>BOGOTA DC</v>
          </cell>
          <cell r="M3944" t="str">
            <v>5461810</v>
          </cell>
        </row>
        <row r="3945">
          <cell r="A3945">
            <v>860006187</v>
          </cell>
          <cell r="B3945" t="str">
            <v>6</v>
          </cell>
          <cell r="C3945" t="str">
            <v/>
          </cell>
          <cell r="D3945" t="str">
            <v>NJ</v>
          </cell>
          <cell r="E3945" t="str">
            <v/>
          </cell>
          <cell r="F3945" t="str">
            <v/>
          </cell>
          <cell r="G3945" t="str">
            <v>TRANSPORTES ALIANZA S.A</v>
          </cell>
          <cell r="H3945" t="str">
            <v>RECO</v>
          </cell>
          <cell r="I3945" t="str">
            <v>REGIMEN COMUN</v>
          </cell>
          <cell r="J3945" t="str">
            <v>CL 3 10 15 OF 304</v>
          </cell>
          <cell r="K3945" t="str">
            <v>25899</v>
          </cell>
          <cell r="L3945" t="str">
            <v>ZIPAQUIRÁ</v>
          </cell>
          <cell r="M3945" t="str">
            <v>8525358</v>
          </cell>
        </row>
        <row r="3946">
          <cell r="A3946">
            <v>860006237</v>
          </cell>
          <cell r="B3946" t="str">
            <v>6</v>
          </cell>
          <cell r="C3946" t="str">
            <v/>
          </cell>
          <cell r="D3946" t="str">
            <v>NJ</v>
          </cell>
          <cell r="E3946" t="str">
            <v/>
          </cell>
          <cell r="F3946" t="str">
            <v/>
          </cell>
          <cell r="G3946" t="str">
            <v>URIGO S.A.S.</v>
          </cell>
          <cell r="H3946" t="str">
            <v>IMVE</v>
          </cell>
          <cell r="I3946" t="str">
            <v>IMPUESTO SOBRE LAS VENTAS</v>
          </cell>
          <cell r="J3946" t="str">
            <v>CL 15 33 18</v>
          </cell>
          <cell r="K3946" t="str">
            <v>11001</v>
          </cell>
          <cell r="L3946" t="str">
            <v>BOGOTA DC</v>
          </cell>
          <cell r="M3946" t="str">
            <v>5950095</v>
          </cell>
        </row>
        <row r="3947">
          <cell r="A3947">
            <v>860006601</v>
          </cell>
          <cell r="B3947" t="str">
            <v>4</v>
          </cell>
          <cell r="C3947" t="str">
            <v/>
          </cell>
          <cell r="D3947" t="str">
            <v>NJ</v>
          </cell>
          <cell r="E3947" t="str">
            <v/>
          </cell>
          <cell r="F3947" t="str">
            <v/>
          </cell>
          <cell r="G3947" t="str">
            <v>CAMARA COLOMBIANA DEL LIBRO</v>
          </cell>
          <cell r="H3947" t="str">
            <v>RECO</v>
          </cell>
          <cell r="I3947" t="str">
            <v>REGIMEN COMUN</v>
          </cell>
          <cell r="J3947" t="str">
            <v>CL 35 5 A 05</v>
          </cell>
          <cell r="K3947" t="str">
            <v>11001</v>
          </cell>
          <cell r="L3947" t="str">
            <v>BOGOTA DC</v>
          </cell>
          <cell r="M3947" t="str">
            <v>3230111</v>
          </cell>
        </row>
        <row r="3948">
          <cell r="A3948">
            <v>860007322</v>
          </cell>
          <cell r="B3948" t="str">
            <v>9</v>
          </cell>
          <cell r="C3948" t="str">
            <v/>
          </cell>
          <cell r="D3948" t="str">
            <v>NJ</v>
          </cell>
          <cell r="E3948" t="str">
            <v/>
          </cell>
          <cell r="F3948" t="str">
            <v/>
          </cell>
          <cell r="G3948" t="str">
            <v>CAMARA DE COMERCIO DE BOGOTA</v>
          </cell>
          <cell r="H3948" t="str">
            <v>GRCO</v>
          </cell>
          <cell r="I3948" t="str">
            <v>GRAN CONTRIBUYENTE</v>
          </cell>
          <cell r="J3948" t="str">
            <v>AV CL 26 68 D 35</v>
          </cell>
          <cell r="K3948" t="str">
            <v>11001</v>
          </cell>
          <cell r="L3948" t="str">
            <v>BOGOTA DC</v>
          </cell>
          <cell r="M3948" t="str">
            <v>3830300</v>
          </cell>
        </row>
        <row r="3949">
          <cell r="A3949">
            <v>860007335</v>
          </cell>
          <cell r="B3949" t="str">
            <v>4</v>
          </cell>
          <cell r="C3949" t="str">
            <v/>
          </cell>
          <cell r="D3949" t="str">
            <v>NJ</v>
          </cell>
          <cell r="E3949" t="str">
            <v/>
          </cell>
          <cell r="F3949" t="str">
            <v/>
          </cell>
          <cell r="G3949" t="str">
            <v>BANCO CAJA SOCIAL S.A</v>
          </cell>
          <cell r="H3949" t="str">
            <v>GRAU</v>
          </cell>
          <cell r="I3949" t="str">
            <v>GRAN CONTRIBUYENTE AUTORRETENEDO</v>
          </cell>
          <cell r="J3949" t="str">
            <v>CR 7  77 65 P 9</v>
          </cell>
          <cell r="K3949" t="str">
            <v>11001</v>
          </cell>
          <cell r="L3949" t="str">
            <v>BOGOTA DC</v>
          </cell>
          <cell r="M3949" t="str">
            <v>3138000</v>
          </cell>
        </row>
        <row r="3950">
          <cell r="A3950">
            <v>860007336</v>
          </cell>
          <cell r="B3950" t="str">
            <v>1</v>
          </cell>
          <cell r="C3950" t="str">
            <v/>
          </cell>
          <cell r="D3950" t="str">
            <v>NJ</v>
          </cell>
          <cell r="E3950" t="str">
            <v/>
          </cell>
          <cell r="F3950" t="str">
            <v/>
          </cell>
          <cell r="G3950" t="str">
            <v>CAJA COLOMBIANA DE SUBSIDIO FAMILIAR/COLSUBSIDIO</v>
          </cell>
          <cell r="H3950" t="str">
            <v>GRAU</v>
          </cell>
          <cell r="I3950" t="str">
            <v>GRAN CONTRIBUYENTE AUTORRETENEDO</v>
          </cell>
          <cell r="J3950" t="str">
            <v>CL 26   25   50</v>
          </cell>
          <cell r="K3950" t="str">
            <v>11001</v>
          </cell>
          <cell r="L3950" t="str">
            <v>BOGOTA DC</v>
          </cell>
          <cell r="M3950" t="str">
            <v>7850987</v>
          </cell>
        </row>
        <row r="3951">
          <cell r="A3951">
            <v>860007369</v>
          </cell>
          <cell r="B3951" t="str">
            <v>4</v>
          </cell>
          <cell r="C3951" t="str">
            <v/>
          </cell>
          <cell r="D3951" t="str">
            <v>NJ</v>
          </cell>
          <cell r="E3951" t="str">
            <v/>
          </cell>
          <cell r="F3951" t="str">
            <v/>
          </cell>
          <cell r="G3951" t="str">
            <v>SOCIEDAD AIR FRANCE</v>
          </cell>
          <cell r="H3951" t="str">
            <v>IMVE</v>
          </cell>
          <cell r="I3951" t="str">
            <v>IMPUESTO SOBRE LAS VENTAS</v>
          </cell>
          <cell r="J3951" t="str">
            <v>AV 19 100 45 P 14</v>
          </cell>
          <cell r="K3951" t="str">
            <v>11001</v>
          </cell>
          <cell r="L3951" t="str">
            <v>BOGOTA DC</v>
          </cell>
          <cell r="M3951" t="str">
            <v>3143564031</v>
          </cell>
        </row>
        <row r="3952">
          <cell r="A3952">
            <v>860007378</v>
          </cell>
          <cell r="B3952" t="str">
            <v>0</v>
          </cell>
          <cell r="C3952" t="str">
            <v/>
          </cell>
          <cell r="D3952" t="str">
            <v>NJ</v>
          </cell>
          <cell r="E3952" t="str">
            <v/>
          </cell>
          <cell r="F3952" t="str">
            <v/>
          </cell>
          <cell r="G3952" t="str">
            <v xml:space="preserve">CONSEJO COLOMBIANO DE SEGURIDAD                             </v>
          </cell>
          <cell r="H3952" t="str">
            <v>RECO</v>
          </cell>
          <cell r="I3952" t="str">
            <v>REGIMEN COMUN</v>
          </cell>
          <cell r="J3952" t="str">
            <v>CR 20 39  62 BRR TEUSAQUILLO</v>
          </cell>
          <cell r="K3952" t="str">
            <v>11001</v>
          </cell>
          <cell r="L3952" t="str">
            <v>BOGOTA DC</v>
          </cell>
          <cell r="M3952" t="str">
            <v>2886355</v>
          </cell>
        </row>
        <row r="3953">
          <cell r="A3953">
            <v>860007386</v>
          </cell>
          <cell r="B3953" t="str">
            <v>1</v>
          </cell>
          <cell r="C3953" t="str">
            <v/>
          </cell>
          <cell r="D3953" t="str">
            <v>NJ</v>
          </cell>
          <cell r="E3953" t="str">
            <v/>
          </cell>
          <cell r="F3953" t="str">
            <v/>
          </cell>
          <cell r="G3953" t="str">
            <v>UNIVERSIDAD DE LOS ANDES</v>
          </cell>
          <cell r="H3953" t="str">
            <v>GRCO</v>
          </cell>
          <cell r="I3953" t="str">
            <v>GRAN CONTRIBUYENTE</v>
          </cell>
          <cell r="J3953" t="str">
            <v>CR 1 18 A 12</v>
          </cell>
          <cell r="K3953" t="str">
            <v>11001</v>
          </cell>
          <cell r="L3953" t="str">
            <v>BOGOTA DC</v>
          </cell>
          <cell r="M3953" t="str">
            <v>3394949</v>
          </cell>
        </row>
        <row r="3954">
          <cell r="A3954">
            <v>860007538</v>
          </cell>
          <cell r="B3954" t="str">
            <v>2</v>
          </cell>
          <cell r="C3954" t="str">
            <v/>
          </cell>
          <cell r="D3954" t="str">
            <v>NJ</v>
          </cell>
          <cell r="E3954" t="str">
            <v/>
          </cell>
          <cell r="F3954" t="str">
            <v/>
          </cell>
          <cell r="G3954" t="str">
            <v>FEDERACION NACIONAL DE CAFETEROS DE COLOMBIA</v>
          </cell>
          <cell r="H3954" t="str">
            <v>GRCO</v>
          </cell>
          <cell r="I3954" t="str">
            <v>GRAN CONTRIBUYENTE</v>
          </cell>
          <cell r="J3954" t="str">
            <v>CL 73 8 13</v>
          </cell>
          <cell r="K3954" t="str">
            <v>11001</v>
          </cell>
          <cell r="L3954" t="str">
            <v>BOGOTA DC</v>
          </cell>
          <cell r="M3954" t="str">
            <v>3137317</v>
          </cell>
        </row>
        <row r="3955">
          <cell r="A3955">
            <v>860007590</v>
          </cell>
          <cell r="B3955" t="str">
            <v>6</v>
          </cell>
          <cell r="C3955" t="str">
            <v/>
          </cell>
          <cell r="D3955" t="str">
            <v>NJ</v>
          </cell>
          <cell r="E3955" t="str">
            <v/>
          </cell>
          <cell r="F3955" t="str">
            <v/>
          </cell>
          <cell r="G3955" t="str">
            <v>COMUNICAN S.A.</v>
          </cell>
          <cell r="H3955" t="str">
            <v>GRCO</v>
          </cell>
          <cell r="I3955" t="str">
            <v>GRAN CONTRIBUYENTE</v>
          </cell>
          <cell r="J3955" t="str">
            <v>CL 103  69 B  43</v>
          </cell>
          <cell r="K3955" t="str">
            <v>11001</v>
          </cell>
          <cell r="L3955" t="str">
            <v>BOGOTA DC</v>
          </cell>
          <cell r="M3955" t="str">
            <v>4055540</v>
          </cell>
        </row>
        <row r="3956">
          <cell r="A3956">
            <v>860007638</v>
          </cell>
          <cell r="B3956" t="str">
            <v>0</v>
          </cell>
          <cell r="C3956" t="str">
            <v/>
          </cell>
          <cell r="D3956" t="str">
            <v>NJ</v>
          </cell>
          <cell r="E3956" t="str">
            <v/>
          </cell>
          <cell r="F3956" t="str">
            <v/>
          </cell>
          <cell r="G3956" t="str">
            <v xml:space="preserve">EMPRESA DE ENERGIA DE CUNDINAMARCA S.A. ESP.                </v>
          </cell>
          <cell r="H3956" t="str">
            <v>GRAU</v>
          </cell>
          <cell r="I3956" t="str">
            <v>GRAN CONTRIBUYENTE AUTORRETENEDO</v>
          </cell>
          <cell r="J3956" t="str">
            <v>CL 26   47   73 P 1 TO OCCIDENTAL</v>
          </cell>
          <cell r="K3956" t="str">
            <v>11001</v>
          </cell>
          <cell r="L3956" t="str">
            <v>BOGOTA DC</v>
          </cell>
          <cell r="M3956" t="str">
            <v>3535305</v>
          </cell>
        </row>
        <row r="3957">
          <cell r="A3957">
            <v>860007660</v>
          </cell>
          <cell r="B3957" t="str">
            <v>3</v>
          </cell>
          <cell r="C3957" t="str">
            <v/>
          </cell>
          <cell r="D3957" t="str">
            <v>NJ</v>
          </cell>
          <cell r="E3957" t="str">
            <v/>
          </cell>
          <cell r="F3957" t="str">
            <v/>
          </cell>
          <cell r="G3957" t="str">
            <v>GRUPO HELM BANK S.A</v>
          </cell>
          <cell r="H3957" t="str">
            <v>GRAU</v>
          </cell>
          <cell r="I3957" t="str">
            <v>GRAN CONTRIBUYENTE AUTORRETENEDO</v>
          </cell>
          <cell r="J3957" t="str">
            <v>CR 23  64 B 33 L 02</v>
          </cell>
          <cell r="K3957" t="str">
            <v>17001</v>
          </cell>
          <cell r="L3957" t="str">
            <v>MANIZALES</v>
          </cell>
          <cell r="M3957" t="str">
            <v>8879818</v>
          </cell>
        </row>
        <row r="3958">
          <cell r="A3958">
            <v>860007738</v>
          </cell>
          <cell r="B3958" t="str">
            <v>9</v>
          </cell>
          <cell r="C3958" t="str">
            <v/>
          </cell>
          <cell r="D3958" t="str">
            <v>NJ</v>
          </cell>
          <cell r="E3958" t="str">
            <v/>
          </cell>
          <cell r="F3958" t="str">
            <v/>
          </cell>
          <cell r="G3958" t="str">
            <v>BANCO POPULAR</v>
          </cell>
          <cell r="H3958" t="str">
            <v>GRAU</v>
          </cell>
          <cell r="I3958" t="str">
            <v>GRAN CONTRIBUYENTE AUTORRETENEDO</v>
          </cell>
          <cell r="J3958" t="str">
            <v>CR 22   20   12</v>
          </cell>
          <cell r="K3958" t="str">
            <v>17001</v>
          </cell>
          <cell r="L3958" t="str">
            <v>MANIZALES</v>
          </cell>
          <cell r="M3958" t="str">
            <v>8843408</v>
          </cell>
        </row>
        <row r="3959">
          <cell r="A3959">
            <v>860008018</v>
          </cell>
          <cell r="B3959" t="str">
            <v>9</v>
          </cell>
          <cell r="C3959" t="str">
            <v/>
          </cell>
          <cell r="D3959" t="str">
            <v>NJ</v>
          </cell>
          <cell r="E3959" t="str">
            <v/>
          </cell>
          <cell r="F3959" t="str">
            <v/>
          </cell>
          <cell r="G3959" t="str">
            <v>ESTUDIOS TECNICOS SAS</v>
          </cell>
          <cell r="H3959" t="str">
            <v>GRCO</v>
          </cell>
          <cell r="I3959" t="str">
            <v>GRAN CONTRIBUYENTE</v>
          </cell>
          <cell r="J3959" t="str">
            <v>CR 100 25 C 11 BG 3</v>
          </cell>
          <cell r="K3959" t="str">
            <v>11001</v>
          </cell>
          <cell r="L3959" t="str">
            <v>BOGOTA DC</v>
          </cell>
          <cell r="M3959" t="str">
            <v>6069292</v>
          </cell>
        </row>
        <row r="3960">
          <cell r="A3960">
            <v>860008817</v>
          </cell>
          <cell r="B3960" t="str">
            <v>7</v>
          </cell>
          <cell r="C3960" t="str">
            <v/>
          </cell>
          <cell r="D3960" t="str">
            <v>NJ</v>
          </cell>
          <cell r="E3960" t="str">
            <v/>
          </cell>
          <cell r="F3960" t="str">
            <v/>
          </cell>
          <cell r="G3960" t="str">
            <v xml:space="preserve">MERSEN COLOMBIA S.A.                                        </v>
          </cell>
          <cell r="H3960" t="str">
            <v>IMVE</v>
          </cell>
          <cell r="I3960" t="str">
            <v>IMPUESTO SOBRE LAS VENTAS</v>
          </cell>
          <cell r="J3960" t="str">
            <v>CR 42 BIS 17 A 21</v>
          </cell>
          <cell r="K3960" t="str">
            <v>11001</v>
          </cell>
          <cell r="L3960" t="str">
            <v>BOGOTA DC</v>
          </cell>
          <cell r="M3960" t="str">
            <v>3684588</v>
          </cell>
        </row>
        <row r="3961">
          <cell r="A3961">
            <v>860008890</v>
          </cell>
          <cell r="B3961" t="str">
            <v>5</v>
          </cell>
          <cell r="C3961" t="str">
            <v/>
          </cell>
          <cell r="D3961" t="str">
            <v>NJ</v>
          </cell>
          <cell r="E3961" t="str">
            <v/>
          </cell>
          <cell r="F3961" t="str">
            <v/>
          </cell>
          <cell r="G3961" t="str">
            <v>ERNST &amp; YOUNG AUDIT S A S</v>
          </cell>
          <cell r="H3961" t="str">
            <v>GRCO</v>
          </cell>
          <cell r="I3961" t="str">
            <v>GRAN CONTRIBUYENTE</v>
          </cell>
          <cell r="J3961" t="str">
            <v>CR 11 98 07 P 3</v>
          </cell>
          <cell r="K3961" t="str">
            <v>03</v>
          </cell>
          <cell r="L3961" t="str">
            <v>BOGOTA</v>
          </cell>
          <cell r="M3961" t="str">
            <v>4847000</v>
          </cell>
        </row>
        <row r="3962">
          <cell r="A3962">
            <v>860009034</v>
          </cell>
          <cell r="B3962" t="str">
            <v>1</v>
          </cell>
          <cell r="C3962" t="str">
            <v/>
          </cell>
          <cell r="D3962" t="str">
            <v>NJ</v>
          </cell>
          <cell r="E3962" t="str">
            <v/>
          </cell>
          <cell r="F3962" t="str">
            <v/>
          </cell>
          <cell r="G3962" t="str">
            <v>STANTON S.A.S</v>
          </cell>
          <cell r="H3962" t="str">
            <v>IMVE</v>
          </cell>
          <cell r="I3962" t="str">
            <v>IMPUESTO SOBRE LAS VENTAS</v>
          </cell>
          <cell r="J3962" t="str">
            <v xml:space="preserve"> KM 25 VIA A SIBATE</v>
          </cell>
          <cell r="K3962" t="str">
            <v>25740</v>
          </cell>
          <cell r="L3962" t="str">
            <v>SIBATÉ</v>
          </cell>
          <cell r="M3962" t="str">
            <v>7198415</v>
          </cell>
        </row>
        <row r="3963">
          <cell r="A3963">
            <v>860009578</v>
          </cell>
          <cell r="B3963" t="str">
            <v>6</v>
          </cell>
          <cell r="C3963" t="str">
            <v/>
          </cell>
          <cell r="D3963" t="str">
            <v>NJ</v>
          </cell>
          <cell r="E3963" t="str">
            <v/>
          </cell>
          <cell r="F3963" t="str">
            <v/>
          </cell>
          <cell r="G3963" t="str">
            <v xml:space="preserve">SEGUROS DEL ESTADO S.A        </v>
          </cell>
          <cell r="H3963" t="str">
            <v>GRCO</v>
          </cell>
          <cell r="I3963" t="str">
            <v>GRAN CONTRIBUYENTE</v>
          </cell>
          <cell r="J3963" t="str">
            <v>CR 11   90   20</v>
          </cell>
          <cell r="K3963" t="str">
            <v>11001</v>
          </cell>
          <cell r="L3963" t="str">
            <v>BOGOTA DC</v>
          </cell>
          <cell r="M3963" t="str">
            <v>2186977</v>
          </cell>
        </row>
        <row r="3964">
          <cell r="A3964">
            <v>860009759</v>
          </cell>
          <cell r="B3964" t="str">
            <v>2</v>
          </cell>
          <cell r="C3964" t="str">
            <v/>
          </cell>
          <cell r="D3964" t="str">
            <v>NJ</v>
          </cell>
          <cell r="E3964" t="str">
            <v/>
          </cell>
          <cell r="F3964" t="str">
            <v/>
          </cell>
          <cell r="G3964" t="str">
            <v>EDITORIAL EL GLOBO S.A. / LA REPUBLICA</v>
          </cell>
          <cell r="H3964" t="str">
            <v>RECO</v>
          </cell>
          <cell r="I3964" t="str">
            <v>REGIMEN COMUN</v>
          </cell>
          <cell r="J3964" t="str">
            <v xml:space="preserve"> CL 25D BIS 102A 63</v>
          </cell>
          <cell r="K3964" t="str">
            <v>11001</v>
          </cell>
          <cell r="L3964" t="str">
            <v>BOGOTA DC</v>
          </cell>
          <cell r="M3964" t="str">
            <v>8720900</v>
          </cell>
        </row>
        <row r="3965">
          <cell r="A3965">
            <v>860010170</v>
          </cell>
          <cell r="B3965" t="str">
            <v>7</v>
          </cell>
          <cell r="C3965" t="str">
            <v/>
          </cell>
          <cell r="D3965" t="str">
            <v>NJ</v>
          </cell>
          <cell r="E3965" t="str">
            <v/>
          </cell>
          <cell r="F3965" t="str">
            <v/>
          </cell>
          <cell r="G3965" t="str">
            <v>HDI SEGUROS DE VIDA S.A.</v>
          </cell>
          <cell r="H3965" t="str">
            <v>GRCO</v>
          </cell>
          <cell r="I3965" t="str">
            <v>GRAN CONTRIBUYENTE</v>
          </cell>
          <cell r="J3965" t="str">
            <v>CR 7 72 13 P 5</v>
          </cell>
          <cell r="K3965" t="str">
            <v>11001</v>
          </cell>
          <cell r="L3965" t="str">
            <v>BOGOTA DC</v>
          </cell>
          <cell r="M3965" t="str">
            <v>3468888</v>
          </cell>
        </row>
        <row r="3966">
          <cell r="A3966">
            <v>860011153</v>
          </cell>
          <cell r="B3966" t="str">
            <v>6</v>
          </cell>
          <cell r="C3966" t="str">
            <v>41100000</v>
          </cell>
          <cell r="D3966" t="str">
            <v>NJ</v>
          </cell>
          <cell r="E3966" t="str">
            <v/>
          </cell>
          <cell r="F3966" t="str">
            <v/>
          </cell>
          <cell r="G3966" t="str">
            <v>POSITIVA COMPAÑIA DE SEGUROS S.A</v>
          </cell>
          <cell r="H3966" t="str">
            <v>GRCO</v>
          </cell>
          <cell r="I3966" t="str">
            <v>GRAN CONTRIBUYENTE</v>
          </cell>
          <cell r="J3966" t="str">
            <v>AV CR 45 AUT NORTE 94   72</v>
          </cell>
          <cell r="K3966" t="str">
            <v>11001</v>
          </cell>
          <cell r="L3966" t="str">
            <v>BOGOTA DC</v>
          </cell>
          <cell r="M3966" t="str">
            <v>6502200</v>
          </cell>
        </row>
        <row r="3967">
          <cell r="A3967">
            <v>860011268</v>
          </cell>
          <cell r="B3967" t="str">
            <v>4</v>
          </cell>
          <cell r="C3967" t="str">
            <v/>
          </cell>
          <cell r="D3967" t="str">
            <v>NJ</v>
          </cell>
          <cell r="E3967" t="str">
            <v/>
          </cell>
          <cell r="F3967" t="str">
            <v/>
          </cell>
          <cell r="G3967" t="str">
            <v>AMCOVIT LTDA.</v>
          </cell>
          <cell r="H3967" t="str">
            <v>RECO</v>
          </cell>
          <cell r="I3967" t="str">
            <v>REGIMEN COMUN</v>
          </cell>
          <cell r="J3967" t="str">
            <v>CL 74 27 B 11</v>
          </cell>
          <cell r="K3967" t="str">
            <v>11001</v>
          </cell>
          <cell r="L3967" t="str">
            <v>BOGOTA DC</v>
          </cell>
          <cell r="M3967" t="str">
            <v>2311003</v>
          </cell>
        </row>
        <row r="3968">
          <cell r="A3968">
            <v>860012336</v>
          </cell>
          <cell r="B3968" t="str">
            <v>1</v>
          </cell>
          <cell r="C3968" t="str">
            <v/>
          </cell>
          <cell r="D3968" t="str">
            <v>NJ</v>
          </cell>
          <cell r="E3968" t="str">
            <v/>
          </cell>
          <cell r="F3968" t="str">
            <v/>
          </cell>
          <cell r="G3968" t="str">
            <v>INSTITUTO COLOMBIANO DE NORMAS TÉCNICAS Y CERTIFICACIÓN ICONTEC</v>
          </cell>
          <cell r="H3968" t="str">
            <v>IMVE</v>
          </cell>
          <cell r="I3968" t="str">
            <v>IMPUESTO SOBRE LAS VENTAS</v>
          </cell>
          <cell r="J3968" t="str">
            <v>CR 37 52 95</v>
          </cell>
          <cell r="K3968" t="str">
            <v>11001</v>
          </cell>
          <cell r="L3968" t="str">
            <v>BOGOTA DC</v>
          </cell>
          <cell r="M3968" t="str">
            <v>6078888</v>
          </cell>
        </row>
        <row r="3969">
          <cell r="A3969">
            <v>860012357</v>
          </cell>
          <cell r="B3969" t="str">
            <v>6</v>
          </cell>
          <cell r="C3969" t="str">
            <v/>
          </cell>
          <cell r="D3969" t="str">
            <v>NJ</v>
          </cell>
          <cell r="E3969" t="str">
            <v/>
          </cell>
          <cell r="F3969" t="str">
            <v/>
          </cell>
          <cell r="G3969" t="str">
            <v>UNIVERSIDAD SANTO TOMÁS</v>
          </cell>
          <cell r="H3969" t="str">
            <v>GRCO</v>
          </cell>
          <cell r="I3969" t="str">
            <v>GRAN CONTRIBUYENTE</v>
          </cell>
          <cell r="J3969" t="str">
            <v>CR 9 N 51-23</v>
          </cell>
          <cell r="K3969" t="str">
            <v>11001</v>
          </cell>
          <cell r="L3969" t="str">
            <v>BOGOTA DC</v>
          </cell>
          <cell r="M3969" t="str">
            <v>5878922</v>
          </cell>
        </row>
        <row r="3970">
          <cell r="A3970">
            <v>860013715</v>
          </cell>
          <cell r="B3970" t="str">
            <v>4</v>
          </cell>
          <cell r="C3970" t="str">
            <v/>
          </cell>
          <cell r="D3970" t="str">
            <v>NJ</v>
          </cell>
          <cell r="E3970" t="str">
            <v/>
          </cell>
          <cell r="F3970" t="str">
            <v/>
          </cell>
          <cell r="G3970" t="str">
            <v>RECIEND SOCIEDAD POR ACCIONES SIMPLIFICADA</v>
          </cell>
          <cell r="H3970" t="str">
            <v>IMVE</v>
          </cell>
          <cell r="I3970" t="str">
            <v>IMPUESTO SOBRE LAS VENTAS</v>
          </cell>
          <cell r="J3970" t="str">
            <v>CL 98  70  91  OF  1301</v>
          </cell>
          <cell r="K3970" t="str">
            <v>17001</v>
          </cell>
          <cell r="L3970" t="str">
            <v>MANIZALES</v>
          </cell>
          <cell r="M3970" t="str">
            <v>3173673681</v>
          </cell>
        </row>
        <row r="3971">
          <cell r="A3971">
            <v>860013720</v>
          </cell>
          <cell r="B3971" t="str">
            <v>1</v>
          </cell>
          <cell r="C3971" t="str">
            <v/>
          </cell>
          <cell r="D3971" t="str">
            <v>NJ</v>
          </cell>
          <cell r="E3971" t="str">
            <v/>
          </cell>
          <cell r="F3971" t="str">
            <v/>
          </cell>
          <cell r="G3971" t="str">
            <v>PONTIFICIA UNIVERSIDAD JAVERIANA</v>
          </cell>
          <cell r="H3971" t="str">
            <v>GRCO</v>
          </cell>
          <cell r="I3971" t="str">
            <v>GRAN CONTRIBUYENTE</v>
          </cell>
          <cell r="J3971" t="str">
            <v xml:space="preserve"> CR  7 40 62 OF 323</v>
          </cell>
          <cell r="K3971" t="str">
            <v>11001</v>
          </cell>
          <cell r="L3971" t="str">
            <v>BOGOTA DC</v>
          </cell>
          <cell r="M3971" t="str">
            <v>3218200</v>
          </cell>
        </row>
        <row r="3972">
          <cell r="A3972">
            <v>860013779</v>
          </cell>
          <cell r="B3972" t="str">
            <v>5</v>
          </cell>
          <cell r="C3972" t="str">
            <v/>
          </cell>
          <cell r="D3972" t="str">
            <v>NJ</v>
          </cell>
          <cell r="E3972" t="str">
            <v/>
          </cell>
          <cell r="F3972" t="str">
            <v/>
          </cell>
          <cell r="G3972" t="str">
            <v>ASOCIACION PROFAMILIA</v>
          </cell>
          <cell r="H3972" t="str">
            <v>IMVE</v>
          </cell>
          <cell r="I3972" t="str">
            <v>IMPUESTO SOBRE LAS VENTAS</v>
          </cell>
          <cell r="J3972" t="str">
            <v>CL 34 14 52</v>
          </cell>
          <cell r="K3972" t="str">
            <v>15001</v>
          </cell>
          <cell r="L3972" t="str">
            <v>TUNJA</v>
          </cell>
          <cell r="M3972" t="str">
            <v>3132829962</v>
          </cell>
        </row>
        <row r="3973">
          <cell r="A3973">
            <v>860014195</v>
          </cell>
          <cell r="B3973" t="str">
            <v>9</v>
          </cell>
          <cell r="C3973" t="str">
            <v/>
          </cell>
          <cell r="D3973" t="str">
            <v>NJ</v>
          </cell>
          <cell r="E3973" t="str">
            <v/>
          </cell>
          <cell r="F3973" t="str">
            <v/>
          </cell>
          <cell r="G3973" t="str">
            <v>INVERSIONES SPIWAK LTDA</v>
          </cell>
          <cell r="H3973" t="str">
            <v>RECO</v>
          </cell>
          <cell r="I3973" t="str">
            <v>REGIMEN COMUN</v>
          </cell>
          <cell r="J3973" t="str">
            <v>CL 19 5 72</v>
          </cell>
          <cell r="K3973" t="str">
            <v>17001</v>
          </cell>
          <cell r="L3973" t="str">
            <v>MANIZALES</v>
          </cell>
          <cell r="M3973" t="str">
            <v>6338555</v>
          </cell>
        </row>
        <row r="3974">
          <cell r="A3974">
            <v>860014918</v>
          </cell>
          <cell r="B3974" t="str">
            <v>7</v>
          </cell>
          <cell r="C3974" t="str">
            <v/>
          </cell>
          <cell r="D3974" t="str">
            <v>NJ</v>
          </cell>
          <cell r="E3974" t="str">
            <v/>
          </cell>
          <cell r="F3974" t="str">
            <v/>
          </cell>
          <cell r="G3974" t="str">
            <v>UNIVERSIDAD EXTERNADO DE COLOMBIA</v>
          </cell>
          <cell r="H3974" t="str">
            <v>GRCO</v>
          </cell>
          <cell r="I3974" t="str">
            <v>GRAN CONTRIBUYENTE</v>
          </cell>
          <cell r="J3974" t="str">
            <v>CL 12 1 17 ESTE</v>
          </cell>
          <cell r="K3974" t="str">
            <v>11001</v>
          </cell>
          <cell r="L3974" t="str">
            <v>BOGOTA DC</v>
          </cell>
          <cell r="M3974" t="str">
            <v>3428984</v>
          </cell>
        </row>
        <row r="3975">
          <cell r="A3975">
            <v>860014923</v>
          </cell>
          <cell r="B3975" t="str">
            <v>4</v>
          </cell>
          <cell r="C3975" t="str">
            <v/>
          </cell>
          <cell r="D3975" t="str">
            <v>NJ</v>
          </cell>
          <cell r="E3975" t="str">
            <v/>
          </cell>
          <cell r="F3975" t="str">
            <v/>
          </cell>
          <cell r="G3975" t="str">
            <v>CARACOL PRIMERA CADENA RADIAL COLOMBIANA S.A</v>
          </cell>
          <cell r="H3975" t="str">
            <v>GRCO</v>
          </cell>
          <cell r="I3975" t="str">
            <v>GRAN CONTRIBUYENTE</v>
          </cell>
          <cell r="J3975" t="str">
            <v>CL 67 7 37 P 7</v>
          </cell>
          <cell r="K3975" t="str">
            <v>11001</v>
          </cell>
          <cell r="L3975" t="str">
            <v>BOGOTA DC</v>
          </cell>
          <cell r="M3975" t="str">
            <v>3487600</v>
          </cell>
        </row>
        <row r="3976">
          <cell r="A3976">
            <v>860015118</v>
          </cell>
          <cell r="B3976" t="str">
            <v>6</v>
          </cell>
          <cell r="C3976" t="str">
            <v/>
          </cell>
          <cell r="D3976" t="str">
            <v>NJ</v>
          </cell>
          <cell r="E3976" t="str">
            <v/>
          </cell>
          <cell r="F3976" t="str">
            <v/>
          </cell>
          <cell r="G3976" t="str">
            <v>CONTINAUTOS S.A.S.</v>
          </cell>
          <cell r="H3976" t="str">
            <v>GRCO</v>
          </cell>
          <cell r="I3976" t="str">
            <v>GRAN CONTRIBUYENTE</v>
          </cell>
          <cell r="J3976" t="str">
            <v>CR 68 20 71</v>
          </cell>
          <cell r="K3976" t="str">
            <v>11001</v>
          </cell>
          <cell r="L3976" t="str">
            <v>BOGOTA DC</v>
          </cell>
          <cell r="M3976" t="str">
            <v>4473800</v>
          </cell>
        </row>
        <row r="3977">
          <cell r="A3977">
            <v>860015624</v>
          </cell>
          <cell r="B3977" t="str">
            <v>1</v>
          </cell>
          <cell r="C3977" t="str">
            <v/>
          </cell>
          <cell r="D3977" t="str">
            <v>NJ</v>
          </cell>
          <cell r="E3977" t="str">
            <v/>
          </cell>
          <cell r="F3977" t="str">
            <v/>
          </cell>
          <cell r="G3977" t="str">
            <v>BERLINAS DEL FONCE</v>
          </cell>
          <cell r="H3977" t="str">
            <v>RECO</v>
          </cell>
          <cell r="I3977" t="str">
            <v>REGIMEN COMUN</v>
          </cell>
          <cell r="J3977" t="str">
            <v>CL 93   46   136</v>
          </cell>
          <cell r="K3977" t="str">
            <v>08001</v>
          </cell>
          <cell r="L3977" t="str">
            <v>BARRANQUILLA</v>
          </cell>
          <cell r="M3977" t="str">
            <v>3850030</v>
          </cell>
        </row>
        <row r="3978">
          <cell r="A3978">
            <v>860015764</v>
          </cell>
          <cell r="B3978" t="str">
            <v>4</v>
          </cell>
          <cell r="C3978" t="str">
            <v/>
          </cell>
          <cell r="D3978" t="str">
            <v>NJ</v>
          </cell>
          <cell r="E3978" t="str">
            <v/>
          </cell>
          <cell r="F3978" t="str">
            <v/>
          </cell>
          <cell r="G3978" t="str">
            <v>INSTITUTO COLOMBIANO DE DERECHO TRIBUTARIO</v>
          </cell>
          <cell r="H3978" t="str">
            <v>IMVE</v>
          </cell>
          <cell r="I3978" t="str">
            <v>IMPUESTO SOBRE LAS VENTAS</v>
          </cell>
          <cell r="J3978" t="str">
            <v>CL 74 C 8 29</v>
          </cell>
          <cell r="K3978" t="str">
            <v>03</v>
          </cell>
          <cell r="L3978" t="str">
            <v>BOGOTA</v>
          </cell>
          <cell r="M3978" t="str">
            <v>3170403</v>
          </cell>
        </row>
        <row r="3979">
          <cell r="A3979">
            <v>860016640</v>
          </cell>
          <cell r="B3979" t="str">
            <v>4</v>
          </cell>
          <cell r="C3979" t="str">
            <v/>
          </cell>
          <cell r="D3979" t="str">
            <v>NJ</v>
          </cell>
          <cell r="E3979" t="str">
            <v/>
          </cell>
          <cell r="F3979" t="str">
            <v/>
          </cell>
          <cell r="G3979" t="str">
            <v>TRANSPORTADORA COMERCIAL COLOMBIA S.A.</v>
          </cell>
          <cell r="H3979" t="str">
            <v>GRAU</v>
          </cell>
          <cell r="I3979" t="str">
            <v>GRAN CONTRIBUYENTE AUTORRETENEDO</v>
          </cell>
          <cell r="J3979" t="str">
            <v>CL 18 A  69-71 Zona Industrial Montevideo</v>
          </cell>
          <cell r="K3979" t="str">
            <v>11001</v>
          </cell>
          <cell r="L3979" t="str">
            <v>BOGOTA DC</v>
          </cell>
          <cell r="M3979" t="str">
            <v>4232585</v>
          </cell>
        </row>
        <row r="3980">
          <cell r="A3980">
            <v>860016951</v>
          </cell>
          <cell r="B3980" t="str">
            <v>1</v>
          </cell>
          <cell r="C3980" t="str">
            <v>28000000</v>
          </cell>
          <cell r="D3980" t="str">
            <v>NJ</v>
          </cell>
          <cell r="E3980" t="str">
            <v/>
          </cell>
          <cell r="F3980" t="str">
            <v/>
          </cell>
          <cell r="G3980" t="str">
            <v>CLUB MILITAR</v>
          </cell>
          <cell r="H3980" t="str">
            <v>GRCO</v>
          </cell>
          <cell r="I3980" t="str">
            <v>GRAN CONTRIBUYENTE</v>
          </cell>
          <cell r="J3980" t="str">
            <v>AK 50  15 80</v>
          </cell>
          <cell r="K3980" t="str">
            <v>11001</v>
          </cell>
          <cell r="L3980" t="str">
            <v>BOGOTA DC</v>
          </cell>
          <cell r="M3980" t="str">
            <v>2611593</v>
          </cell>
        </row>
        <row r="3981">
          <cell r="A3981">
            <v>860020240</v>
          </cell>
          <cell r="B3981" t="str">
            <v>7</v>
          </cell>
          <cell r="C3981" t="str">
            <v/>
          </cell>
          <cell r="D3981" t="str">
            <v>NJ</v>
          </cell>
          <cell r="E3981" t="str">
            <v/>
          </cell>
          <cell r="F3981" t="str">
            <v/>
          </cell>
          <cell r="G3981" t="str">
            <v>LUGO HERMANOS S.A</v>
          </cell>
          <cell r="H3981" t="str">
            <v>RCAU</v>
          </cell>
          <cell r="I3981" t="str">
            <v>RESPONSABLE IVA - AUTORETENEDOR</v>
          </cell>
          <cell r="J3981" t="str">
            <v>CL 13 62 94</v>
          </cell>
          <cell r="K3981" t="str">
            <v>11001</v>
          </cell>
          <cell r="L3981" t="str">
            <v>BOGOTA DC</v>
          </cell>
          <cell r="M3981" t="str">
            <v>4202511</v>
          </cell>
        </row>
        <row r="3982">
          <cell r="A3982">
            <v>860020369</v>
          </cell>
          <cell r="B3982" t="str">
            <v>8</v>
          </cell>
          <cell r="C3982" t="str">
            <v/>
          </cell>
          <cell r="D3982" t="str">
            <v>NJ</v>
          </cell>
          <cell r="E3982" t="str">
            <v/>
          </cell>
          <cell r="F3982" t="str">
            <v/>
          </cell>
          <cell r="G3982" t="str">
            <v>SU OPORTUNO SERVICIO LTDA</v>
          </cell>
          <cell r="H3982" t="str">
            <v>IMVE</v>
          </cell>
          <cell r="I3982" t="str">
            <v>IMPUESTO SOBRE LAS VENTAS</v>
          </cell>
          <cell r="J3982" t="str">
            <v>CR 51  80  166</v>
          </cell>
          <cell r="K3982" t="str">
            <v>08001</v>
          </cell>
          <cell r="L3982" t="str">
            <v>BARRANQUILLA</v>
          </cell>
          <cell r="M3982" t="str">
            <v>7450567</v>
          </cell>
        </row>
        <row r="3983">
          <cell r="A3983">
            <v>860022382</v>
          </cell>
          <cell r="B3983" t="str">
            <v>3</v>
          </cell>
          <cell r="C3983" t="str">
            <v/>
          </cell>
          <cell r="D3983" t="str">
            <v>NJ</v>
          </cell>
          <cell r="E3983" t="str">
            <v/>
          </cell>
          <cell r="F3983" t="str">
            <v/>
          </cell>
          <cell r="G3983" t="str">
            <v>CORPORACION UNIVERSIDAD PILOTO DE COLOMBIA</v>
          </cell>
          <cell r="H3983" t="str">
            <v>IMVE</v>
          </cell>
          <cell r="I3983" t="str">
            <v>IMPUESTO SOBRE LAS VENTAS</v>
          </cell>
          <cell r="J3983" t="str">
            <v>CR 9 45 A 44</v>
          </cell>
          <cell r="K3983" t="str">
            <v>11001</v>
          </cell>
          <cell r="L3983" t="str">
            <v>BOGOTA DC</v>
          </cell>
          <cell r="M3983" t="str">
            <v>3322900</v>
          </cell>
        </row>
        <row r="3984">
          <cell r="A3984">
            <v>860023838</v>
          </cell>
          <cell r="B3984" t="str">
            <v>4</v>
          </cell>
          <cell r="C3984" t="str">
            <v/>
          </cell>
          <cell r="D3984" t="str">
            <v>NJ</v>
          </cell>
          <cell r="E3984" t="str">
            <v/>
          </cell>
          <cell r="F3984" t="str">
            <v/>
          </cell>
          <cell r="G3984" t="str">
            <v>ASOCIACION COLOMBIANA DE INGENIEROS ACIEM</v>
          </cell>
          <cell r="H3984" t="str">
            <v>IMVE</v>
          </cell>
          <cell r="I3984" t="str">
            <v>IMPUESTO SOBRE LAS VENTAS</v>
          </cell>
          <cell r="J3984" t="str">
            <v>CL 70 9 10</v>
          </cell>
          <cell r="K3984" t="str">
            <v>17001</v>
          </cell>
          <cell r="L3984" t="str">
            <v>MANIZALES</v>
          </cell>
          <cell r="M3984" t="str">
            <v>3108162766</v>
          </cell>
        </row>
        <row r="3985">
          <cell r="A3985">
            <v>860025338</v>
          </cell>
          <cell r="B3985" t="str">
            <v>2</v>
          </cell>
          <cell r="C3985" t="str">
            <v/>
          </cell>
          <cell r="D3985" t="str">
            <v>NJ</v>
          </cell>
          <cell r="E3985" t="str">
            <v/>
          </cell>
          <cell r="F3985" t="str">
            <v/>
          </cell>
          <cell r="G3985" t="str">
            <v>COPA AIRLINES S.A</v>
          </cell>
          <cell r="H3985" t="str">
            <v>GRAU</v>
          </cell>
          <cell r="I3985" t="str">
            <v>GRAN CONTRIBUYENTE AUTORRETENEDO</v>
          </cell>
          <cell r="J3985" t="str">
            <v>AER BOGOTA</v>
          </cell>
          <cell r="K3985" t="str">
            <v>17001</v>
          </cell>
          <cell r="L3985" t="str">
            <v>MANIZALES</v>
          </cell>
          <cell r="M3985" t="str">
            <v>8863300</v>
          </cell>
        </row>
        <row r="3986">
          <cell r="A3986">
            <v>860025461</v>
          </cell>
          <cell r="B3986" t="str">
            <v>0</v>
          </cell>
          <cell r="C3986" t="str">
            <v/>
          </cell>
          <cell r="D3986" t="str">
            <v>NJ</v>
          </cell>
          <cell r="E3986" t="str">
            <v/>
          </cell>
          <cell r="F3986" t="str">
            <v/>
          </cell>
          <cell r="G3986" t="str">
            <v>COMPAÑIA COMERCIAL E INDUSTRIAL LA SABANA AVESCO SAS</v>
          </cell>
          <cell r="H3986" t="str">
            <v>GRCO</v>
          </cell>
          <cell r="I3986" t="str">
            <v>GRAN CONTRIBUYENTE</v>
          </cell>
          <cell r="J3986" t="str">
            <v>CL 24 F   94   51</v>
          </cell>
          <cell r="K3986" t="str">
            <v>17001</v>
          </cell>
          <cell r="L3986" t="str">
            <v>MANIZALES</v>
          </cell>
          <cell r="M3986" t="str">
            <v>4101002</v>
          </cell>
        </row>
        <row r="3987">
          <cell r="A3987">
            <v>860025614</v>
          </cell>
          <cell r="B3987" t="str">
            <v>0</v>
          </cell>
          <cell r="C3987" t="str">
            <v/>
          </cell>
          <cell r="D3987" t="str">
            <v>NJ</v>
          </cell>
          <cell r="E3987" t="str">
            <v/>
          </cell>
          <cell r="F3987" t="str">
            <v/>
          </cell>
          <cell r="G3987" t="str">
            <v>CONFEDERACION COLOMBIANA DE CAMARA DE COMERCIO</v>
          </cell>
          <cell r="H3987" t="str">
            <v>RECO</v>
          </cell>
          <cell r="I3987" t="str">
            <v>REGIMEN COMUN</v>
          </cell>
          <cell r="J3987" t="str">
            <v>CR 13 26 A 47 OF 502</v>
          </cell>
          <cell r="K3987" t="str">
            <v>11001</v>
          </cell>
          <cell r="L3987" t="str">
            <v>BOGOTA DC</v>
          </cell>
          <cell r="M3987" t="str">
            <v>3814100</v>
          </cell>
        </row>
        <row r="3988">
          <cell r="A3988">
            <v>860026058</v>
          </cell>
          <cell r="B3988" t="str">
            <v>1</v>
          </cell>
          <cell r="C3988" t="str">
            <v/>
          </cell>
          <cell r="D3988" t="str">
            <v>NJ</v>
          </cell>
          <cell r="E3988" t="str">
            <v/>
          </cell>
          <cell r="F3988" t="str">
            <v/>
          </cell>
          <cell r="G3988" t="str">
            <v>UNIVERSIDAD EAN</v>
          </cell>
          <cell r="H3988" t="str">
            <v>RERE</v>
          </cell>
          <cell r="I3988" t="str">
            <v>RENTA REGIMEN ESPECIAL NO IVA</v>
          </cell>
          <cell r="J3988" t="str">
            <v>CR 11 78 47</v>
          </cell>
          <cell r="K3988" t="str">
            <v>11001</v>
          </cell>
          <cell r="L3988" t="str">
            <v>BOGOTA DC</v>
          </cell>
          <cell r="M3988" t="str">
            <v>2123071</v>
          </cell>
        </row>
        <row r="3989">
          <cell r="A3989">
            <v>860026182</v>
          </cell>
          <cell r="B3989" t="str">
            <v>5</v>
          </cell>
          <cell r="C3989" t="str">
            <v/>
          </cell>
          <cell r="D3989" t="str">
            <v>NJ</v>
          </cell>
          <cell r="E3989" t="str">
            <v/>
          </cell>
          <cell r="F3989" t="str">
            <v/>
          </cell>
          <cell r="G3989" t="str">
            <v>ALLIANZ SEGUROS S.A.</v>
          </cell>
          <cell r="H3989" t="str">
            <v>GRCO</v>
          </cell>
          <cell r="I3989" t="str">
            <v>GRAN CONTRIBUYENTE</v>
          </cell>
          <cell r="J3989" t="str">
            <v>CR 13 A 29 24</v>
          </cell>
          <cell r="K3989" t="str">
            <v>11001</v>
          </cell>
          <cell r="L3989" t="str">
            <v>BOGOTA DC</v>
          </cell>
          <cell r="M3989" t="str">
            <v>5187527</v>
          </cell>
        </row>
        <row r="3990">
          <cell r="A3990">
            <v>860026831</v>
          </cell>
          <cell r="B3990" t="str">
            <v>7</v>
          </cell>
          <cell r="C3990" t="str">
            <v/>
          </cell>
          <cell r="D3990" t="str">
            <v>NJ</v>
          </cell>
          <cell r="E3990" t="str">
            <v/>
          </cell>
          <cell r="F3990" t="str">
            <v/>
          </cell>
          <cell r="G3990" t="str">
            <v>AUROS S.A</v>
          </cell>
          <cell r="H3990" t="str">
            <v>RECO</v>
          </cell>
          <cell r="I3990" t="str">
            <v>REGIMEN COMUN</v>
          </cell>
          <cell r="J3990" t="str">
            <v>DG 49 SUR N 56 A 46</v>
          </cell>
          <cell r="K3990" t="str">
            <v>11001</v>
          </cell>
          <cell r="L3990" t="str">
            <v>BOGOTA DC</v>
          </cell>
          <cell r="M3990" t="str">
            <v>7280058</v>
          </cell>
        </row>
        <row r="3991">
          <cell r="A3991">
            <v>860027404</v>
          </cell>
          <cell r="B3991" t="str">
            <v>1</v>
          </cell>
          <cell r="C3991" t="str">
            <v/>
          </cell>
          <cell r="D3991" t="str">
            <v>NJ</v>
          </cell>
          <cell r="E3991" t="str">
            <v/>
          </cell>
          <cell r="F3991" t="str">
            <v/>
          </cell>
          <cell r="G3991" t="str">
            <v>ALLIANZ SEGUROS DE VIDA SA</v>
          </cell>
          <cell r="H3991" t="str">
            <v>GRCO</v>
          </cell>
          <cell r="I3991" t="str">
            <v>GRAN CONTRIBUYENTE</v>
          </cell>
          <cell r="J3991" t="str">
            <v>CR 13   29   24</v>
          </cell>
          <cell r="K3991" t="str">
            <v>11001</v>
          </cell>
          <cell r="L3991" t="str">
            <v>BOGOTA DC</v>
          </cell>
          <cell r="M3991" t="str">
            <v>5600600</v>
          </cell>
        </row>
        <row r="3992">
          <cell r="A3992">
            <v>860028580</v>
          </cell>
          <cell r="B3992" t="str">
            <v>2</v>
          </cell>
          <cell r="C3992" t="str">
            <v/>
          </cell>
          <cell r="D3992" t="str">
            <v>NJ</v>
          </cell>
          <cell r="E3992" t="str">
            <v/>
          </cell>
          <cell r="F3992" t="str">
            <v/>
          </cell>
          <cell r="G3992" t="str">
            <v>DISPAPELES S.A.S</v>
          </cell>
          <cell r="H3992" t="str">
            <v>GRAU</v>
          </cell>
          <cell r="I3992" t="str">
            <v>GRAN CONTRIBUYENTE AUTORRETENEDO</v>
          </cell>
          <cell r="J3992" t="str">
            <v>CL 103  69 53</v>
          </cell>
          <cell r="K3992" t="str">
            <v>11001</v>
          </cell>
          <cell r="L3992" t="str">
            <v>BOGOTA DC</v>
          </cell>
          <cell r="M3992" t="str">
            <v>8741740</v>
          </cell>
        </row>
        <row r="3993">
          <cell r="A3993">
            <v>860029087</v>
          </cell>
          <cell r="B3993" t="str">
            <v>7</v>
          </cell>
          <cell r="C3993" t="str">
            <v/>
          </cell>
          <cell r="D3993" t="str">
            <v>NJ</v>
          </cell>
          <cell r="E3993" t="str">
            <v/>
          </cell>
          <cell r="F3993" t="str">
            <v/>
          </cell>
          <cell r="G3993" t="str">
            <v>APC INDUSTRIES SAS</v>
          </cell>
          <cell r="H3993" t="str">
            <v>IMVE</v>
          </cell>
          <cell r="I3993" t="str">
            <v>IMPUESTO SOBRE LAS VENTAS</v>
          </cell>
          <cell r="J3993" t="str">
            <v>CR 75 68 B 43</v>
          </cell>
          <cell r="K3993" t="str">
            <v>11001</v>
          </cell>
          <cell r="L3993" t="str">
            <v>BOGOTA DC</v>
          </cell>
          <cell r="M3993" t="str">
            <v>4660738</v>
          </cell>
        </row>
        <row r="3994">
          <cell r="A3994">
            <v>860029964</v>
          </cell>
          <cell r="B3994" t="str">
            <v>1</v>
          </cell>
          <cell r="C3994" t="str">
            <v/>
          </cell>
          <cell r="D3994" t="str">
            <v>NJ</v>
          </cell>
          <cell r="E3994" t="str">
            <v/>
          </cell>
          <cell r="F3994" t="str">
            <v/>
          </cell>
          <cell r="G3994" t="str">
            <v>AGENCIA CAUCHOSOL DEL CENTRO S.A.S.</v>
          </cell>
          <cell r="H3994" t="str">
            <v>GRCO</v>
          </cell>
          <cell r="I3994" t="str">
            <v>GRAN CONTRIBUYENTE</v>
          </cell>
          <cell r="J3994" t="str">
            <v>CL 16 19 19</v>
          </cell>
          <cell r="K3994" t="str">
            <v>11001</v>
          </cell>
          <cell r="L3994" t="str">
            <v>BOGOTA DC</v>
          </cell>
          <cell r="M3994" t="str">
            <v>3102148916</v>
          </cell>
        </row>
        <row r="3995">
          <cell r="A3995">
            <v>860030020</v>
          </cell>
          <cell r="B3995" t="str">
            <v>6</v>
          </cell>
          <cell r="C3995" t="str">
            <v/>
          </cell>
          <cell r="D3995" t="str">
            <v>NJ</v>
          </cell>
          <cell r="E3995" t="str">
            <v/>
          </cell>
          <cell r="F3995" t="str">
            <v/>
          </cell>
          <cell r="G3995" t="str">
            <v>BANCO BBVA</v>
          </cell>
          <cell r="H3995" t="str">
            <v>GRAU</v>
          </cell>
          <cell r="I3995" t="str">
            <v>GRAN CONTRIBUYENTE AUTORRETENEDO</v>
          </cell>
          <cell r="J3995" t="str">
            <v>CL 22   20   52</v>
          </cell>
          <cell r="K3995" t="str">
            <v>17001</v>
          </cell>
          <cell r="L3995" t="str">
            <v>MANIZALES</v>
          </cell>
          <cell r="M3995" t="str">
            <v>8802222</v>
          </cell>
        </row>
        <row r="3996">
          <cell r="A3996">
            <v>860030080</v>
          </cell>
          <cell r="B3996" t="str">
            <v>8</v>
          </cell>
          <cell r="C3996" t="str">
            <v/>
          </cell>
          <cell r="D3996" t="str">
            <v>NJ</v>
          </cell>
          <cell r="E3996" t="str">
            <v/>
          </cell>
          <cell r="F3996" t="str">
            <v/>
          </cell>
          <cell r="G3996" t="str">
            <v>FUNDADORES</v>
          </cell>
          <cell r="H3996" t="str">
            <v>RECO</v>
          </cell>
          <cell r="I3996" t="str">
            <v>REGIMEN COMUN</v>
          </cell>
          <cell r="J3996" t="str">
            <v>TER TUNJA</v>
          </cell>
          <cell r="K3996" t="str">
            <v>15001</v>
          </cell>
          <cell r="L3996" t="str">
            <v>TUNJA</v>
          </cell>
          <cell r="M3996" t="str">
            <v>4168654</v>
          </cell>
        </row>
        <row r="3997">
          <cell r="A3997">
            <v>860030828</v>
          </cell>
          <cell r="B3997" t="str">
            <v>1</v>
          </cell>
          <cell r="C3997" t="str">
            <v/>
          </cell>
          <cell r="D3997" t="str">
            <v>NJ</v>
          </cell>
          <cell r="E3997" t="str">
            <v/>
          </cell>
          <cell r="F3997" t="str">
            <v/>
          </cell>
          <cell r="G3997" t="str">
            <v>FERRETERIA INDUSTRIAL S.A.S</v>
          </cell>
          <cell r="H3997" t="str">
            <v>RCAU</v>
          </cell>
          <cell r="I3997" t="str">
            <v>RESPONSABLE IVA - AUTORETENEDOR</v>
          </cell>
          <cell r="J3997" t="str">
            <v>CR 25 17 64</v>
          </cell>
          <cell r="K3997" t="str">
            <v>11001</v>
          </cell>
          <cell r="L3997" t="str">
            <v>BOGOTA DC</v>
          </cell>
          <cell r="M3997" t="str">
            <v>2010555</v>
          </cell>
        </row>
        <row r="3998">
          <cell r="A3998">
            <v>860031028</v>
          </cell>
          <cell r="B3998" t="str">
            <v>9</v>
          </cell>
          <cell r="C3998" t="str">
            <v/>
          </cell>
          <cell r="D3998" t="str">
            <v>NJ</v>
          </cell>
          <cell r="E3998" t="str">
            <v/>
          </cell>
          <cell r="F3998" t="str">
            <v/>
          </cell>
          <cell r="G3998" t="str">
            <v xml:space="preserve">SIMENS S.A                    </v>
          </cell>
          <cell r="H3998" t="str">
            <v>GRAU</v>
          </cell>
          <cell r="I3998" t="str">
            <v>GRAN CONTRIBUYENTE AUTORRETENEDO</v>
          </cell>
          <cell r="J3998" t="str">
            <v xml:space="preserve"> AUT MEDELLIN K8 COSTADO SUR</v>
          </cell>
          <cell r="K3998" t="str">
            <v>25799</v>
          </cell>
          <cell r="L3998" t="str">
            <v>TENJO</v>
          </cell>
          <cell r="M3998" t="str">
            <v>2942400</v>
          </cell>
        </row>
        <row r="3999">
          <cell r="A3999">
            <v>860031068</v>
          </cell>
          <cell r="B3999" t="str">
            <v>3</v>
          </cell>
          <cell r="C3999" t="str">
            <v/>
          </cell>
          <cell r="D3999" t="str">
            <v>NJ</v>
          </cell>
          <cell r="E3999" t="str">
            <v/>
          </cell>
          <cell r="F3999" t="str">
            <v/>
          </cell>
          <cell r="G3999" t="str">
            <v xml:space="preserve">INSTRUMENTOS Y CONTROLES SA   </v>
          </cell>
          <cell r="H3999" t="str">
            <v>GRAU</v>
          </cell>
          <cell r="I3999" t="str">
            <v>GRAN CONTRIBUYENTE AUTORRETENEDO</v>
          </cell>
          <cell r="J3999" t="str">
            <v xml:space="preserve">CL 39   24 45     </v>
          </cell>
          <cell r="K3999" t="str">
            <v>11001</v>
          </cell>
          <cell r="L3999" t="str">
            <v>BOGOTA DC</v>
          </cell>
          <cell r="M3999" t="str">
            <v>2088080</v>
          </cell>
        </row>
        <row r="4000">
          <cell r="A4000">
            <v>860031273</v>
          </cell>
          <cell r="B4000" t="str">
            <v>7</v>
          </cell>
          <cell r="C4000" t="str">
            <v/>
          </cell>
          <cell r="D4000" t="str">
            <v>NJ</v>
          </cell>
          <cell r="E4000" t="str">
            <v/>
          </cell>
          <cell r="F4000" t="str">
            <v/>
          </cell>
          <cell r="G4000" t="str">
            <v>UNIÓN COLOMBIANA DE EMPRESAS PUBLICITARIAS</v>
          </cell>
          <cell r="H4000" t="str">
            <v>IMVE</v>
          </cell>
          <cell r="I4000" t="str">
            <v>IMPUESTO SOBRE LAS VENTAS</v>
          </cell>
          <cell r="J4000" t="str">
            <v>CL  99  7  A  77  OF  401</v>
          </cell>
          <cell r="K4000" t="str">
            <v>11001</v>
          </cell>
          <cell r="L4000" t="str">
            <v>BOGOTA DC</v>
          </cell>
          <cell r="M4000" t="str">
            <v>6110011</v>
          </cell>
        </row>
        <row r="4001">
          <cell r="A4001">
            <v>860031282</v>
          </cell>
          <cell r="B4001" t="str">
            <v>3</v>
          </cell>
          <cell r="C4001" t="str">
            <v/>
          </cell>
          <cell r="D4001" t="str">
            <v>NJ</v>
          </cell>
          <cell r="E4001" t="str">
            <v/>
          </cell>
          <cell r="F4001" t="str">
            <v/>
          </cell>
          <cell r="G4001" t="str">
            <v>GESTIÓN Y DISEÑOS ELÉCTRICOS SA</v>
          </cell>
          <cell r="H4001" t="str">
            <v>RECO</v>
          </cell>
          <cell r="I4001" t="str">
            <v>REGIMEN COMUN</v>
          </cell>
          <cell r="J4001" t="str">
            <v>CL 105 18 A 20</v>
          </cell>
          <cell r="K4001" t="str">
            <v>11001</v>
          </cell>
          <cell r="L4001" t="str">
            <v>BOGOTA DC</v>
          </cell>
          <cell r="M4001" t="str">
            <v>8756262</v>
          </cell>
        </row>
        <row r="4002">
          <cell r="A4002">
            <v>860032095</v>
          </cell>
          <cell r="B4002" t="str">
            <v>7</v>
          </cell>
          <cell r="C4002" t="str">
            <v/>
          </cell>
          <cell r="D4002" t="str">
            <v>NJ</v>
          </cell>
          <cell r="E4002" t="str">
            <v/>
          </cell>
          <cell r="F4002" t="str">
            <v/>
          </cell>
          <cell r="G4002" t="str">
            <v>PARQUEADERO YA LTDA ALTA TECNOLOGIA</v>
          </cell>
          <cell r="H4002" t="str">
            <v>RECO</v>
          </cell>
          <cell r="I4002" t="str">
            <v>REGIMEN COMUN</v>
          </cell>
          <cell r="J4002" t="str">
            <v>CL 76 14   30</v>
          </cell>
          <cell r="K4002" t="str">
            <v>11001</v>
          </cell>
          <cell r="L4002" t="str">
            <v>BOGOTA DC</v>
          </cell>
          <cell r="M4002" t="str">
            <v>3411055</v>
          </cell>
        </row>
        <row r="4003">
          <cell r="A4003">
            <v>860033653</v>
          </cell>
          <cell r="B4003" t="str">
            <v>1</v>
          </cell>
          <cell r="C4003" t="str">
            <v/>
          </cell>
          <cell r="D4003" t="str">
            <v>NJ</v>
          </cell>
          <cell r="E4003" t="str">
            <v/>
          </cell>
          <cell r="F4003" t="str">
            <v/>
          </cell>
          <cell r="G4003" t="str">
            <v>IMPOFER IMPORTADORA DE FERRETERIA SAS</v>
          </cell>
          <cell r="H4003" t="str">
            <v>GRAU</v>
          </cell>
          <cell r="I4003" t="str">
            <v>GRAN CONTRIBUYENTE AUTORRETENEDO</v>
          </cell>
          <cell r="J4003" t="str">
            <v>CL 17 27 39</v>
          </cell>
          <cell r="K4003" t="str">
            <v>11001</v>
          </cell>
          <cell r="L4003" t="str">
            <v>BOGOTA DC</v>
          </cell>
          <cell r="M4003" t="str">
            <v>3251933</v>
          </cell>
        </row>
        <row r="4004">
          <cell r="A4004">
            <v>860034037</v>
          </cell>
          <cell r="B4004" t="str">
            <v>9</v>
          </cell>
          <cell r="C4004" t="str">
            <v/>
          </cell>
          <cell r="D4004" t="str">
            <v>NJ</v>
          </cell>
          <cell r="E4004" t="str">
            <v/>
          </cell>
          <cell r="F4004" t="str">
            <v/>
          </cell>
          <cell r="G4004" t="str">
            <v>SERVITOOL SAS</v>
          </cell>
          <cell r="H4004" t="str">
            <v>IMVE</v>
          </cell>
          <cell r="I4004" t="str">
            <v>IMPUESTO SOBRE LAS VENTAS</v>
          </cell>
          <cell r="J4004" t="str">
            <v xml:space="preserve"> CL 85 A  28 C 16</v>
          </cell>
          <cell r="K4004" t="str">
            <v>11001</v>
          </cell>
          <cell r="L4004" t="str">
            <v>BOGOTA DC</v>
          </cell>
          <cell r="M4004" t="str">
            <v>2564252</v>
          </cell>
        </row>
        <row r="4005">
          <cell r="A4005">
            <v>860034313</v>
          </cell>
          <cell r="B4005" t="str">
            <v>7</v>
          </cell>
          <cell r="C4005" t="str">
            <v/>
          </cell>
          <cell r="D4005" t="str">
            <v>NJ</v>
          </cell>
          <cell r="E4005" t="str">
            <v/>
          </cell>
          <cell r="F4005" t="str">
            <v/>
          </cell>
          <cell r="G4005" t="str">
            <v>BANCO DAVIVIENDA S.A</v>
          </cell>
          <cell r="H4005" t="str">
            <v>GRCO</v>
          </cell>
          <cell r="I4005" t="str">
            <v>GRAN CONTRIBUYENTE</v>
          </cell>
          <cell r="J4005" t="str">
            <v>CR 23   26 20 P 2</v>
          </cell>
          <cell r="K4005" t="str">
            <v>17001</v>
          </cell>
          <cell r="L4005" t="str">
            <v>MANIZALES</v>
          </cell>
          <cell r="M4005" t="str">
            <v>8879860 EXT 4570</v>
          </cell>
        </row>
        <row r="4006">
          <cell r="A4006">
            <v>860034594</v>
          </cell>
          <cell r="B4006" t="str">
            <v>1</v>
          </cell>
          <cell r="C4006" t="str">
            <v/>
          </cell>
          <cell r="D4006" t="str">
            <v>NJ</v>
          </cell>
          <cell r="E4006" t="str">
            <v/>
          </cell>
          <cell r="F4006" t="str">
            <v/>
          </cell>
          <cell r="G4006" t="str">
            <v>SCOTIABANK COLPATRIA SA BANCO COLPATRIA</v>
          </cell>
          <cell r="H4006" t="str">
            <v>GRAU</v>
          </cell>
          <cell r="I4006" t="str">
            <v>GRAN CONTRIBUYENTE AUTORRETENEDO</v>
          </cell>
          <cell r="J4006" t="str">
            <v>CRA 7 24-89 P-12</v>
          </cell>
          <cell r="K4006" t="str">
            <v>03</v>
          </cell>
          <cell r="L4006" t="str">
            <v>BOGOTA</v>
          </cell>
          <cell r="M4006" t="str">
            <v>7456300</v>
          </cell>
        </row>
        <row r="4007">
          <cell r="A4007">
            <v>860034714</v>
          </cell>
          <cell r="B4007" t="str">
            <v>7</v>
          </cell>
          <cell r="C4007" t="str">
            <v/>
          </cell>
          <cell r="D4007" t="str">
            <v>NJ</v>
          </cell>
          <cell r="E4007" t="str">
            <v/>
          </cell>
          <cell r="F4007" t="str">
            <v/>
          </cell>
          <cell r="G4007" t="str">
            <v>PROCALCULO PROSIS S.A.</v>
          </cell>
          <cell r="H4007" t="str">
            <v>RCAU</v>
          </cell>
          <cell r="I4007" t="str">
            <v>RESPONSABLE IVA - AUTORETENEDOR</v>
          </cell>
          <cell r="J4007" t="str">
            <v xml:space="preserve"> CL 82  19 26</v>
          </cell>
          <cell r="K4007" t="str">
            <v>11001</v>
          </cell>
          <cell r="L4007" t="str">
            <v>BOGOTA DC</v>
          </cell>
          <cell r="M4007" t="str">
            <v>7451145</v>
          </cell>
        </row>
        <row r="4008">
          <cell r="A4008">
            <v>860034944</v>
          </cell>
          <cell r="B4008" t="str">
            <v>4</v>
          </cell>
          <cell r="C4008" t="str">
            <v/>
          </cell>
          <cell r="D4008" t="str">
            <v>NJ</v>
          </cell>
          <cell r="E4008" t="str">
            <v/>
          </cell>
          <cell r="F4008" t="str">
            <v/>
          </cell>
          <cell r="G4008" t="str">
            <v>PRODUCTORA DE CABLES PROCABLES SAS</v>
          </cell>
          <cell r="H4008" t="str">
            <v>GRCO</v>
          </cell>
          <cell r="I4008" t="str">
            <v>GRAN CONTRIBUYENTE</v>
          </cell>
          <cell r="J4008" t="str">
            <v>CL 20 68 B 71</v>
          </cell>
          <cell r="K4008" t="str">
            <v>11001</v>
          </cell>
          <cell r="L4008" t="str">
            <v>BOGOTA DC</v>
          </cell>
          <cell r="M4008" t="str">
            <v>4059393</v>
          </cell>
        </row>
        <row r="4009">
          <cell r="A4009">
            <v>860035200</v>
          </cell>
          <cell r="B4009" t="str">
            <v>8</v>
          </cell>
          <cell r="C4009" t="str">
            <v/>
          </cell>
          <cell r="D4009" t="str">
            <v>NJ</v>
          </cell>
          <cell r="E4009" t="str">
            <v/>
          </cell>
          <cell r="F4009" t="str">
            <v/>
          </cell>
          <cell r="G4009" t="str">
            <v>ATALAYA 1 SECURITY GROUP LTDA EN REORGANIZACION</v>
          </cell>
          <cell r="H4009" t="str">
            <v>IMVE</v>
          </cell>
          <cell r="I4009" t="str">
            <v>IMPUESTO SOBRE LAS VENTAS</v>
          </cell>
          <cell r="J4009" t="str">
            <v xml:space="preserve"> CL 93 B 17 25 OF 410</v>
          </cell>
          <cell r="K4009" t="str">
            <v>11001</v>
          </cell>
          <cell r="L4009" t="str">
            <v>BOGOTA DC</v>
          </cell>
          <cell r="M4009" t="str">
            <v>7498293</v>
          </cell>
        </row>
        <row r="4010">
          <cell r="A4010">
            <v>860035559</v>
          </cell>
          <cell r="B4010" t="str">
            <v>6</v>
          </cell>
          <cell r="C4010" t="str">
            <v/>
          </cell>
          <cell r="D4010" t="str">
            <v>NJ</v>
          </cell>
          <cell r="E4010" t="str">
            <v/>
          </cell>
          <cell r="F4010" t="str">
            <v/>
          </cell>
          <cell r="G4010" t="str">
            <v xml:space="preserve">FONDO DE EMPLEADOS FEISA                                    </v>
          </cell>
          <cell r="H4010" t="str">
            <v>IMVE</v>
          </cell>
          <cell r="I4010" t="str">
            <v>IMPUESTO SOBRE LAS VENTAS</v>
          </cell>
          <cell r="J4010" t="str">
            <v>CR 30  10  C 280</v>
          </cell>
          <cell r="K4010" t="str">
            <v>05001</v>
          </cell>
          <cell r="L4010" t="str">
            <v>MEDELLÍN</v>
          </cell>
          <cell r="M4010" t="str">
            <v>3157790</v>
          </cell>
        </row>
        <row r="4011">
          <cell r="A4011">
            <v>860035715</v>
          </cell>
          <cell r="B4011" t="str">
            <v>9</v>
          </cell>
          <cell r="C4011" t="str">
            <v/>
          </cell>
          <cell r="D4011" t="str">
            <v>NJ</v>
          </cell>
          <cell r="E4011" t="str">
            <v/>
          </cell>
          <cell r="F4011" t="str">
            <v/>
          </cell>
          <cell r="G4011" t="str">
            <v>INGENIEROS TECNICOS ELECTRICISTAS ASOCIADOS LTDA INTELECA</v>
          </cell>
          <cell r="H4011" t="str">
            <v>IMVE</v>
          </cell>
          <cell r="I4011" t="str">
            <v>IMPUESTO SOBRE LAS VENTAS</v>
          </cell>
          <cell r="J4011" t="str">
            <v>CR 32 A   10   43</v>
          </cell>
          <cell r="K4011" t="str">
            <v>11001</v>
          </cell>
          <cell r="L4011" t="str">
            <v>BOGOTA DC</v>
          </cell>
          <cell r="M4011" t="str">
            <v>3606070</v>
          </cell>
        </row>
        <row r="4012">
          <cell r="A4012">
            <v>860035827</v>
          </cell>
          <cell r="B4012" t="str">
            <v>5</v>
          </cell>
          <cell r="C4012" t="str">
            <v/>
          </cell>
          <cell r="D4012" t="str">
            <v>NJ</v>
          </cell>
          <cell r="E4012" t="str">
            <v/>
          </cell>
          <cell r="F4012" t="str">
            <v/>
          </cell>
          <cell r="G4012" t="str">
            <v>BANCO COMERCIAL AV VILLAS S.A.</v>
          </cell>
          <cell r="H4012" t="str">
            <v>GRAU</v>
          </cell>
          <cell r="I4012" t="str">
            <v>GRAN CONTRIBUYENTE AUTORRETENEDO</v>
          </cell>
          <cell r="J4012" t="str">
            <v>CL 20 21 58</v>
          </cell>
          <cell r="K4012" t="str">
            <v>17001</v>
          </cell>
          <cell r="L4012" t="str">
            <v>MANIZALES</v>
          </cell>
          <cell r="M4012" t="str">
            <v>8918951 EXT 8384</v>
          </cell>
        </row>
        <row r="4013">
          <cell r="A4013">
            <v>860035996</v>
          </cell>
          <cell r="B4013" t="str">
            <v>1</v>
          </cell>
          <cell r="C4013" t="str">
            <v/>
          </cell>
          <cell r="D4013" t="str">
            <v>NJ</v>
          </cell>
          <cell r="E4013" t="str">
            <v/>
          </cell>
          <cell r="F4013" t="str">
            <v/>
          </cell>
          <cell r="G4013" t="str">
            <v>TECNICONTROL SAS</v>
          </cell>
          <cell r="H4013" t="str">
            <v>GRCO</v>
          </cell>
          <cell r="I4013" t="str">
            <v>GRAN CONTRIBUYENTE</v>
          </cell>
          <cell r="J4013" t="str">
            <v>CL 72 7 82 P 3</v>
          </cell>
          <cell r="K4013" t="str">
            <v>17001</v>
          </cell>
          <cell r="L4013" t="str">
            <v>MANIZALES</v>
          </cell>
          <cell r="M4013" t="str">
            <v>6671444</v>
          </cell>
        </row>
        <row r="4014">
          <cell r="A4014">
            <v>860036365</v>
          </cell>
          <cell r="B4014" t="str">
            <v>9</v>
          </cell>
          <cell r="C4014" t="str">
            <v/>
          </cell>
          <cell r="D4014" t="str">
            <v>NJ</v>
          </cell>
          <cell r="E4014" t="str">
            <v/>
          </cell>
          <cell r="F4014" t="str">
            <v/>
          </cell>
          <cell r="G4014" t="str">
            <v>CONCRELAB SAS</v>
          </cell>
          <cell r="H4014" t="str">
            <v>RECO</v>
          </cell>
          <cell r="I4014" t="str">
            <v>REGIMEN COMUN</v>
          </cell>
          <cell r="J4014" t="str">
            <v>CL  63  D 71  A 70</v>
          </cell>
          <cell r="K4014" t="str">
            <v>11001</v>
          </cell>
          <cell r="L4014" t="str">
            <v>BOGOTA DC</v>
          </cell>
          <cell r="M4014" t="str">
            <v>2235656</v>
          </cell>
        </row>
        <row r="4015">
          <cell r="A4015">
            <v>860037013</v>
          </cell>
          <cell r="B4015" t="str">
            <v>6</v>
          </cell>
          <cell r="C4015" t="str">
            <v/>
          </cell>
          <cell r="D4015" t="str">
            <v>NJ</v>
          </cell>
          <cell r="E4015" t="str">
            <v/>
          </cell>
          <cell r="F4015" t="str">
            <v/>
          </cell>
          <cell r="G4015" t="str">
            <v>COMPAÑIA MUNDIAL DE SEGUROS S.A.</v>
          </cell>
          <cell r="H4015" t="str">
            <v>GRCO</v>
          </cell>
          <cell r="I4015" t="str">
            <v>GRAN CONTRIBUYENTE</v>
          </cell>
          <cell r="J4015" t="str">
            <v>CL 33  6B 24  P2 Y 3</v>
          </cell>
          <cell r="K4015" t="str">
            <v>11001</v>
          </cell>
          <cell r="L4015" t="str">
            <v>BOGOTA DC</v>
          </cell>
          <cell r="M4015" t="str">
            <v>2855600</v>
          </cell>
        </row>
        <row r="4016">
          <cell r="A4016">
            <v>860037111</v>
          </cell>
          <cell r="B4016" t="str">
            <v>1</v>
          </cell>
          <cell r="C4016" t="str">
            <v/>
          </cell>
          <cell r="D4016" t="str">
            <v>NJ</v>
          </cell>
          <cell r="E4016" t="str">
            <v/>
          </cell>
          <cell r="F4016" t="str">
            <v/>
          </cell>
          <cell r="G4016" t="str">
            <v>COLEMPAQUES SAS</v>
          </cell>
          <cell r="H4016" t="str">
            <v>IMVE</v>
          </cell>
          <cell r="I4016" t="str">
            <v>IMPUESTO SOBRE LAS VENTAS</v>
          </cell>
          <cell r="J4016" t="str">
            <v>KM 13 VIA A MOSQUERA</v>
          </cell>
          <cell r="K4016" t="str">
            <v>52473</v>
          </cell>
          <cell r="L4016" t="str">
            <v>MOSQUERA</v>
          </cell>
          <cell r="M4016" t="str">
            <v>3112404591</v>
          </cell>
        </row>
        <row r="4017">
          <cell r="A4017">
            <v>860037699</v>
          </cell>
          <cell r="B4017" t="str">
            <v>8</v>
          </cell>
          <cell r="C4017" t="str">
            <v/>
          </cell>
          <cell r="D4017" t="str">
            <v>NJ</v>
          </cell>
          <cell r="E4017" t="str">
            <v/>
          </cell>
          <cell r="F4017" t="str">
            <v/>
          </cell>
          <cell r="G4017" t="str">
            <v>ACERIAS DE LOS ANDES SAS</v>
          </cell>
          <cell r="H4017" t="str">
            <v>IMVE</v>
          </cell>
          <cell r="I4017" t="str">
            <v>IMPUESTO SOBRE LAS VENTAS</v>
          </cell>
          <cell r="J4017" t="str">
            <v>AV 68  39 I 65 SUR BRR ALQUERIA DE LA FRAGUA</v>
          </cell>
          <cell r="K4017" t="str">
            <v>03</v>
          </cell>
          <cell r="L4017" t="str">
            <v>BOGOTA</v>
          </cell>
          <cell r="M4017" t="str">
            <v>7240404</v>
          </cell>
        </row>
        <row r="4018">
          <cell r="A4018">
            <v>860037707</v>
          </cell>
          <cell r="B4018" t="str">
            <v>9</v>
          </cell>
          <cell r="C4018" t="str">
            <v/>
          </cell>
          <cell r="D4018" t="str">
            <v>NJ</v>
          </cell>
          <cell r="E4018" t="str">
            <v/>
          </cell>
          <cell r="F4018" t="str">
            <v/>
          </cell>
          <cell r="G4018" t="str">
            <v>SBS SEGUROS COLOMBIA S.A.</v>
          </cell>
          <cell r="H4018" t="str">
            <v>GRCO</v>
          </cell>
          <cell r="I4018" t="str">
            <v>GRAN CONTRIBUYENTE</v>
          </cell>
          <cell r="J4018" t="str">
            <v>AV CR 9 101 67 P 6 7</v>
          </cell>
          <cell r="K4018" t="str">
            <v>11001</v>
          </cell>
          <cell r="L4018" t="str">
            <v>BOGOTA DC</v>
          </cell>
          <cell r="M4018" t="str">
            <v>3138700</v>
          </cell>
        </row>
        <row r="4019">
          <cell r="A4019">
            <v>860038516</v>
          </cell>
          <cell r="B4019" t="str">
            <v>3</v>
          </cell>
          <cell r="C4019" t="str">
            <v/>
          </cell>
          <cell r="D4019" t="str">
            <v>NJ</v>
          </cell>
          <cell r="E4019" t="str">
            <v/>
          </cell>
          <cell r="F4019" t="str">
            <v/>
          </cell>
          <cell r="G4019" t="str">
            <v xml:space="preserve">IEH GRUCON S.A.                                             </v>
          </cell>
          <cell r="H4019" t="str">
            <v>RECO</v>
          </cell>
          <cell r="I4019" t="str">
            <v>REGIMEN COMUN</v>
          </cell>
          <cell r="J4019" t="str">
            <v>CL 82   19 A 34</v>
          </cell>
          <cell r="K4019" t="str">
            <v>11001</v>
          </cell>
          <cell r="L4019" t="str">
            <v>BOGOTA DC</v>
          </cell>
          <cell r="M4019" t="str">
            <v>7470047</v>
          </cell>
        </row>
        <row r="4020">
          <cell r="A4020">
            <v>860039988</v>
          </cell>
          <cell r="B4020" t="str">
            <v>0</v>
          </cell>
          <cell r="C4020" t="str">
            <v/>
          </cell>
          <cell r="D4020" t="str">
            <v>NJ</v>
          </cell>
          <cell r="E4020" t="str">
            <v/>
          </cell>
          <cell r="F4020" t="str">
            <v/>
          </cell>
          <cell r="G4020" t="str">
            <v xml:space="preserve">LIBERTY SEGUROS SA            </v>
          </cell>
          <cell r="H4020" t="str">
            <v>GRAU</v>
          </cell>
          <cell r="I4020" t="str">
            <v>GRAN CONTRIBUYENTE AUTORRETENEDO</v>
          </cell>
          <cell r="J4020" t="str">
            <v xml:space="preserve">CR 23   54   96  </v>
          </cell>
          <cell r="K4020" t="str">
            <v>17001</v>
          </cell>
          <cell r="L4020" t="str">
            <v>MANIZALES</v>
          </cell>
          <cell r="M4020" t="str">
            <v>9756262</v>
          </cell>
        </row>
        <row r="4021">
          <cell r="A4021">
            <v>860040094</v>
          </cell>
          <cell r="B4021" t="str">
            <v>3</v>
          </cell>
          <cell r="C4021" t="str">
            <v/>
          </cell>
          <cell r="D4021" t="str">
            <v>NJ</v>
          </cell>
          <cell r="E4021" t="str">
            <v/>
          </cell>
          <cell r="F4021" t="str">
            <v/>
          </cell>
          <cell r="G4021" t="str">
            <v>OXIGENOS DE COLOMBIA  LTDA</v>
          </cell>
          <cell r="H4021" t="str">
            <v>GRAU</v>
          </cell>
          <cell r="I4021" t="str">
            <v>GRAN CONTRIBUYENTE AUTORRETENEDO</v>
          </cell>
          <cell r="J4021" t="str">
            <v>AK 50 5 C 29</v>
          </cell>
          <cell r="K4021" t="str">
            <v>11001</v>
          </cell>
          <cell r="L4021" t="str">
            <v>BOGOTA DC</v>
          </cell>
          <cell r="M4021" t="str">
            <v>3607000</v>
          </cell>
        </row>
        <row r="4022">
          <cell r="A4022">
            <v>860042209</v>
          </cell>
          <cell r="B4022" t="str">
            <v>2</v>
          </cell>
          <cell r="C4022" t="str">
            <v/>
          </cell>
          <cell r="D4022" t="str">
            <v>NJ</v>
          </cell>
          <cell r="E4022" t="str">
            <v/>
          </cell>
          <cell r="F4022" t="str">
            <v/>
          </cell>
          <cell r="G4022" t="str">
            <v>LEGIS EDITORES S.A</v>
          </cell>
          <cell r="H4022" t="str">
            <v>RCAU</v>
          </cell>
          <cell r="I4022" t="str">
            <v>RESPONSABLE IVA - AUTORETENEDOR</v>
          </cell>
          <cell r="J4022" t="str">
            <v>AC 26  82 70</v>
          </cell>
          <cell r="K4022" t="str">
            <v>11001</v>
          </cell>
          <cell r="L4022" t="str">
            <v>BOGOTA DC</v>
          </cell>
          <cell r="M4022" t="str">
            <v>3115617620</v>
          </cell>
        </row>
        <row r="4023">
          <cell r="A4023">
            <v>860042985</v>
          </cell>
          <cell r="B4023" t="str">
            <v>1</v>
          </cell>
          <cell r="C4023" t="str">
            <v/>
          </cell>
          <cell r="D4023" t="str">
            <v>NJ</v>
          </cell>
          <cell r="E4023" t="str">
            <v/>
          </cell>
          <cell r="F4023" t="str">
            <v/>
          </cell>
          <cell r="G4023" t="str">
            <v>COHA SAS</v>
          </cell>
          <cell r="H4023" t="str">
            <v>RECO</v>
          </cell>
          <cell r="I4023" t="str">
            <v>REGIMEN COMUN</v>
          </cell>
          <cell r="J4023" t="str">
            <v>CL 17  60 51 BRR INDUSTRIAL</v>
          </cell>
          <cell r="K4023" t="str">
            <v>11001</v>
          </cell>
          <cell r="L4023" t="str">
            <v>BOGOTA DC</v>
          </cell>
          <cell r="M4023" t="str">
            <v>4173636</v>
          </cell>
        </row>
        <row r="4024">
          <cell r="A4024">
            <v>860043254</v>
          </cell>
          <cell r="B4024" t="str">
            <v>9</v>
          </cell>
          <cell r="C4024" t="str">
            <v/>
          </cell>
          <cell r="D4024" t="str">
            <v>NJ</v>
          </cell>
          <cell r="E4024" t="str">
            <v/>
          </cell>
          <cell r="F4024" t="str">
            <v/>
          </cell>
          <cell r="G4024" t="str">
            <v>LEE E INFANTE SAS</v>
          </cell>
          <cell r="H4024" t="str">
            <v>RECO</v>
          </cell>
          <cell r="I4024" t="str">
            <v>REGIMEN COMUN</v>
          </cell>
          <cell r="J4024" t="str">
            <v>CR 11 119 31 OF 302</v>
          </cell>
          <cell r="K4024" t="str">
            <v>11001</v>
          </cell>
          <cell r="L4024" t="str">
            <v>BOGOTA DC</v>
          </cell>
          <cell r="M4024" t="str">
            <v>2136232</v>
          </cell>
        </row>
        <row r="4025">
          <cell r="A4025">
            <v>860043896</v>
          </cell>
          <cell r="B4025" t="str">
            <v>7</v>
          </cell>
          <cell r="C4025" t="str">
            <v/>
          </cell>
          <cell r="D4025" t="str">
            <v>NJ</v>
          </cell>
          <cell r="E4025" t="str">
            <v/>
          </cell>
          <cell r="F4025" t="str">
            <v/>
          </cell>
          <cell r="G4025" t="str">
            <v>CIUDADELA COMERCIAL UNICENTRO</v>
          </cell>
          <cell r="H4025" t="str">
            <v>RECO</v>
          </cell>
          <cell r="I4025" t="str">
            <v>REGIMEN COMUN</v>
          </cell>
          <cell r="J4025" t="str">
            <v>CC UNICENTRO</v>
          </cell>
          <cell r="K4025" t="str">
            <v>11001</v>
          </cell>
          <cell r="L4025" t="str">
            <v>BOGOTA DC</v>
          </cell>
          <cell r="M4025" t="str">
            <v>2678954</v>
          </cell>
        </row>
        <row r="4026">
          <cell r="A4026">
            <v>860044105</v>
          </cell>
          <cell r="B4026" t="str">
            <v>4</v>
          </cell>
          <cell r="C4026" t="str">
            <v/>
          </cell>
          <cell r="D4026" t="str">
            <v>NJ</v>
          </cell>
          <cell r="E4026" t="str">
            <v/>
          </cell>
          <cell r="F4026" t="str">
            <v/>
          </cell>
          <cell r="G4026" t="str">
            <v>TOSIN Y COMPAÑIA LIMITADA</v>
          </cell>
          <cell r="H4026" t="str">
            <v>RECO</v>
          </cell>
          <cell r="I4026" t="str">
            <v>REGIMEN COMUN</v>
          </cell>
          <cell r="J4026" t="str">
            <v>CL  12 33 39</v>
          </cell>
          <cell r="K4026" t="str">
            <v>11001</v>
          </cell>
          <cell r="L4026" t="str">
            <v>BOGOTA DC</v>
          </cell>
          <cell r="M4026" t="str">
            <v>3510614</v>
          </cell>
        </row>
        <row r="4027">
          <cell r="A4027">
            <v>860044136</v>
          </cell>
          <cell r="B4027" t="str">
            <v>2</v>
          </cell>
          <cell r="C4027" t="str">
            <v/>
          </cell>
          <cell r="D4027" t="str">
            <v>NJ</v>
          </cell>
          <cell r="E4027" t="str">
            <v/>
          </cell>
          <cell r="F4027" t="str">
            <v/>
          </cell>
          <cell r="G4027" t="str">
            <v>ESPAÑOLA S.A.</v>
          </cell>
          <cell r="H4027" t="str">
            <v>IMVE</v>
          </cell>
          <cell r="I4027" t="str">
            <v>IMPUESTO SOBRE LAS VENTAS</v>
          </cell>
          <cell r="J4027" t="str">
            <v xml:space="preserve"> CR 22 7 42</v>
          </cell>
          <cell r="K4027" t="str">
            <v>11001</v>
          </cell>
          <cell r="L4027" t="str">
            <v>BOGOTA DC</v>
          </cell>
          <cell r="M4027" t="str">
            <v>3704099</v>
          </cell>
        </row>
        <row r="4028">
          <cell r="A4028">
            <v>860045511</v>
          </cell>
          <cell r="B4028" t="str">
            <v>6</v>
          </cell>
          <cell r="C4028" t="str">
            <v/>
          </cell>
          <cell r="D4028" t="str">
            <v>NJ</v>
          </cell>
          <cell r="E4028" t="str">
            <v/>
          </cell>
          <cell r="F4028" t="str">
            <v/>
          </cell>
          <cell r="G4028" t="str">
            <v>COMPAÑIA GENERAL DE INVERSIONES SAS</v>
          </cell>
          <cell r="H4028" t="str">
            <v>IMVE</v>
          </cell>
          <cell r="I4028" t="str">
            <v>IMPUESTO SOBRE LAS VENTAS</v>
          </cell>
          <cell r="J4028" t="str">
            <v>CR 104 A  21 76  OF 305</v>
          </cell>
          <cell r="K4028" t="str">
            <v>11001</v>
          </cell>
          <cell r="L4028" t="str">
            <v>BOGOTA DC</v>
          </cell>
          <cell r="M4028" t="str">
            <v>4652721</v>
          </cell>
        </row>
        <row r="4029">
          <cell r="A4029">
            <v>860045740</v>
          </cell>
          <cell r="B4029" t="str">
            <v>6</v>
          </cell>
          <cell r="C4029" t="str">
            <v/>
          </cell>
          <cell r="D4029" t="str">
            <v>NJ</v>
          </cell>
          <cell r="E4029" t="str">
            <v/>
          </cell>
          <cell r="F4029" t="str">
            <v/>
          </cell>
          <cell r="G4029" t="str">
            <v>COLEGIO DE ESTUDIOS SUPERIORES DE ADMINISTRACIÓN CESA</v>
          </cell>
          <cell r="H4029" t="str">
            <v>REIC</v>
          </cell>
          <cell r="I4029" t="str">
            <v>RENTA REGIMEN ESPECIAL</v>
          </cell>
          <cell r="J4029" t="str">
            <v>CL 35 6 16</v>
          </cell>
          <cell r="K4029" t="str">
            <v>11001</v>
          </cell>
          <cell r="L4029" t="str">
            <v>BOGOTA DC</v>
          </cell>
          <cell r="M4029" t="str">
            <v>3395300</v>
          </cell>
        </row>
        <row r="4030">
          <cell r="A4030">
            <v>860045752</v>
          </cell>
          <cell r="B4030" t="str">
            <v>4</v>
          </cell>
          <cell r="C4030" t="str">
            <v/>
          </cell>
          <cell r="D4030" t="str">
            <v>NJ</v>
          </cell>
          <cell r="E4030" t="str">
            <v/>
          </cell>
          <cell r="F4030" t="str">
            <v/>
          </cell>
          <cell r="G4030" t="str">
            <v>AUROS COPIAS SA</v>
          </cell>
          <cell r="H4030" t="str">
            <v>GRAU</v>
          </cell>
          <cell r="I4030" t="str">
            <v>GRAN CONTRIBUYENTE AUTORRETENEDO</v>
          </cell>
          <cell r="J4030" t="str">
            <v>CL 65   7   44</v>
          </cell>
          <cell r="K4030" t="str">
            <v>11001</v>
          </cell>
          <cell r="L4030" t="str">
            <v>BOGOTA DC</v>
          </cell>
          <cell r="M4030" t="str">
            <v>3480455</v>
          </cell>
        </row>
        <row r="4031">
          <cell r="A4031">
            <v>860045854</v>
          </cell>
          <cell r="B4031" t="str">
            <v>7</v>
          </cell>
          <cell r="C4031" t="str">
            <v/>
          </cell>
          <cell r="D4031" t="str">
            <v>NJ</v>
          </cell>
          <cell r="E4031" t="str">
            <v/>
          </cell>
          <cell r="F4031" t="str">
            <v/>
          </cell>
          <cell r="G4031" t="str">
            <v>ALMACENES MAXIMO SAS</v>
          </cell>
          <cell r="H4031" t="str">
            <v>GRCO</v>
          </cell>
          <cell r="I4031" t="str">
            <v>GRAN CONTRIBUYENTE</v>
          </cell>
          <cell r="J4031" t="str">
            <v>CR 3   15 A 57</v>
          </cell>
          <cell r="K4031" t="str">
            <v>11001</v>
          </cell>
          <cell r="L4031" t="str">
            <v>BOGOTA DC</v>
          </cell>
          <cell r="M4031" t="str">
            <v>8898982</v>
          </cell>
        </row>
        <row r="4032">
          <cell r="A4032">
            <v>860047022</v>
          </cell>
          <cell r="B4032" t="str">
            <v>5</v>
          </cell>
          <cell r="C4032" t="str">
            <v/>
          </cell>
          <cell r="D4032" t="str">
            <v>NJ</v>
          </cell>
          <cell r="E4032" t="str">
            <v/>
          </cell>
          <cell r="F4032" t="str">
            <v/>
          </cell>
          <cell r="G4032" t="str">
            <v>NEVASA COLOMBIANA SAS</v>
          </cell>
          <cell r="H4032" t="str">
            <v>RECO</v>
          </cell>
          <cell r="I4032" t="str">
            <v>REGIMEN COMUN</v>
          </cell>
          <cell r="J4032" t="str">
            <v xml:space="preserve"> CL 94 A  11 A  32 OF 302</v>
          </cell>
          <cell r="K4032" t="str">
            <v>11001</v>
          </cell>
          <cell r="L4032" t="str">
            <v>BOGOTA DC</v>
          </cell>
          <cell r="M4032" t="str">
            <v>6219360</v>
          </cell>
        </row>
        <row r="4033">
          <cell r="A4033">
            <v>860047185</v>
          </cell>
          <cell r="B4033" t="str">
            <v>7</v>
          </cell>
          <cell r="C4033" t="str">
            <v/>
          </cell>
          <cell r="D4033" t="str">
            <v>NJ</v>
          </cell>
          <cell r="E4033" t="str">
            <v/>
          </cell>
          <cell r="F4033" t="str">
            <v/>
          </cell>
          <cell r="G4033" t="str">
            <v>REINDUFLEX S.A</v>
          </cell>
          <cell r="H4033" t="str">
            <v>RECO</v>
          </cell>
          <cell r="I4033" t="str">
            <v>REGIMEN COMUN</v>
          </cell>
          <cell r="J4033" t="str">
            <v>CR 24 22a 72</v>
          </cell>
          <cell r="K4033" t="str">
            <v>11001</v>
          </cell>
          <cell r="L4033" t="str">
            <v>BOGOTA DC</v>
          </cell>
          <cell r="M4033" t="str">
            <v>2213723</v>
          </cell>
        </row>
        <row r="4034">
          <cell r="A4034">
            <v>860048182</v>
          </cell>
          <cell r="B4034" t="str">
            <v>1</v>
          </cell>
          <cell r="C4034" t="str">
            <v/>
          </cell>
          <cell r="D4034" t="str">
            <v>NJ</v>
          </cell>
          <cell r="E4034" t="str">
            <v/>
          </cell>
          <cell r="F4034" t="str">
            <v/>
          </cell>
          <cell r="G4034" t="str">
            <v>INVERSIONES LIBRA S.A</v>
          </cell>
          <cell r="H4034" t="str">
            <v>RECO</v>
          </cell>
          <cell r="I4034" t="str">
            <v>REGIMEN COMUN</v>
          </cell>
          <cell r="J4034" t="str">
            <v>AC 100   19 A 83</v>
          </cell>
          <cell r="K4034" t="str">
            <v>11001</v>
          </cell>
          <cell r="L4034" t="str">
            <v>BOGOTA DC</v>
          </cell>
          <cell r="M4034" t="str">
            <v>6464000</v>
          </cell>
        </row>
        <row r="4035">
          <cell r="A4035">
            <v>860048346</v>
          </cell>
          <cell r="B4035" t="str">
            <v>0</v>
          </cell>
          <cell r="C4035" t="str">
            <v/>
          </cell>
          <cell r="D4035" t="str">
            <v>NJ</v>
          </cell>
          <cell r="E4035" t="str">
            <v/>
          </cell>
          <cell r="F4035" t="str">
            <v/>
          </cell>
          <cell r="G4035" t="str">
            <v>RONDA SA</v>
          </cell>
          <cell r="H4035" t="str">
            <v>RECO</v>
          </cell>
          <cell r="I4035" t="str">
            <v>REGIMEN COMUN</v>
          </cell>
          <cell r="J4035" t="str">
            <v>AUT MEDELLIN KM 11 VDA LA PUNTA MCP TENJO</v>
          </cell>
          <cell r="K4035" t="str">
            <v>25799</v>
          </cell>
          <cell r="L4035" t="str">
            <v>TENJO</v>
          </cell>
          <cell r="M4035" t="str">
            <v>3002704903</v>
          </cell>
        </row>
        <row r="4036">
          <cell r="A4036">
            <v>860048532</v>
          </cell>
          <cell r="B4036" t="str">
            <v>4</v>
          </cell>
          <cell r="C4036" t="str">
            <v/>
          </cell>
          <cell r="D4036" t="str">
            <v>NJ</v>
          </cell>
          <cell r="E4036" t="str">
            <v/>
          </cell>
          <cell r="F4036" t="str">
            <v/>
          </cell>
          <cell r="G4036" t="str">
            <v>GENERAL FIRE CONTROL S.A</v>
          </cell>
          <cell r="H4036" t="str">
            <v>RECO</v>
          </cell>
          <cell r="I4036" t="str">
            <v>REGIMEN COMUN</v>
          </cell>
          <cell r="J4036" t="str">
            <v>CR  69 C  21 81 SUR   BRR CARVAJAL</v>
          </cell>
          <cell r="K4036" t="str">
            <v>11001</v>
          </cell>
          <cell r="L4036" t="str">
            <v>BOGOTA DC</v>
          </cell>
          <cell r="M4036" t="str">
            <v>4203100</v>
          </cell>
        </row>
        <row r="4037">
          <cell r="A4037">
            <v>860048608</v>
          </cell>
          <cell r="B4037" t="str">
            <v>5</v>
          </cell>
          <cell r="C4037" t="str">
            <v/>
          </cell>
          <cell r="D4037" t="str">
            <v>NJ</v>
          </cell>
          <cell r="E4037" t="str">
            <v/>
          </cell>
          <cell r="F4037" t="str">
            <v/>
          </cell>
          <cell r="G4037" t="str">
            <v>BBVA FIDUCIARIA</v>
          </cell>
          <cell r="H4037" t="str">
            <v>GRAU</v>
          </cell>
          <cell r="I4037" t="str">
            <v>GRAN CONTRIBUYENTE AUTORRETENEDO</v>
          </cell>
          <cell r="J4037" t="str">
            <v>CR 9 72 21 P 6</v>
          </cell>
          <cell r="K4037" t="str">
            <v>11001</v>
          </cell>
          <cell r="L4037" t="str">
            <v>BOGOTA DC</v>
          </cell>
          <cell r="M4037" t="str">
            <v>3123711 EXT 1275</v>
          </cell>
        </row>
        <row r="4038">
          <cell r="A4038">
            <v>860049921</v>
          </cell>
          <cell r="B4038" t="str">
            <v>0</v>
          </cell>
          <cell r="C4038" t="str">
            <v/>
          </cell>
          <cell r="D4038" t="str">
            <v>NJ</v>
          </cell>
          <cell r="E4038" t="str">
            <v/>
          </cell>
          <cell r="F4038" t="str">
            <v/>
          </cell>
          <cell r="G4038" t="str">
            <v>SGS COLOMBIA S.A.S.</v>
          </cell>
          <cell r="H4038" t="str">
            <v>GRAU</v>
          </cell>
          <cell r="I4038" t="str">
            <v>GRAN CONTRIBUYENTE AUTORRETENEDO</v>
          </cell>
          <cell r="J4038" t="str">
            <v>CR 100 25  C 11 BG 3</v>
          </cell>
          <cell r="K4038" t="str">
            <v>11001</v>
          </cell>
          <cell r="L4038" t="str">
            <v>BOGOTA DC</v>
          </cell>
          <cell r="M4038" t="str">
            <v>3100811</v>
          </cell>
        </row>
        <row r="4039">
          <cell r="A4039">
            <v>860050750</v>
          </cell>
          <cell r="B4039" t="str">
            <v>1</v>
          </cell>
          <cell r="C4039" t="str">
            <v/>
          </cell>
          <cell r="D4039" t="str">
            <v>NJ</v>
          </cell>
          <cell r="E4039" t="str">
            <v/>
          </cell>
          <cell r="F4039" t="str">
            <v/>
          </cell>
          <cell r="G4039" t="str">
            <v>BANCO GNB SUDAMERIS S.A</v>
          </cell>
          <cell r="H4039" t="str">
            <v>GRAU</v>
          </cell>
          <cell r="I4039" t="str">
            <v>GRAN CONTRIBUYENTE AUTORRETENEDO</v>
          </cell>
          <cell r="J4039" t="str">
            <v>CL 21   22 40</v>
          </cell>
          <cell r="K4039" t="str">
            <v>17001</v>
          </cell>
          <cell r="L4039" t="str">
            <v>MANIZALES</v>
          </cell>
          <cell r="M4039" t="str">
            <v>8842188</v>
          </cell>
        </row>
        <row r="4040">
          <cell r="A4040">
            <v>860051688</v>
          </cell>
          <cell r="B4040" t="str">
            <v>5</v>
          </cell>
          <cell r="C4040" t="str">
            <v/>
          </cell>
          <cell r="D4040" t="str">
            <v>NJ</v>
          </cell>
          <cell r="E4040" t="str">
            <v/>
          </cell>
          <cell r="F4040" t="str">
            <v/>
          </cell>
          <cell r="G4040" t="str">
            <v xml:space="preserve">PRODESEG S.A.                                               </v>
          </cell>
          <cell r="H4040" t="str">
            <v>RECO</v>
          </cell>
          <cell r="I4040" t="str">
            <v>REGIMEN COMUN</v>
          </cell>
          <cell r="J4040" t="str">
            <v>PAR INDUSTRIAL AEPI BODEGA 2 AUT MED KM 2  5 VIA PARCELAS</v>
          </cell>
          <cell r="K4040" t="str">
            <v>25214</v>
          </cell>
          <cell r="L4040" t="str">
            <v>COTA</v>
          </cell>
          <cell r="M4040" t="str">
            <v>3142184862</v>
          </cell>
        </row>
        <row r="4041">
          <cell r="A4041">
            <v>860051853</v>
          </cell>
          <cell r="B4041" t="str">
            <v>4</v>
          </cell>
          <cell r="C4041" t="str">
            <v/>
          </cell>
          <cell r="D4041" t="str">
            <v>NJ</v>
          </cell>
          <cell r="E4041" t="str">
            <v/>
          </cell>
          <cell r="F4041" t="str">
            <v/>
          </cell>
          <cell r="G4041" t="str">
            <v>FUNDACIÓN UNIVERSITARIA DE CIENCIAS DE LA SALUD</v>
          </cell>
          <cell r="H4041" t="str">
            <v>REIC</v>
          </cell>
          <cell r="I4041" t="str">
            <v>RENTA REGIMEN ESPECIAL</v>
          </cell>
          <cell r="J4041" t="str">
            <v>CR 19 8 A 32</v>
          </cell>
          <cell r="K4041" t="str">
            <v>17001</v>
          </cell>
          <cell r="L4041" t="str">
            <v>MANIZALES</v>
          </cell>
          <cell r="M4041" t="str">
            <v>3538100</v>
          </cell>
        </row>
        <row r="4042">
          <cell r="A4042">
            <v>860052409</v>
          </cell>
          <cell r="B4042" t="str">
            <v>1</v>
          </cell>
          <cell r="C4042" t="str">
            <v/>
          </cell>
          <cell r="D4042" t="str">
            <v>NJ</v>
          </cell>
          <cell r="E4042" t="str">
            <v/>
          </cell>
          <cell r="F4042" t="str">
            <v/>
          </cell>
          <cell r="G4042" t="str">
            <v>ASOCIACIÓN COLOMBIANA DE AVIADORES JUBILADOS CAXDAC</v>
          </cell>
          <cell r="H4042" t="str">
            <v>RECO</v>
          </cell>
          <cell r="I4042" t="str">
            <v>REGIMEN COMUN</v>
          </cell>
          <cell r="J4042" t="str">
            <v>CL 100   8 A 55 OF 506 507 TO C</v>
          </cell>
          <cell r="K4042" t="str">
            <v>11001</v>
          </cell>
          <cell r="L4042" t="str">
            <v>BOGOTA DC</v>
          </cell>
          <cell r="M4042" t="str">
            <v>6108807</v>
          </cell>
        </row>
        <row r="4043">
          <cell r="A4043">
            <v>860052586</v>
          </cell>
          <cell r="B4043" t="str">
            <v>7</v>
          </cell>
          <cell r="C4043" t="str">
            <v/>
          </cell>
          <cell r="D4043" t="str">
            <v>NJ</v>
          </cell>
          <cell r="E4043" t="str">
            <v/>
          </cell>
          <cell r="F4043" t="str">
            <v/>
          </cell>
          <cell r="G4043" t="str">
            <v>DARREINA SAS</v>
          </cell>
          <cell r="H4043" t="str">
            <v>RCAU</v>
          </cell>
          <cell r="I4043" t="str">
            <v>RESPONSABLE IVA - AUTORETENEDOR</v>
          </cell>
          <cell r="J4043" t="str">
            <v>CR 68B  13 30</v>
          </cell>
          <cell r="K4043" t="str">
            <v>11001</v>
          </cell>
          <cell r="L4043" t="str">
            <v>BOGOTA DC</v>
          </cell>
          <cell r="M4043" t="str">
            <v>4477005</v>
          </cell>
        </row>
        <row r="4044">
          <cell r="A4044">
            <v>860052601</v>
          </cell>
          <cell r="B4044" t="str">
            <v>1</v>
          </cell>
          <cell r="C4044" t="str">
            <v/>
          </cell>
          <cell r="D4044" t="str">
            <v>NJ</v>
          </cell>
          <cell r="E4044" t="str">
            <v/>
          </cell>
          <cell r="F4044" t="str">
            <v/>
          </cell>
          <cell r="G4044" t="str">
            <v>EXRO SAS</v>
          </cell>
          <cell r="H4044" t="str">
            <v>IMVE</v>
          </cell>
          <cell r="I4044" t="str">
            <v>IMPUESTO SOBRE LAS VENTAS</v>
          </cell>
          <cell r="J4044" t="str">
            <v>CR 21 169 01</v>
          </cell>
          <cell r="K4044" t="str">
            <v>11001</v>
          </cell>
          <cell r="L4044" t="str">
            <v>BOGOTA DC</v>
          </cell>
          <cell r="M4044" t="str">
            <v>3133767148</v>
          </cell>
        </row>
        <row r="4045">
          <cell r="A4045">
            <v>860052634</v>
          </cell>
          <cell r="B4045" t="str">
            <v>2</v>
          </cell>
          <cell r="C4045" t="str">
            <v/>
          </cell>
          <cell r="D4045" t="str">
            <v>NJ</v>
          </cell>
          <cell r="E4045" t="str">
            <v/>
          </cell>
          <cell r="F4045" t="str">
            <v/>
          </cell>
          <cell r="G4045" t="str">
            <v>DISTRIBUIDORA LOS COCHES LA SABANA S.A</v>
          </cell>
          <cell r="H4045" t="str">
            <v>GRAU</v>
          </cell>
          <cell r="I4045" t="str">
            <v>GRAN CONTRIBUYENTE AUTORRETENEDO</v>
          </cell>
          <cell r="J4045" t="str">
            <v xml:space="preserve"> AV EL DORADO  77 04</v>
          </cell>
          <cell r="K4045" t="str">
            <v>11001</v>
          </cell>
          <cell r="L4045" t="str">
            <v>BOGOTA DC</v>
          </cell>
          <cell r="M4045" t="str">
            <v>4233535</v>
          </cell>
        </row>
        <row r="4046">
          <cell r="A4046">
            <v>860053523</v>
          </cell>
          <cell r="B4046" t="str">
            <v>8</v>
          </cell>
          <cell r="C4046" t="str">
            <v/>
          </cell>
          <cell r="D4046" t="str">
            <v>NJ</v>
          </cell>
          <cell r="E4046" t="str">
            <v/>
          </cell>
          <cell r="F4046" t="str">
            <v/>
          </cell>
          <cell r="G4046" t="str">
            <v>COMPAÑIA COLOMBIANA DE SERVICIO AUTOMOTRIZ  S A COLSERAUTO S A</v>
          </cell>
          <cell r="H4046" t="str">
            <v>GRCO</v>
          </cell>
          <cell r="I4046" t="str">
            <v>GRAN CONTRIBUYENTE</v>
          </cell>
          <cell r="J4046" t="str">
            <v>CL 98 A 69 C 15</v>
          </cell>
          <cell r="K4046" t="str">
            <v>11001</v>
          </cell>
          <cell r="L4046" t="str">
            <v>BOGOTA DC</v>
          </cell>
          <cell r="M4046" t="str">
            <v>7452121</v>
          </cell>
        </row>
        <row r="4047">
          <cell r="A4047">
            <v>860054478</v>
          </cell>
          <cell r="B4047" t="str">
            <v>9</v>
          </cell>
          <cell r="C4047" t="str">
            <v/>
          </cell>
          <cell r="D4047" t="str">
            <v>NJ</v>
          </cell>
          <cell r="E4047" t="str">
            <v/>
          </cell>
          <cell r="F4047" t="str">
            <v/>
          </cell>
          <cell r="G4047" t="str">
            <v>SIFER SAS</v>
          </cell>
          <cell r="H4047" t="str">
            <v>IMVE</v>
          </cell>
          <cell r="I4047" t="str">
            <v>IMPUESTO SOBRE LAS VENTAS</v>
          </cell>
          <cell r="J4047" t="str">
            <v>CL 13 25 44</v>
          </cell>
          <cell r="K4047" t="str">
            <v>11001</v>
          </cell>
          <cell r="L4047" t="str">
            <v>BOGOTA DC</v>
          </cell>
          <cell r="M4047" t="str">
            <v>2010155</v>
          </cell>
        </row>
        <row r="4048">
          <cell r="A4048">
            <v>860054854</v>
          </cell>
          <cell r="B4048" t="str">
            <v>5</v>
          </cell>
          <cell r="C4048" t="str">
            <v/>
          </cell>
          <cell r="D4048" t="str">
            <v>NJ</v>
          </cell>
          <cell r="E4048" t="str">
            <v/>
          </cell>
          <cell r="F4048" t="str">
            <v/>
          </cell>
          <cell r="G4048" t="str">
            <v>IMPORTADORES  EXPORTADORES SOLMAQ S.A.S</v>
          </cell>
          <cell r="H4048" t="str">
            <v>GRAU</v>
          </cell>
          <cell r="I4048" t="str">
            <v>GRAN CONTRIBUYENTE AUTORRETENEDO</v>
          </cell>
          <cell r="J4048" t="str">
            <v>CR  30 N  15  30</v>
          </cell>
          <cell r="K4048" t="str">
            <v>11001</v>
          </cell>
          <cell r="L4048" t="str">
            <v>BOGOTA DC</v>
          </cell>
          <cell r="M4048" t="str">
            <v>3108851770</v>
          </cell>
        </row>
        <row r="4049">
          <cell r="A4049">
            <v>860055182</v>
          </cell>
          <cell r="B4049" t="str">
            <v>9</v>
          </cell>
          <cell r="C4049" t="str">
            <v/>
          </cell>
          <cell r="D4049" t="str">
            <v>NJ</v>
          </cell>
          <cell r="E4049" t="str">
            <v/>
          </cell>
          <cell r="F4049" t="str">
            <v/>
          </cell>
          <cell r="G4049" t="str">
            <v>WSP COLOMBIA SAS</v>
          </cell>
          <cell r="H4049" t="str">
            <v>GRCO</v>
          </cell>
          <cell r="I4049" t="str">
            <v>GRAN CONTRIBUYENTE</v>
          </cell>
          <cell r="J4049" t="str">
            <v>CR 19 93 A 45</v>
          </cell>
          <cell r="K4049" t="str">
            <v>11001</v>
          </cell>
          <cell r="L4049" t="str">
            <v>BOGOTA DC</v>
          </cell>
          <cell r="M4049" t="str">
            <v>7562989</v>
          </cell>
        </row>
        <row r="4050">
          <cell r="A4050">
            <v>860055583</v>
          </cell>
          <cell r="B4050" t="str">
            <v>9</v>
          </cell>
          <cell r="C4050" t="str">
            <v/>
          </cell>
          <cell r="D4050" t="str">
            <v>NJ</v>
          </cell>
          <cell r="E4050" t="str">
            <v/>
          </cell>
          <cell r="F4050" t="str">
            <v/>
          </cell>
          <cell r="G4050" t="str">
            <v>EQUIPOS Y CONTROLES INDUSTRIALES S.A.</v>
          </cell>
          <cell r="H4050" t="str">
            <v>RCAU</v>
          </cell>
          <cell r="I4050" t="str">
            <v>RESPONSABLE IVA - AUTORETENEDOR</v>
          </cell>
          <cell r="J4050" t="str">
            <v xml:space="preserve"> CL 23 116 31 PARQUE INDUSTRIAL PUERTO CENTRAL PISO 4 BRR FONTIB</v>
          </cell>
          <cell r="K4050" t="str">
            <v>11001</v>
          </cell>
          <cell r="L4050" t="str">
            <v>BOGOTA DC</v>
          </cell>
          <cell r="M4050" t="str">
            <v>3275151</v>
          </cell>
        </row>
        <row r="4051">
          <cell r="A4051">
            <v>860056840</v>
          </cell>
          <cell r="B4051" t="str">
            <v>1</v>
          </cell>
          <cell r="C4051" t="str">
            <v/>
          </cell>
          <cell r="D4051" t="str">
            <v>NJ</v>
          </cell>
          <cell r="E4051" t="str">
            <v/>
          </cell>
          <cell r="F4051" t="str">
            <v/>
          </cell>
          <cell r="G4051" t="str">
            <v xml:space="preserve">DIMPO LTDA.                                                 </v>
          </cell>
          <cell r="H4051" t="str">
            <v>RECO</v>
          </cell>
          <cell r="I4051" t="str">
            <v>REGIMEN COMUN</v>
          </cell>
          <cell r="J4051" t="str">
            <v>CR  19 N  84 96 OF 5</v>
          </cell>
          <cell r="K4051" t="str">
            <v>11001</v>
          </cell>
          <cell r="L4051" t="str">
            <v>BOGOTA DC</v>
          </cell>
          <cell r="M4051" t="str">
            <v>6232051</v>
          </cell>
        </row>
        <row r="4052">
          <cell r="A4052">
            <v>860058002</v>
          </cell>
          <cell r="B4052" t="str">
            <v>5</v>
          </cell>
          <cell r="C4052" t="str">
            <v/>
          </cell>
          <cell r="D4052" t="str">
            <v>NJ</v>
          </cell>
          <cell r="E4052" t="str">
            <v/>
          </cell>
          <cell r="F4052" t="str">
            <v/>
          </cell>
          <cell r="G4052" t="str">
            <v>SEGURIDAD SURAMERICA LTDA</v>
          </cell>
          <cell r="H4052" t="str">
            <v>IMVE</v>
          </cell>
          <cell r="I4052" t="str">
            <v>IMPUESTO SOBRE LAS VENTAS</v>
          </cell>
          <cell r="J4052" t="str">
            <v>CR 24 61 F  35</v>
          </cell>
          <cell r="K4052" t="str">
            <v>11001</v>
          </cell>
          <cell r="L4052" t="str">
            <v>BOGOTA DC</v>
          </cell>
          <cell r="M4052" t="str">
            <v>7440067</v>
          </cell>
        </row>
        <row r="4053">
          <cell r="A4053">
            <v>860058760</v>
          </cell>
          <cell r="B4053" t="str">
            <v>1</v>
          </cell>
          <cell r="C4053" t="str">
            <v/>
          </cell>
          <cell r="D4053" t="str">
            <v>NJ</v>
          </cell>
          <cell r="E4053" t="str">
            <v/>
          </cell>
          <cell r="F4053" t="str">
            <v/>
          </cell>
          <cell r="G4053" t="str">
            <v xml:space="preserve">PARKING INTERNATIONAL LTDA                                  </v>
          </cell>
          <cell r="H4053" t="str">
            <v>RECO</v>
          </cell>
          <cell r="I4053" t="str">
            <v>REGIMEN COMUN</v>
          </cell>
          <cell r="J4053" t="str">
            <v xml:space="preserve">CRA 3 N 21 68                           </v>
          </cell>
          <cell r="K4053" t="str">
            <v>11001</v>
          </cell>
          <cell r="L4053" t="str">
            <v>BOGOTA DC</v>
          </cell>
          <cell r="M4053" t="str">
            <v>8756262</v>
          </cell>
        </row>
        <row r="4054">
          <cell r="A4054">
            <v>860060207</v>
          </cell>
          <cell r="B4054" t="str">
            <v>4</v>
          </cell>
          <cell r="C4054" t="str">
            <v/>
          </cell>
          <cell r="D4054" t="str">
            <v>NJ</v>
          </cell>
          <cell r="E4054" t="str">
            <v/>
          </cell>
          <cell r="F4054" t="str">
            <v/>
          </cell>
          <cell r="G4054" t="str">
            <v>LA CASA DE LA GRECA SAS</v>
          </cell>
          <cell r="H4054" t="str">
            <v>RECO</v>
          </cell>
          <cell r="I4054" t="str">
            <v>REGIMEN COMUN</v>
          </cell>
          <cell r="J4054" t="str">
            <v>AV CARACAS   19   48</v>
          </cell>
          <cell r="K4054" t="str">
            <v>11001</v>
          </cell>
          <cell r="L4054" t="str">
            <v>BOGOTA DC</v>
          </cell>
          <cell r="M4054" t="str">
            <v>2849162</v>
          </cell>
        </row>
        <row r="4055">
          <cell r="A4055">
            <v>860061403</v>
          </cell>
          <cell r="B4055" t="str">
            <v>6</v>
          </cell>
          <cell r="C4055" t="str">
            <v/>
          </cell>
          <cell r="D4055" t="str">
            <v>NJ</v>
          </cell>
          <cell r="E4055" t="str">
            <v/>
          </cell>
          <cell r="F4055" t="str">
            <v/>
          </cell>
          <cell r="G4055" t="str">
            <v>PPC SA</v>
          </cell>
          <cell r="H4055" t="str">
            <v>RECO</v>
          </cell>
          <cell r="I4055" t="str">
            <v>REGIMEN COMUN</v>
          </cell>
          <cell r="J4055" t="str">
            <v>AV ESPERANZA 24 75 49</v>
          </cell>
          <cell r="K4055" t="str">
            <v>11001</v>
          </cell>
          <cell r="L4055" t="str">
            <v>BOGOTA DC</v>
          </cell>
          <cell r="M4055" t="str">
            <v>4124062</v>
          </cell>
        </row>
        <row r="4056">
          <cell r="A4056">
            <v>860061480</v>
          </cell>
          <cell r="B4056" t="str">
            <v>3</v>
          </cell>
          <cell r="C4056" t="str">
            <v/>
          </cell>
          <cell r="D4056" t="str">
            <v>NJ</v>
          </cell>
          <cell r="E4056" t="str">
            <v/>
          </cell>
          <cell r="F4056" t="str">
            <v/>
          </cell>
          <cell r="G4056" t="str">
            <v xml:space="preserve">NACIONAL DE ASEO S A                                        </v>
          </cell>
          <cell r="H4056" t="str">
            <v>IMVE</v>
          </cell>
          <cell r="I4056" t="str">
            <v>IMPUESTO SOBRE LAS VENTAS</v>
          </cell>
          <cell r="J4056" t="str">
            <v xml:space="preserve"> CR 52 73 36 BRR DOCE DE OCTUBRE</v>
          </cell>
          <cell r="K4056" t="str">
            <v>11001</v>
          </cell>
          <cell r="L4056" t="str">
            <v>BOGOTA DC</v>
          </cell>
          <cell r="M4056" t="str">
            <v>8847317</v>
          </cell>
        </row>
        <row r="4057">
          <cell r="A4057">
            <v>860062165</v>
          </cell>
          <cell r="B4057" t="str">
            <v>2</v>
          </cell>
          <cell r="C4057" t="str">
            <v/>
          </cell>
          <cell r="D4057" t="str">
            <v>NJ</v>
          </cell>
          <cell r="E4057" t="str">
            <v/>
          </cell>
          <cell r="F4057" t="str">
            <v/>
          </cell>
          <cell r="G4057" t="str">
            <v>ACIEM CUNDINAMARCA</v>
          </cell>
          <cell r="H4057" t="str">
            <v>RECO</v>
          </cell>
          <cell r="I4057" t="str">
            <v>REGIMEN COMUN</v>
          </cell>
          <cell r="J4057" t="str">
            <v xml:space="preserve"> CL 70  09 10</v>
          </cell>
          <cell r="K4057" t="str">
            <v>11001</v>
          </cell>
          <cell r="L4057" t="str">
            <v>BOGOTA DC</v>
          </cell>
          <cell r="M4057" t="str">
            <v>3127393</v>
          </cell>
        </row>
        <row r="4058">
          <cell r="A4058">
            <v>860062958</v>
          </cell>
          <cell r="B4058" t="str">
            <v>6</v>
          </cell>
          <cell r="C4058" t="str">
            <v/>
          </cell>
          <cell r="D4058" t="str">
            <v>NJ</v>
          </cell>
          <cell r="E4058" t="str">
            <v/>
          </cell>
          <cell r="F4058" t="str">
            <v/>
          </cell>
          <cell r="G4058" t="str">
            <v xml:space="preserve">REDES ELECTRICAS SA           </v>
          </cell>
          <cell r="H4058" t="str">
            <v>IMVE</v>
          </cell>
          <cell r="I4058" t="str">
            <v>IMPUESTO SOBRE LAS VENTAS</v>
          </cell>
          <cell r="J4058" t="str">
            <v>CR 18   25   60</v>
          </cell>
          <cell r="K4058" t="str">
            <v>11001</v>
          </cell>
          <cell r="L4058" t="str">
            <v>BOGOTA DC</v>
          </cell>
          <cell r="M4058" t="str">
            <v>3647000</v>
          </cell>
        </row>
        <row r="4059">
          <cell r="A4059">
            <v>860063875</v>
          </cell>
          <cell r="B4059" t="str">
            <v>8</v>
          </cell>
          <cell r="C4059" t="str">
            <v/>
          </cell>
          <cell r="D4059" t="str">
            <v>NJ</v>
          </cell>
          <cell r="E4059" t="str">
            <v/>
          </cell>
          <cell r="F4059" t="str">
            <v/>
          </cell>
          <cell r="G4059" t="str">
            <v>ENEL COLOMBIA S.A. E.S.P.</v>
          </cell>
          <cell r="H4059" t="str">
            <v>GRAU</v>
          </cell>
          <cell r="I4059" t="str">
            <v>GRAN CONTRIBUYENTE AUTORRETENEDO</v>
          </cell>
          <cell r="J4059" t="str">
            <v>CL 93 N° 13-45 P 1</v>
          </cell>
          <cell r="K4059" t="str">
            <v>11001</v>
          </cell>
          <cell r="L4059" t="str">
            <v>BOGOTA DC</v>
          </cell>
          <cell r="M4059" t="str">
            <v>2190330</v>
          </cell>
        </row>
        <row r="4060">
          <cell r="A4060">
            <v>860065452</v>
          </cell>
          <cell r="B4060" t="str">
            <v>5</v>
          </cell>
          <cell r="C4060" t="str">
            <v/>
          </cell>
          <cell r="D4060" t="str">
            <v>NJ</v>
          </cell>
          <cell r="E4060" t="str">
            <v/>
          </cell>
          <cell r="F4060" t="str">
            <v/>
          </cell>
          <cell r="G4060" t="str">
            <v>INGENIERIA TECNICA Y CIENTIFICA S.A.S.</v>
          </cell>
          <cell r="H4060" t="str">
            <v>IMVE</v>
          </cell>
          <cell r="I4060" t="str">
            <v>IMPUESTO SOBRE LAS VENTAS</v>
          </cell>
          <cell r="J4060" t="str">
            <v>CR 83 16 A 44 OF 606 ED cima</v>
          </cell>
          <cell r="K4060" t="str">
            <v>11001</v>
          </cell>
          <cell r="L4060" t="str">
            <v>BOGOTA DC</v>
          </cell>
          <cell r="M4060" t="str">
            <v>7022947</v>
          </cell>
        </row>
        <row r="4061">
          <cell r="A4061">
            <v>860065726</v>
          </cell>
          <cell r="B4061" t="str">
            <v>8</v>
          </cell>
          <cell r="C4061" t="str">
            <v/>
          </cell>
          <cell r="D4061" t="str">
            <v>NJ</v>
          </cell>
          <cell r="E4061" t="str">
            <v/>
          </cell>
          <cell r="F4061" t="str">
            <v/>
          </cell>
          <cell r="G4061" t="str">
            <v>SUMINISTROS INDUSTRIALES DE COLOMBIA SOCIEDAD POR ACCIONES SIMPL</v>
          </cell>
          <cell r="H4061" t="str">
            <v>RCAU</v>
          </cell>
          <cell r="I4061" t="str">
            <v>RESPONSABLE IVA - AUTORETENEDOR</v>
          </cell>
          <cell r="J4061" t="str">
            <v>CL 73 28 B 17</v>
          </cell>
          <cell r="K4061" t="str">
            <v>11001</v>
          </cell>
          <cell r="L4061" t="str">
            <v>BOGOTA DC</v>
          </cell>
          <cell r="M4061" t="str">
            <v>3004547027</v>
          </cell>
        </row>
        <row r="4062">
          <cell r="A4062">
            <v>860065746</v>
          </cell>
          <cell r="B4062" t="str">
            <v>5</v>
          </cell>
          <cell r="C4062" t="str">
            <v/>
          </cell>
          <cell r="D4062" t="str">
            <v>NJ</v>
          </cell>
          <cell r="E4062" t="str">
            <v/>
          </cell>
          <cell r="F4062" t="str">
            <v/>
          </cell>
          <cell r="G4062" t="str">
            <v>DISTRIBUIDORA DE RODAMIENTOS SA DISROD SA</v>
          </cell>
          <cell r="H4062" t="str">
            <v>IMVE</v>
          </cell>
          <cell r="I4062" t="str">
            <v>IMPUESTO SOBRE LAS VENTAS</v>
          </cell>
          <cell r="J4062" t="str">
            <v>CL 13  56  24</v>
          </cell>
          <cell r="K4062" t="str">
            <v>03</v>
          </cell>
          <cell r="L4062" t="str">
            <v>BOGOTA</v>
          </cell>
          <cell r="M4062" t="str">
            <v>3156530079</v>
          </cell>
        </row>
        <row r="4063">
          <cell r="A4063">
            <v>860065793</v>
          </cell>
          <cell r="B4063" t="str">
            <v>1</v>
          </cell>
          <cell r="C4063" t="str">
            <v/>
          </cell>
          <cell r="D4063" t="str">
            <v>NJ</v>
          </cell>
          <cell r="E4063" t="str">
            <v/>
          </cell>
          <cell r="F4063" t="str">
            <v/>
          </cell>
          <cell r="G4063" t="str">
            <v>AEROTURBO DE COLOMBIA SAS</v>
          </cell>
          <cell r="H4063" t="str">
            <v>IMVE</v>
          </cell>
          <cell r="I4063" t="str">
            <v>IMPUESTO SOBRE LAS VENTAS</v>
          </cell>
          <cell r="J4063" t="str">
            <v>CL 25 D BIS 101 B 28</v>
          </cell>
          <cell r="K4063" t="str">
            <v>11001</v>
          </cell>
          <cell r="L4063" t="str">
            <v>BOGOTA DC</v>
          </cell>
          <cell r="M4063" t="str">
            <v>41501335</v>
          </cell>
        </row>
        <row r="4064">
          <cell r="A4064">
            <v>860066942</v>
          </cell>
          <cell r="B4064" t="str">
            <v>7</v>
          </cell>
          <cell r="C4064" t="str">
            <v/>
          </cell>
          <cell r="D4064" t="str">
            <v>NJ</v>
          </cell>
          <cell r="E4064" t="str">
            <v/>
          </cell>
          <cell r="F4064" t="str">
            <v/>
          </cell>
          <cell r="G4064" t="str">
            <v xml:space="preserve">COMPENSAR EPS                                               </v>
          </cell>
          <cell r="H4064" t="str">
            <v>GRCO</v>
          </cell>
          <cell r="I4064" t="str">
            <v>GRAN CONTRIBUYENTE</v>
          </cell>
          <cell r="J4064" t="str">
            <v>CR 68   49 A 47</v>
          </cell>
          <cell r="K4064" t="str">
            <v>17001</v>
          </cell>
          <cell r="L4064" t="str">
            <v>MANIZALES</v>
          </cell>
          <cell r="M4064" t="str">
            <v>4441234</v>
          </cell>
        </row>
        <row r="4065">
          <cell r="A4065">
            <v>860066946</v>
          </cell>
          <cell r="B4065" t="str">
            <v>6</v>
          </cell>
          <cell r="C4065" t="str">
            <v/>
          </cell>
          <cell r="D4065" t="str">
            <v>NJ</v>
          </cell>
          <cell r="E4065" t="str">
            <v/>
          </cell>
          <cell r="F4065" t="str">
            <v/>
          </cell>
          <cell r="G4065" t="str">
            <v>SEGURIDAD SUPERIOR LTDA</v>
          </cell>
          <cell r="H4065" t="str">
            <v>IMVE</v>
          </cell>
          <cell r="I4065" t="str">
            <v>IMPUESTO SOBRE LAS VENTAS</v>
          </cell>
          <cell r="J4065" t="str">
            <v>CR 50 96 09</v>
          </cell>
          <cell r="K4065" t="str">
            <v>11001</v>
          </cell>
          <cell r="L4065" t="str">
            <v>BOGOTA DC</v>
          </cell>
          <cell r="M4065" t="str">
            <v>6230581</v>
          </cell>
        </row>
        <row r="4066">
          <cell r="A4066">
            <v>860067479</v>
          </cell>
          <cell r="B4066" t="str">
            <v>2</v>
          </cell>
          <cell r="C4066" t="str">
            <v/>
          </cell>
          <cell r="D4066" t="str">
            <v>NJ</v>
          </cell>
          <cell r="E4066" t="str">
            <v/>
          </cell>
          <cell r="F4066" t="str">
            <v/>
          </cell>
          <cell r="G4066" t="str">
            <v>SERVIASEO S.A</v>
          </cell>
          <cell r="H4066" t="str">
            <v>RECO</v>
          </cell>
          <cell r="I4066" t="str">
            <v>REGIMEN COMUN</v>
          </cell>
          <cell r="J4066" t="str">
            <v>CR 54 17 71</v>
          </cell>
          <cell r="K4066" t="str">
            <v>03</v>
          </cell>
          <cell r="L4066" t="str">
            <v>BOGOTA</v>
          </cell>
          <cell r="M4066" t="str">
            <v>3352220</v>
          </cell>
        </row>
        <row r="4067">
          <cell r="A4067">
            <v>860068070</v>
          </cell>
          <cell r="B4067" t="str">
            <v>9</v>
          </cell>
          <cell r="C4067" t="str">
            <v/>
          </cell>
          <cell r="D4067" t="str">
            <v>NJ</v>
          </cell>
          <cell r="E4067" t="str">
            <v/>
          </cell>
          <cell r="F4067" t="str">
            <v/>
          </cell>
          <cell r="G4067" t="str">
            <v>ITALTEL SPA</v>
          </cell>
          <cell r="H4067" t="str">
            <v>IMVE</v>
          </cell>
          <cell r="I4067" t="str">
            <v>IMPUESTO SOBRE LAS VENTAS</v>
          </cell>
          <cell r="J4067" t="str">
            <v xml:space="preserve"> CR 7 11343 OF 1508 TO  S  A  M  S  U  N  G</v>
          </cell>
          <cell r="K4067" t="str">
            <v>11001</v>
          </cell>
          <cell r="L4067" t="str">
            <v>BOGOTA DC</v>
          </cell>
          <cell r="M4067" t="str">
            <v>4891700</v>
          </cell>
        </row>
        <row r="4068">
          <cell r="A4068">
            <v>860068084</v>
          </cell>
          <cell r="B4068" t="str">
            <v>1</v>
          </cell>
          <cell r="C4068" t="str">
            <v/>
          </cell>
          <cell r="D4068" t="str">
            <v>NJ</v>
          </cell>
          <cell r="E4068" t="str">
            <v/>
          </cell>
          <cell r="F4068" t="str">
            <v/>
          </cell>
          <cell r="G4068" t="str">
            <v>ASERVIN SAS</v>
          </cell>
          <cell r="H4068" t="str">
            <v>RECO</v>
          </cell>
          <cell r="I4068" t="str">
            <v>REGIMEN COMUN</v>
          </cell>
          <cell r="J4068" t="str">
            <v>CL 90 14 26 ED LA PLAZUELA OFC 404</v>
          </cell>
          <cell r="K4068" t="str">
            <v>11001</v>
          </cell>
          <cell r="L4068" t="str">
            <v>BOGOTA DC</v>
          </cell>
          <cell r="M4068" t="str">
            <v>6210544</v>
          </cell>
        </row>
        <row r="4069">
          <cell r="A4069">
            <v>860068149</v>
          </cell>
          <cell r="B4069" t="str">
            <v>1</v>
          </cell>
          <cell r="C4069" t="str">
            <v/>
          </cell>
          <cell r="D4069" t="str">
            <v>NJ</v>
          </cell>
          <cell r="E4069" t="str">
            <v/>
          </cell>
          <cell r="F4069" t="str">
            <v/>
          </cell>
          <cell r="G4069" t="str">
            <v>TALLERES WERSIN S.A.S</v>
          </cell>
          <cell r="H4069" t="str">
            <v>RECO</v>
          </cell>
          <cell r="I4069" t="str">
            <v>REGIMEN COMUN</v>
          </cell>
          <cell r="J4069" t="str">
            <v>CL 12 A   21   87 BRR RICAUTE</v>
          </cell>
          <cell r="K4069" t="str">
            <v>11001</v>
          </cell>
          <cell r="L4069" t="str">
            <v>BOGOTA DC</v>
          </cell>
          <cell r="M4069" t="str">
            <v>2475045</v>
          </cell>
        </row>
        <row r="4070">
          <cell r="A4070">
            <v>860068182</v>
          </cell>
          <cell r="B4070" t="str">
            <v>5</v>
          </cell>
          <cell r="C4070" t="str">
            <v/>
          </cell>
          <cell r="D4070" t="str">
            <v>NJ</v>
          </cell>
          <cell r="E4070" t="str">
            <v/>
          </cell>
          <cell r="F4070" t="str">
            <v/>
          </cell>
          <cell r="G4070" t="str">
            <v>CREDICORP CAPITAL COLOMBIA S.A.</v>
          </cell>
          <cell r="H4070" t="str">
            <v>GRAU</v>
          </cell>
          <cell r="I4070" t="str">
            <v>GRAN CONTRIBUYENTE AUTORRETENEDO</v>
          </cell>
          <cell r="J4070" t="str">
            <v>CLL 34 6 65</v>
          </cell>
          <cell r="K4070" t="str">
            <v>11001</v>
          </cell>
          <cell r="L4070" t="str">
            <v>BOGOTA DC</v>
          </cell>
          <cell r="M4070" t="str">
            <v>3394400</v>
          </cell>
        </row>
        <row r="4071">
          <cell r="A4071">
            <v>860068802</v>
          </cell>
          <cell r="B4071" t="str">
            <v>3</v>
          </cell>
          <cell r="C4071" t="str">
            <v/>
          </cell>
          <cell r="D4071" t="str">
            <v>NJ</v>
          </cell>
          <cell r="E4071" t="str">
            <v/>
          </cell>
          <cell r="F4071" t="str">
            <v/>
          </cell>
          <cell r="G4071" t="str">
            <v>PEDRO SANCHEZ R. S.A.S.</v>
          </cell>
          <cell r="H4071" t="str">
            <v>RCAU</v>
          </cell>
          <cell r="I4071" t="str">
            <v>RESPONSABLE IVA - AUTORETENEDOR</v>
          </cell>
          <cell r="J4071" t="str">
            <v>CL 15  22  59</v>
          </cell>
          <cell r="K4071" t="str">
            <v>11001</v>
          </cell>
          <cell r="L4071" t="str">
            <v>BOGOTA DC</v>
          </cell>
          <cell r="M4071" t="str">
            <v>3603000</v>
          </cell>
        </row>
        <row r="4072">
          <cell r="A4072">
            <v>860069040</v>
          </cell>
          <cell r="B4072" t="str">
            <v>2</v>
          </cell>
          <cell r="C4072" t="str">
            <v/>
          </cell>
          <cell r="D4072" t="str">
            <v>NJ</v>
          </cell>
          <cell r="E4072" t="str">
            <v/>
          </cell>
          <cell r="F4072" t="str">
            <v/>
          </cell>
          <cell r="G4072" t="str">
            <v>INDUSTRIA DE CALZADO JOVICAL S.A.</v>
          </cell>
          <cell r="H4072" t="str">
            <v>IMVE</v>
          </cell>
          <cell r="I4072" t="str">
            <v>IMPUESTO SOBRE LAS VENTAS</v>
          </cell>
          <cell r="J4072" t="str">
            <v>CR 14 A 7 102</v>
          </cell>
          <cell r="K4072" t="str">
            <v>30</v>
          </cell>
          <cell r="L4072" t="str">
            <v>CUNDINAMARCA</v>
          </cell>
          <cell r="M4072" t="str">
            <v>7436411</v>
          </cell>
        </row>
        <row r="4073">
          <cell r="A4073">
            <v>860069344</v>
          </cell>
          <cell r="B4073" t="str">
            <v>6</v>
          </cell>
          <cell r="C4073" t="str">
            <v/>
          </cell>
          <cell r="D4073" t="str">
            <v>NJ</v>
          </cell>
          <cell r="E4073" t="str">
            <v/>
          </cell>
          <cell r="F4073" t="str">
            <v/>
          </cell>
          <cell r="G4073" t="str">
            <v>INDUSTRIAS RAMFE SAS</v>
          </cell>
          <cell r="H4073" t="str">
            <v>RECO</v>
          </cell>
          <cell r="I4073" t="str">
            <v>REGIMEN COMUN</v>
          </cell>
          <cell r="J4073" t="str">
            <v>CR 69   17 A 96 ZN INDUSTRIAL MONTIVIDEO</v>
          </cell>
          <cell r="K4073" t="str">
            <v>11001</v>
          </cell>
          <cell r="L4073" t="str">
            <v>BOGOTA DC</v>
          </cell>
          <cell r="M4073" t="str">
            <v>7450808</v>
          </cell>
        </row>
        <row r="4074">
          <cell r="A4074">
            <v>860069497</v>
          </cell>
          <cell r="B4074" t="str">
            <v>4</v>
          </cell>
          <cell r="C4074" t="str">
            <v/>
          </cell>
          <cell r="D4074" t="str">
            <v>NJ</v>
          </cell>
          <cell r="E4074" t="str">
            <v/>
          </cell>
          <cell r="F4074" t="str">
            <v/>
          </cell>
          <cell r="G4074" t="str">
            <v>AUTONIZA S.A</v>
          </cell>
          <cell r="H4074" t="str">
            <v>GRAU</v>
          </cell>
          <cell r="I4074" t="str">
            <v>GRAN CONTRIBUYENTE AUTORRETENEDO</v>
          </cell>
          <cell r="J4074" t="str">
            <v>TV 60 116 56</v>
          </cell>
          <cell r="K4074" t="str">
            <v>03</v>
          </cell>
          <cell r="L4074" t="str">
            <v>BOGOTA</v>
          </cell>
          <cell r="M4074" t="str">
            <v>6289999</v>
          </cell>
        </row>
        <row r="4075">
          <cell r="A4075">
            <v>860070374</v>
          </cell>
          <cell r="B4075" t="str">
            <v>9</v>
          </cell>
          <cell r="C4075" t="str">
            <v/>
          </cell>
          <cell r="D4075" t="str">
            <v>NJ</v>
          </cell>
          <cell r="E4075" t="str">
            <v/>
          </cell>
          <cell r="F4075" t="str">
            <v/>
          </cell>
          <cell r="G4075" t="str">
            <v>COMPAÑIA ASEGURADORA DE FIANZAS S.A CONFIANZA</v>
          </cell>
          <cell r="H4075" t="str">
            <v>GRCO</v>
          </cell>
          <cell r="I4075" t="str">
            <v>GRAN CONTRIBUYENTE</v>
          </cell>
          <cell r="J4075" t="str">
            <v>CL 82 11 37 P 7</v>
          </cell>
          <cell r="K4075" t="str">
            <v>03</v>
          </cell>
          <cell r="L4075" t="str">
            <v>BOGOTA</v>
          </cell>
          <cell r="M4075" t="str">
            <v>8810470</v>
          </cell>
        </row>
        <row r="4076">
          <cell r="A4076">
            <v>860071674</v>
          </cell>
          <cell r="B4076" t="str">
            <v>8</v>
          </cell>
          <cell r="C4076" t="str">
            <v/>
          </cell>
          <cell r="D4076" t="str">
            <v>NJ</v>
          </cell>
          <cell r="E4076" t="str">
            <v/>
          </cell>
          <cell r="F4076" t="str">
            <v/>
          </cell>
          <cell r="G4076" t="str">
            <v>MIGUEL A PEÑA PEÑA Y CÍA S EN C</v>
          </cell>
          <cell r="H4076" t="str">
            <v>RECO</v>
          </cell>
          <cell r="I4076" t="str">
            <v>REGIMEN COMUN</v>
          </cell>
          <cell r="J4076" t="str">
            <v>CL 73 20 10 BRR SAN FELIPE</v>
          </cell>
          <cell r="K4076" t="str">
            <v>11001</v>
          </cell>
          <cell r="L4076" t="str">
            <v>BOGOTA DC</v>
          </cell>
          <cell r="M4076" t="str">
            <v>2121620</v>
          </cell>
        </row>
        <row r="4077">
          <cell r="A4077">
            <v>860072271</v>
          </cell>
          <cell r="B4077" t="str">
            <v>8</v>
          </cell>
          <cell r="C4077" t="str">
            <v/>
          </cell>
          <cell r="D4077" t="str">
            <v>NJ</v>
          </cell>
          <cell r="E4077" t="str">
            <v/>
          </cell>
          <cell r="F4077" t="str">
            <v/>
          </cell>
          <cell r="G4077" t="str">
            <v>CENTRAL DE TORNILLOS Y REMACHES S.A.S</v>
          </cell>
          <cell r="H4077" t="str">
            <v>RECO</v>
          </cell>
          <cell r="I4077" t="str">
            <v>REGIMEN COMUN</v>
          </cell>
          <cell r="J4077" t="str">
            <v>CR 25 13 99</v>
          </cell>
          <cell r="K4077" t="str">
            <v>11001</v>
          </cell>
          <cell r="L4077" t="str">
            <v>BOGOTA DC</v>
          </cell>
          <cell r="M4077" t="str">
            <v>3607958</v>
          </cell>
        </row>
        <row r="4078">
          <cell r="A4078">
            <v>860072288</v>
          </cell>
          <cell r="B4078" t="str">
            <v>2</v>
          </cell>
          <cell r="C4078" t="str">
            <v/>
          </cell>
          <cell r="D4078" t="str">
            <v>NJ</v>
          </cell>
          <cell r="E4078" t="str">
            <v/>
          </cell>
          <cell r="F4078" t="str">
            <v/>
          </cell>
          <cell r="G4078" t="str">
            <v>DISIN SA</v>
          </cell>
          <cell r="H4078" t="str">
            <v>IMVE</v>
          </cell>
          <cell r="I4078" t="str">
            <v>IMPUESTO SOBRE LAS VENTAS</v>
          </cell>
          <cell r="J4078" t="str">
            <v>CR 64  4 69</v>
          </cell>
          <cell r="K4078" t="str">
            <v>11001</v>
          </cell>
          <cell r="L4078" t="str">
            <v>BOGOTA DC</v>
          </cell>
          <cell r="M4078" t="str">
            <v>3107382814</v>
          </cell>
        </row>
        <row r="4079">
          <cell r="A4079">
            <v>860074108</v>
          </cell>
          <cell r="B4079" t="str">
            <v>4</v>
          </cell>
          <cell r="C4079" t="str">
            <v/>
          </cell>
          <cell r="D4079" t="str">
            <v>NJ</v>
          </cell>
          <cell r="E4079" t="str">
            <v/>
          </cell>
          <cell r="F4079" t="str">
            <v/>
          </cell>
          <cell r="G4079" t="str">
            <v>SINTELUB SAS</v>
          </cell>
          <cell r="H4079" t="str">
            <v>RECO</v>
          </cell>
          <cell r="I4079" t="str">
            <v>REGIMEN COMUN</v>
          </cell>
          <cell r="J4079" t="str">
            <v>CL 102 70 66</v>
          </cell>
          <cell r="K4079" t="str">
            <v>11001</v>
          </cell>
          <cell r="L4079" t="str">
            <v>BOGOTA DC</v>
          </cell>
          <cell r="M4079" t="str">
            <v>2712583</v>
          </cell>
        </row>
        <row r="4080">
          <cell r="A4080">
            <v>860074186</v>
          </cell>
          <cell r="B4080" t="str">
            <v>9</v>
          </cell>
          <cell r="C4080" t="str">
            <v/>
          </cell>
          <cell r="D4080" t="str">
            <v>NJ</v>
          </cell>
          <cell r="E4080" t="str">
            <v/>
          </cell>
          <cell r="F4080" t="str">
            <v/>
          </cell>
          <cell r="G4080" t="str">
            <v>DISICO S.A</v>
          </cell>
          <cell r="H4080" t="str">
            <v>IMVE</v>
          </cell>
          <cell r="I4080" t="str">
            <v>IMPUESTO SOBRE LAS VENTAS</v>
          </cell>
          <cell r="J4080" t="str">
            <v>CR 25 24A 47</v>
          </cell>
          <cell r="K4080" t="str">
            <v>11001</v>
          </cell>
          <cell r="L4080" t="str">
            <v>BOGOTA DC</v>
          </cell>
          <cell r="M4080" t="str">
            <v>3694747</v>
          </cell>
        </row>
        <row r="4081">
          <cell r="A4081">
            <v>860075558</v>
          </cell>
          <cell r="B4081" t="str">
            <v>1</v>
          </cell>
          <cell r="C4081" t="str">
            <v/>
          </cell>
          <cell r="D4081" t="str">
            <v>NJ</v>
          </cell>
          <cell r="E4081" t="str">
            <v/>
          </cell>
          <cell r="F4081" t="str">
            <v/>
          </cell>
          <cell r="G4081" t="str">
            <v>UNIVERSIDAD DE LA SABANA</v>
          </cell>
          <cell r="H4081" t="str">
            <v>GRCO</v>
          </cell>
          <cell r="I4081" t="str">
            <v>GRAN CONTRIBUYENTE</v>
          </cell>
          <cell r="J4081" t="str">
            <v xml:space="preserve"> KM 7 CAMPUS DEL PUENTE DEL COMUN  AUT NORTE DE BOGOTA</v>
          </cell>
          <cell r="K4081" t="str">
            <v>25175</v>
          </cell>
          <cell r="L4081" t="str">
            <v>CHÍA</v>
          </cell>
          <cell r="M4081" t="str">
            <v>8615555</v>
          </cell>
        </row>
        <row r="4082">
          <cell r="A4082">
            <v>860075858</v>
          </cell>
          <cell r="B4082" t="str">
            <v>4</v>
          </cell>
          <cell r="C4082" t="str">
            <v/>
          </cell>
          <cell r="D4082" t="str">
            <v>NJ</v>
          </cell>
          <cell r="E4082" t="str">
            <v/>
          </cell>
          <cell r="F4082" t="str">
            <v/>
          </cell>
          <cell r="G4082" t="str">
            <v>FUMIGACIONES YOUNG S.A.S.</v>
          </cell>
          <cell r="H4082" t="str">
            <v>IMVE</v>
          </cell>
          <cell r="I4082" t="str">
            <v>IMPUESTO SOBRE LAS VENTAS</v>
          </cell>
          <cell r="J4082" t="str">
            <v>CR 20 162 11</v>
          </cell>
          <cell r="K4082" t="str">
            <v>11001</v>
          </cell>
          <cell r="L4082" t="str">
            <v>BOGOTA DC</v>
          </cell>
          <cell r="M4082" t="str">
            <v>6743834</v>
          </cell>
        </row>
        <row r="4083">
          <cell r="A4083">
            <v>860076579</v>
          </cell>
          <cell r="B4083" t="str">
            <v>9</v>
          </cell>
          <cell r="C4083" t="str">
            <v/>
          </cell>
          <cell r="D4083" t="str">
            <v>NJ</v>
          </cell>
          <cell r="E4083" t="str">
            <v/>
          </cell>
          <cell r="F4083" t="str">
            <v/>
          </cell>
          <cell r="G4083" t="str">
            <v>FUNDACIÓN INSTITUTO NACIONAL DE SEGUROS</v>
          </cell>
          <cell r="H4083" t="str">
            <v>RECO</v>
          </cell>
          <cell r="I4083" t="str">
            <v>REGIMEN COMUN</v>
          </cell>
          <cell r="J4083" t="str">
            <v>CR 7 26 20 P 4</v>
          </cell>
          <cell r="K4083" t="str">
            <v>17001</v>
          </cell>
          <cell r="L4083" t="str">
            <v>MANIZALES</v>
          </cell>
          <cell r="M4083" t="str">
            <v>2107805</v>
          </cell>
        </row>
        <row r="4084">
          <cell r="A4084">
            <v>860076919</v>
          </cell>
          <cell r="B4084" t="str">
            <v>1</v>
          </cell>
          <cell r="C4084" t="str">
            <v/>
          </cell>
          <cell r="D4084" t="str">
            <v>NJ</v>
          </cell>
          <cell r="E4084" t="str">
            <v/>
          </cell>
          <cell r="F4084" t="str">
            <v/>
          </cell>
          <cell r="G4084" t="str">
            <v>CREPES &amp; WAFFLES SA</v>
          </cell>
          <cell r="H4084" t="str">
            <v>GRCO</v>
          </cell>
          <cell r="I4084" t="str">
            <v>GRAN CONTRIBUYENTE</v>
          </cell>
          <cell r="J4084" t="str">
            <v>CL 26   103   9</v>
          </cell>
          <cell r="K4084" t="str">
            <v>11001</v>
          </cell>
          <cell r="L4084" t="str">
            <v>BOGOTA DC</v>
          </cell>
          <cell r="M4084" t="str">
            <v>6767350</v>
          </cell>
        </row>
        <row r="4085">
          <cell r="A4085">
            <v>860078643</v>
          </cell>
          <cell r="B4085" t="str">
            <v>1</v>
          </cell>
          <cell r="C4085" t="str">
            <v/>
          </cell>
          <cell r="D4085" t="str">
            <v>NJ</v>
          </cell>
          <cell r="E4085" t="str">
            <v/>
          </cell>
          <cell r="F4085" t="str">
            <v/>
          </cell>
          <cell r="G4085" t="str">
            <v>POLITECNICO GRANCOLOMBIANO</v>
          </cell>
          <cell r="H4085" t="str">
            <v>GRCO</v>
          </cell>
          <cell r="I4085" t="str">
            <v>GRAN CONTRIBUYENTE</v>
          </cell>
          <cell r="J4085" t="str">
            <v>CL 57  3  00 ESTE</v>
          </cell>
          <cell r="K4085" t="str">
            <v>11001</v>
          </cell>
          <cell r="L4085" t="str">
            <v>BOGOTA DC</v>
          </cell>
          <cell r="M4085" t="str">
            <v>7440740</v>
          </cell>
        </row>
        <row r="4086">
          <cell r="A4086">
            <v>860078828</v>
          </cell>
          <cell r="B4086" t="str">
            <v>7</v>
          </cell>
          <cell r="C4086" t="str">
            <v/>
          </cell>
          <cell r="D4086" t="str">
            <v>NJ</v>
          </cell>
          <cell r="E4086" t="str">
            <v/>
          </cell>
          <cell r="F4086" t="str">
            <v/>
          </cell>
          <cell r="G4086" t="str">
            <v>COLSANITAS SA</v>
          </cell>
          <cell r="H4086" t="str">
            <v>GRCO</v>
          </cell>
          <cell r="I4086" t="str">
            <v>GRAN CONTRIBUYENTE</v>
          </cell>
          <cell r="J4086" t="str">
            <v>CL 100   11 B 67</v>
          </cell>
          <cell r="K4086" t="str">
            <v>17001</v>
          </cell>
          <cell r="L4086" t="str">
            <v>MANIZALES</v>
          </cell>
          <cell r="M4086" t="str">
            <v>6466060</v>
          </cell>
        </row>
        <row r="4087">
          <cell r="A4087">
            <v>860079475</v>
          </cell>
          <cell r="B4087" t="str">
            <v>5</v>
          </cell>
          <cell r="C4087" t="str">
            <v/>
          </cell>
          <cell r="D4087" t="str">
            <v>NJ</v>
          </cell>
          <cell r="E4087" t="str">
            <v/>
          </cell>
          <cell r="F4087" t="str">
            <v/>
          </cell>
          <cell r="G4087" t="str">
            <v>PETROLCARBON LTDA</v>
          </cell>
          <cell r="H4087" t="str">
            <v>IMVE</v>
          </cell>
          <cell r="I4087" t="str">
            <v>IMPUESTO SOBRE LAS VENTAS</v>
          </cell>
          <cell r="J4087" t="str">
            <v>CL 78 9 57 P 7</v>
          </cell>
          <cell r="K4087" t="str">
            <v>11001</v>
          </cell>
          <cell r="L4087" t="str">
            <v>BOGOTA DC</v>
          </cell>
          <cell r="M4087" t="str">
            <v>2351850</v>
          </cell>
        </row>
        <row r="4088">
          <cell r="A4088">
            <v>860090404</v>
          </cell>
          <cell r="B4088" t="str">
            <v>7</v>
          </cell>
          <cell r="C4088" t="str">
            <v/>
          </cell>
          <cell r="D4088" t="str">
            <v>NJ</v>
          </cell>
          <cell r="E4088" t="str">
            <v/>
          </cell>
          <cell r="F4088" t="str">
            <v/>
          </cell>
          <cell r="G4088" t="str">
            <v>S E I SISTEMAS E ISNTRUMENTACION S.A.</v>
          </cell>
          <cell r="H4088" t="str">
            <v>IMVE</v>
          </cell>
          <cell r="I4088" t="str">
            <v>IMPUESTO SOBRE LAS VENTAS</v>
          </cell>
          <cell r="J4088" t="str">
            <v>CL 86 A  49 D 03</v>
          </cell>
          <cell r="K4088" t="str">
            <v>11001</v>
          </cell>
          <cell r="L4088" t="str">
            <v>BOGOTA DC</v>
          </cell>
          <cell r="M4088" t="str">
            <v>6449797</v>
          </cell>
        </row>
        <row r="4089">
          <cell r="A4089">
            <v>860090721</v>
          </cell>
          <cell r="B4089" t="str">
            <v>7</v>
          </cell>
          <cell r="C4089" t="str">
            <v/>
          </cell>
          <cell r="D4089" t="str">
            <v>NJ</v>
          </cell>
          <cell r="E4089" t="str">
            <v/>
          </cell>
          <cell r="F4089" t="str">
            <v/>
          </cell>
          <cell r="G4089" t="str">
            <v>COLVISEG COLOMBIANA DE VIGILANCIA Y SEGURIDAD PRIVADA LTDA</v>
          </cell>
          <cell r="H4089" t="str">
            <v>GRAU</v>
          </cell>
          <cell r="I4089" t="str">
            <v>GRAN CONTRIBUYENTE AUTORRETENEDO</v>
          </cell>
          <cell r="J4089" t="str">
            <v>TV 22 BIS 59 61</v>
          </cell>
          <cell r="K4089" t="str">
            <v>11001</v>
          </cell>
          <cell r="L4089" t="str">
            <v>BOGOTA DC</v>
          </cell>
          <cell r="M4089" t="str">
            <v>5476838</v>
          </cell>
        </row>
        <row r="4090">
          <cell r="A4090">
            <v>860350234</v>
          </cell>
          <cell r="B4090" t="str">
            <v>8</v>
          </cell>
          <cell r="C4090" t="str">
            <v/>
          </cell>
          <cell r="D4090" t="str">
            <v>NJ</v>
          </cell>
          <cell r="E4090" t="str">
            <v/>
          </cell>
          <cell r="F4090" t="str">
            <v/>
          </cell>
          <cell r="G4090" t="str">
            <v>BRINKS DE COLOMBIA S.A</v>
          </cell>
          <cell r="H4090" t="str">
            <v>GRCO</v>
          </cell>
          <cell r="I4090" t="str">
            <v>GRAN CONTRIBUYENTE</v>
          </cell>
          <cell r="J4090" t="str">
            <v>CL 21 68D 08</v>
          </cell>
          <cell r="K4090" t="str">
            <v>11001</v>
          </cell>
          <cell r="L4090" t="str">
            <v>BOGOTA DC</v>
          </cell>
          <cell r="M4090" t="str">
            <v>3232211426</v>
          </cell>
        </row>
        <row r="4091">
          <cell r="A4091">
            <v>860350697</v>
          </cell>
          <cell r="B4091" t="str">
            <v>4</v>
          </cell>
          <cell r="C4091" t="str">
            <v/>
          </cell>
          <cell r="D4091" t="str">
            <v>NJ</v>
          </cell>
          <cell r="E4091" t="str">
            <v/>
          </cell>
          <cell r="F4091" t="str">
            <v/>
          </cell>
          <cell r="G4091" t="str">
            <v>CONCRETOS ARGOS S.A.S.</v>
          </cell>
          <cell r="H4091" t="str">
            <v>GRAU</v>
          </cell>
          <cell r="I4091" t="str">
            <v>GRAN CONTRIBUYENTE AUTORRETENEDO</v>
          </cell>
          <cell r="J4091" t="str">
            <v>CL 24 A 59 42 TO 3 ST 1</v>
          </cell>
          <cell r="K4091" t="str">
            <v>11001</v>
          </cell>
          <cell r="L4091" t="str">
            <v>BOGOTA DC</v>
          </cell>
          <cell r="M4091" t="str">
            <v>6069400</v>
          </cell>
        </row>
        <row r="4092">
          <cell r="A4092">
            <v>860351432</v>
          </cell>
          <cell r="B4092" t="str">
            <v>4</v>
          </cell>
          <cell r="C4092" t="str">
            <v/>
          </cell>
          <cell r="D4092" t="str">
            <v>NJ</v>
          </cell>
          <cell r="E4092" t="str">
            <v/>
          </cell>
          <cell r="F4092" t="str">
            <v/>
          </cell>
          <cell r="G4092" t="str">
            <v>PRODUCEL INGENIEROS SAS</v>
          </cell>
          <cell r="H4092" t="str">
            <v>IMVE</v>
          </cell>
          <cell r="I4092" t="str">
            <v>IMPUESTO SOBRE LAS VENTAS</v>
          </cell>
          <cell r="J4092" t="str">
            <v>CL 123  47  55</v>
          </cell>
          <cell r="K4092" t="str">
            <v>11001</v>
          </cell>
          <cell r="L4092" t="str">
            <v>BOGOTA DC</v>
          </cell>
          <cell r="M4092" t="str">
            <v>3113937</v>
          </cell>
        </row>
        <row r="4093">
          <cell r="A4093">
            <v>860351894</v>
          </cell>
          <cell r="B4093" t="str">
            <v>3</v>
          </cell>
          <cell r="C4093" t="str">
            <v/>
          </cell>
          <cell r="D4093" t="str">
            <v>NJ</v>
          </cell>
          <cell r="E4093" t="str">
            <v/>
          </cell>
          <cell r="F4093" t="str">
            <v/>
          </cell>
          <cell r="G4093" t="str">
            <v>UNIVERSIDAD SERGIO ARBOLEDA</v>
          </cell>
          <cell r="H4093" t="str">
            <v>GRCO</v>
          </cell>
          <cell r="I4093" t="str">
            <v>GRAN CONTRIBUYENTE</v>
          </cell>
          <cell r="J4093" t="str">
            <v>CL 74 14 14</v>
          </cell>
          <cell r="K4093" t="str">
            <v>11001</v>
          </cell>
          <cell r="L4093" t="str">
            <v>BOGOTA DC</v>
          </cell>
          <cell r="M4093" t="str">
            <v>3257500</v>
          </cell>
        </row>
        <row r="4094">
          <cell r="A4094">
            <v>860352010</v>
          </cell>
          <cell r="B4094" t="str">
            <v>4</v>
          </cell>
          <cell r="C4094" t="str">
            <v/>
          </cell>
          <cell r="D4094" t="str">
            <v>NJ</v>
          </cell>
          <cell r="E4094" t="str">
            <v/>
          </cell>
          <cell r="F4094" t="str">
            <v/>
          </cell>
          <cell r="G4094" t="str">
            <v>COMPAÑIA GENERAL DE TELECOMUNICACIONES SAS</v>
          </cell>
          <cell r="H4094" t="str">
            <v>RECO</v>
          </cell>
          <cell r="I4094" t="str">
            <v>REGIMEN COMUN</v>
          </cell>
          <cell r="J4094" t="str">
            <v>CLL 100 8A 37 OF 203</v>
          </cell>
          <cell r="K4094" t="str">
            <v>11001</v>
          </cell>
          <cell r="L4094" t="str">
            <v>BOGOTA DC</v>
          </cell>
          <cell r="M4094" t="str">
            <v>2183339</v>
          </cell>
        </row>
        <row r="4095">
          <cell r="A4095">
            <v>860353110</v>
          </cell>
          <cell r="B4095" t="str">
            <v>7</v>
          </cell>
          <cell r="C4095" t="str">
            <v/>
          </cell>
          <cell r="D4095" t="str">
            <v>NJ</v>
          </cell>
          <cell r="E4095" t="str">
            <v/>
          </cell>
          <cell r="F4095" t="str">
            <v/>
          </cell>
          <cell r="G4095" t="str">
            <v>M@ICROTEL S.A.S.</v>
          </cell>
          <cell r="H4095" t="str">
            <v>RCAU</v>
          </cell>
          <cell r="I4095" t="str">
            <v>RESPONSABLE IVA - AUTORETENEDOR</v>
          </cell>
          <cell r="J4095" t="str">
            <v>AC 127  71 26</v>
          </cell>
          <cell r="K4095" t="str">
            <v>11001</v>
          </cell>
          <cell r="L4095" t="str">
            <v>BOGOTA DC</v>
          </cell>
          <cell r="M4095" t="str">
            <v>6438330</v>
          </cell>
        </row>
        <row r="4096">
          <cell r="A4096">
            <v>860400886</v>
          </cell>
          <cell r="B4096" t="str">
            <v>5</v>
          </cell>
          <cell r="C4096" t="str">
            <v/>
          </cell>
          <cell r="D4096" t="str">
            <v>NJ</v>
          </cell>
          <cell r="E4096" t="str">
            <v/>
          </cell>
          <cell r="F4096" t="str">
            <v/>
          </cell>
          <cell r="G4096" t="str">
            <v>TRANSFORMADORES EL WATTIO LTDA</v>
          </cell>
          <cell r="H4096" t="str">
            <v>RCAU</v>
          </cell>
          <cell r="I4096" t="str">
            <v>RESPONSABLE IVA - AUTORETENEDOR</v>
          </cell>
          <cell r="J4096" t="str">
            <v>CR 88 A 64 D 90 BG 14</v>
          </cell>
          <cell r="K4096" t="str">
            <v>11001</v>
          </cell>
          <cell r="L4096" t="str">
            <v>BOGOTA DC</v>
          </cell>
          <cell r="M4096" t="str">
            <v>2522277</v>
          </cell>
        </row>
        <row r="4097">
          <cell r="A4097">
            <v>860402221</v>
          </cell>
          <cell r="B4097" t="str">
            <v>7</v>
          </cell>
          <cell r="C4097" t="str">
            <v/>
          </cell>
          <cell r="D4097" t="str">
            <v>NJ</v>
          </cell>
          <cell r="E4097" t="str">
            <v/>
          </cell>
          <cell r="F4097" t="str">
            <v/>
          </cell>
          <cell r="G4097" t="str">
            <v>VIBRAN SOCIEDAD POR ACCIONES SIMPLIFICADA O VIBRAN SAS</v>
          </cell>
          <cell r="H4097" t="str">
            <v>IMVE</v>
          </cell>
          <cell r="I4097" t="str">
            <v>IMPUESTO SOBRE LAS VENTAS</v>
          </cell>
          <cell r="J4097" t="str">
            <v xml:space="preserve"> CR 45 A  101 47 BRR STA MARGARITA</v>
          </cell>
          <cell r="K4097" t="str">
            <v>11001</v>
          </cell>
          <cell r="L4097" t="str">
            <v>BOGOTA DC</v>
          </cell>
          <cell r="M4097" t="str">
            <v>2566189</v>
          </cell>
        </row>
        <row r="4098">
          <cell r="A4098">
            <v>860403385</v>
          </cell>
          <cell r="B4098" t="str">
            <v>0</v>
          </cell>
          <cell r="C4098" t="str">
            <v/>
          </cell>
          <cell r="D4098" t="str">
            <v>NJ</v>
          </cell>
          <cell r="E4098" t="str">
            <v/>
          </cell>
          <cell r="F4098" t="str">
            <v/>
          </cell>
          <cell r="G4098" t="str">
            <v>DEPOSITO SAN CAYETANO LTDA</v>
          </cell>
          <cell r="H4098" t="str">
            <v>RECO</v>
          </cell>
          <cell r="I4098" t="str">
            <v>REGIMEN COMUN</v>
          </cell>
          <cell r="J4098" t="str">
            <v>CL 17 99 48</v>
          </cell>
          <cell r="K4098" t="str">
            <v>11001</v>
          </cell>
          <cell r="L4098" t="str">
            <v>BOGOTA DC</v>
          </cell>
          <cell r="M4098" t="str">
            <v>4152678</v>
          </cell>
        </row>
        <row r="4099">
          <cell r="A4099">
            <v>860403441</v>
          </cell>
          <cell r="B4099" t="str">
            <v>5</v>
          </cell>
          <cell r="C4099" t="str">
            <v/>
          </cell>
          <cell r="D4099" t="str">
            <v>NJ</v>
          </cell>
          <cell r="E4099" t="str">
            <v/>
          </cell>
          <cell r="F4099" t="str">
            <v/>
          </cell>
          <cell r="G4099" t="str">
            <v>HOTELERA TURISTICA VILLAVICENCIO LIMITADA</v>
          </cell>
          <cell r="H4099" t="str">
            <v>RECO</v>
          </cell>
          <cell r="I4099" t="str">
            <v>REGIMEN COMUN</v>
          </cell>
          <cell r="J4099" t="str">
            <v>CR 30   35 A   22</v>
          </cell>
          <cell r="K4099" t="str">
            <v>50001</v>
          </cell>
          <cell r="L4099" t="str">
            <v>VILLAVICENCIO</v>
          </cell>
          <cell r="M4099" t="str">
            <v>6616000</v>
          </cell>
        </row>
        <row r="4100">
          <cell r="A4100">
            <v>860404791</v>
          </cell>
          <cell r="B4100" t="str">
            <v>2</v>
          </cell>
          <cell r="C4100" t="str">
            <v/>
          </cell>
          <cell r="D4100" t="str">
            <v>NJ</v>
          </cell>
          <cell r="E4100" t="str">
            <v/>
          </cell>
          <cell r="F4100" t="str">
            <v/>
          </cell>
          <cell r="G4100" t="str">
            <v>MUEBLES Y PLASTICOS S.A.S.</v>
          </cell>
          <cell r="H4100" t="str">
            <v>RECO</v>
          </cell>
          <cell r="I4100" t="str">
            <v>REGIMEN COMUN</v>
          </cell>
          <cell r="J4100" t="str">
            <v>CL 38 SUR 72 L 12</v>
          </cell>
          <cell r="K4100" t="str">
            <v>11001</v>
          </cell>
          <cell r="L4100" t="str">
            <v>BOGOTA DC</v>
          </cell>
          <cell r="M4100" t="str">
            <v>4030303</v>
          </cell>
        </row>
        <row r="4101">
          <cell r="A4101">
            <v>860450913</v>
          </cell>
          <cell r="B4101" t="str">
            <v>1</v>
          </cell>
          <cell r="C4101" t="str">
            <v/>
          </cell>
          <cell r="D4101" t="str">
            <v>NJ</v>
          </cell>
          <cell r="E4101" t="str">
            <v/>
          </cell>
          <cell r="F4101" t="str">
            <v/>
          </cell>
          <cell r="G4101" t="str">
            <v>FIZA SAS</v>
          </cell>
          <cell r="H4101" t="str">
            <v>IMVE</v>
          </cell>
          <cell r="I4101" t="str">
            <v>IMPUESTO SOBRE LAS VENTAS</v>
          </cell>
          <cell r="J4101" t="str">
            <v>AUT NORTE KM 19 20</v>
          </cell>
          <cell r="K4101" t="str">
            <v>25175</v>
          </cell>
          <cell r="L4101" t="str">
            <v>CHÍA</v>
          </cell>
          <cell r="M4101" t="str">
            <v>3176456249</v>
          </cell>
        </row>
        <row r="4102">
          <cell r="A4102">
            <v>860450922</v>
          </cell>
          <cell r="B4102" t="str">
            <v>6</v>
          </cell>
          <cell r="C4102" t="str">
            <v/>
          </cell>
          <cell r="D4102" t="str">
            <v>NJ</v>
          </cell>
          <cell r="E4102" t="str">
            <v/>
          </cell>
          <cell r="F4102" t="str">
            <v/>
          </cell>
          <cell r="G4102" t="str">
            <v>VELASQUEZ ALZATE S.A.S</v>
          </cell>
          <cell r="H4102" t="str">
            <v>IMVE</v>
          </cell>
          <cell r="I4102" t="str">
            <v>IMPUESTO SOBRE LAS VENTAS</v>
          </cell>
          <cell r="J4102" t="str">
            <v>TV 34 A 40 B 82 SUR LC 2</v>
          </cell>
          <cell r="K4102" t="str">
            <v>11001</v>
          </cell>
          <cell r="L4102" t="str">
            <v>BOGOTA DC</v>
          </cell>
          <cell r="M4102" t="str">
            <v>7108501</v>
          </cell>
        </row>
        <row r="4103">
          <cell r="A4103">
            <v>860451201</v>
          </cell>
          <cell r="B4103" t="str">
            <v>9</v>
          </cell>
          <cell r="C4103" t="str">
            <v/>
          </cell>
          <cell r="D4103" t="str">
            <v>NJ</v>
          </cell>
          <cell r="E4103" t="str">
            <v/>
          </cell>
          <cell r="F4103" t="str">
            <v/>
          </cell>
          <cell r="G4103" t="str">
            <v>INDUSTRIAS ASOCIADAS LTDA</v>
          </cell>
          <cell r="H4103" t="str">
            <v>RECO</v>
          </cell>
          <cell r="I4103" t="str">
            <v>REGIMEN COMUN</v>
          </cell>
          <cell r="J4103" t="str">
            <v>CR 27   13   95</v>
          </cell>
          <cell r="K4103" t="str">
            <v>11001</v>
          </cell>
          <cell r="L4103" t="str">
            <v>BOGOTA DC</v>
          </cell>
          <cell r="M4103" t="str">
            <v>3712999</v>
          </cell>
        </row>
        <row r="4104">
          <cell r="A4104">
            <v>860451569</v>
          </cell>
          <cell r="B4104" t="str">
            <v>3</v>
          </cell>
          <cell r="C4104" t="str">
            <v/>
          </cell>
          <cell r="D4104" t="str">
            <v>NJ</v>
          </cell>
          <cell r="E4104" t="str">
            <v/>
          </cell>
          <cell r="F4104" t="str">
            <v/>
          </cell>
          <cell r="G4104" t="str">
            <v>FYR INGENIEROS LTDA</v>
          </cell>
          <cell r="H4104" t="str">
            <v>RECO</v>
          </cell>
          <cell r="I4104" t="str">
            <v>REGIMEN COMUN</v>
          </cell>
          <cell r="J4104" t="str">
            <v>CR 23 2 b 16</v>
          </cell>
          <cell r="K4104" t="str">
            <v>11001</v>
          </cell>
          <cell r="L4104" t="str">
            <v>BOGOTA DC</v>
          </cell>
          <cell r="M4104" t="str">
            <v>2800260</v>
          </cell>
        </row>
        <row r="4105">
          <cell r="A4105">
            <v>860501575</v>
          </cell>
          <cell r="B4105" t="str">
            <v>3</v>
          </cell>
          <cell r="C4105" t="str">
            <v/>
          </cell>
          <cell r="D4105" t="str">
            <v>NJ</v>
          </cell>
          <cell r="E4105" t="str">
            <v/>
          </cell>
          <cell r="F4105" t="str">
            <v/>
          </cell>
          <cell r="G4105" t="str">
            <v>CAVAR S.A.</v>
          </cell>
          <cell r="H4105" t="str">
            <v>RECO</v>
          </cell>
          <cell r="I4105" t="str">
            <v>REGIMEN COMUN</v>
          </cell>
          <cell r="J4105" t="str">
            <v>CR 55 B   76   30 BRR GAITAN</v>
          </cell>
          <cell r="K4105" t="str">
            <v>11001</v>
          </cell>
          <cell r="L4105" t="str">
            <v>BOGOTA DC</v>
          </cell>
          <cell r="M4105" t="str">
            <v>2314378</v>
          </cell>
        </row>
        <row r="4106">
          <cell r="A4106">
            <v>860501601</v>
          </cell>
          <cell r="B4106" t="str">
            <v>7</v>
          </cell>
          <cell r="C4106" t="str">
            <v/>
          </cell>
          <cell r="D4106" t="str">
            <v>NJ</v>
          </cell>
          <cell r="E4106" t="str">
            <v/>
          </cell>
          <cell r="F4106" t="str">
            <v/>
          </cell>
          <cell r="G4106" t="str">
            <v>CIMECEL SA</v>
          </cell>
          <cell r="H4106" t="str">
            <v>RECO</v>
          </cell>
          <cell r="I4106" t="str">
            <v>REGIMEN COMUN</v>
          </cell>
          <cell r="J4106" t="str">
            <v>CR 13   61   47 OF 307</v>
          </cell>
          <cell r="K4106" t="str">
            <v>11001</v>
          </cell>
          <cell r="L4106" t="str">
            <v>BOGOTA DC</v>
          </cell>
          <cell r="M4106" t="str">
            <v>2171085</v>
          </cell>
        </row>
        <row r="4107">
          <cell r="A4107">
            <v>860502609</v>
          </cell>
          <cell r="B4107" t="str">
            <v>1</v>
          </cell>
          <cell r="C4107" t="str">
            <v/>
          </cell>
          <cell r="D4107" t="str">
            <v>NJ</v>
          </cell>
          <cell r="E4107" t="str">
            <v/>
          </cell>
          <cell r="F4107" t="str">
            <v/>
          </cell>
          <cell r="G4107" t="str">
            <v>DHL EXPRESS COLOMBIA LTDA</v>
          </cell>
          <cell r="H4107" t="str">
            <v>GRCO</v>
          </cell>
          <cell r="I4107" t="str">
            <v>GRAN CONTRIBUYENTE</v>
          </cell>
          <cell r="J4107" t="str">
            <v>CR 85 D 46 A 38</v>
          </cell>
          <cell r="K4107" t="str">
            <v>11001</v>
          </cell>
          <cell r="L4107" t="str">
            <v>BOGOTA DC</v>
          </cell>
          <cell r="M4107" t="str">
            <v>7499700</v>
          </cell>
        </row>
        <row r="4108">
          <cell r="A4108">
            <v>860506441</v>
          </cell>
          <cell r="B4108" t="str">
            <v>8</v>
          </cell>
          <cell r="C4108" t="str">
            <v/>
          </cell>
          <cell r="D4108" t="str">
            <v>NJ</v>
          </cell>
          <cell r="E4108" t="str">
            <v/>
          </cell>
          <cell r="F4108" t="str">
            <v/>
          </cell>
          <cell r="G4108" t="str">
            <v>ACEROS TECNICOS DE COLOMBIA LTDA - ACERTEC LTDA</v>
          </cell>
          <cell r="H4108" t="str">
            <v>RECO</v>
          </cell>
          <cell r="I4108" t="str">
            <v>REGIMEN COMUN</v>
          </cell>
          <cell r="J4108" t="str">
            <v>CL 36   16   56</v>
          </cell>
          <cell r="K4108" t="str">
            <v>11001</v>
          </cell>
          <cell r="L4108" t="str">
            <v>BOGOTA DC</v>
          </cell>
          <cell r="M4108" t="str">
            <v>2878203</v>
          </cell>
        </row>
        <row r="4109">
          <cell r="A4109">
            <v>860506688</v>
          </cell>
          <cell r="B4109" t="str">
            <v>1</v>
          </cell>
          <cell r="C4109" t="str">
            <v/>
          </cell>
          <cell r="D4109" t="str">
            <v>NJ</v>
          </cell>
          <cell r="E4109" t="str">
            <v/>
          </cell>
          <cell r="F4109" t="str">
            <v/>
          </cell>
          <cell r="G4109" t="str">
            <v>CI GRODCO S EN CA INGENIEROS CIVILES</v>
          </cell>
          <cell r="H4109" t="str">
            <v>RECO</v>
          </cell>
          <cell r="I4109" t="str">
            <v>REGIMEN COMUN</v>
          </cell>
          <cell r="J4109" t="str">
            <v>CL 100   13   21 P 8</v>
          </cell>
          <cell r="K4109" t="str">
            <v>11001</v>
          </cell>
          <cell r="L4109" t="str">
            <v>BOGOTA DC</v>
          </cell>
          <cell r="M4109" t="str">
            <v>8507247</v>
          </cell>
        </row>
        <row r="4110">
          <cell r="A4110">
            <v>860507001</v>
          </cell>
          <cell r="B4110" t="str">
            <v>5</v>
          </cell>
          <cell r="C4110" t="str">
            <v/>
          </cell>
          <cell r="D4110" t="str">
            <v>NJ</v>
          </cell>
          <cell r="E4110" t="str">
            <v/>
          </cell>
          <cell r="F4110" t="str">
            <v/>
          </cell>
          <cell r="G4110" t="str">
            <v>DISFAR LTDA</v>
          </cell>
          <cell r="H4110" t="str">
            <v>RECO</v>
          </cell>
          <cell r="I4110" t="str">
            <v>REGIMEN COMUN</v>
          </cell>
          <cell r="J4110" t="str">
            <v>CL 83 BIS 24-10</v>
          </cell>
          <cell r="K4110" t="str">
            <v>11001</v>
          </cell>
          <cell r="L4110" t="str">
            <v>BOGOTA DC</v>
          </cell>
          <cell r="M4110" t="str">
            <v>3001415</v>
          </cell>
        </row>
        <row r="4111">
          <cell r="A4111">
            <v>860507033</v>
          </cell>
          <cell r="B4111" t="str">
            <v>0</v>
          </cell>
          <cell r="C4111" t="str">
            <v/>
          </cell>
          <cell r="D4111" t="str">
            <v>NJ</v>
          </cell>
          <cell r="E4111" t="str">
            <v/>
          </cell>
          <cell r="F4111" t="str">
            <v/>
          </cell>
          <cell r="G4111" t="str">
            <v>VISE LTDA</v>
          </cell>
          <cell r="H4111" t="str">
            <v>GRCO</v>
          </cell>
          <cell r="I4111" t="str">
            <v>GRAN CONTRIBUYENTE</v>
          </cell>
          <cell r="J4111" t="str">
            <v xml:space="preserve"> CL 6 D 4 42</v>
          </cell>
          <cell r="K4111" t="str">
            <v>11001</v>
          </cell>
          <cell r="L4111" t="str">
            <v>BOGOTA DC</v>
          </cell>
          <cell r="M4111" t="str">
            <v>3282912</v>
          </cell>
        </row>
        <row r="4112">
          <cell r="A4112">
            <v>860507111</v>
          </cell>
          <cell r="B4112" t="str">
            <v>7</v>
          </cell>
          <cell r="C4112" t="str">
            <v/>
          </cell>
          <cell r="D4112" t="str">
            <v>NJ</v>
          </cell>
          <cell r="E4112" t="str">
            <v/>
          </cell>
          <cell r="F4112" t="str">
            <v/>
          </cell>
          <cell r="G4112" t="str">
            <v>INTER SERVICIOS ELECTRICOS ISE SAS</v>
          </cell>
          <cell r="H4112" t="str">
            <v>RECO</v>
          </cell>
          <cell r="I4112" t="str">
            <v>REGIMEN COMUN</v>
          </cell>
          <cell r="J4112" t="str">
            <v>AUT MEDELLIN KM  2 5 200 NOMBRE VIA P</v>
          </cell>
          <cell r="K4112" t="str">
            <v>25214</v>
          </cell>
          <cell r="L4112" t="str">
            <v>COTA</v>
          </cell>
          <cell r="M4112" t="str">
            <v>8414990</v>
          </cell>
        </row>
        <row r="4113">
          <cell r="A4113">
            <v>860507801</v>
          </cell>
          <cell r="B4113" t="str">
            <v>0</v>
          </cell>
          <cell r="C4113" t="str">
            <v/>
          </cell>
          <cell r="D4113" t="str">
            <v>NJ</v>
          </cell>
          <cell r="E4113" t="str">
            <v/>
          </cell>
          <cell r="F4113" t="str">
            <v/>
          </cell>
          <cell r="G4113" t="str">
            <v>INVERSIONES TECNICAS Y COMERCIALES IVERTEC LTDA.</v>
          </cell>
          <cell r="H4113" t="str">
            <v>RECO</v>
          </cell>
          <cell r="I4113" t="str">
            <v>REGIMEN COMUN</v>
          </cell>
          <cell r="J4113" t="str">
            <v xml:space="preserve"> CL 13  25 32</v>
          </cell>
          <cell r="K4113" t="str">
            <v>11001</v>
          </cell>
          <cell r="L4113" t="str">
            <v>BOGOTA DC</v>
          </cell>
          <cell r="M4113" t="str">
            <v>2472251</v>
          </cell>
        </row>
        <row r="4114">
          <cell r="A4114">
            <v>860508791</v>
          </cell>
          <cell r="B4114" t="str">
            <v>1</v>
          </cell>
          <cell r="C4114" t="str">
            <v/>
          </cell>
          <cell r="D4114" t="str">
            <v>NJ</v>
          </cell>
          <cell r="E4114" t="str">
            <v/>
          </cell>
          <cell r="F4114" t="str">
            <v/>
          </cell>
          <cell r="G4114" t="str">
            <v>DONUCOL S.A</v>
          </cell>
          <cell r="H4114" t="str">
            <v>RECO</v>
          </cell>
          <cell r="I4114" t="str">
            <v>REGIMEN COMUN</v>
          </cell>
          <cell r="J4114" t="str">
            <v>TRANSPORTE M ROJO LC 3 104</v>
          </cell>
          <cell r="K4114" t="str">
            <v>17001</v>
          </cell>
          <cell r="L4114" t="str">
            <v>MANIZALES</v>
          </cell>
          <cell r="M4114" t="str">
            <v>4287628</v>
          </cell>
        </row>
        <row r="4115">
          <cell r="A4115">
            <v>860508892</v>
          </cell>
          <cell r="B4115" t="str">
            <v>5</v>
          </cell>
          <cell r="C4115" t="str">
            <v/>
          </cell>
          <cell r="D4115" t="str">
            <v>NJ</v>
          </cell>
          <cell r="E4115" t="str">
            <v/>
          </cell>
          <cell r="F4115" t="str">
            <v/>
          </cell>
          <cell r="G4115" t="str">
            <v>ALMAGAS SA ESP</v>
          </cell>
          <cell r="H4115" t="str">
            <v>RECO</v>
          </cell>
          <cell r="I4115" t="str">
            <v>REGIMEN COMUN</v>
          </cell>
          <cell r="J4115" t="str">
            <v>CL 99  9 A  45  OF 501</v>
          </cell>
          <cell r="K4115" t="str">
            <v>11001</v>
          </cell>
          <cell r="L4115" t="str">
            <v>BOGOTA DC</v>
          </cell>
          <cell r="M4115" t="str">
            <v>3005753268</v>
          </cell>
        </row>
        <row r="4116">
          <cell r="A4116">
            <v>860509022</v>
          </cell>
          <cell r="B4116" t="str">
            <v>9</v>
          </cell>
          <cell r="C4116" t="str">
            <v>43400000</v>
          </cell>
          <cell r="D4116" t="str">
            <v>NJ</v>
          </cell>
          <cell r="E4116" t="str">
            <v/>
          </cell>
          <cell r="F4116" t="str">
            <v/>
          </cell>
          <cell r="G4116" t="str">
            <v>FINANCIERA DE DESARROLLO NACIONAL SA</v>
          </cell>
          <cell r="H4116" t="str">
            <v>GRAU</v>
          </cell>
          <cell r="I4116" t="str">
            <v>GRAN CONTRIBUYENTE AUTORRETENEDO</v>
          </cell>
          <cell r="J4116" t="str">
            <v>CR 7 N 71 52 TO B P 6</v>
          </cell>
          <cell r="K4116" t="str">
            <v>11001</v>
          </cell>
          <cell r="L4116" t="str">
            <v>BOGOTA DC</v>
          </cell>
          <cell r="M4116" t="str">
            <v>3264999</v>
          </cell>
        </row>
        <row r="4117">
          <cell r="A4117">
            <v>860509265</v>
          </cell>
          <cell r="B4117" t="str">
            <v>1</v>
          </cell>
          <cell r="C4117" t="str">
            <v/>
          </cell>
          <cell r="D4117" t="str">
            <v>NJ</v>
          </cell>
          <cell r="E4117" t="str">
            <v/>
          </cell>
          <cell r="F4117" t="str">
            <v/>
          </cell>
          <cell r="G4117" t="str">
            <v>PUBLICACIONES SEMANA S.A</v>
          </cell>
          <cell r="H4117" t="str">
            <v>IMVE</v>
          </cell>
          <cell r="I4117" t="str">
            <v>IMPUESTO SOBRE LAS VENTAS</v>
          </cell>
          <cell r="J4117" t="str">
            <v>CL 78   11-17</v>
          </cell>
          <cell r="K4117" t="str">
            <v>11001</v>
          </cell>
          <cell r="L4117" t="str">
            <v>BOGOTA DC</v>
          </cell>
          <cell r="M4117" t="str">
            <v>6468400</v>
          </cell>
        </row>
        <row r="4118">
          <cell r="A4118">
            <v>860510628</v>
          </cell>
          <cell r="B4118" t="str">
            <v>3</v>
          </cell>
          <cell r="C4118" t="str">
            <v/>
          </cell>
          <cell r="D4118" t="str">
            <v>NJ</v>
          </cell>
          <cell r="E4118" t="str">
            <v/>
          </cell>
          <cell r="F4118" t="str">
            <v/>
          </cell>
          <cell r="G4118" t="str">
            <v>ODINSA PROYECTOS E INVERSIONES SA</v>
          </cell>
          <cell r="H4118" t="str">
            <v>GRCO</v>
          </cell>
          <cell r="I4118" t="str">
            <v>GRAN CONTRIBUYENTE</v>
          </cell>
          <cell r="J4118" t="str">
            <v>PEAJE CASABLANCA</v>
          </cell>
          <cell r="K4118" t="str">
            <v>11001</v>
          </cell>
          <cell r="L4118" t="str">
            <v>BOGOTA DC</v>
          </cell>
          <cell r="M4118" t="str">
            <v>7056000</v>
          </cell>
        </row>
        <row r="4119">
          <cell r="A4119">
            <v>860511071</v>
          </cell>
          <cell r="B4119" t="str">
            <v>6</v>
          </cell>
          <cell r="C4119" t="str">
            <v>29200000</v>
          </cell>
          <cell r="D4119" t="str">
            <v>NJ</v>
          </cell>
          <cell r="E4119" t="str">
            <v/>
          </cell>
          <cell r="F4119" t="str">
            <v/>
          </cell>
          <cell r="G4119" t="str">
            <v>FONDO ROTATORIO DEL MINISTERIO DE RELACIONES EXTERIORES</v>
          </cell>
          <cell r="H4119" t="str">
            <v>GRAU</v>
          </cell>
          <cell r="I4119" t="str">
            <v>GRAN CONTRIBUYENTE AUTORRETENEDO</v>
          </cell>
          <cell r="J4119" t="str">
            <v>CR 5 9 03 BRR LA CANDELARIA</v>
          </cell>
          <cell r="K4119" t="str">
            <v>03</v>
          </cell>
          <cell r="L4119" t="str">
            <v>BOGOTA</v>
          </cell>
          <cell r="M4119" t="str">
            <v>3814000</v>
          </cell>
        </row>
        <row r="4120">
          <cell r="A4120">
            <v>860511107</v>
          </cell>
          <cell r="B4120" t="str">
            <v>2</v>
          </cell>
          <cell r="C4120" t="str">
            <v/>
          </cell>
          <cell r="D4120" t="str">
            <v>NJ</v>
          </cell>
          <cell r="E4120" t="str">
            <v/>
          </cell>
          <cell r="F4120" t="str">
            <v/>
          </cell>
          <cell r="G4120" t="str">
            <v>ACERTA SOCIEDAD POR ACCIONES SIMPLIFICADA</v>
          </cell>
          <cell r="H4120" t="str">
            <v>RCAU</v>
          </cell>
          <cell r="I4120" t="str">
            <v>RESPONSABLE IVA - AUTORETENEDOR</v>
          </cell>
          <cell r="J4120" t="str">
            <v>CR 53 103 B 39</v>
          </cell>
          <cell r="K4120" t="str">
            <v>11001</v>
          </cell>
          <cell r="L4120" t="str">
            <v>BOGOTA DC</v>
          </cell>
          <cell r="M4120" t="str">
            <v>2575000</v>
          </cell>
        </row>
        <row r="4121">
          <cell r="A4121">
            <v>860511559</v>
          </cell>
          <cell r="B4121" t="str">
            <v>8</v>
          </cell>
          <cell r="C4121" t="str">
            <v/>
          </cell>
          <cell r="D4121" t="str">
            <v>NJ</v>
          </cell>
          <cell r="E4121" t="str">
            <v/>
          </cell>
          <cell r="F4121" t="str">
            <v/>
          </cell>
          <cell r="G4121" t="str">
            <v>ACEFER Y COMPAÑIA LIMITADA</v>
          </cell>
          <cell r="H4121" t="str">
            <v>RECO</v>
          </cell>
          <cell r="I4121" t="str">
            <v>REGIMEN COMUN</v>
          </cell>
          <cell r="J4121" t="str">
            <v>CR 32 9 24</v>
          </cell>
          <cell r="K4121" t="str">
            <v>11001</v>
          </cell>
          <cell r="L4121" t="str">
            <v>BOGOTA DC</v>
          </cell>
          <cell r="M4121" t="str">
            <v>3648181</v>
          </cell>
        </row>
        <row r="4122">
          <cell r="A4122">
            <v>860511571</v>
          </cell>
          <cell r="B4122" t="str">
            <v>7</v>
          </cell>
          <cell r="C4122" t="str">
            <v/>
          </cell>
          <cell r="D4122" t="str">
            <v>NJ</v>
          </cell>
          <cell r="E4122" t="str">
            <v/>
          </cell>
          <cell r="F4122" t="str">
            <v/>
          </cell>
          <cell r="G4122" t="str">
            <v>ELECTRICAS BOGOTA LTDA</v>
          </cell>
          <cell r="H4122" t="str">
            <v>GRCO</v>
          </cell>
          <cell r="I4122" t="str">
            <v>GRAN CONTRIBUYENTE</v>
          </cell>
          <cell r="J4122" t="str">
            <v>CL 16 12 54 56</v>
          </cell>
          <cell r="K4122" t="str">
            <v>11001</v>
          </cell>
          <cell r="L4122" t="str">
            <v>BOGOTA DC</v>
          </cell>
          <cell r="M4122" t="str">
            <v>3444888</v>
          </cell>
        </row>
        <row r="4123">
          <cell r="A4123">
            <v>860511613</v>
          </cell>
          <cell r="B4123" t="str">
            <v>8</v>
          </cell>
          <cell r="C4123" t="str">
            <v/>
          </cell>
          <cell r="D4123" t="str">
            <v>NJ</v>
          </cell>
          <cell r="E4123" t="str">
            <v/>
          </cell>
          <cell r="F4123" t="str">
            <v/>
          </cell>
          <cell r="G4123" t="str">
            <v>COLRODAJES Y MOTORES LTDA</v>
          </cell>
          <cell r="H4123" t="str">
            <v>RECO</v>
          </cell>
          <cell r="I4123" t="str">
            <v>REGIMEN COMUN</v>
          </cell>
          <cell r="J4123" t="str">
            <v>AC 6 26 55 BRR EL PROGRESO</v>
          </cell>
          <cell r="K4123" t="str">
            <v>03</v>
          </cell>
          <cell r="L4123" t="str">
            <v>BOGOTA</v>
          </cell>
          <cell r="M4123" t="str">
            <v>2478196</v>
          </cell>
        </row>
        <row r="4124">
          <cell r="A4124">
            <v>860511681</v>
          </cell>
          <cell r="B4124" t="str">
            <v>9</v>
          </cell>
          <cell r="C4124" t="str">
            <v/>
          </cell>
          <cell r="D4124" t="str">
            <v>NJ</v>
          </cell>
          <cell r="E4124" t="str">
            <v/>
          </cell>
          <cell r="F4124" t="str">
            <v/>
          </cell>
          <cell r="G4124" t="str">
            <v>DIGITRON LTDA</v>
          </cell>
          <cell r="H4124" t="str">
            <v>IMVE</v>
          </cell>
          <cell r="I4124" t="str">
            <v>IMPUESTO SOBRE LAS VENTAS</v>
          </cell>
          <cell r="J4124" t="str">
            <v>CR 27 A 42 11 BR LA SOLEDAD</v>
          </cell>
          <cell r="K4124" t="str">
            <v>11001</v>
          </cell>
          <cell r="L4124" t="str">
            <v>BOGOTA DC</v>
          </cell>
          <cell r="M4124" t="str">
            <v>6017448720</v>
          </cell>
        </row>
        <row r="4125">
          <cell r="A4125">
            <v>860512149</v>
          </cell>
          <cell r="B4125" t="str">
            <v>6</v>
          </cell>
          <cell r="C4125" t="str">
            <v/>
          </cell>
          <cell r="D4125" t="str">
            <v>NJ</v>
          </cell>
          <cell r="E4125" t="str">
            <v/>
          </cell>
          <cell r="F4125" t="str">
            <v/>
          </cell>
          <cell r="G4125" t="str">
            <v>DISARCHIVO LIMITADA</v>
          </cell>
          <cell r="H4125" t="str">
            <v>RCAU</v>
          </cell>
          <cell r="I4125" t="str">
            <v>RESPONSABLE IVA - AUTORETENEDOR</v>
          </cell>
          <cell r="J4125" t="str">
            <v>DG 22 C  BIS 18 B 55 BRR SANTA FE</v>
          </cell>
          <cell r="K4125" t="str">
            <v>11001</v>
          </cell>
          <cell r="L4125" t="str">
            <v>BOGOTA DC</v>
          </cell>
          <cell r="M4125" t="str">
            <v>2694900</v>
          </cell>
        </row>
        <row r="4126">
          <cell r="A4126">
            <v>860512330</v>
          </cell>
          <cell r="B4126" t="str">
            <v>3</v>
          </cell>
          <cell r="C4126" t="str">
            <v/>
          </cell>
          <cell r="D4126" t="str">
            <v>NJ</v>
          </cell>
          <cell r="E4126" t="str">
            <v/>
          </cell>
          <cell r="F4126" t="str">
            <v/>
          </cell>
          <cell r="G4126" t="str">
            <v>SERVIENTREGA S.A</v>
          </cell>
          <cell r="H4126" t="str">
            <v>GRAU</v>
          </cell>
          <cell r="I4126" t="str">
            <v>GRAN CONTRIBUYENTE AUTORRETENEDO</v>
          </cell>
          <cell r="J4126" t="str">
            <v xml:space="preserve"> AV CL 6  34A  11</v>
          </cell>
          <cell r="K4126" t="str">
            <v>11001</v>
          </cell>
          <cell r="L4126" t="str">
            <v>BOGOTA DC</v>
          </cell>
          <cell r="M4126" t="str">
            <v>6017700410</v>
          </cell>
        </row>
        <row r="4127">
          <cell r="A4127">
            <v>860513276</v>
          </cell>
          <cell r="B4127" t="str">
            <v>8</v>
          </cell>
          <cell r="C4127" t="str">
            <v/>
          </cell>
          <cell r="D4127" t="str">
            <v>NJ</v>
          </cell>
          <cell r="E4127" t="str">
            <v/>
          </cell>
          <cell r="F4127" t="str">
            <v/>
          </cell>
          <cell r="G4127" t="str">
            <v>ELECTRO HIDRÁULICA S.A. REPRESENTACIONES</v>
          </cell>
          <cell r="H4127" t="str">
            <v>IMVE</v>
          </cell>
          <cell r="I4127" t="str">
            <v>IMPUESTO SOBRE LAS VENTAS</v>
          </cell>
          <cell r="J4127" t="str">
            <v xml:space="preserve"> A  K 4024 A 35</v>
          </cell>
          <cell r="K4127" t="str">
            <v>11001</v>
          </cell>
          <cell r="L4127" t="str">
            <v>BOGOTA DC</v>
          </cell>
          <cell r="M4127" t="str">
            <v>3680055</v>
          </cell>
        </row>
        <row r="4128">
          <cell r="A4128">
            <v>860513970</v>
          </cell>
          <cell r="B4128" t="str">
            <v>1</v>
          </cell>
          <cell r="C4128" t="str">
            <v/>
          </cell>
          <cell r="D4128" t="str">
            <v>NJ</v>
          </cell>
          <cell r="E4128" t="str">
            <v/>
          </cell>
          <cell r="F4128" t="str">
            <v/>
          </cell>
          <cell r="G4128" t="str">
            <v>COMERCIALIZADORA INTERNACIONAL MILPA SA</v>
          </cell>
          <cell r="H4128" t="str">
            <v>GRCO</v>
          </cell>
          <cell r="I4128" t="str">
            <v>GRAN CONTRIBUYENTE</v>
          </cell>
          <cell r="J4128" t="str">
            <v>AK 45  118  30 OF 405</v>
          </cell>
          <cell r="K4128" t="str">
            <v>11001</v>
          </cell>
          <cell r="L4128" t="str">
            <v>BOGOTA DC</v>
          </cell>
          <cell r="M4128" t="str">
            <v>6294174</v>
          </cell>
        </row>
        <row r="4129">
          <cell r="A4129">
            <v>860514851</v>
          </cell>
          <cell r="B4129" t="str">
            <v>8</v>
          </cell>
          <cell r="C4129" t="str">
            <v/>
          </cell>
          <cell r="D4129" t="str">
            <v>NJ</v>
          </cell>
          <cell r="E4129" t="str">
            <v/>
          </cell>
          <cell r="F4129" t="str">
            <v/>
          </cell>
          <cell r="G4129" t="str">
            <v>DISCORREAS MANGUERAS Y EMPAQUES SA</v>
          </cell>
          <cell r="H4129" t="str">
            <v>RECO</v>
          </cell>
          <cell r="I4129" t="str">
            <v>REGIMEN COMUN</v>
          </cell>
          <cell r="J4129" t="str">
            <v>CL 13   27   02</v>
          </cell>
          <cell r="K4129" t="str">
            <v>11001</v>
          </cell>
          <cell r="L4129" t="str">
            <v>BOGOTA DC</v>
          </cell>
          <cell r="M4129" t="str">
            <v>3603604</v>
          </cell>
        </row>
        <row r="4130">
          <cell r="A4130">
            <v>860516881</v>
          </cell>
          <cell r="B4130" t="str">
            <v>8</v>
          </cell>
          <cell r="C4130" t="str">
            <v/>
          </cell>
          <cell r="D4130" t="str">
            <v>NJ</v>
          </cell>
          <cell r="E4130" t="str">
            <v/>
          </cell>
          <cell r="F4130" t="str">
            <v/>
          </cell>
          <cell r="G4130" t="str">
            <v>CENTRAL COOPERATIVA DE SERVICIOS FUNERARIOS COOPSERFUN</v>
          </cell>
          <cell r="H4130" t="str">
            <v>RECO</v>
          </cell>
          <cell r="I4130" t="str">
            <v>REGIMEN COMUN</v>
          </cell>
          <cell r="J4130" t="str">
            <v>CR 18   33   12</v>
          </cell>
          <cell r="K4130" t="str">
            <v>11001</v>
          </cell>
          <cell r="L4130" t="str">
            <v>BOGOTA DC</v>
          </cell>
          <cell r="M4130" t="str">
            <v>2884311</v>
          </cell>
        </row>
        <row r="4131">
          <cell r="A4131">
            <v>860517465</v>
          </cell>
          <cell r="B4131" t="str">
            <v>1</v>
          </cell>
          <cell r="C4131" t="str">
            <v/>
          </cell>
          <cell r="D4131" t="str">
            <v>NJ</v>
          </cell>
          <cell r="E4131" t="str">
            <v/>
          </cell>
          <cell r="F4131" t="str">
            <v/>
          </cell>
          <cell r="G4131" t="str">
            <v>FERRETERIA HERRAMIENTAS Y LAMINAS SAS</v>
          </cell>
          <cell r="H4131" t="str">
            <v>RECO</v>
          </cell>
          <cell r="I4131" t="str">
            <v>REGIMEN COMUN</v>
          </cell>
          <cell r="J4131" t="str">
            <v>CR 11 B 99 54 OF 801</v>
          </cell>
          <cell r="K4131" t="str">
            <v>11001</v>
          </cell>
          <cell r="L4131" t="str">
            <v>BOGOTA DC</v>
          </cell>
          <cell r="M4131" t="str">
            <v>6510200</v>
          </cell>
        </row>
        <row r="4132">
          <cell r="A4132">
            <v>860518307</v>
          </cell>
          <cell r="B4132" t="str">
            <v>0</v>
          </cell>
          <cell r="C4132" t="str">
            <v/>
          </cell>
          <cell r="D4132" t="str">
            <v>NJ</v>
          </cell>
          <cell r="E4132" t="str">
            <v/>
          </cell>
          <cell r="F4132" t="str">
            <v/>
          </cell>
          <cell r="G4132" t="str">
            <v>INTERNACIONAL DE INGENIERIA SAS</v>
          </cell>
          <cell r="H4132" t="str">
            <v>RECO</v>
          </cell>
          <cell r="I4132" t="str">
            <v>REGIMEN COMUN</v>
          </cell>
          <cell r="J4132" t="str">
            <v>CL 114  47 A  119</v>
          </cell>
          <cell r="K4132" t="str">
            <v>11001</v>
          </cell>
          <cell r="L4132" t="str">
            <v>BOGOTA DC</v>
          </cell>
          <cell r="M4132" t="str">
            <v>2758300</v>
          </cell>
        </row>
        <row r="4133">
          <cell r="A4133">
            <v>860520097</v>
          </cell>
          <cell r="B4133" t="str">
            <v>5</v>
          </cell>
          <cell r="C4133" t="str">
            <v/>
          </cell>
          <cell r="D4133" t="str">
            <v>NJ</v>
          </cell>
          <cell r="E4133" t="str">
            <v/>
          </cell>
          <cell r="F4133" t="str">
            <v/>
          </cell>
          <cell r="G4133" t="str">
            <v>GUARDIANES COMPAÑIA LIDER DE SEGURIDAD LTDA.</v>
          </cell>
          <cell r="H4133" t="str">
            <v>GRCO</v>
          </cell>
          <cell r="I4133" t="str">
            <v>GRAN CONTRIBUYENTE</v>
          </cell>
          <cell r="J4133" t="str">
            <v>CR 47 94 A 80</v>
          </cell>
          <cell r="K4133" t="str">
            <v>15001</v>
          </cell>
          <cell r="L4133" t="str">
            <v>TUNJA</v>
          </cell>
          <cell r="M4133" t="str">
            <v>7561930</v>
          </cell>
        </row>
        <row r="4134">
          <cell r="A4134">
            <v>860521094</v>
          </cell>
          <cell r="B4134" t="str">
            <v>8</v>
          </cell>
          <cell r="C4134" t="str">
            <v/>
          </cell>
          <cell r="D4134" t="str">
            <v>NJ</v>
          </cell>
          <cell r="E4134" t="str">
            <v/>
          </cell>
          <cell r="F4134" t="str">
            <v/>
          </cell>
          <cell r="G4134" t="str">
            <v>AIEEUN ASOCIACIÓN DE INGENIEROS ELECTRICISTAS Y ELECTRÓNICOS</v>
          </cell>
          <cell r="H4134" t="str">
            <v>RECO</v>
          </cell>
          <cell r="I4134" t="str">
            <v>REGIMEN COMUN</v>
          </cell>
          <cell r="J4134" t="str">
            <v>CL 44   45-67 BL B 6 OF 644</v>
          </cell>
          <cell r="K4134" t="str">
            <v>11001</v>
          </cell>
          <cell r="L4134" t="str">
            <v>BOGOTA DC</v>
          </cell>
          <cell r="M4134" t="str">
            <v>3155953</v>
          </cell>
        </row>
        <row r="4135">
          <cell r="A4135">
            <v>860523408</v>
          </cell>
          <cell r="B4135" t="str">
            <v>6</v>
          </cell>
          <cell r="C4135" t="str">
            <v/>
          </cell>
          <cell r="D4135" t="str">
            <v>NJ</v>
          </cell>
          <cell r="E4135" t="str">
            <v/>
          </cell>
          <cell r="F4135" t="str">
            <v/>
          </cell>
          <cell r="G4135" t="str">
            <v>SEGURIDAD NAPOLES LIMITADA</v>
          </cell>
          <cell r="H4135" t="str">
            <v>GRAU</v>
          </cell>
          <cell r="I4135" t="str">
            <v>GRAN CONTRIBUYENTE AUTORRETENEDO</v>
          </cell>
          <cell r="J4135" t="str">
            <v>CL 98 13 10</v>
          </cell>
          <cell r="K4135" t="str">
            <v>11001</v>
          </cell>
          <cell r="L4135" t="str">
            <v>BOGOTA DC</v>
          </cell>
          <cell r="M4135" t="str">
            <v>6160284</v>
          </cell>
        </row>
        <row r="4136">
          <cell r="A4136">
            <v>860524007</v>
          </cell>
          <cell r="B4136" t="str">
            <v>0</v>
          </cell>
          <cell r="C4136" t="str">
            <v/>
          </cell>
          <cell r="D4136" t="str">
            <v>NJ</v>
          </cell>
          <cell r="E4136" t="str">
            <v/>
          </cell>
          <cell r="F4136" t="str">
            <v/>
          </cell>
          <cell r="G4136" t="str">
            <v>INATLANTIC SA</v>
          </cell>
          <cell r="H4136" t="str">
            <v>REOR</v>
          </cell>
          <cell r="I4136" t="str">
            <v>RENTA REGIMEN ORDINARIO</v>
          </cell>
          <cell r="J4136" t="str">
            <v>CARRERA 7 # 75 - 51 OFICINA 501</v>
          </cell>
          <cell r="K4136" t="str">
            <v>03</v>
          </cell>
          <cell r="L4136" t="str">
            <v>BOGOTA</v>
          </cell>
          <cell r="M4136" t="str">
            <v>3176506</v>
          </cell>
        </row>
        <row r="4137">
          <cell r="A4137">
            <v>860524654</v>
          </cell>
          <cell r="B4137" t="str">
            <v>6</v>
          </cell>
          <cell r="C4137" t="str">
            <v/>
          </cell>
          <cell r="D4137" t="str">
            <v>NJ</v>
          </cell>
          <cell r="E4137" t="str">
            <v/>
          </cell>
          <cell r="F4137" t="str">
            <v/>
          </cell>
          <cell r="G4137" t="str">
            <v>ASEGURADORA SOLIDARIA DE COLOMBIA ENTIDAD COOPERATIVA</v>
          </cell>
          <cell r="H4137" t="str">
            <v>GRAU</v>
          </cell>
          <cell r="I4137" t="str">
            <v>GRAN CONTRIBUYENTE AUTORRETENEDO</v>
          </cell>
          <cell r="J4137" t="str">
            <v>CL 100 CR 9 A 45 P 12</v>
          </cell>
          <cell r="K4137" t="str">
            <v>11001</v>
          </cell>
          <cell r="L4137" t="str">
            <v>BOGOTA DC</v>
          </cell>
          <cell r="M4137" t="str">
            <v>6464330</v>
          </cell>
        </row>
        <row r="4138">
          <cell r="A4138">
            <v>860525156</v>
          </cell>
          <cell r="B4138" t="str">
            <v>4</v>
          </cell>
          <cell r="C4138" t="str">
            <v/>
          </cell>
          <cell r="D4138" t="str">
            <v>NJ</v>
          </cell>
          <cell r="E4138" t="str">
            <v/>
          </cell>
          <cell r="F4138" t="str">
            <v/>
          </cell>
          <cell r="G4138" t="str">
            <v>VALREX S.A.S</v>
          </cell>
          <cell r="H4138" t="str">
            <v>IMVE</v>
          </cell>
          <cell r="I4138" t="str">
            <v>IMPUESTO SOBRE LAS VENTAS</v>
          </cell>
          <cell r="J4138" t="str">
            <v>CL 106 23 61 OF 504 505 506</v>
          </cell>
          <cell r="K4138" t="str">
            <v>11001</v>
          </cell>
          <cell r="L4138" t="str">
            <v>BOGOTA DC</v>
          </cell>
          <cell r="M4138" t="str">
            <v>3111109</v>
          </cell>
        </row>
        <row r="4139">
          <cell r="A4139">
            <v>860526603</v>
          </cell>
          <cell r="B4139" t="str">
            <v>1</v>
          </cell>
          <cell r="C4139" t="str">
            <v/>
          </cell>
          <cell r="D4139" t="str">
            <v>NJ</v>
          </cell>
          <cell r="E4139" t="str">
            <v/>
          </cell>
          <cell r="F4139" t="str">
            <v/>
          </cell>
          <cell r="G4139" t="str">
            <v>SEGURIDAD EL PENTAGONO COLOMBIANO LIMITADA SEPECOL LTDA</v>
          </cell>
          <cell r="H4139" t="str">
            <v>IMVE</v>
          </cell>
          <cell r="I4139" t="str">
            <v>IMPUESTO SOBRE LAS VENTAS</v>
          </cell>
          <cell r="J4139" t="str">
            <v>CL 74 D 70 F 22</v>
          </cell>
          <cell r="K4139" t="str">
            <v>11001</v>
          </cell>
          <cell r="L4139" t="str">
            <v>BOGOTA DC</v>
          </cell>
          <cell r="M4139" t="str">
            <v>2360823</v>
          </cell>
        </row>
        <row r="4140">
          <cell r="A4140">
            <v>860527158</v>
          </cell>
          <cell r="B4140" t="str">
            <v>8</v>
          </cell>
          <cell r="C4140" t="str">
            <v/>
          </cell>
          <cell r="D4140" t="str">
            <v>NJ</v>
          </cell>
          <cell r="E4140" t="str">
            <v/>
          </cell>
          <cell r="F4140" t="str">
            <v/>
          </cell>
          <cell r="G4140" t="str">
            <v>DISTRIBUIDORA ALIADOS LTDA</v>
          </cell>
          <cell r="H4140" t="str">
            <v>RECO</v>
          </cell>
          <cell r="I4140" t="str">
            <v>REGIMEN COMUN</v>
          </cell>
          <cell r="J4140" t="str">
            <v>CR 55 17 B 22</v>
          </cell>
          <cell r="K4140" t="str">
            <v>11001</v>
          </cell>
          <cell r="L4140" t="str">
            <v>BOGOTA DC</v>
          </cell>
          <cell r="M4140" t="str">
            <v>4203758</v>
          </cell>
        </row>
        <row r="4141">
          <cell r="A4141">
            <v>860527857</v>
          </cell>
          <cell r="B4141" t="str">
            <v>8</v>
          </cell>
          <cell r="C4141" t="str">
            <v/>
          </cell>
          <cell r="D4141" t="str">
            <v>NJ</v>
          </cell>
          <cell r="E4141" t="str">
            <v/>
          </cell>
          <cell r="F4141" t="str">
            <v/>
          </cell>
          <cell r="G4141" t="str">
            <v>ROCHA Y LONDOÑO SAS</v>
          </cell>
          <cell r="H4141" t="str">
            <v>IMVE</v>
          </cell>
          <cell r="I4141" t="str">
            <v>IMPUESTO SOBRE LAS VENTAS</v>
          </cell>
          <cell r="J4141" t="str">
            <v>CL 17 22 24</v>
          </cell>
          <cell r="K4141" t="str">
            <v>11001</v>
          </cell>
          <cell r="L4141" t="str">
            <v>BOGOTA DC</v>
          </cell>
          <cell r="M4141" t="str">
            <v>3600641</v>
          </cell>
        </row>
        <row r="4142">
          <cell r="A4142">
            <v>860529157</v>
          </cell>
          <cell r="B4142" t="str">
            <v>1</v>
          </cell>
          <cell r="C4142" t="str">
            <v/>
          </cell>
          <cell r="D4142" t="str">
            <v>NJ</v>
          </cell>
          <cell r="E4142" t="str">
            <v/>
          </cell>
          <cell r="F4142" t="str">
            <v/>
          </cell>
          <cell r="G4142" t="str">
            <v>PARQUEADEROS LUGANO LTDA</v>
          </cell>
          <cell r="H4142" t="str">
            <v>RECO</v>
          </cell>
          <cell r="I4142" t="str">
            <v>REGIMEN COMUN</v>
          </cell>
          <cell r="J4142" t="str">
            <v>CR 24   53   47</v>
          </cell>
          <cell r="K4142" t="str">
            <v>11001</v>
          </cell>
          <cell r="L4142" t="str">
            <v>BOGOTA DC</v>
          </cell>
          <cell r="M4142" t="str">
            <v>2555776</v>
          </cell>
        </row>
        <row r="4143">
          <cell r="A4143">
            <v>860529223</v>
          </cell>
          <cell r="B4143" t="str">
            <v>8</v>
          </cell>
          <cell r="C4143" t="str">
            <v/>
          </cell>
          <cell r="D4143" t="str">
            <v>NJ</v>
          </cell>
          <cell r="E4143" t="str">
            <v/>
          </cell>
          <cell r="F4143" t="str">
            <v/>
          </cell>
          <cell r="G4143" t="str">
            <v xml:space="preserve">ADMINISTRA RAM TLDA                                         </v>
          </cell>
          <cell r="H4143" t="str">
            <v>RECO</v>
          </cell>
          <cell r="I4143" t="str">
            <v>REGIMEN COMUN</v>
          </cell>
          <cell r="J4143" t="str">
            <v xml:space="preserve">CARRERA 13 22 81  BARRIO POPULAR        </v>
          </cell>
          <cell r="K4143" t="str">
            <v>15001</v>
          </cell>
          <cell r="L4143" t="str">
            <v>TUNJA</v>
          </cell>
          <cell r="M4143" t="str">
            <v>7431295</v>
          </cell>
        </row>
        <row r="4144">
          <cell r="A4144">
            <v>860530357</v>
          </cell>
          <cell r="B4144" t="str">
            <v>8</v>
          </cell>
          <cell r="C4144" t="str">
            <v/>
          </cell>
          <cell r="D4144" t="str">
            <v>NJ</v>
          </cell>
          <cell r="E4144" t="str">
            <v/>
          </cell>
          <cell r="F4144" t="str">
            <v/>
          </cell>
          <cell r="G4144" t="str">
            <v>TECVAL S.A.S</v>
          </cell>
          <cell r="H4144" t="str">
            <v>RECO</v>
          </cell>
          <cell r="I4144" t="str">
            <v>REGIMEN COMUN</v>
          </cell>
          <cell r="J4144" t="str">
            <v>CR 18  164 46</v>
          </cell>
          <cell r="K4144" t="str">
            <v>11001</v>
          </cell>
          <cell r="L4144" t="str">
            <v>BOGOTA DC</v>
          </cell>
          <cell r="M4144" t="str">
            <v>6747034</v>
          </cell>
        </row>
        <row r="4145">
          <cell r="A4145">
            <v>860530559</v>
          </cell>
          <cell r="B4145" t="str">
            <v>9</v>
          </cell>
          <cell r="C4145" t="str">
            <v/>
          </cell>
          <cell r="D4145" t="str">
            <v>NJ</v>
          </cell>
          <cell r="E4145" t="str">
            <v/>
          </cell>
          <cell r="F4145" t="str">
            <v/>
          </cell>
          <cell r="G4145" t="str">
            <v>PARQUEADEROS TEQUENDAMA LTDA</v>
          </cell>
          <cell r="H4145" t="str">
            <v>RECO</v>
          </cell>
          <cell r="I4145" t="str">
            <v>REGIMEN COMUN</v>
          </cell>
          <cell r="J4145" t="str">
            <v>CL 134   7   83 OF 602</v>
          </cell>
          <cell r="K4145" t="str">
            <v>11001</v>
          </cell>
          <cell r="L4145" t="str">
            <v>BOGOTA DC</v>
          </cell>
          <cell r="M4145" t="str">
            <v>6156233</v>
          </cell>
        </row>
        <row r="4146">
          <cell r="A4146">
            <v>860531287</v>
          </cell>
          <cell r="B4146" t="str">
            <v>5</v>
          </cell>
          <cell r="C4146" t="str">
            <v/>
          </cell>
          <cell r="D4146" t="str">
            <v>NJ</v>
          </cell>
          <cell r="E4146" t="str">
            <v/>
          </cell>
          <cell r="F4146" t="str">
            <v/>
          </cell>
          <cell r="G4146" t="str">
            <v>MELEXA S.A.S</v>
          </cell>
          <cell r="H4146" t="str">
            <v>GRAU</v>
          </cell>
          <cell r="I4146" t="str">
            <v>GRAN CONTRIBUYENTE AUTORRETENEDO</v>
          </cell>
          <cell r="J4146" t="str">
            <v>AUT NORTE 114 44 OF 702</v>
          </cell>
          <cell r="K4146" t="str">
            <v>11001</v>
          </cell>
          <cell r="L4146" t="str">
            <v>BOGOTA DC</v>
          </cell>
          <cell r="M4146" t="str">
            <v>5874400</v>
          </cell>
        </row>
        <row r="4147">
          <cell r="A4147">
            <v>860532264</v>
          </cell>
          <cell r="B4147" t="str">
            <v>0</v>
          </cell>
          <cell r="C4147" t="str">
            <v/>
          </cell>
          <cell r="D4147" t="str">
            <v>NJ</v>
          </cell>
          <cell r="E4147" t="str">
            <v/>
          </cell>
          <cell r="F4147" t="str">
            <v/>
          </cell>
          <cell r="G4147" t="str">
            <v>PARQUEADERO ACLA 1</v>
          </cell>
          <cell r="H4147" t="str">
            <v>RECO</v>
          </cell>
          <cell r="I4147" t="str">
            <v>REGIMEN COMUN</v>
          </cell>
          <cell r="J4147" t="str">
            <v>CL 118   6 A   26</v>
          </cell>
          <cell r="K4147" t="str">
            <v>11001</v>
          </cell>
          <cell r="L4147" t="str">
            <v>BOGOTA DC</v>
          </cell>
          <cell r="M4147" t="str">
            <v>6196618</v>
          </cell>
        </row>
        <row r="4148">
          <cell r="A4148">
            <v>860532314</v>
          </cell>
          <cell r="B4148" t="str">
            <v>0</v>
          </cell>
          <cell r="C4148" t="str">
            <v/>
          </cell>
          <cell r="D4148" t="str">
            <v>NJ</v>
          </cell>
          <cell r="E4148" t="str">
            <v/>
          </cell>
          <cell r="F4148" t="str">
            <v/>
          </cell>
          <cell r="G4148" t="str">
            <v>ATLAS INGENIERÍA LTDA</v>
          </cell>
          <cell r="H4148" t="str">
            <v>RECO</v>
          </cell>
          <cell r="I4148" t="str">
            <v>REGIMEN COMUN</v>
          </cell>
          <cell r="J4148" t="str">
            <v>CL 71  10 48 OF 503</v>
          </cell>
          <cell r="K4148" t="str">
            <v>11001</v>
          </cell>
          <cell r="L4148" t="str">
            <v>BOGOTA DC</v>
          </cell>
          <cell r="M4148" t="str">
            <v>3473688</v>
          </cell>
        </row>
        <row r="4149">
          <cell r="A4149">
            <v>860533169</v>
          </cell>
          <cell r="B4149" t="str">
            <v>3</v>
          </cell>
          <cell r="C4149" t="str">
            <v/>
          </cell>
          <cell r="D4149" t="str">
            <v>NJ</v>
          </cell>
          <cell r="E4149" t="str">
            <v/>
          </cell>
          <cell r="F4149" t="str">
            <v/>
          </cell>
          <cell r="G4149" t="str">
            <v>AVS ART OFFICE SAS</v>
          </cell>
          <cell r="H4149" t="str">
            <v>RCAU</v>
          </cell>
          <cell r="I4149" t="str">
            <v>RESPONSABLE IVA - AUTORETENEDOR</v>
          </cell>
          <cell r="J4149" t="str">
            <v>CL 11 40 39</v>
          </cell>
          <cell r="K4149" t="str">
            <v>11001</v>
          </cell>
          <cell r="L4149" t="str">
            <v>BOGOTA DC</v>
          </cell>
          <cell r="M4149" t="str">
            <v>2017444</v>
          </cell>
        </row>
        <row r="4150">
          <cell r="A4150">
            <v>860533206</v>
          </cell>
          <cell r="B4150" t="str">
            <v>8</v>
          </cell>
          <cell r="C4150" t="str">
            <v/>
          </cell>
          <cell r="D4150" t="str">
            <v>NJ</v>
          </cell>
          <cell r="E4150" t="str">
            <v/>
          </cell>
          <cell r="F4150" t="str">
            <v/>
          </cell>
          <cell r="G4150" t="str">
            <v>ENERGIA INTEGRAL ANDINA SA</v>
          </cell>
          <cell r="H4150" t="str">
            <v>GRCO</v>
          </cell>
          <cell r="I4150" t="str">
            <v>GRAN CONTRIBUYENTE</v>
          </cell>
          <cell r="J4150" t="str">
            <v xml:space="preserve"> AV CIRCUNVALAR  KM 6   VIA COVE</v>
          </cell>
          <cell r="K4150" t="str">
            <v>88001</v>
          </cell>
          <cell r="L4150" t="str">
            <v>SAN ANDRÉS</v>
          </cell>
          <cell r="M4150" t="str">
            <v>6684343</v>
          </cell>
        </row>
        <row r="4151">
          <cell r="A4151">
            <v>860533413</v>
          </cell>
          <cell r="B4151" t="str">
            <v>6</v>
          </cell>
          <cell r="C4151" t="str">
            <v/>
          </cell>
          <cell r="D4151" t="str">
            <v>NJ</v>
          </cell>
          <cell r="E4151" t="str">
            <v/>
          </cell>
          <cell r="F4151" t="str">
            <v/>
          </cell>
          <cell r="G4151" t="str">
            <v>HAMBURGUESAS EL CORRAL</v>
          </cell>
          <cell r="H4151" t="str">
            <v>GRCO</v>
          </cell>
          <cell r="I4151" t="str">
            <v>GRAN CONTRIBUYENTE</v>
          </cell>
          <cell r="J4151" t="str">
            <v>CR 53   65-11 LC 117-118 CC CABLE PLAZA</v>
          </cell>
          <cell r="K4151" t="str">
            <v>17001</v>
          </cell>
          <cell r="L4151" t="str">
            <v>MANIZALES</v>
          </cell>
          <cell r="M4151" t="str">
            <v>8756547</v>
          </cell>
        </row>
        <row r="4152">
          <cell r="A4152">
            <v>860534221</v>
          </cell>
          <cell r="B4152" t="str">
            <v>3</v>
          </cell>
          <cell r="C4152" t="str">
            <v/>
          </cell>
          <cell r="D4152" t="str">
            <v>NJ</v>
          </cell>
          <cell r="E4152" t="str">
            <v/>
          </cell>
          <cell r="F4152" t="str">
            <v/>
          </cell>
          <cell r="G4152" t="str">
            <v>PAN PA YA LTDA</v>
          </cell>
          <cell r="H4152" t="str">
            <v>RECO</v>
          </cell>
          <cell r="I4152" t="str">
            <v>REGIMEN COMUN</v>
          </cell>
          <cell r="J4152" t="str">
            <v>AV EL DORADO 68C 61 LOC 123</v>
          </cell>
          <cell r="K4152" t="str">
            <v>11001</v>
          </cell>
          <cell r="L4152" t="str">
            <v>BOGOTA DC</v>
          </cell>
          <cell r="M4152" t="str">
            <v>4877777</v>
          </cell>
        </row>
        <row r="4153">
          <cell r="A4153">
            <v>860534851</v>
          </cell>
          <cell r="B4153" t="str">
            <v>3</v>
          </cell>
          <cell r="C4153" t="str">
            <v/>
          </cell>
          <cell r="D4153" t="str">
            <v>NJ</v>
          </cell>
          <cell r="E4153" t="str">
            <v/>
          </cell>
          <cell r="F4153" t="str">
            <v/>
          </cell>
          <cell r="G4153" t="str">
            <v>VIMECO INGENIEROS SAS</v>
          </cell>
          <cell r="H4153" t="str">
            <v>RECO</v>
          </cell>
          <cell r="I4153" t="str">
            <v>REGIMEN COMUN</v>
          </cell>
          <cell r="J4153" t="str">
            <v>CL 98 A 68 B 30</v>
          </cell>
          <cell r="K4153" t="str">
            <v>11001</v>
          </cell>
          <cell r="L4153" t="str">
            <v>BOGOTA DC</v>
          </cell>
          <cell r="M4153" t="str">
            <v>3017190143</v>
          </cell>
        </row>
        <row r="4154">
          <cell r="A4154">
            <v>888888888</v>
          </cell>
          <cell r="B4154" t="str">
            <v/>
          </cell>
          <cell r="C4154" t="str">
            <v/>
          </cell>
          <cell r="D4154" t="str">
            <v>CC</v>
          </cell>
          <cell r="E4154" t="str">
            <v>NIT CONTROL NOMINA</v>
          </cell>
          <cell r="F4154" t="str">
            <v>NIT CONTROL NOMINA</v>
          </cell>
          <cell r="G4154" t="str">
            <v>NIT CONTROL NOMINA NIT CONTROL NOMINA</v>
          </cell>
          <cell r="H4154" t="str">
            <v>RECO</v>
          </cell>
          <cell r="I4154" t="str">
            <v>REGIMEN COMUN</v>
          </cell>
          <cell r="J4154" t="str">
            <v>REVISAR</v>
          </cell>
          <cell r="K4154" t="str">
            <v>17001</v>
          </cell>
          <cell r="L4154" t="str">
            <v>MANIZALES</v>
          </cell>
          <cell r="M4154" t="str">
            <v>REVISAR</v>
          </cell>
        </row>
        <row r="4155">
          <cell r="A4155">
            <v>890000213</v>
          </cell>
          <cell r="B4155" t="str">
            <v>1</v>
          </cell>
          <cell r="C4155" t="str">
            <v/>
          </cell>
          <cell r="D4155" t="str">
            <v>NJ</v>
          </cell>
          <cell r="E4155" t="str">
            <v/>
          </cell>
          <cell r="F4155" t="str">
            <v/>
          </cell>
          <cell r="G4155" t="str">
            <v>TRANSPORTES ARMENIA</v>
          </cell>
          <cell r="H4155" t="str">
            <v>RECO</v>
          </cell>
          <cell r="I4155" t="str">
            <v>REGIMEN COMUN</v>
          </cell>
          <cell r="J4155" t="str">
            <v>ARMENIA</v>
          </cell>
          <cell r="K4155" t="str">
            <v>17001</v>
          </cell>
          <cell r="L4155" t="str">
            <v>MANIZALES</v>
          </cell>
          <cell r="M4155" t="str">
            <v>0</v>
          </cell>
        </row>
        <row r="4156">
          <cell r="A4156">
            <v>890000439</v>
          </cell>
          <cell r="B4156" t="str">
            <v>9</v>
          </cell>
          <cell r="C4156" t="str">
            <v>238363001</v>
          </cell>
          <cell r="D4156" t="str">
            <v>NJ</v>
          </cell>
          <cell r="E4156" t="str">
            <v/>
          </cell>
          <cell r="F4156" t="str">
            <v/>
          </cell>
          <cell r="G4156" t="str">
            <v>AEROPUERTO EL EDEN EPA</v>
          </cell>
          <cell r="H4156" t="str">
            <v>RECO</v>
          </cell>
          <cell r="I4156" t="str">
            <v>REGIMEN COMUN</v>
          </cell>
          <cell r="J4156" t="str">
            <v>AEROPUERTO EL EDEN</v>
          </cell>
          <cell r="K4156" t="str">
            <v>05059</v>
          </cell>
          <cell r="L4156" t="str">
            <v>ARMENIA</v>
          </cell>
          <cell r="M4156" t="str">
            <v>7411780</v>
          </cell>
        </row>
        <row r="4157">
          <cell r="A4157">
            <v>890000513</v>
          </cell>
          <cell r="B4157" t="str">
            <v>6</v>
          </cell>
          <cell r="C4157" t="str">
            <v/>
          </cell>
          <cell r="D4157" t="str">
            <v>NJ</v>
          </cell>
          <cell r="E4157" t="str">
            <v/>
          </cell>
          <cell r="F4157" t="str">
            <v/>
          </cell>
          <cell r="G4157" t="str">
            <v>VIAJES AEREOS ARMENIA LTDA</v>
          </cell>
          <cell r="H4157" t="str">
            <v>RECO</v>
          </cell>
          <cell r="I4157" t="str">
            <v>REGIMEN COMUN</v>
          </cell>
          <cell r="J4157" t="str">
            <v>CR 14 7 B 00 LC 2  23</v>
          </cell>
          <cell r="K4157" t="str">
            <v>63001</v>
          </cell>
          <cell r="L4157" t="str">
            <v>ARMENIA</v>
          </cell>
          <cell r="M4157" t="str">
            <v>3104035857</v>
          </cell>
        </row>
        <row r="4158">
          <cell r="A4158">
            <v>890001639</v>
          </cell>
          <cell r="B4158" t="str">
            <v>1</v>
          </cell>
          <cell r="C4158" t="str">
            <v>116363000</v>
          </cell>
          <cell r="D4158" t="str">
            <v>NJ</v>
          </cell>
          <cell r="E4158" t="str">
            <v/>
          </cell>
          <cell r="F4158" t="str">
            <v/>
          </cell>
          <cell r="G4158" t="str">
            <v>DEPARTAMENTO DEL QUINDIO</v>
          </cell>
          <cell r="H4158" t="str">
            <v>IMVE</v>
          </cell>
          <cell r="I4158" t="str">
            <v>IMPUESTO SOBRE LAS VENTAS</v>
          </cell>
          <cell r="J4158" t="str">
            <v>CL 20  13   22 ED GOBERNACION</v>
          </cell>
          <cell r="K4158" t="str">
            <v>63001</v>
          </cell>
          <cell r="L4158" t="str">
            <v>ARMENIA</v>
          </cell>
          <cell r="M4158" t="str">
            <v>3156483748</v>
          </cell>
        </row>
        <row r="4159">
          <cell r="A4159">
            <v>890100531</v>
          </cell>
          <cell r="B4159" t="str">
            <v>8</v>
          </cell>
          <cell r="C4159" t="str">
            <v/>
          </cell>
          <cell r="D4159" t="str">
            <v>NJ</v>
          </cell>
          <cell r="E4159" t="str">
            <v/>
          </cell>
          <cell r="F4159" t="str">
            <v/>
          </cell>
          <cell r="G4159" t="str">
            <v xml:space="preserve">EXPRESO BRASILIA S.A                                        </v>
          </cell>
          <cell r="H4159" t="str">
            <v>RECO</v>
          </cell>
          <cell r="I4159" t="str">
            <v>REGIMEN COMUN</v>
          </cell>
          <cell r="J4159" t="str">
            <v xml:space="preserve">BARRANQUILLA                            </v>
          </cell>
          <cell r="K4159" t="str">
            <v>08001</v>
          </cell>
          <cell r="L4159" t="str">
            <v>BARRANQUILLA</v>
          </cell>
          <cell r="M4159" t="str">
            <v>8756262</v>
          </cell>
        </row>
        <row r="4160">
          <cell r="A4160">
            <v>890100577</v>
          </cell>
          <cell r="B4160" t="str">
            <v>6</v>
          </cell>
          <cell r="C4160" t="str">
            <v/>
          </cell>
          <cell r="D4160" t="str">
            <v>NJ</v>
          </cell>
          <cell r="E4160" t="str">
            <v/>
          </cell>
          <cell r="F4160" t="str">
            <v/>
          </cell>
          <cell r="G4160" t="str">
            <v>AEROVIAS DEL CONTINENTE AMERICANO S.A AVIANCA</v>
          </cell>
          <cell r="H4160" t="str">
            <v>GRCO</v>
          </cell>
          <cell r="I4160" t="str">
            <v>GRAN CONTRIBUYENTE</v>
          </cell>
          <cell r="J4160" t="str">
            <v>CR 51 B 80 58 LC 104 OF 1207 1208  1209</v>
          </cell>
          <cell r="K4160" t="str">
            <v>08001</v>
          </cell>
          <cell r="L4160" t="str">
            <v>BARRANQUILLA</v>
          </cell>
          <cell r="M4160" t="str">
            <v>5877403</v>
          </cell>
        </row>
        <row r="4161">
          <cell r="A4161">
            <v>890101138</v>
          </cell>
          <cell r="B4161" t="str">
            <v>0</v>
          </cell>
          <cell r="C4161" t="str">
            <v/>
          </cell>
          <cell r="D4161" t="str">
            <v>NJ</v>
          </cell>
          <cell r="E4161" t="str">
            <v/>
          </cell>
          <cell r="F4161" t="str">
            <v/>
          </cell>
          <cell r="G4161" t="str">
            <v>PELAEZ HERMANOS S.A.</v>
          </cell>
          <cell r="H4161" t="str">
            <v>GRAU</v>
          </cell>
          <cell r="I4161" t="str">
            <v>GRAN CONTRIBUYENTE AUTORRETENEDO</v>
          </cell>
          <cell r="J4161" t="str">
            <v>CR 32 17 09</v>
          </cell>
          <cell r="K4161" t="str">
            <v>11001</v>
          </cell>
          <cell r="L4161" t="str">
            <v>BOGOTA DC</v>
          </cell>
          <cell r="M4161" t="str">
            <v>3759555</v>
          </cell>
        </row>
        <row r="4162">
          <cell r="A4162">
            <v>890101994</v>
          </cell>
          <cell r="B4162" t="str">
            <v>9</v>
          </cell>
          <cell r="C4162" t="str">
            <v/>
          </cell>
          <cell r="D4162" t="str">
            <v>NJ</v>
          </cell>
          <cell r="E4162" t="str">
            <v/>
          </cell>
          <cell r="F4162" t="str">
            <v/>
          </cell>
          <cell r="G4162" t="str">
            <v>CAJA DE COMPENSACION FAMILIAR DEL ATLANTICO</v>
          </cell>
          <cell r="H4162" t="str">
            <v>RECO</v>
          </cell>
          <cell r="I4162" t="str">
            <v>REGIMEN COMUN</v>
          </cell>
          <cell r="J4162" t="str">
            <v>CL 79 47 61</v>
          </cell>
          <cell r="K4162" t="str">
            <v>02</v>
          </cell>
          <cell r="L4162" t="str">
            <v>BARRANQUILLA</v>
          </cell>
          <cell r="M4162" t="str">
            <v>3686262</v>
          </cell>
        </row>
        <row r="4163">
          <cell r="A4163">
            <v>890102018</v>
          </cell>
          <cell r="B4163" t="str">
            <v>1</v>
          </cell>
          <cell r="C4163" t="str">
            <v>210108001</v>
          </cell>
          <cell r="D4163" t="str">
            <v>NJ</v>
          </cell>
          <cell r="E4163" t="str">
            <v/>
          </cell>
          <cell r="F4163" t="str">
            <v/>
          </cell>
          <cell r="G4163" t="str">
            <v>DISTRITO ESPECIAL INDUSTRIAL Y PORTUARIO BARRANQUILLA</v>
          </cell>
          <cell r="H4163" t="str">
            <v>COIM</v>
          </cell>
          <cell r="I4163" t="str">
            <v>CONTROL DE IMPUESTOS</v>
          </cell>
          <cell r="J4163" t="str">
            <v>CL 34 43 31</v>
          </cell>
          <cell r="K4163" t="str">
            <v>08001</v>
          </cell>
          <cell r="L4163" t="str">
            <v>BARRANQUILLA</v>
          </cell>
          <cell r="M4163" t="str">
            <v>3399106</v>
          </cell>
        </row>
        <row r="4164">
          <cell r="A4164">
            <v>890103010</v>
          </cell>
          <cell r="B4164" t="str">
            <v>6</v>
          </cell>
          <cell r="C4164" t="str">
            <v/>
          </cell>
          <cell r="D4164" t="str">
            <v>NJ</v>
          </cell>
          <cell r="E4164" t="str">
            <v/>
          </cell>
          <cell r="F4164" t="str">
            <v/>
          </cell>
          <cell r="G4164" t="str">
            <v>CORPORACION ELECTRICA DE LA COSTA ATLANTICA</v>
          </cell>
          <cell r="H4164" t="str">
            <v>RECO</v>
          </cell>
          <cell r="I4164" t="str">
            <v>REGIMEN COMUN</v>
          </cell>
          <cell r="J4164" t="str">
            <v>CR 55   72  109 P   9</v>
          </cell>
          <cell r="K4164" t="str">
            <v>08001</v>
          </cell>
          <cell r="L4164" t="str">
            <v>BARRANQUILLA</v>
          </cell>
          <cell r="M4164" t="str">
            <v>3605006</v>
          </cell>
        </row>
        <row r="4165">
          <cell r="A4165">
            <v>890106278</v>
          </cell>
          <cell r="B4165" t="str">
            <v>6</v>
          </cell>
          <cell r="C4165" t="str">
            <v/>
          </cell>
          <cell r="D4165" t="str">
            <v>NJ</v>
          </cell>
          <cell r="E4165" t="str">
            <v/>
          </cell>
          <cell r="F4165" t="str">
            <v/>
          </cell>
          <cell r="G4165" t="str">
            <v>CASA DE LA VALVULA  S.A/CASAVAL S.A.</v>
          </cell>
          <cell r="H4165" t="str">
            <v>GRCO</v>
          </cell>
          <cell r="I4165" t="str">
            <v>GRAN CONTRIBUYENTE</v>
          </cell>
          <cell r="J4165" t="str">
            <v xml:space="preserve"> NOMBRE VIA 40  71 299</v>
          </cell>
          <cell r="K4165" t="str">
            <v>17001</v>
          </cell>
          <cell r="L4165" t="str">
            <v>MANIZALES</v>
          </cell>
          <cell r="M4165" t="str">
            <v>4927200</v>
          </cell>
        </row>
        <row r="4166">
          <cell r="A4166">
            <v>890107487</v>
          </cell>
          <cell r="B4166" t="str">
            <v>3</v>
          </cell>
          <cell r="C4166" t="str">
            <v/>
          </cell>
          <cell r="D4166" t="str">
            <v>NJ</v>
          </cell>
          <cell r="E4166" t="str">
            <v/>
          </cell>
          <cell r="F4166" t="str">
            <v/>
          </cell>
          <cell r="G4166" t="str">
            <v>OLIMPICA S.A.</v>
          </cell>
          <cell r="H4166" t="str">
            <v>GRCO</v>
          </cell>
          <cell r="I4166" t="str">
            <v>GRAN CONTRIBUYENTE</v>
          </cell>
          <cell r="J4166" t="str">
            <v>CL 53 46 192 LC 3 01</v>
          </cell>
          <cell r="K4166" t="str">
            <v>08001</v>
          </cell>
          <cell r="L4166" t="str">
            <v>BARRANQUILLA</v>
          </cell>
          <cell r="M4166" t="str">
            <v>3710350</v>
          </cell>
        </row>
        <row r="4167">
          <cell r="A4167">
            <v>890110294</v>
          </cell>
          <cell r="B4167" t="str">
            <v>1</v>
          </cell>
          <cell r="C4167" t="str">
            <v/>
          </cell>
          <cell r="D4167" t="str">
            <v>NJ</v>
          </cell>
          <cell r="E4167" t="str">
            <v/>
          </cell>
          <cell r="F4167" t="str">
            <v/>
          </cell>
          <cell r="G4167" t="str">
            <v>CENTRAL DE SOLDADURAS Y PROTECCION INDUSTRIAL SA</v>
          </cell>
          <cell r="H4167" t="str">
            <v>IMVE</v>
          </cell>
          <cell r="I4167" t="str">
            <v>IMPUESTO SOBRE LAS VENTAS</v>
          </cell>
          <cell r="J4167" t="str">
            <v>CL 42 46 48</v>
          </cell>
          <cell r="K4167" t="str">
            <v>08001</v>
          </cell>
          <cell r="L4167" t="str">
            <v>BARRANQUILLA</v>
          </cell>
          <cell r="M4167" t="str">
            <v>3671515</v>
          </cell>
        </row>
        <row r="4168">
          <cell r="A4168">
            <v>890110582</v>
          </cell>
          <cell r="B4168" t="str">
            <v>6</v>
          </cell>
          <cell r="C4168" t="str">
            <v/>
          </cell>
          <cell r="D4168" t="str">
            <v>NJ</v>
          </cell>
          <cell r="E4168" t="str">
            <v/>
          </cell>
          <cell r="F4168" t="str">
            <v/>
          </cell>
          <cell r="G4168" t="str">
            <v>VIÑAS RUSSI S.A.S</v>
          </cell>
          <cell r="H4168" t="str">
            <v>GRCO</v>
          </cell>
          <cell r="I4168" t="str">
            <v>GRAN CONTRIBUYENTE</v>
          </cell>
          <cell r="J4168" t="str">
            <v>CR 44   79   92</v>
          </cell>
          <cell r="K4168" t="str">
            <v>08001</v>
          </cell>
          <cell r="L4168" t="str">
            <v>BARRANQUILLA</v>
          </cell>
          <cell r="M4168" t="str">
            <v>3585232</v>
          </cell>
        </row>
        <row r="4169">
          <cell r="A4169">
            <v>890113643</v>
          </cell>
          <cell r="B4169" t="str">
            <v>0</v>
          </cell>
          <cell r="C4169" t="str">
            <v/>
          </cell>
          <cell r="D4169" t="str">
            <v>NJ</v>
          </cell>
          <cell r="E4169" t="str">
            <v/>
          </cell>
          <cell r="F4169" t="str">
            <v/>
          </cell>
          <cell r="G4169" t="str">
            <v xml:space="preserve">G Y G LTDA                                                  </v>
          </cell>
          <cell r="H4169" t="str">
            <v>RECO</v>
          </cell>
          <cell r="I4169" t="str">
            <v>REGIMEN COMUN</v>
          </cell>
          <cell r="J4169" t="str">
            <v>CL 13   33   35</v>
          </cell>
          <cell r="K4169" t="str">
            <v>08001</v>
          </cell>
          <cell r="L4169" t="str">
            <v>BARRANQUILLA</v>
          </cell>
          <cell r="M4169" t="str">
            <v>4189529</v>
          </cell>
        </row>
        <row r="4170">
          <cell r="A4170">
            <v>890114157</v>
          </cell>
          <cell r="B4170" t="str">
            <v>7</v>
          </cell>
          <cell r="C4170" t="str">
            <v/>
          </cell>
          <cell r="D4170" t="str">
            <v>NJ</v>
          </cell>
          <cell r="E4170" t="str">
            <v/>
          </cell>
          <cell r="F4170" t="str">
            <v/>
          </cell>
          <cell r="G4170" t="str">
            <v>TECNO FUEGO SAS</v>
          </cell>
          <cell r="H4170" t="str">
            <v>RECO</v>
          </cell>
          <cell r="I4170" t="str">
            <v>REGIMEN COMUN</v>
          </cell>
          <cell r="J4170" t="str">
            <v>CL 42 46 67</v>
          </cell>
          <cell r="K4170" t="str">
            <v>08001</v>
          </cell>
          <cell r="L4170" t="str">
            <v>BARRANQUILLA</v>
          </cell>
          <cell r="M4170" t="str">
            <v>3158915543</v>
          </cell>
        </row>
        <row r="4171">
          <cell r="A4171">
            <v>890116965</v>
          </cell>
          <cell r="B4171" t="str">
            <v>0</v>
          </cell>
          <cell r="C4171" t="str">
            <v>131310000</v>
          </cell>
          <cell r="D4171" t="str">
            <v>NJ</v>
          </cell>
          <cell r="E4171" t="str">
            <v/>
          </cell>
          <cell r="F4171" t="str">
            <v/>
          </cell>
          <cell r="G4171" t="str">
            <v>CANAL REGIONAL DE TELEVISION DEL CARIBE LTDA TELECARIBE</v>
          </cell>
          <cell r="H4171" t="str">
            <v>RCAU</v>
          </cell>
          <cell r="I4171" t="str">
            <v>RESPONSABLE IVA - AUTORETENEDOR</v>
          </cell>
          <cell r="J4171" t="str">
            <v>CR 30 1 2487 C U</v>
          </cell>
          <cell r="K4171" t="str">
            <v>94884</v>
          </cell>
          <cell r="L4171" t="str">
            <v>PUERTO COLOMBIA</v>
          </cell>
          <cell r="M4171" t="str">
            <v>3185050</v>
          </cell>
        </row>
        <row r="4172">
          <cell r="A4172">
            <v>890117277</v>
          </cell>
          <cell r="B4172" t="str">
            <v>6</v>
          </cell>
          <cell r="C4172" t="str">
            <v/>
          </cell>
          <cell r="D4172" t="str">
            <v>NJ</v>
          </cell>
          <cell r="E4172" t="str">
            <v/>
          </cell>
          <cell r="F4172" t="str">
            <v/>
          </cell>
          <cell r="G4172" t="str">
            <v>INSPECTORATE COLOMBIA LTDA</v>
          </cell>
          <cell r="H4172" t="str">
            <v>GRCO</v>
          </cell>
          <cell r="I4172" t="str">
            <v>GRAN CONTRIBUYENTE</v>
          </cell>
          <cell r="J4172" t="str">
            <v>CL 76 54 11 P 10 OF 1</v>
          </cell>
          <cell r="K4172" t="str">
            <v>08001</v>
          </cell>
          <cell r="L4172" t="str">
            <v>BARRANQUILLA</v>
          </cell>
          <cell r="M4172" t="str">
            <v>3606487</v>
          </cell>
        </row>
        <row r="4173">
          <cell r="A4173">
            <v>890200463</v>
          </cell>
          <cell r="B4173" t="str">
            <v>4</v>
          </cell>
          <cell r="C4173" t="str">
            <v/>
          </cell>
          <cell r="D4173" t="str">
            <v>NJ</v>
          </cell>
          <cell r="E4173" t="str">
            <v/>
          </cell>
          <cell r="F4173" t="str">
            <v/>
          </cell>
          <cell r="G4173" t="str">
            <v>GASEOSAS HIPINTO S.A.S</v>
          </cell>
          <cell r="H4173" t="str">
            <v>GRCO</v>
          </cell>
          <cell r="I4173" t="str">
            <v>GRAN CONTRIBUYENTE</v>
          </cell>
          <cell r="J4173" t="str">
            <v>CL 9  36-142</v>
          </cell>
          <cell r="K4173" t="str">
            <v>15238</v>
          </cell>
          <cell r="L4173" t="str">
            <v>DUITAMA</v>
          </cell>
          <cell r="M4173" t="str">
            <v>7604224</v>
          </cell>
        </row>
        <row r="4174">
          <cell r="A4174">
            <v>890200756</v>
          </cell>
          <cell r="B4174" t="str">
            <v>7</v>
          </cell>
          <cell r="C4174" t="str">
            <v/>
          </cell>
          <cell r="D4174" t="str">
            <v>NJ</v>
          </cell>
          <cell r="E4174" t="str">
            <v/>
          </cell>
          <cell r="F4174" t="str">
            <v/>
          </cell>
          <cell r="G4174" t="str">
            <v xml:space="preserve">INVERSORA PICHINCHA                                         </v>
          </cell>
          <cell r="H4174" t="str">
            <v>GRCO</v>
          </cell>
          <cell r="I4174" t="str">
            <v>GRAN CONTRIBUYENTE</v>
          </cell>
          <cell r="J4174" t="str">
            <v xml:space="preserve">CR 23 N 59  70                     </v>
          </cell>
          <cell r="K4174" t="str">
            <v>17001</v>
          </cell>
          <cell r="L4174" t="str">
            <v>MANIZALES</v>
          </cell>
          <cell r="M4174" t="str">
            <v>8856784</v>
          </cell>
        </row>
        <row r="4175">
          <cell r="A4175">
            <v>890200928</v>
          </cell>
          <cell r="B4175" t="str">
            <v>7</v>
          </cell>
          <cell r="C4175" t="str">
            <v/>
          </cell>
          <cell r="D4175" t="str">
            <v>NJ</v>
          </cell>
          <cell r="E4175" t="str">
            <v/>
          </cell>
          <cell r="F4175" t="str">
            <v/>
          </cell>
          <cell r="G4175" t="str">
            <v xml:space="preserve">COPETRAN                                                    </v>
          </cell>
          <cell r="H4175" t="str">
            <v>RECO</v>
          </cell>
          <cell r="I4175" t="str">
            <v>REGIMEN COMUN</v>
          </cell>
          <cell r="J4175" t="str">
            <v xml:space="preserve">CLL 55 N 17B 17                         </v>
          </cell>
          <cell r="K4175" t="str">
            <v>11001</v>
          </cell>
          <cell r="L4175" t="str">
            <v>BOGOTA DC</v>
          </cell>
          <cell r="M4175" t="str">
            <v>8756262</v>
          </cell>
        </row>
        <row r="4176">
          <cell r="A4176">
            <v>890201230</v>
          </cell>
          <cell r="B4176" t="str">
            <v>1</v>
          </cell>
          <cell r="C4176" t="str">
            <v>38900000</v>
          </cell>
          <cell r="D4176" t="str">
            <v>NJ</v>
          </cell>
          <cell r="E4176" t="str">
            <v/>
          </cell>
          <cell r="F4176" t="str">
            <v/>
          </cell>
          <cell r="G4176" t="str">
            <v>ELECTRIFICADORA DE SANTANDER SA ESP</v>
          </cell>
          <cell r="H4176" t="str">
            <v>GRAU</v>
          </cell>
          <cell r="I4176" t="str">
            <v>GRAN CONTRIBUYENTE AUTORRETENEDO</v>
          </cell>
          <cell r="J4176" t="str">
            <v>CR 19 24 56</v>
          </cell>
          <cell r="K4176" t="str">
            <v>68001</v>
          </cell>
          <cell r="L4176" t="str">
            <v>BUCARAMANGA</v>
          </cell>
          <cell r="M4176" t="str">
            <v>6339767</v>
          </cell>
        </row>
        <row r="4177">
          <cell r="A4177">
            <v>890204448</v>
          </cell>
          <cell r="B4177" t="str">
            <v>1</v>
          </cell>
          <cell r="C4177" t="str">
            <v/>
          </cell>
          <cell r="D4177" t="str">
            <v>NJ</v>
          </cell>
          <cell r="E4177" t="str">
            <v/>
          </cell>
          <cell r="F4177" t="str">
            <v/>
          </cell>
          <cell r="G4177" t="str">
            <v>INDUSTRIAS TANUZI S.A.</v>
          </cell>
          <cell r="H4177" t="str">
            <v>RECO</v>
          </cell>
          <cell r="I4177" t="str">
            <v>REGIMEN COMUN</v>
          </cell>
          <cell r="J4177" t="str">
            <v>CL 22 13 42</v>
          </cell>
          <cell r="K4177" t="str">
            <v>68001</v>
          </cell>
          <cell r="L4177" t="str">
            <v>BUCARAMANGA</v>
          </cell>
          <cell r="M4177" t="str">
            <v>6711340</v>
          </cell>
        </row>
        <row r="4178">
          <cell r="A4178">
            <v>890204643</v>
          </cell>
          <cell r="B4178" t="str">
            <v>1</v>
          </cell>
          <cell r="C4178" t="str">
            <v>215568655</v>
          </cell>
          <cell r="D4178" t="str">
            <v>NJ</v>
          </cell>
          <cell r="E4178" t="str">
            <v/>
          </cell>
          <cell r="F4178" t="str">
            <v/>
          </cell>
          <cell r="G4178" t="str">
            <v>MUNICIPIO DE SABANA DE TORRES</v>
          </cell>
          <cell r="H4178" t="str">
            <v>REIC</v>
          </cell>
          <cell r="I4178" t="str">
            <v>RENTA REGIMEN ESPECIAL</v>
          </cell>
          <cell r="J4178" t="str">
            <v>CL 11 11 06</v>
          </cell>
          <cell r="K4178" t="str">
            <v>68655</v>
          </cell>
          <cell r="L4178" t="str">
            <v>SABANA DE TORRES</v>
          </cell>
          <cell r="M4178" t="str">
            <v>76293412</v>
          </cell>
        </row>
        <row r="4179">
          <cell r="A4179">
            <v>890205438</v>
          </cell>
          <cell r="B4179" t="str">
            <v>2</v>
          </cell>
          <cell r="C4179" t="str">
            <v/>
          </cell>
          <cell r="D4179" t="str">
            <v>NJ</v>
          </cell>
          <cell r="E4179" t="str">
            <v/>
          </cell>
          <cell r="F4179" t="str">
            <v/>
          </cell>
          <cell r="G4179" t="str">
            <v xml:space="preserve">SINTRAELECOL                                                </v>
          </cell>
          <cell r="H4179" t="str">
            <v>RECO</v>
          </cell>
          <cell r="I4179" t="str">
            <v>REGIMEN COMUN</v>
          </cell>
          <cell r="J4179" t="str">
            <v>CL 20   25   60</v>
          </cell>
          <cell r="K4179" t="str">
            <v>15516</v>
          </cell>
          <cell r="L4179" t="str">
            <v>PAIPA</v>
          </cell>
          <cell r="M4179" t="str">
            <v>7853512</v>
          </cell>
        </row>
        <row r="4180">
          <cell r="A4180">
            <v>890205950</v>
          </cell>
          <cell r="B4180" t="str">
            <v>2</v>
          </cell>
          <cell r="C4180" t="str">
            <v/>
          </cell>
          <cell r="D4180" t="str">
            <v>NJ</v>
          </cell>
          <cell r="E4180" t="str">
            <v/>
          </cell>
          <cell r="F4180" t="str">
            <v/>
          </cell>
          <cell r="G4180" t="str">
            <v xml:space="preserve"> COMUNICACIONES DE SANTANDER S.A.S</v>
          </cell>
          <cell r="H4180" t="str">
            <v>IMVE</v>
          </cell>
          <cell r="I4180" t="str">
            <v>IMPUESTO SOBRE LAS VENTAS</v>
          </cell>
          <cell r="J4180" t="str">
            <v>TV O 90 102 OF 802 TO EMPRESARIAL CACIQUE</v>
          </cell>
          <cell r="K4180" t="str">
            <v>17001</v>
          </cell>
          <cell r="L4180" t="str">
            <v>MANIZALES</v>
          </cell>
          <cell r="M4180" t="str">
            <v>6 4 3 2 7 2 3</v>
          </cell>
        </row>
        <row r="4181">
          <cell r="A4181">
            <v>890206092</v>
          </cell>
          <cell r="B4181" t="str">
            <v>2</v>
          </cell>
          <cell r="C4181" t="str">
            <v/>
          </cell>
          <cell r="D4181" t="str">
            <v>NJ</v>
          </cell>
          <cell r="E4181" t="str">
            <v/>
          </cell>
          <cell r="F4181" t="str">
            <v/>
          </cell>
          <cell r="G4181" t="str">
            <v xml:space="preserve"> CONSTRUCTORA ORCA DE COLOMBIA S.A.S.</v>
          </cell>
          <cell r="H4181" t="str">
            <v>IMVE</v>
          </cell>
          <cell r="I4181" t="str">
            <v>IMPUESTO SOBRE LAS VENTAS</v>
          </cell>
          <cell r="J4181" t="str">
            <v>CR 31 51 74 TORRE MARDEL OF 508</v>
          </cell>
          <cell r="K4181" t="str">
            <v>68001</v>
          </cell>
          <cell r="L4181" t="str">
            <v>BUCARAMANGA</v>
          </cell>
          <cell r="M4181" t="str">
            <v>6436960</v>
          </cell>
        </row>
        <row r="4182">
          <cell r="A4182">
            <v>890206592</v>
          </cell>
          <cell r="B4182" t="str">
            <v>3</v>
          </cell>
          <cell r="C4182" t="str">
            <v/>
          </cell>
          <cell r="D4182" t="str">
            <v>NJ</v>
          </cell>
          <cell r="E4182" t="str">
            <v/>
          </cell>
          <cell r="F4182" t="str">
            <v/>
          </cell>
          <cell r="G4182" t="str">
            <v>ORLANDO RIASCOS F DISMACOR SA</v>
          </cell>
          <cell r="H4182" t="str">
            <v>GRCO</v>
          </cell>
          <cell r="I4182" t="str">
            <v>GRAN CONTRIBUYENTE</v>
          </cell>
          <cell r="J4182" t="str">
            <v>AV CIUDAD DE QUITO 78  40</v>
          </cell>
          <cell r="K4182" t="str">
            <v>11001</v>
          </cell>
          <cell r="L4182" t="str">
            <v>BOGOTA DC</v>
          </cell>
          <cell r="M4182" t="str">
            <v>3118188</v>
          </cell>
        </row>
        <row r="4183">
          <cell r="A4183">
            <v>890210462</v>
          </cell>
          <cell r="B4183" t="str">
            <v>1</v>
          </cell>
          <cell r="C4183" t="str">
            <v/>
          </cell>
          <cell r="D4183" t="str">
            <v>NJ</v>
          </cell>
          <cell r="E4183" t="str">
            <v/>
          </cell>
          <cell r="F4183" t="str">
            <v/>
          </cell>
          <cell r="G4183" t="str">
            <v>METALURGICA DE SANTANDER-GARCIA PRADA &amp; CIA LTDA, C.I.</v>
          </cell>
          <cell r="H4183" t="str">
            <v>RECO</v>
          </cell>
          <cell r="I4183" t="str">
            <v>REGIMEN COMUN</v>
          </cell>
          <cell r="J4183" t="str">
            <v>KM 7  AUT VIA GIRÓN</v>
          </cell>
          <cell r="K4183" t="str">
            <v>68307</v>
          </cell>
          <cell r="L4183" t="str">
            <v>GIRÓN</v>
          </cell>
          <cell r="M4183" t="str">
            <v>3138176514</v>
          </cell>
        </row>
        <row r="4184">
          <cell r="A4184">
            <v>890210534</v>
          </cell>
          <cell r="B4184" t="str">
            <v>1</v>
          </cell>
          <cell r="C4184" t="str">
            <v/>
          </cell>
          <cell r="D4184" t="str">
            <v>NJ</v>
          </cell>
          <cell r="E4184" t="str">
            <v/>
          </cell>
          <cell r="F4184" t="str">
            <v/>
          </cell>
          <cell r="G4184" t="str">
            <v>TRIENERGY S.A.</v>
          </cell>
          <cell r="H4184" t="str">
            <v>GRAU</v>
          </cell>
          <cell r="I4184" t="str">
            <v>GRAN CONTRIBUYENTE AUTORRETENEDO</v>
          </cell>
          <cell r="J4184" t="str">
            <v xml:space="preserve"> KM 7 AUT GIRON</v>
          </cell>
          <cell r="K4184" t="str">
            <v>68307</v>
          </cell>
          <cell r="L4184" t="str">
            <v>GIRÓN</v>
          </cell>
          <cell r="M4184" t="str">
            <v>4284266</v>
          </cell>
        </row>
        <row r="4185">
          <cell r="A4185">
            <v>890270414</v>
          </cell>
          <cell r="B4185" t="str">
            <v>2</v>
          </cell>
          <cell r="C4185" t="str">
            <v/>
          </cell>
          <cell r="D4185" t="str">
            <v>NJ</v>
          </cell>
          <cell r="E4185" t="str">
            <v/>
          </cell>
          <cell r="F4185" t="str">
            <v/>
          </cell>
          <cell r="G4185" t="str">
            <v>COOPERATIVA DE TRANSPORTADORES FLUVIALES Y TERRESTRES UNIDOS LTA</v>
          </cell>
          <cell r="H4185" t="str">
            <v>REIC</v>
          </cell>
          <cell r="I4185" t="str">
            <v>RENTA REGIMEN ESPECIAL</v>
          </cell>
          <cell r="J4185" t="str">
            <v>CL 49 1 35 SEC MUELLE</v>
          </cell>
          <cell r="K4185" t="str">
            <v>68081</v>
          </cell>
          <cell r="L4185" t="str">
            <v>BARRANCABERMEJA</v>
          </cell>
          <cell r="M4185" t="str">
            <v>76214879</v>
          </cell>
        </row>
        <row r="4186">
          <cell r="A4186">
            <v>890270738</v>
          </cell>
          <cell r="B4186" t="str">
            <v>3</v>
          </cell>
          <cell r="C4186" t="str">
            <v/>
          </cell>
          <cell r="D4186" t="str">
            <v>NJ</v>
          </cell>
          <cell r="E4186" t="str">
            <v/>
          </cell>
          <cell r="F4186" t="str">
            <v/>
          </cell>
          <cell r="G4186" t="str">
            <v>COOPERATIVA DE TRANSPORTADORES DEL MEDIO MAGDALENA LIMITADA</v>
          </cell>
          <cell r="H4186" t="str">
            <v>IMVE</v>
          </cell>
          <cell r="I4186" t="str">
            <v>IMPUESTO SOBRE LAS VENTAS</v>
          </cell>
          <cell r="J4186" t="str">
            <v>CR 25 28 18 BRR ALARCON</v>
          </cell>
          <cell r="K4186" t="str">
            <v>68001</v>
          </cell>
          <cell r="L4186" t="str">
            <v>BUCARAMANGA</v>
          </cell>
          <cell r="M4186" t="str">
            <v>6359808</v>
          </cell>
        </row>
        <row r="4187">
          <cell r="A4187">
            <v>890300225</v>
          </cell>
          <cell r="B4187" t="str">
            <v>7</v>
          </cell>
          <cell r="C4187" t="str">
            <v/>
          </cell>
          <cell r="D4187" t="str">
            <v>NJ</v>
          </cell>
          <cell r="E4187" t="str">
            <v/>
          </cell>
          <cell r="F4187" t="str">
            <v/>
          </cell>
          <cell r="G4187" t="str">
            <v>COEXITO SAS</v>
          </cell>
          <cell r="H4187" t="str">
            <v>GRAU</v>
          </cell>
          <cell r="I4187" t="str">
            <v>GRAN CONTRIBUYENTE AUTORRETENEDO</v>
          </cell>
          <cell r="J4187" t="str">
            <v>CR 5 61 A 95</v>
          </cell>
          <cell r="K4187" t="str">
            <v>76001</v>
          </cell>
          <cell r="L4187" t="str">
            <v>CALI</v>
          </cell>
          <cell r="M4187" t="str">
            <v>6910500</v>
          </cell>
        </row>
        <row r="4188">
          <cell r="A4188">
            <v>890300279</v>
          </cell>
          <cell r="B4188" t="str">
            <v>4</v>
          </cell>
          <cell r="C4188" t="str">
            <v/>
          </cell>
          <cell r="D4188" t="str">
            <v>NJ</v>
          </cell>
          <cell r="E4188" t="str">
            <v/>
          </cell>
          <cell r="F4188" t="str">
            <v/>
          </cell>
          <cell r="G4188" t="str">
            <v>BANCO DE OCCIDENTE</v>
          </cell>
          <cell r="H4188" t="str">
            <v>GRAU</v>
          </cell>
          <cell r="I4188" t="str">
            <v>GRAN CONTRIBUYENTE AUTORRETENEDO</v>
          </cell>
          <cell r="J4188" t="str">
            <v>CR 22   21 02</v>
          </cell>
          <cell r="K4188" t="str">
            <v>17001</v>
          </cell>
          <cell r="L4188" t="str">
            <v>MANIZALES</v>
          </cell>
          <cell r="M4188" t="str">
            <v>8845509</v>
          </cell>
        </row>
        <row r="4189">
          <cell r="A4189">
            <v>890300346</v>
          </cell>
          <cell r="B4189" t="str">
            <v>1</v>
          </cell>
          <cell r="C4189" t="str">
            <v/>
          </cell>
          <cell r="D4189" t="str">
            <v>NJ</v>
          </cell>
          <cell r="E4189" t="str">
            <v/>
          </cell>
          <cell r="F4189" t="str">
            <v/>
          </cell>
          <cell r="G4189" t="str">
            <v>ALMACENES LA 14</v>
          </cell>
          <cell r="H4189" t="str">
            <v>GRCO</v>
          </cell>
          <cell r="I4189" t="str">
            <v>GRAN CONTRIBUYENTE</v>
          </cell>
          <cell r="J4189" t="str">
            <v>CR 1   66   49 TO DE OFICINAS 4 P</v>
          </cell>
          <cell r="K4189" t="str">
            <v>76001</v>
          </cell>
          <cell r="L4189" t="str">
            <v>CALI</v>
          </cell>
          <cell r="M4189" t="str">
            <v>8842817</v>
          </cell>
        </row>
        <row r="4190">
          <cell r="A4190">
            <v>890300653</v>
          </cell>
          <cell r="B4190" t="str">
            <v>6</v>
          </cell>
          <cell r="C4190" t="str">
            <v/>
          </cell>
          <cell r="D4190" t="str">
            <v>NJ</v>
          </cell>
          <cell r="E4190" t="str">
            <v/>
          </cell>
          <cell r="F4190" t="str">
            <v/>
          </cell>
          <cell r="G4190" t="str">
            <v>CORFICOLOMBIANA</v>
          </cell>
          <cell r="H4190" t="str">
            <v>GRCO</v>
          </cell>
          <cell r="I4190" t="str">
            <v>GRAN CONTRIBUYENTE</v>
          </cell>
          <cell r="J4190" t="str">
            <v>CL 16   43 A 49</v>
          </cell>
          <cell r="K4190" t="str">
            <v>05001</v>
          </cell>
          <cell r="L4190" t="str">
            <v>MEDELLÍN</v>
          </cell>
          <cell r="M4190" t="str">
            <v>3197600</v>
          </cell>
        </row>
        <row r="4191">
          <cell r="A4191">
            <v>890300768</v>
          </cell>
          <cell r="B4191" t="str">
            <v>4</v>
          </cell>
          <cell r="C4191" t="str">
            <v/>
          </cell>
          <cell r="D4191" t="str">
            <v>NJ</v>
          </cell>
          <cell r="E4191" t="str">
            <v/>
          </cell>
          <cell r="F4191" t="str">
            <v/>
          </cell>
          <cell r="G4191" t="str">
            <v>LA BALINERA S.A.</v>
          </cell>
          <cell r="H4191" t="str">
            <v>RCAU</v>
          </cell>
          <cell r="I4191" t="str">
            <v>RESPONSABLE IVA - AUTORETENEDOR</v>
          </cell>
          <cell r="J4191" t="str">
            <v xml:space="preserve"> CR 8  34  03</v>
          </cell>
          <cell r="K4191" t="str">
            <v>76001</v>
          </cell>
          <cell r="L4191" t="str">
            <v>CALI</v>
          </cell>
          <cell r="M4191" t="str">
            <v>4860760</v>
          </cell>
        </row>
        <row r="4192">
          <cell r="A4192">
            <v>890300918</v>
          </cell>
          <cell r="B4192" t="str">
            <v>2</v>
          </cell>
          <cell r="C4192" t="str">
            <v/>
          </cell>
          <cell r="D4192" t="str">
            <v>NJ</v>
          </cell>
          <cell r="E4192" t="str">
            <v/>
          </cell>
          <cell r="F4192" t="str">
            <v/>
          </cell>
          <cell r="G4192" t="str">
            <v xml:space="preserve">SAGER S.A.                                                  </v>
          </cell>
          <cell r="H4192" t="str">
            <v>IMVE</v>
          </cell>
          <cell r="I4192" t="str">
            <v>IMPUESTO SOBRE LAS VENTAS</v>
          </cell>
          <cell r="J4192" t="str">
            <v xml:space="preserve"> CL 25  1 N  65</v>
          </cell>
          <cell r="K4192" t="str">
            <v>76001</v>
          </cell>
          <cell r="L4192" t="str">
            <v>CALI</v>
          </cell>
          <cell r="M4192" t="str">
            <v>8881288</v>
          </cell>
        </row>
        <row r="4193">
          <cell r="A4193">
            <v>890301577</v>
          </cell>
          <cell r="B4193" t="str">
            <v>9</v>
          </cell>
          <cell r="C4193" t="str">
            <v/>
          </cell>
          <cell r="D4193" t="str">
            <v>NJ</v>
          </cell>
          <cell r="E4193" t="str">
            <v/>
          </cell>
          <cell r="F4193" t="str">
            <v/>
          </cell>
          <cell r="G4193" t="str">
            <v>EXPRESO TREJOS LTDA</v>
          </cell>
          <cell r="H4193" t="str">
            <v>RECO</v>
          </cell>
          <cell r="I4193" t="str">
            <v>REGIMEN COMUN</v>
          </cell>
          <cell r="J4193" t="str">
            <v>CL 56   4   18</v>
          </cell>
          <cell r="K4193" t="str">
            <v>76001</v>
          </cell>
          <cell r="L4193" t="str">
            <v>CALI</v>
          </cell>
          <cell r="M4193" t="str">
            <v>6688330</v>
          </cell>
        </row>
        <row r="4194">
          <cell r="A4194">
            <v>890301584</v>
          </cell>
          <cell r="B4194" t="str">
            <v>0</v>
          </cell>
          <cell r="C4194" t="str">
            <v/>
          </cell>
          <cell r="D4194" t="str">
            <v>NJ</v>
          </cell>
          <cell r="E4194" t="str">
            <v/>
          </cell>
          <cell r="F4194" t="str">
            <v/>
          </cell>
          <cell r="G4194" t="str">
            <v xml:space="preserve">DELIMA MARSH A LOS CORREDORES DE SEGUROS                    </v>
          </cell>
          <cell r="H4194" t="str">
            <v>GRAU</v>
          </cell>
          <cell r="I4194" t="str">
            <v>GRAN CONTRIBUYENTE AUTORRETENEDO</v>
          </cell>
          <cell r="J4194" t="str">
            <v>CL 77   21 43</v>
          </cell>
          <cell r="K4194" t="str">
            <v>17001</v>
          </cell>
          <cell r="L4194" t="str">
            <v>MANIZALES</v>
          </cell>
          <cell r="M4194" t="str">
            <v>8865000</v>
          </cell>
        </row>
        <row r="4195">
          <cell r="A4195">
            <v>890301951</v>
          </cell>
          <cell r="B4195" t="str">
            <v>0</v>
          </cell>
          <cell r="C4195" t="str">
            <v/>
          </cell>
          <cell r="D4195" t="str">
            <v>NJ</v>
          </cell>
          <cell r="E4195" t="str">
            <v/>
          </cell>
          <cell r="F4195" t="str">
            <v/>
          </cell>
          <cell r="G4195" t="str">
            <v>LIBRERIA NACIONAL SA</v>
          </cell>
          <cell r="H4195" t="str">
            <v>RECO</v>
          </cell>
          <cell r="I4195" t="str">
            <v>REGIMEN COMUN</v>
          </cell>
          <cell r="J4195" t="str">
            <v>CR 5 N 11-50</v>
          </cell>
          <cell r="K4195" t="str">
            <v>76001</v>
          </cell>
          <cell r="L4195" t="str">
            <v>CALI</v>
          </cell>
          <cell r="M4195" t="str">
            <v>8833849</v>
          </cell>
        </row>
        <row r="4196">
          <cell r="A4196">
            <v>890303093</v>
          </cell>
          <cell r="B4196" t="str">
            <v>5</v>
          </cell>
          <cell r="C4196" t="str">
            <v/>
          </cell>
          <cell r="D4196" t="str">
            <v>NJ</v>
          </cell>
          <cell r="E4196" t="str">
            <v/>
          </cell>
          <cell r="F4196" t="str">
            <v/>
          </cell>
          <cell r="G4196" t="str">
            <v>Confenalco Valle de la Gente</v>
          </cell>
          <cell r="H4196" t="str">
            <v>GRCO</v>
          </cell>
          <cell r="I4196" t="str">
            <v>GRAN CONTRIBUYENTE</v>
          </cell>
          <cell r="J4196" t="str">
            <v>Cl. 5 #6-63</v>
          </cell>
          <cell r="K4196" t="str">
            <v>76001</v>
          </cell>
          <cell r="L4196" t="str">
            <v>CALI</v>
          </cell>
          <cell r="M4196" t="str">
            <v>8862727</v>
          </cell>
        </row>
        <row r="4197">
          <cell r="A4197">
            <v>890304099</v>
          </cell>
          <cell r="B4197" t="str">
            <v>3</v>
          </cell>
          <cell r="C4197" t="str">
            <v/>
          </cell>
          <cell r="D4197" t="str">
            <v>NJ</v>
          </cell>
          <cell r="E4197" t="str">
            <v/>
          </cell>
          <cell r="F4197" t="str">
            <v/>
          </cell>
          <cell r="G4197" t="str">
            <v>HOTELES ESTELAR SA</v>
          </cell>
          <cell r="H4197" t="str">
            <v>GRAU</v>
          </cell>
          <cell r="I4197" t="str">
            <v>GRAN CONTRIBUYENTE AUTORRETENEDO</v>
          </cell>
          <cell r="J4197" t="str">
            <v xml:space="preserve"> AV COLOMBIA  2 72</v>
          </cell>
          <cell r="K4197" t="str">
            <v>76001</v>
          </cell>
          <cell r="L4197" t="str">
            <v>CALI</v>
          </cell>
          <cell r="M4197" t="str">
            <v>8842009</v>
          </cell>
        </row>
        <row r="4198">
          <cell r="A4198">
            <v>890311274</v>
          </cell>
          <cell r="B4198" t="str">
            <v>5</v>
          </cell>
          <cell r="C4198" t="str">
            <v/>
          </cell>
          <cell r="D4198" t="str">
            <v>NJ</v>
          </cell>
          <cell r="E4198" t="str">
            <v/>
          </cell>
          <cell r="F4198" t="str">
            <v/>
          </cell>
          <cell r="G4198" t="str">
            <v>CARVAJAL ESPACIOS S.A.S</v>
          </cell>
          <cell r="H4198" t="str">
            <v>GRAU</v>
          </cell>
          <cell r="I4198" t="str">
            <v>GRAN CONTRIBUYENTE AUTORRETENEDO</v>
          </cell>
          <cell r="J4198" t="str">
            <v>CL 29 NORTE   6 A   40</v>
          </cell>
          <cell r="K4198" t="str">
            <v>76001</v>
          </cell>
          <cell r="L4198" t="str">
            <v>CALI</v>
          </cell>
          <cell r="M4198" t="str">
            <v>6602100</v>
          </cell>
        </row>
        <row r="4199">
          <cell r="A4199">
            <v>890311875</v>
          </cell>
          <cell r="B4199" t="str">
            <v>1</v>
          </cell>
          <cell r="C4199" t="str">
            <v/>
          </cell>
          <cell r="D4199" t="str">
            <v>NJ</v>
          </cell>
          <cell r="E4199" t="str">
            <v/>
          </cell>
          <cell r="F4199" t="str">
            <v/>
          </cell>
          <cell r="G4199" t="str">
            <v xml:space="preserve">SCHNEIDER ELECTRIC DE COLOMBIA S.A.                         </v>
          </cell>
          <cell r="H4199" t="str">
            <v>GRAU</v>
          </cell>
          <cell r="I4199" t="str">
            <v>GRAN CONTRIBUYENTE AUTORRETENEDO</v>
          </cell>
          <cell r="J4199" t="str">
            <v xml:space="preserve"> COMPLEJO INDUSTRIAL CELTA TRADE PARK   BG 105  KM 7 1  AUT BOGO</v>
          </cell>
          <cell r="K4199" t="str">
            <v>25286</v>
          </cell>
          <cell r="L4199" t="str">
            <v>FUNZA</v>
          </cell>
          <cell r="M4199" t="str">
            <v>4269700</v>
          </cell>
        </row>
        <row r="4200">
          <cell r="A4200">
            <v>890312688</v>
          </cell>
          <cell r="B4200" t="str">
            <v>5</v>
          </cell>
          <cell r="C4200" t="str">
            <v/>
          </cell>
          <cell r="D4200" t="str">
            <v>NJ</v>
          </cell>
          <cell r="E4200" t="str">
            <v/>
          </cell>
          <cell r="F4200" t="str">
            <v/>
          </cell>
          <cell r="G4200" t="str">
            <v>EDIFICADORA CONTINENTAL S.A.</v>
          </cell>
          <cell r="H4200" t="str">
            <v>RCAU</v>
          </cell>
          <cell r="I4200" t="str">
            <v>RESPONSABLE IVA - AUTORETENEDOR</v>
          </cell>
          <cell r="J4200" t="str">
            <v>AV COLOMBIA 1 40</v>
          </cell>
          <cell r="K4200" t="str">
            <v>76001</v>
          </cell>
          <cell r="L4200" t="str">
            <v>CALI</v>
          </cell>
          <cell r="M4200" t="str">
            <v>8933000</v>
          </cell>
        </row>
        <row r="4201">
          <cell r="A4201">
            <v>890312765</v>
          </cell>
          <cell r="B4201" t="str">
            <v>4</v>
          </cell>
          <cell r="C4201" t="str">
            <v/>
          </cell>
          <cell r="D4201" t="str">
            <v>NJ</v>
          </cell>
          <cell r="E4201" t="str">
            <v/>
          </cell>
          <cell r="F4201" t="str">
            <v/>
          </cell>
          <cell r="G4201" t="str">
            <v>MORELCO SAS</v>
          </cell>
          <cell r="H4201" t="str">
            <v>GRCO</v>
          </cell>
          <cell r="I4201" t="str">
            <v>GRAN CONTRIBUYENTE</v>
          </cell>
          <cell r="J4201" t="str">
            <v>CR 13 A 98 75 P 6</v>
          </cell>
          <cell r="K4201" t="str">
            <v>11001</v>
          </cell>
          <cell r="L4201" t="str">
            <v>BOGOTA DC</v>
          </cell>
          <cell r="M4201" t="str">
            <v>5188880</v>
          </cell>
        </row>
        <row r="4202">
          <cell r="A4202">
            <v>890312779</v>
          </cell>
          <cell r="B4202" t="str">
            <v>7</v>
          </cell>
          <cell r="C4202" t="str">
            <v/>
          </cell>
          <cell r="D4202" t="str">
            <v>NJ</v>
          </cell>
          <cell r="E4202" t="str">
            <v/>
          </cell>
          <cell r="F4202" t="str">
            <v/>
          </cell>
          <cell r="G4202" t="str">
            <v>S SERVICIOS Y ASESORIAS S.A.S.</v>
          </cell>
          <cell r="H4202" t="str">
            <v>GRCO</v>
          </cell>
          <cell r="I4202" t="str">
            <v>GRAN CONTRIBUYENTE</v>
          </cell>
          <cell r="J4202" t="str">
            <v xml:space="preserve"> CL 23 A  4 N 11</v>
          </cell>
          <cell r="K4202" t="str">
            <v>76001</v>
          </cell>
          <cell r="L4202" t="str">
            <v>CALI</v>
          </cell>
          <cell r="M4202" t="str">
            <v>5243666</v>
          </cell>
        </row>
        <row r="4203">
          <cell r="A4203">
            <v>890316137</v>
          </cell>
          <cell r="B4203" t="str">
            <v>7</v>
          </cell>
          <cell r="C4203" t="str">
            <v/>
          </cell>
          <cell r="D4203" t="str">
            <v>NJ</v>
          </cell>
          <cell r="E4203" t="str">
            <v/>
          </cell>
          <cell r="F4203" t="str">
            <v/>
          </cell>
          <cell r="G4203" t="str">
            <v xml:space="preserve"> AEROPUERTO</v>
          </cell>
          <cell r="H4203" t="str">
            <v>RESI</v>
          </cell>
          <cell r="I4203" t="str">
            <v>REGIMEN SIMPLIFICADO</v>
          </cell>
          <cell r="J4203" t="str">
            <v>CD CALI</v>
          </cell>
          <cell r="K4203" t="str">
            <v>76001</v>
          </cell>
          <cell r="L4203" t="str">
            <v>CALI</v>
          </cell>
          <cell r="M4203" t="str">
            <v>6680648</v>
          </cell>
        </row>
        <row r="4204">
          <cell r="A4204">
            <v>890316376</v>
          </cell>
          <cell r="B4204" t="str">
            <v>0</v>
          </cell>
          <cell r="C4204" t="str">
            <v/>
          </cell>
          <cell r="D4204" t="str">
            <v>NJ</v>
          </cell>
          <cell r="E4204" t="str">
            <v/>
          </cell>
          <cell r="F4204" t="str">
            <v/>
          </cell>
          <cell r="G4204" t="str">
            <v>LINEAS CONSUL S.A.</v>
          </cell>
          <cell r="H4204" t="str">
            <v>RECO</v>
          </cell>
          <cell r="I4204" t="str">
            <v>REGIMEN COMUN</v>
          </cell>
          <cell r="J4204" t="str">
            <v>TER TRANSPORTE</v>
          </cell>
          <cell r="K4204" t="str">
            <v>76001</v>
          </cell>
          <cell r="L4204" t="str">
            <v>CALI</v>
          </cell>
          <cell r="M4204" t="str">
            <v>2-6616310</v>
          </cell>
        </row>
        <row r="4205">
          <cell r="A4205">
            <v>890319494</v>
          </cell>
          <cell r="B4205" t="str">
            <v>5</v>
          </cell>
          <cell r="C4205" t="str">
            <v/>
          </cell>
          <cell r="D4205" t="str">
            <v>NJ</v>
          </cell>
          <cell r="E4205" t="str">
            <v/>
          </cell>
          <cell r="F4205" t="str">
            <v/>
          </cell>
          <cell r="G4205" t="str">
            <v>IPSOS NAPOLEON FRANCO &amp; CIA SAS</v>
          </cell>
          <cell r="H4205" t="str">
            <v>RCAU</v>
          </cell>
          <cell r="I4205" t="str">
            <v>RESPONSABLE IVA - AUTORETENEDOR</v>
          </cell>
          <cell r="J4205" t="str">
            <v>CL 74  11  81  P  5</v>
          </cell>
          <cell r="K4205" t="str">
            <v>11001</v>
          </cell>
          <cell r="L4205" t="str">
            <v>BOGOTA DC</v>
          </cell>
          <cell r="M4205" t="str">
            <v>3769400</v>
          </cell>
        </row>
        <row r="4206">
          <cell r="A4206">
            <v>890319806</v>
          </cell>
          <cell r="B4206" t="str">
            <v>1</v>
          </cell>
          <cell r="C4206" t="str">
            <v/>
          </cell>
          <cell r="D4206" t="str">
            <v>NJ</v>
          </cell>
          <cell r="E4206" t="str">
            <v/>
          </cell>
          <cell r="F4206" t="str">
            <v/>
          </cell>
          <cell r="G4206" t="str">
            <v>MERCADEO SAS</v>
          </cell>
          <cell r="H4206" t="str">
            <v>RECO</v>
          </cell>
          <cell r="I4206" t="str">
            <v>REGIMEN COMUN</v>
          </cell>
          <cell r="J4206" t="str">
            <v>CL 55 NORTE 4 N 110 BRR LA FLORA INDUSTRIAL</v>
          </cell>
          <cell r="K4206" t="str">
            <v>76001</v>
          </cell>
          <cell r="L4206" t="str">
            <v>CALI</v>
          </cell>
          <cell r="M4206" t="str">
            <v>3135287570</v>
          </cell>
        </row>
        <row r="4207">
          <cell r="A4207">
            <v>890320064</v>
          </cell>
          <cell r="B4207" t="str">
            <v>3</v>
          </cell>
          <cell r="C4207" t="str">
            <v/>
          </cell>
          <cell r="D4207" t="str">
            <v>NJ</v>
          </cell>
          <cell r="E4207" t="str">
            <v/>
          </cell>
          <cell r="F4207" t="str">
            <v/>
          </cell>
          <cell r="G4207" t="str">
            <v xml:space="preserve">GERS S.A.                                                   </v>
          </cell>
          <cell r="H4207" t="str">
            <v>RECO</v>
          </cell>
          <cell r="I4207" t="str">
            <v>REGIMEN COMUN</v>
          </cell>
          <cell r="J4207" t="str">
            <v xml:space="preserve">CL 3A 65 118                            </v>
          </cell>
          <cell r="K4207" t="str">
            <v>76001</v>
          </cell>
          <cell r="L4207" t="str">
            <v>CALI</v>
          </cell>
          <cell r="M4207" t="str">
            <v>3243786</v>
          </cell>
        </row>
        <row r="4208">
          <cell r="A4208">
            <v>890322204</v>
          </cell>
          <cell r="B4208" t="str">
            <v>7</v>
          </cell>
          <cell r="C4208" t="str">
            <v/>
          </cell>
          <cell r="D4208" t="str">
            <v>NJ</v>
          </cell>
          <cell r="E4208" t="str">
            <v/>
          </cell>
          <cell r="F4208" t="str">
            <v/>
          </cell>
          <cell r="G4208" t="str">
            <v>BOBINADOS TECNICOS INGENIERIA S.A</v>
          </cell>
          <cell r="H4208" t="str">
            <v>RECO</v>
          </cell>
          <cell r="I4208" t="str">
            <v>REGIMEN COMUN</v>
          </cell>
          <cell r="J4208" t="str">
            <v>CR 12  23 20 BRR OBRERO</v>
          </cell>
          <cell r="K4208" t="str">
            <v>76001</v>
          </cell>
          <cell r="L4208" t="str">
            <v>CALI</v>
          </cell>
          <cell r="M4208" t="str">
            <v>8893022</v>
          </cell>
        </row>
        <row r="4209">
          <cell r="A4209">
            <v>890323635</v>
          </cell>
          <cell r="B4209" t="str">
            <v>2</v>
          </cell>
          <cell r="C4209" t="str">
            <v/>
          </cell>
          <cell r="D4209" t="str">
            <v>NJ</v>
          </cell>
          <cell r="E4209" t="str">
            <v/>
          </cell>
          <cell r="F4209" t="str">
            <v/>
          </cell>
          <cell r="G4209" t="str">
            <v>EL COMERCIO ELECTRICO S.A.S.</v>
          </cell>
          <cell r="H4209" t="str">
            <v>RECO</v>
          </cell>
          <cell r="I4209" t="str">
            <v>REGIMEN COMUN</v>
          </cell>
          <cell r="J4209" t="str">
            <v>CR 6 18 02 BRR SAN NICOLAS</v>
          </cell>
          <cell r="K4209" t="str">
            <v>76001</v>
          </cell>
          <cell r="L4209" t="str">
            <v>CALI</v>
          </cell>
          <cell r="M4209" t="str">
            <v>8836645</v>
          </cell>
        </row>
        <row r="4210">
          <cell r="A4210">
            <v>890323645</v>
          </cell>
          <cell r="B4210" t="str">
            <v>6</v>
          </cell>
          <cell r="C4210" t="str">
            <v/>
          </cell>
          <cell r="D4210" t="str">
            <v>NJ</v>
          </cell>
          <cell r="E4210" t="str">
            <v/>
          </cell>
          <cell r="F4210" t="str">
            <v/>
          </cell>
          <cell r="G4210" t="str">
            <v>ENERGIZAR SAS</v>
          </cell>
          <cell r="H4210" t="str">
            <v>IMVE</v>
          </cell>
          <cell r="I4210" t="str">
            <v>IMPUESTO SOBRE LAS VENTAS</v>
          </cell>
          <cell r="J4210" t="str">
            <v xml:space="preserve"> CR 38 15 135</v>
          </cell>
          <cell r="K4210" t="str">
            <v>76001</v>
          </cell>
          <cell r="L4210" t="str">
            <v>CALI</v>
          </cell>
          <cell r="M4210" t="str">
            <v>3175155586</v>
          </cell>
        </row>
        <row r="4211">
          <cell r="A4211">
            <v>890325187</v>
          </cell>
          <cell r="B4211" t="str">
            <v>3</v>
          </cell>
          <cell r="C4211" t="str">
            <v/>
          </cell>
          <cell r="D4211" t="str">
            <v>NJ</v>
          </cell>
          <cell r="E4211" t="str">
            <v/>
          </cell>
          <cell r="F4211" t="str">
            <v/>
          </cell>
          <cell r="G4211" t="str">
            <v>MEDINI INGENIERIA S.A.S.</v>
          </cell>
          <cell r="H4211" t="str">
            <v>IMVE</v>
          </cell>
          <cell r="I4211" t="str">
            <v>IMPUESTO SOBRE LAS VENTAS</v>
          </cell>
          <cell r="J4211" t="str">
            <v>CR 1 20 30</v>
          </cell>
          <cell r="K4211" t="str">
            <v>76001</v>
          </cell>
          <cell r="L4211" t="str">
            <v>CALI</v>
          </cell>
          <cell r="M4211" t="str">
            <v>8810424</v>
          </cell>
        </row>
        <row r="4212">
          <cell r="A4212">
            <v>890327072</v>
          </cell>
          <cell r="B4212" t="str">
            <v>4</v>
          </cell>
          <cell r="C4212" t="str">
            <v/>
          </cell>
          <cell r="D4212" t="str">
            <v>NJ</v>
          </cell>
          <cell r="E4212" t="str">
            <v/>
          </cell>
          <cell r="F4212" t="str">
            <v/>
          </cell>
          <cell r="G4212" t="str">
            <v>IME INGENIERIA DE MAQUINAS ELECTRICAS S.A.</v>
          </cell>
          <cell r="H4212" t="str">
            <v>RECO</v>
          </cell>
          <cell r="I4212" t="str">
            <v>REGIMEN COMUN</v>
          </cell>
          <cell r="J4212" t="str">
            <v>CL 56   5 N   126</v>
          </cell>
          <cell r="K4212" t="str">
            <v>76001</v>
          </cell>
          <cell r="L4212" t="str">
            <v>CALI</v>
          </cell>
          <cell r="M4212" t="str">
            <v>4469994</v>
          </cell>
        </row>
        <row r="4213">
          <cell r="A4213">
            <v>890327996</v>
          </cell>
          <cell r="B4213" t="str">
            <v>4</v>
          </cell>
          <cell r="C4213" t="str">
            <v/>
          </cell>
          <cell r="D4213" t="str">
            <v>NJ</v>
          </cell>
          <cell r="E4213" t="str">
            <v/>
          </cell>
          <cell r="F4213" t="str">
            <v/>
          </cell>
          <cell r="G4213" t="str">
            <v>PROYECTOS DE INFRAESTRUCTURA S.A. PISA</v>
          </cell>
          <cell r="H4213" t="str">
            <v>GRCO</v>
          </cell>
          <cell r="I4213" t="str">
            <v>GRAN CONTRIBUYENTE</v>
          </cell>
          <cell r="J4213" t="str">
            <v>CL 10 N 4 47 P 10</v>
          </cell>
          <cell r="K4213" t="str">
            <v>76001</v>
          </cell>
          <cell r="L4213" t="str">
            <v>CALI</v>
          </cell>
          <cell r="M4213" t="str">
            <v>0572 485 1596</v>
          </cell>
        </row>
        <row r="4214">
          <cell r="A4214">
            <v>890328195</v>
          </cell>
          <cell r="B4214" t="str">
            <v>6</v>
          </cell>
          <cell r="C4214" t="str">
            <v/>
          </cell>
          <cell r="D4214" t="str">
            <v>NJ</v>
          </cell>
          <cell r="E4214" t="str">
            <v/>
          </cell>
          <cell r="F4214" t="str">
            <v/>
          </cell>
          <cell r="G4214" t="str">
            <v>PROICOM S.A.S</v>
          </cell>
          <cell r="H4214" t="str">
            <v>IMVE</v>
          </cell>
          <cell r="I4214" t="str">
            <v>IMPUESTO SOBRE LAS VENTAS</v>
          </cell>
          <cell r="J4214" t="str">
            <v>CR 7 16 50 OF 402 BRR CENTRO</v>
          </cell>
          <cell r="K4214" t="str">
            <v>66001</v>
          </cell>
          <cell r="L4214" t="str">
            <v>PEREIRA</v>
          </cell>
          <cell r="M4214" t="str">
            <v>3413516</v>
          </cell>
        </row>
        <row r="4215">
          <cell r="A4215">
            <v>890328444</v>
          </cell>
          <cell r="B4215" t="str">
            <v>5</v>
          </cell>
          <cell r="C4215" t="str">
            <v/>
          </cell>
          <cell r="D4215" t="str">
            <v>NJ</v>
          </cell>
          <cell r="E4215" t="str">
            <v/>
          </cell>
          <cell r="F4215" t="str">
            <v/>
          </cell>
          <cell r="G4215" t="str">
            <v>PRODUCTOS ALIMENTICIOS LA LOCURA S.A.</v>
          </cell>
          <cell r="H4215" t="str">
            <v>RECO</v>
          </cell>
          <cell r="I4215" t="str">
            <v>REGIMEN COMUN</v>
          </cell>
          <cell r="J4215" t="str">
            <v>CR 23 CL 65</v>
          </cell>
          <cell r="K4215" t="str">
            <v>17001</v>
          </cell>
          <cell r="L4215" t="str">
            <v>MANIZALES</v>
          </cell>
          <cell r="M4215" t="str">
            <v>6828288</v>
          </cell>
        </row>
        <row r="4216">
          <cell r="A4216">
            <v>890328485</v>
          </cell>
          <cell r="B4216" t="str">
            <v>7</v>
          </cell>
          <cell r="C4216" t="str">
            <v/>
          </cell>
          <cell r="D4216" t="str">
            <v>NJ</v>
          </cell>
          <cell r="E4216" t="str">
            <v/>
          </cell>
          <cell r="F4216" t="str">
            <v/>
          </cell>
          <cell r="G4216" t="str">
            <v>PRODUCTOS DE CAUCHO Y LONA S.A.S</v>
          </cell>
          <cell r="H4216" t="str">
            <v>COIM</v>
          </cell>
          <cell r="I4216" t="str">
            <v>CONTROL DE IMPUESTOS</v>
          </cell>
          <cell r="J4216" t="str">
            <v>CR 38   14   70</v>
          </cell>
          <cell r="K4216" t="str">
            <v>76892</v>
          </cell>
          <cell r="L4216" t="str">
            <v>YUMBO</v>
          </cell>
          <cell r="M4216" t="str">
            <v>6901194</v>
          </cell>
        </row>
        <row r="4217">
          <cell r="A4217">
            <v>890330605</v>
          </cell>
          <cell r="B4217" t="str">
            <v>0</v>
          </cell>
          <cell r="C4217" t="str">
            <v/>
          </cell>
          <cell r="D4217" t="str">
            <v>NJ</v>
          </cell>
          <cell r="E4217" t="str">
            <v/>
          </cell>
          <cell r="F4217" t="str">
            <v/>
          </cell>
          <cell r="G4217" t="str">
            <v>DIVIMUEBLES OTERO SAS</v>
          </cell>
          <cell r="H4217" t="str">
            <v>RECO</v>
          </cell>
          <cell r="I4217" t="str">
            <v>REGIMEN COMUN</v>
          </cell>
          <cell r="J4217" t="str">
            <v>AV 6 A NORTE 25 N 54</v>
          </cell>
          <cell r="K4217" t="str">
            <v>76001</v>
          </cell>
          <cell r="L4217" t="str">
            <v>CALI</v>
          </cell>
          <cell r="M4217" t="str">
            <v>3137312631</v>
          </cell>
        </row>
        <row r="4218">
          <cell r="A4218">
            <v>890331634</v>
          </cell>
          <cell r="B4218" t="str">
            <v>9</v>
          </cell>
          <cell r="C4218" t="str">
            <v/>
          </cell>
          <cell r="D4218" t="str">
            <v>NJ</v>
          </cell>
          <cell r="E4218" t="str">
            <v/>
          </cell>
          <cell r="F4218" t="str">
            <v/>
          </cell>
          <cell r="G4218" t="str">
            <v>IMPORTACION TECNICA ESTUDIOS Y COMERCIALIZACION S.A.</v>
          </cell>
          <cell r="H4218" t="str">
            <v>RECO</v>
          </cell>
          <cell r="I4218" t="str">
            <v>REGIMEN COMUN</v>
          </cell>
          <cell r="J4218" t="str">
            <v>CL 20 1 30</v>
          </cell>
          <cell r="K4218" t="str">
            <v>76001</v>
          </cell>
          <cell r="L4218" t="str">
            <v>CALI</v>
          </cell>
          <cell r="M4218" t="str">
            <v>8899400</v>
          </cell>
        </row>
        <row r="4219">
          <cell r="A4219">
            <v>890399001</v>
          </cell>
          <cell r="B4219" t="str">
            <v>1</v>
          </cell>
          <cell r="C4219" t="str">
            <v/>
          </cell>
          <cell r="D4219" t="str">
            <v>NJ</v>
          </cell>
          <cell r="E4219" t="str">
            <v/>
          </cell>
          <cell r="F4219" t="str">
            <v/>
          </cell>
          <cell r="G4219" t="str">
            <v>CAMARA DE COMERCIO DE CALI</v>
          </cell>
          <cell r="H4219" t="str">
            <v>RECO</v>
          </cell>
          <cell r="I4219" t="str">
            <v>REGIMEN COMUN</v>
          </cell>
          <cell r="J4219" t="str">
            <v>CALLE 8 3 14   BRR CENTRO</v>
          </cell>
          <cell r="K4219" t="str">
            <v>76001</v>
          </cell>
          <cell r="L4219" t="str">
            <v>CALI</v>
          </cell>
          <cell r="M4219" t="str">
            <v>8861300</v>
          </cell>
        </row>
        <row r="4220">
          <cell r="A4220">
            <v>890399003</v>
          </cell>
          <cell r="B4220" t="str">
            <v>4</v>
          </cell>
          <cell r="C4220" t="str">
            <v>231276001</v>
          </cell>
          <cell r="D4220" t="str">
            <v>NJ</v>
          </cell>
          <cell r="E4220" t="str">
            <v/>
          </cell>
          <cell r="F4220" t="str">
            <v/>
          </cell>
          <cell r="G4220" t="str">
            <v xml:space="preserve">EMPRESAS MUNICIPALES DE CALI E.I.C.E ESP.                   </v>
          </cell>
          <cell r="H4220" t="str">
            <v>GRCO</v>
          </cell>
          <cell r="I4220" t="str">
            <v>GRAN CONTRIBUYENTE</v>
          </cell>
          <cell r="J4220" t="str">
            <v xml:space="preserve">AV 2 NORTE CLS 11y 12 CAM TO    </v>
          </cell>
          <cell r="K4220" t="str">
            <v>76001</v>
          </cell>
          <cell r="L4220" t="str">
            <v>CALI</v>
          </cell>
          <cell r="M4220" t="str">
            <v>6510300</v>
          </cell>
        </row>
        <row r="4221">
          <cell r="A4221">
            <v>890399045</v>
          </cell>
          <cell r="B4221" t="str">
            <v>3</v>
          </cell>
          <cell r="C4221" t="str">
            <v>210976109</v>
          </cell>
          <cell r="D4221" t="str">
            <v>NJ</v>
          </cell>
          <cell r="E4221" t="str">
            <v/>
          </cell>
          <cell r="F4221" t="str">
            <v/>
          </cell>
          <cell r="G4221" t="str">
            <v>BUENAVENTURA DISTRITO ESPECIAL INDUSTRIAL, PORTUARIO, BIODIVERSO</v>
          </cell>
          <cell r="H4221" t="str">
            <v>COIM</v>
          </cell>
          <cell r="I4221" t="str">
            <v>CONTROL DE IMPUESTOS</v>
          </cell>
          <cell r="J4221" t="str">
            <v>CLLE 2 CRA 3 EDIFICIO EL CAM SEC CENTRO</v>
          </cell>
          <cell r="K4221" t="str">
            <v>76109</v>
          </cell>
          <cell r="L4221" t="str">
            <v>BUENAVENTURA</v>
          </cell>
          <cell r="M4221" t="str">
            <v>922412898</v>
          </cell>
        </row>
        <row r="4222">
          <cell r="A4222">
            <v>890400442</v>
          </cell>
          <cell r="B4222" t="str">
            <v>8</v>
          </cell>
          <cell r="C4222" t="str">
            <v/>
          </cell>
          <cell r="D4222" t="str">
            <v>NJ</v>
          </cell>
          <cell r="E4222" t="str">
            <v/>
          </cell>
          <cell r="F4222" t="str">
            <v/>
          </cell>
          <cell r="G4222" t="str">
            <v>UNITRANSCO</v>
          </cell>
          <cell r="H4222" t="str">
            <v>RESI</v>
          </cell>
          <cell r="I4222" t="str">
            <v>REGIMEN SIMPLIFICADO</v>
          </cell>
          <cell r="J4222" t="str">
            <v>TERMINAL DE TRANSPORTES BARRANQUILLA</v>
          </cell>
          <cell r="K4222" t="str">
            <v>17001</v>
          </cell>
          <cell r="L4222" t="str">
            <v>MANIZALES</v>
          </cell>
          <cell r="M4222" t="str">
            <v>0000</v>
          </cell>
        </row>
        <row r="4223">
          <cell r="A4223">
            <v>890401427</v>
          </cell>
          <cell r="B4223" t="str">
            <v>1</v>
          </cell>
          <cell r="C4223" t="str">
            <v/>
          </cell>
          <cell r="D4223" t="str">
            <v>NJ</v>
          </cell>
          <cell r="E4223" t="str">
            <v/>
          </cell>
          <cell r="F4223" t="str">
            <v/>
          </cell>
          <cell r="G4223" t="str">
            <v>COMPAÑIA HOTELERA CARTAGENA DE INDIAS S.A</v>
          </cell>
          <cell r="H4223" t="str">
            <v>RECO</v>
          </cell>
          <cell r="I4223" t="str">
            <v>REGIMEN COMUN</v>
          </cell>
          <cell r="J4223" t="str">
            <v>BRR LAGUITO HOTEL HILTON CARTAGENA CR 1 A   5   14</v>
          </cell>
          <cell r="K4223" t="str">
            <v>13001</v>
          </cell>
          <cell r="L4223" t="str">
            <v>CARTAGENA</v>
          </cell>
          <cell r="M4223" t="str">
            <v>6654219</v>
          </cell>
        </row>
        <row r="4224">
          <cell r="A4224">
            <v>890404190</v>
          </cell>
          <cell r="B4224" t="str">
            <v>5</v>
          </cell>
          <cell r="C4224" t="str">
            <v/>
          </cell>
          <cell r="D4224" t="str">
            <v>NJ</v>
          </cell>
          <cell r="E4224" t="str">
            <v/>
          </cell>
          <cell r="F4224" t="str">
            <v/>
          </cell>
          <cell r="G4224" t="str">
            <v>AGENCIA DE ADUANAS GAMA SAS NIVEL 1</v>
          </cell>
          <cell r="H4224" t="str">
            <v>IMVE</v>
          </cell>
          <cell r="I4224" t="str">
            <v>IMPUESTO SOBRE LAS VENTAS</v>
          </cell>
          <cell r="J4224" t="str">
            <v>CL DEL ARSENAL 8 B 39 BRR GETSEMANI</v>
          </cell>
          <cell r="K4224" t="str">
            <v>13001</v>
          </cell>
          <cell r="L4224" t="str">
            <v>CARTAGENA</v>
          </cell>
          <cell r="M4224" t="str">
            <v>3145813409</v>
          </cell>
        </row>
        <row r="4225">
          <cell r="A4225">
            <v>890404389</v>
          </cell>
          <cell r="B4225" t="str">
            <v>3</v>
          </cell>
          <cell r="C4225" t="str">
            <v/>
          </cell>
          <cell r="D4225" t="str">
            <v>NJ</v>
          </cell>
          <cell r="E4225" t="str">
            <v/>
          </cell>
          <cell r="F4225" t="str">
            <v/>
          </cell>
          <cell r="G4225" t="str">
            <v>PROMOTORA TURISTICA DEL CARIBE PROTUCARIBE</v>
          </cell>
          <cell r="H4225" t="str">
            <v>GRCO</v>
          </cell>
          <cell r="I4225" t="str">
            <v>GRAN CONTRIBUYENTE</v>
          </cell>
          <cell r="J4225" t="str">
            <v>CR 9 22 263</v>
          </cell>
          <cell r="K4225" t="str">
            <v>13001</v>
          </cell>
          <cell r="L4225" t="str">
            <v>CARTAGENA</v>
          </cell>
          <cell r="M4225" t="str">
            <v>6567222</v>
          </cell>
        </row>
        <row r="4226">
          <cell r="A4226">
            <v>890404970</v>
          </cell>
          <cell r="B4226" t="str">
            <v>3</v>
          </cell>
          <cell r="C4226" t="str">
            <v/>
          </cell>
          <cell r="D4226" t="str">
            <v>NJ</v>
          </cell>
          <cell r="E4226" t="str">
            <v/>
          </cell>
          <cell r="F4226" t="str">
            <v/>
          </cell>
          <cell r="G4226" t="str">
            <v>GRUPO HOTELERO MAR Y SOL S.A</v>
          </cell>
          <cell r="H4226" t="str">
            <v>RECO</v>
          </cell>
          <cell r="I4226" t="str">
            <v>REGIMEN COMUN</v>
          </cell>
          <cell r="J4226" t="str">
            <v>BRR BOCAGRANDE CR 1 2 87</v>
          </cell>
          <cell r="K4226" t="str">
            <v>13001</v>
          </cell>
          <cell r="L4226" t="str">
            <v>CARTAGENA</v>
          </cell>
          <cell r="M4226" t="str">
            <v>6650155</v>
          </cell>
        </row>
        <row r="4227">
          <cell r="A4227">
            <v>890480006</v>
          </cell>
          <cell r="B4227" t="str">
            <v>1</v>
          </cell>
          <cell r="C4227" t="str">
            <v>214413744</v>
          </cell>
          <cell r="D4227" t="str">
            <v>NJ</v>
          </cell>
          <cell r="E4227" t="str">
            <v/>
          </cell>
          <cell r="F4227" t="str">
            <v/>
          </cell>
          <cell r="G4227" t="str">
            <v>ALCALDIA MUNICIPAL SIMITI BOLIVAR</v>
          </cell>
          <cell r="H4227" t="str">
            <v>GRCO</v>
          </cell>
          <cell r="I4227" t="str">
            <v>GRAN CONTRIBUYENTE</v>
          </cell>
          <cell r="J4227" t="str">
            <v>CL 12 5 31</v>
          </cell>
          <cell r="K4227" t="str">
            <v>13744</v>
          </cell>
          <cell r="L4227" t="str">
            <v>SIMITÍ</v>
          </cell>
          <cell r="M4227" t="str">
            <v>095 2699076</v>
          </cell>
        </row>
        <row r="4228">
          <cell r="A4228">
            <v>890480059</v>
          </cell>
          <cell r="B4228" t="str">
            <v>1</v>
          </cell>
          <cell r="C4228" t="str">
            <v>111313000</v>
          </cell>
          <cell r="D4228" t="str">
            <v>NJ</v>
          </cell>
          <cell r="E4228" t="str">
            <v/>
          </cell>
          <cell r="F4228" t="str">
            <v/>
          </cell>
          <cell r="G4228" t="str">
            <v>DEPARTAMENTO DE BOLIVAR</v>
          </cell>
          <cell r="H4228" t="str">
            <v>GRCO</v>
          </cell>
          <cell r="I4228" t="str">
            <v>GRAN CONTRIBUYENTE</v>
          </cell>
          <cell r="J4228" t="str">
            <v>BRR MANGA ED EL IMAN  AV TERCERA CL 28 24   79</v>
          </cell>
          <cell r="K4228" t="str">
            <v>13001</v>
          </cell>
          <cell r="L4228" t="str">
            <v>CARTAGENA</v>
          </cell>
          <cell r="M4228" t="str">
            <v>6517444</v>
          </cell>
        </row>
        <row r="4229">
          <cell r="A4229">
            <v>890480431</v>
          </cell>
          <cell r="B4229" t="str">
            <v>9</v>
          </cell>
          <cell r="C4229" t="str">
            <v>217313473</v>
          </cell>
          <cell r="D4229" t="str">
            <v>NJ</v>
          </cell>
          <cell r="E4229" t="str">
            <v/>
          </cell>
          <cell r="F4229" t="str">
            <v/>
          </cell>
          <cell r="G4229" t="str">
            <v>MUNICIPIO DE MORALES - BOLIVAR</v>
          </cell>
          <cell r="H4229" t="str">
            <v>COIM</v>
          </cell>
          <cell r="I4229" t="str">
            <v>CONTROL DE IMPUESTOS</v>
          </cell>
          <cell r="J4229" t="str">
            <v>CR 2 17 05 BRR CENTRO</v>
          </cell>
          <cell r="K4229" t="str">
            <v>17001</v>
          </cell>
          <cell r="L4229" t="str">
            <v>MANIZALES</v>
          </cell>
          <cell r="M4229" t="str">
            <v>3124818264</v>
          </cell>
        </row>
        <row r="4230">
          <cell r="A4230">
            <v>890500466</v>
          </cell>
          <cell r="B4230" t="str">
            <v>3</v>
          </cell>
          <cell r="C4230" t="str">
            <v/>
          </cell>
          <cell r="D4230" t="str">
            <v>NJ</v>
          </cell>
          <cell r="E4230" t="str">
            <v/>
          </cell>
          <cell r="F4230" t="str">
            <v/>
          </cell>
          <cell r="G4230" t="str">
            <v>EXTRA RAPIDO LOS MOTILONES S.A.</v>
          </cell>
          <cell r="H4230" t="str">
            <v>IMVE</v>
          </cell>
          <cell r="I4230" t="str">
            <v>IMPUESTO SOBRE LAS VENTAS</v>
          </cell>
          <cell r="J4230" t="str">
            <v>AV 3 2 34 Y 2 38 F A CONJ BRR LA MERCED</v>
          </cell>
          <cell r="K4230" t="str">
            <v>54001</v>
          </cell>
          <cell r="L4230" t="str">
            <v>CÚCUTA</v>
          </cell>
          <cell r="M4230" t="str">
            <v>5721766</v>
          </cell>
        </row>
        <row r="4231">
          <cell r="A4231">
            <v>890500514</v>
          </cell>
          <cell r="B4231" t="str">
            <v>9</v>
          </cell>
          <cell r="C4231" t="str">
            <v>37400000</v>
          </cell>
          <cell r="D4231" t="str">
            <v>NJ</v>
          </cell>
          <cell r="E4231" t="str">
            <v/>
          </cell>
          <cell r="F4231" t="str">
            <v/>
          </cell>
          <cell r="G4231" t="str">
            <v>CENTRALES ELECTRICAS DEL NORTE DE SANTANDER S.A. EMPRESA DE SERV</v>
          </cell>
          <cell r="H4231" t="str">
            <v>GRAU</v>
          </cell>
          <cell r="I4231" t="str">
            <v>GRAN CONTRIBUYENTE AUTORRETENEDO</v>
          </cell>
          <cell r="J4231" t="str">
            <v xml:space="preserve"> AV 7  5 N  220 BRR SEVILLA</v>
          </cell>
          <cell r="K4231" t="str">
            <v>54001</v>
          </cell>
          <cell r="L4231" t="str">
            <v>CÚCUTA</v>
          </cell>
          <cell r="M4231" t="str">
            <v>5824444</v>
          </cell>
        </row>
        <row r="4232">
          <cell r="A4232">
            <v>890500726</v>
          </cell>
          <cell r="B4232" t="str">
            <v>3</v>
          </cell>
          <cell r="C4232" t="str">
            <v/>
          </cell>
          <cell r="D4232" t="str">
            <v>NJ</v>
          </cell>
          <cell r="E4232" t="str">
            <v/>
          </cell>
          <cell r="F4232" t="str">
            <v/>
          </cell>
          <cell r="G4232" t="str">
            <v>NORTESANTANDEREANA DE GAS S.A  E.S.P</v>
          </cell>
          <cell r="H4232" t="str">
            <v>GRCO</v>
          </cell>
          <cell r="I4232" t="str">
            <v>GRAN CONTRIBUYENTE</v>
          </cell>
          <cell r="J4232" t="str">
            <v>NORTESANTANDEREANA DE GAS S.A  E.S.P</v>
          </cell>
          <cell r="K4232" t="str">
            <v>11001</v>
          </cell>
          <cell r="L4232" t="str">
            <v>BOGOTA DC</v>
          </cell>
          <cell r="M4232" t="str">
            <v>5780178</v>
          </cell>
        </row>
        <row r="4233">
          <cell r="A4233">
            <v>890501119</v>
          </cell>
          <cell r="B4233" t="str">
            <v>7</v>
          </cell>
          <cell r="C4233" t="str">
            <v/>
          </cell>
          <cell r="D4233" t="str">
            <v>NJ</v>
          </cell>
          <cell r="E4233" t="str">
            <v/>
          </cell>
          <cell r="F4233" t="str">
            <v/>
          </cell>
          <cell r="G4233" t="str">
            <v>COOPERATIVA DE TRANSPORTADORES UNIDOS DE OCAÑA LTDA</v>
          </cell>
          <cell r="H4233" t="str">
            <v>RECO</v>
          </cell>
          <cell r="I4233" t="str">
            <v>REGIMEN COMUN</v>
          </cell>
          <cell r="J4233" t="str">
            <v>CL 7 A 44 03</v>
          </cell>
          <cell r="K4233" t="str">
            <v>54498</v>
          </cell>
          <cell r="L4233" t="str">
            <v>OCAÑA</v>
          </cell>
          <cell r="M4233" t="str">
            <v>5611050</v>
          </cell>
        </row>
        <row r="4234">
          <cell r="A4234">
            <v>890504280</v>
          </cell>
          <cell r="B4234" t="str">
            <v>9</v>
          </cell>
          <cell r="C4234" t="str">
            <v/>
          </cell>
          <cell r="D4234" t="str">
            <v>NJ</v>
          </cell>
          <cell r="E4234" t="str">
            <v/>
          </cell>
          <cell r="F4234" t="str">
            <v/>
          </cell>
          <cell r="G4234" t="str">
            <v>INGELETEL LTDA</v>
          </cell>
          <cell r="H4234" t="str">
            <v>RECO</v>
          </cell>
          <cell r="I4234" t="str">
            <v>REGIMEN COMUN</v>
          </cell>
          <cell r="J4234" t="str">
            <v>AV 12 E   4   30 IN 401</v>
          </cell>
          <cell r="K4234" t="str">
            <v>54001</v>
          </cell>
          <cell r="L4234" t="str">
            <v>CÚCUTA</v>
          </cell>
          <cell r="M4234" t="str">
            <v>5772727</v>
          </cell>
        </row>
        <row r="4235">
          <cell r="A4235">
            <v>890505327</v>
          </cell>
          <cell r="B4235" t="str">
            <v>0</v>
          </cell>
          <cell r="C4235" t="str">
            <v/>
          </cell>
          <cell r="D4235" t="str">
            <v>NJ</v>
          </cell>
          <cell r="E4235" t="str">
            <v/>
          </cell>
          <cell r="F4235" t="str">
            <v/>
          </cell>
          <cell r="G4235" t="str">
            <v>HOTELES CASA BLANCA SA</v>
          </cell>
          <cell r="H4235" t="str">
            <v>RECO</v>
          </cell>
          <cell r="I4235" t="str">
            <v>REGIMEN COMUN</v>
          </cell>
          <cell r="J4235" t="str">
            <v>AV 6 14 55</v>
          </cell>
          <cell r="K4235" t="str">
            <v>15224</v>
          </cell>
          <cell r="L4235" t="str">
            <v>CUCAITA</v>
          </cell>
          <cell r="M4235" t="str">
            <v>5722993</v>
          </cell>
        </row>
        <row r="4236">
          <cell r="A4236">
            <v>890700179</v>
          </cell>
          <cell r="B4236" t="str">
            <v>2</v>
          </cell>
          <cell r="C4236" t="str">
            <v/>
          </cell>
          <cell r="D4236" t="str">
            <v>NJ</v>
          </cell>
          <cell r="E4236" t="str">
            <v/>
          </cell>
          <cell r="F4236" t="str">
            <v/>
          </cell>
          <cell r="G4236" t="str">
            <v>COMPAÑIA AUTOMOTORA DEL TOLIMA  COLTOLIMA LTDA</v>
          </cell>
          <cell r="H4236" t="str">
            <v>GRAU</v>
          </cell>
          <cell r="I4236" t="str">
            <v>GRAN CONTRIBUYENTE AUTORRETENEDO</v>
          </cell>
          <cell r="J4236" t="str">
            <v>KM 2 VIA MIROLINDO BRR MIROLINDO</v>
          </cell>
          <cell r="K4236" t="str">
            <v>73001</v>
          </cell>
          <cell r="L4236" t="str">
            <v>IBAGUÉ</v>
          </cell>
          <cell r="M4236" t="str">
            <v>2770199</v>
          </cell>
        </row>
        <row r="4237">
          <cell r="A4237">
            <v>890700189</v>
          </cell>
          <cell r="B4237" t="str">
            <v>6</v>
          </cell>
          <cell r="C4237" t="str">
            <v/>
          </cell>
          <cell r="D4237" t="str">
            <v>NJ</v>
          </cell>
          <cell r="E4237" t="str">
            <v/>
          </cell>
          <cell r="F4237" t="str">
            <v/>
          </cell>
          <cell r="G4237" t="str">
            <v>COOPERATIVA DE TRANSPORTES VELOTAX</v>
          </cell>
          <cell r="H4237" t="str">
            <v>RECO</v>
          </cell>
          <cell r="I4237" t="str">
            <v>REGIMEN COMUN</v>
          </cell>
          <cell r="J4237" t="str">
            <v>CR 6 21 34</v>
          </cell>
          <cell r="K4237" t="str">
            <v>17001</v>
          </cell>
          <cell r="L4237" t="str">
            <v>MANIZALES</v>
          </cell>
          <cell r="M4237" t="str">
            <v>2611550</v>
          </cell>
        </row>
        <row r="4238">
          <cell r="A4238">
            <v>890700476</v>
          </cell>
          <cell r="B4238" t="str">
            <v>5</v>
          </cell>
          <cell r="C4238" t="str">
            <v/>
          </cell>
          <cell r="D4238" t="str">
            <v>NJ</v>
          </cell>
          <cell r="E4238" t="str">
            <v/>
          </cell>
          <cell r="F4238" t="str">
            <v/>
          </cell>
          <cell r="G4238" t="str">
            <v>TRANSPORTES RAPIDO TOLIMA S.A.</v>
          </cell>
          <cell r="H4238" t="str">
            <v>RECO</v>
          </cell>
          <cell r="I4238" t="str">
            <v>REGIMEN COMUN</v>
          </cell>
          <cell r="J4238" t="str">
            <v>TER DE TRANSPORTES TAQUILLA N  161 IBAGUE</v>
          </cell>
          <cell r="K4238" t="str">
            <v>73001</v>
          </cell>
          <cell r="L4238" t="str">
            <v>IBAGUÉ</v>
          </cell>
          <cell r="M4238" t="str">
            <v>2611559</v>
          </cell>
        </row>
        <row r="4239">
          <cell r="A4239">
            <v>890704196</v>
          </cell>
          <cell r="B4239" t="str">
            <v>6</v>
          </cell>
          <cell r="C4239" t="str">
            <v/>
          </cell>
          <cell r="D4239" t="str">
            <v>NJ</v>
          </cell>
          <cell r="E4239" t="str">
            <v/>
          </cell>
          <cell r="F4239" t="str">
            <v/>
          </cell>
          <cell r="G4239" t="str">
            <v xml:space="preserve">AIRES S.A                                                   </v>
          </cell>
          <cell r="H4239" t="str">
            <v>RECO</v>
          </cell>
          <cell r="I4239" t="str">
            <v>REGIMEN COMUN</v>
          </cell>
          <cell r="J4239" t="str">
            <v xml:space="preserve">CR 23 60 26                             </v>
          </cell>
          <cell r="K4239" t="str">
            <v>17001</v>
          </cell>
          <cell r="L4239" t="str">
            <v>MANIZALES</v>
          </cell>
          <cell r="M4239" t="str">
            <v>19003319440</v>
          </cell>
        </row>
        <row r="4240">
          <cell r="A4240">
            <v>890800006</v>
          </cell>
          <cell r="B4240" t="str">
            <v>6</v>
          </cell>
          <cell r="C4240" t="str">
            <v/>
          </cell>
          <cell r="D4240" t="str">
            <v>NJ</v>
          </cell>
          <cell r="E4240" t="str">
            <v/>
          </cell>
          <cell r="F4240" t="str">
            <v/>
          </cell>
          <cell r="G4240" t="str">
            <v>TURISMAN S.A.S</v>
          </cell>
          <cell r="H4240" t="str">
            <v>IMVE</v>
          </cell>
          <cell r="I4240" t="str">
            <v>IMPUESTO SOBRE LAS VENTAS</v>
          </cell>
          <cell r="J4240" t="str">
            <v xml:space="preserve"> CR 23 N 70 77</v>
          </cell>
          <cell r="K4240" t="str">
            <v>17001</v>
          </cell>
          <cell r="L4240" t="str">
            <v>MANIZALES</v>
          </cell>
          <cell r="M4240" t="str">
            <v>8819999</v>
          </cell>
        </row>
        <row r="4241">
          <cell r="A4241">
            <v>890800062</v>
          </cell>
          <cell r="B4241" t="str">
            <v>9</v>
          </cell>
          <cell r="C4241" t="str">
            <v/>
          </cell>
          <cell r="D4241" t="str">
            <v>NJ</v>
          </cell>
          <cell r="E4241" t="str">
            <v/>
          </cell>
          <cell r="F4241" t="str">
            <v/>
          </cell>
          <cell r="G4241" t="str">
            <v xml:space="preserve">AUTOLEGAL S A                                               </v>
          </cell>
          <cell r="H4241" t="str">
            <v>RECO</v>
          </cell>
          <cell r="I4241" t="str">
            <v>REGIMEN COMUN</v>
          </cell>
          <cell r="J4241" t="str">
            <v xml:space="preserve">CL 23 N 19 45                        </v>
          </cell>
          <cell r="K4241" t="str">
            <v>17001</v>
          </cell>
          <cell r="L4241" t="str">
            <v>MANIZALES</v>
          </cell>
          <cell r="M4241" t="str">
            <v>8847144</v>
          </cell>
        </row>
        <row r="4242">
          <cell r="A4242">
            <v>890800120</v>
          </cell>
          <cell r="B4242" t="str">
            <v>8</v>
          </cell>
          <cell r="C4242" t="str">
            <v/>
          </cell>
          <cell r="D4242" t="str">
            <v>NJ</v>
          </cell>
          <cell r="E4242" t="str">
            <v/>
          </cell>
          <cell r="F4242" t="str">
            <v/>
          </cell>
          <cell r="G4242" t="str">
            <v xml:space="preserve">CASA LOPEZ S.A                                              </v>
          </cell>
          <cell r="H4242" t="str">
            <v>IMVE</v>
          </cell>
          <cell r="I4242" t="str">
            <v>IMPUESTO SOBRE LAS VENTAS</v>
          </cell>
          <cell r="J4242" t="str">
            <v>CR 23 39 39 SEC CENTRO</v>
          </cell>
          <cell r="K4242" t="str">
            <v>17001</v>
          </cell>
          <cell r="L4242" t="str">
            <v>MANIZALES</v>
          </cell>
          <cell r="M4242" t="str">
            <v>8727111</v>
          </cell>
        </row>
        <row r="4243">
          <cell r="A4243">
            <v>890800128</v>
          </cell>
          <cell r="B4243" t="str">
            <v>6</v>
          </cell>
          <cell r="C4243" t="str">
            <v>37217000</v>
          </cell>
          <cell r="D4243" t="str">
            <v>NJ</v>
          </cell>
          <cell r="E4243" t="str">
            <v/>
          </cell>
          <cell r="F4243" t="str">
            <v/>
          </cell>
          <cell r="G4243" t="str">
            <v>CENTRAL HIDROELECTRICA  DE CALDAS S A E.S.P</v>
          </cell>
          <cell r="H4243" t="str">
            <v>GRCO</v>
          </cell>
          <cell r="I4243" t="str">
            <v>GRAN CONTRIBUYENTE</v>
          </cell>
          <cell r="J4243" t="str">
            <v>KM 2 SALIDA CHINCHINA ESTACION URIBE</v>
          </cell>
          <cell r="K4243" t="str">
            <v>17001</v>
          </cell>
          <cell r="L4243" t="str">
            <v>MANIZALES</v>
          </cell>
          <cell r="M4243" t="str">
            <v>8899000</v>
          </cell>
        </row>
        <row r="4244">
          <cell r="A4244">
            <v>890800131</v>
          </cell>
          <cell r="B4244" t="str">
            <v>9</v>
          </cell>
          <cell r="C4244" t="str">
            <v/>
          </cell>
          <cell r="D4244" t="str">
            <v>NJ</v>
          </cell>
          <cell r="E4244" t="str">
            <v/>
          </cell>
          <cell r="F4244" t="str">
            <v/>
          </cell>
          <cell r="G4244" t="str">
            <v>CENTRO DE CONTADORES PUBLICOS DE MANIZALES-CEDECONTA</v>
          </cell>
          <cell r="H4244" t="str">
            <v>REIC</v>
          </cell>
          <cell r="I4244" t="str">
            <v>RENTA REGIMEN ESPECIAL</v>
          </cell>
          <cell r="J4244" t="str">
            <v>CL 23  23 16 OF 403  ED CAJA SOCIAL DE AHORROS</v>
          </cell>
          <cell r="K4244" t="str">
            <v>17001</v>
          </cell>
          <cell r="L4244" t="str">
            <v>MANIZALES</v>
          </cell>
          <cell r="M4244" t="str">
            <v>8848980</v>
          </cell>
        </row>
        <row r="4245">
          <cell r="A4245">
            <v>890800182</v>
          </cell>
          <cell r="B4245" t="str">
            <v>4</v>
          </cell>
          <cell r="C4245" t="str">
            <v/>
          </cell>
          <cell r="D4245" t="str">
            <v>NJ</v>
          </cell>
          <cell r="E4245" t="str">
            <v/>
          </cell>
          <cell r="F4245" t="str">
            <v/>
          </cell>
          <cell r="G4245" t="str">
            <v>COOPERATIVA OVINA DE MARULANDA</v>
          </cell>
          <cell r="H4245" t="str">
            <v>IMVE</v>
          </cell>
          <cell r="I4245" t="str">
            <v>IMPUESTO SOBRE LAS VENTAS</v>
          </cell>
          <cell r="J4245" t="str">
            <v>PLAZA PRINCIOPAL MARULANDA CALDAS</v>
          </cell>
          <cell r="K4245" t="str">
            <v>17446</v>
          </cell>
          <cell r="L4245" t="str">
            <v>MARULANDA</v>
          </cell>
          <cell r="M4245" t="str">
            <v>8498532</v>
          </cell>
        </row>
        <row r="4246">
          <cell r="A4246">
            <v>890800184</v>
          </cell>
          <cell r="B4246" t="str">
            <v>9</v>
          </cell>
          <cell r="C4246" t="str">
            <v/>
          </cell>
          <cell r="D4246" t="str">
            <v>NJ</v>
          </cell>
          <cell r="E4246" t="str">
            <v/>
          </cell>
          <cell r="F4246" t="str">
            <v/>
          </cell>
          <cell r="G4246" t="str">
            <v>COOPERATIVA DE TRANSPORTE TAX LA FERIA</v>
          </cell>
          <cell r="H4246" t="str">
            <v>RECO</v>
          </cell>
          <cell r="I4246" t="str">
            <v>REGIMEN COMUN</v>
          </cell>
          <cell r="J4246" t="str">
            <v>CR 17 N 18 22</v>
          </cell>
          <cell r="K4246" t="str">
            <v>17001</v>
          </cell>
          <cell r="L4246" t="str">
            <v>MANIZALES</v>
          </cell>
          <cell r="M4246" t="str">
            <v>8288912</v>
          </cell>
        </row>
        <row r="4247">
          <cell r="A4247">
            <v>890800234</v>
          </cell>
          <cell r="B4247" t="str">
            <v>9</v>
          </cell>
          <cell r="C4247" t="str">
            <v/>
          </cell>
          <cell r="D4247" t="str">
            <v>NJ</v>
          </cell>
          <cell r="E4247" t="str">
            <v/>
          </cell>
          <cell r="F4247" t="str">
            <v/>
          </cell>
          <cell r="G4247" t="str">
            <v>EDITORIAL LA PATRIA S.A</v>
          </cell>
          <cell r="H4247" t="str">
            <v>IMVE</v>
          </cell>
          <cell r="I4247" t="str">
            <v>IMPUESTO SOBRE LAS VENTAS</v>
          </cell>
          <cell r="J4247" t="str">
            <v>CR 20   46 35</v>
          </cell>
          <cell r="K4247" t="str">
            <v>17001</v>
          </cell>
          <cell r="L4247" t="str">
            <v>MANIZALES</v>
          </cell>
          <cell r="M4247" t="str">
            <v>8781700</v>
          </cell>
        </row>
        <row r="4248">
          <cell r="A4248">
            <v>890800235</v>
          </cell>
          <cell r="B4248" t="str">
            <v>6</v>
          </cell>
          <cell r="C4248" t="str">
            <v/>
          </cell>
          <cell r="D4248" t="str">
            <v>NJ</v>
          </cell>
          <cell r="E4248" t="str">
            <v/>
          </cell>
          <cell r="F4248" t="str">
            <v/>
          </cell>
          <cell r="G4248" t="str">
            <v>EDITORIAL RENACIMIENTO S.A.S</v>
          </cell>
          <cell r="H4248" t="str">
            <v>RECO</v>
          </cell>
          <cell r="I4248" t="str">
            <v>REGIMEN COMUN</v>
          </cell>
          <cell r="J4248" t="str">
            <v>CR 20 46 35</v>
          </cell>
          <cell r="K4248" t="str">
            <v>17001</v>
          </cell>
          <cell r="L4248" t="str">
            <v>MANIZALES</v>
          </cell>
          <cell r="M4248" t="str">
            <v>8781700</v>
          </cell>
        </row>
        <row r="4249">
          <cell r="A4249">
            <v>890800256</v>
          </cell>
          <cell r="B4249" t="str">
            <v>0</v>
          </cell>
          <cell r="C4249" t="str">
            <v/>
          </cell>
          <cell r="D4249" t="str">
            <v>NJ</v>
          </cell>
          <cell r="E4249" t="str">
            <v/>
          </cell>
          <cell r="F4249" t="str">
            <v/>
          </cell>
          <cell r="G4249" t="str">
            <v xml:space="preserve">EMPRESA ARAUCA S.A.                                         </v>
          </cell>
          <cell r="H4249" t="str">
            <v>GRCO</v>
          </cell>
          <cell r="I4249" t="str">
            <v>GRAN CONTRIBUYENTE</v>
          </cell>
          <cell r="J4249" t="str">
            <v xml:space="preserve">CL 21 N 19  27 P 3                  </v>
          </cell>
          <cell r="K4249" t="str">
            <v>17001</v>
          </cell>
          <cell r="L4249" t="str">
            <v>MANIZALES</v>
          </cell>
          <cell r="M4249" t="str">
            <v>8846695</v>
          </cell>
        </row>
        <row r="4250">
          <cell r="A4250">
            <v>890800272</v>
          </cell>
          <cell r="B4250" t="str">
            <v>9</v>
          </cell>
          <cell r="C4250" t="str">
            <v/>
          </cell>
          <cell r="D4250" t="str">
            <v>NJ</v>
          </cell>
          <cell r="E4250" t="str">
            <v/>
          </cell>
          <cell r="F4250" t="str">
            <v/>
          </cell>
          <cell r="G4250" t="str">
            <v>EXPRESO SIDERAL S.A</v>
          </cell>
          <cell r="H4250" t="str">
            <v>REOR</v>
          </cell>
          <cell r="I4250" t="str">
            <v>RENTA REGIMEN ORDINARIO</v>
          </cell>
          <cell r="J4250" t="str">
            <v>AV DIECINIEVE 7 A 25</v>
          </cell>
          <cell r="K4250" t="str">
            <v>17001</v>
          </cell>
          <cell r="L4250" t="str">
            <v>MANIZALES</v>
          </cell>
          <cell r="M4250" t="str">
            <v>8842464</v>
          </cell>
        </row>
        <row r="4251">
          <cell r="A4251">
            <v>890800301</v>
          </cell>
          <cell r="B4251" t="str">
            <v>4</v>
          </cell>
          <cell r="C4251" t="str">
            <v/>
          </cell>
          <cell r="D4251" t="str">
            <v>NJ</v>
          </cell>
          <cell r="E4251" t="str">
            <v/>
          </cell>
          <cell r="F4251" t="str">
            <v/>
          </cell>
          <cell r="G4251" t="str">
            <v xml:space="preserve">COOPERATIVA INTEGRAL FLOTA LOS PUERTOS                      </v>
          </cell>
          <cell r="H4251" t="str">
            <v>RECO</v>
          </cell>
          <cell r="I4251" t="str">
            <v>REGIMEN COMUN</v>
          </cell>
          <cell r="J4251" t="str">
            <v>CL 11   9   35</v>
          </cell>
          <cell r="K4251" t="str">
            <v>17380</v>
          </cell>
          <cell r="L4251" t="str">
            <v>LA DORADA</v>
          </cell>
          <cell r="M4251" t="str">
            <v>8577200</v>
          </cell>
        </row>
        <row r="4252">
          <cell r="A4252">
            <v>890800303</v>
          </cell>
          <cell r="B4252" t="str">
            <v>9</v>
          </cell>
          <cell r="C4252" t="str">
            <v/>
          </cell>
          <cell r="D4252" t="str">
            <v>NJ</v>
          </cell>
          <cell r="E4252" t="str">
            <v/>
          </cell>
          <cell r="F4252" t="str">
            <v/>
          </cell>
          <cell r="G4252" t="str">
            <v xml:space="preserve">FLOTAOSPINA S.C.A.                                          </v>
          </cell>
          <cell r="H4252" t="str">
            <v>RECO</v>
          </cell>
          <cell r="I4252" t="str">
            <v>REGIMEN COMUN</v>
          </cell>
          <cell r="J4252" t="str">
            <v xml:space="preserve">TER MANIZALES                      </v>
          </cell>
          <cell r="K4252" t="str">
            <v>17001</v>
          </cell>
          <cell r="L4252" t="str">
            <v>MANIZALES</v>
          </cell>
          <cell r="M4252" t="str">
            <v>8826161</v>
          </cell>
        </row>
        <row r="4253">
          <cell r="A4253">
            <v>890800638</v>
          </cell>
          <cell r="B4253" t="str">
            <v>0</v>
          </cell>
          <cell r="C4253" t="str">
            <v/>
          </cell>
          <cell r="D4253" t="str">
            <v>NJ</v>
          </cell>
          <cell r="E4253" t="str">
            <v/>
          </cell>
          <cell r="F4253" t="str">
            <v/>
          </cell>
          <cell r="G4253" t="str">
            <v>RAMI  SAS</v>
          </cell>
          <cell r="H4253" t="str">
            <v>RECO</v>
          </cell>
          <cell r="I4253" t="str">
            <v>REGIMEN COMUN</v>
          </cell>
          <cell r="J4253" t="str">
            <v>CL  77 21 36</v>
          </cell>
          <cell r="K4253" t="str">
            <v>17001</v>
          </cell>
          <cell r="L4253" t="str">
            <v>MANIZALES</v>
          </cell>
          <cell r="M4253" t="str">
            <v>8865557</v>
          </cell>
        </row>
        <row r="4254">
          <cell r="A4254">
            <v>890800657</v>
          </cell>
          <cell r="B4254" t="str">
            <v>0</v>
          </cell>
          <cell r="C4254" t="str">
            <v/>
          </cell>
          <cell r="D4254" t="str">
            <v>NJ</v>
          </cell>
          <cell r="E4254" t="str">
            <v/>
          </cell>
          <cell r="F4254" t="str">
            <v/>
          </cell>
          <cell r="G4254" t="str">
            <v xml:space="preserve">RIO TAX S.A.                                                </v>
          </cell>
          <cell r="H4254" t="str">
            <v>RECO</v>
          </cell>
          <cell r="I4254" t="str">
            <v>REGIMEN COMUN</v>
          </cell>
          <cell r="J4254" t="str">
            <v xml:space="preserve">TERMINAL DORADA                         </v>
          </cell>
          <cell r="K4254" t="str">
            <v>17380</v>
          </cell>
          <cell r="L4254" t="str">
            <v>LA DORADA</v>
          </cell>
          <cell r="M4254" t="str">
            <v>8572827</v>
          </cell>
        </row>
        <row r="4255">
          <cell r="A4255">
            <v>890800713</v>
          </cell>
          <cell r="B4255" t="str">
            <v>5</v>
          </cell>
          <cell r="C4255" t="str">
            <v/>
          </cell>
          <cell r="D4255" t="str">
            <v>NJ</v>
          </cell>
          <cell r="E4255" t="str">
            <v/>
          </cell>
          <cell r="F4255" t="str">
            <v/>
          </cell>
          <cell r="G4255" t="str">
            <v>SUAUTOMOVIL S.A</v>
          </cell>
          <cell r="H4255" t="str">
            <v>REOR</v>
          </cell>
          <cell r="I4255" t="str">
            <v>RENTA REGIMEN ORDINARIO</v>
          </cell>
          <cell r="J4255" t="str">
            <v>CL 20 21 38 OF 605 ED BANCO DE BOGOTA</v>
          </cell>
          <cell r="K4255" t="str">
            <v>17001</v>
          </cell>
          <cell r="L4255" t="str">
            <v>MANIZALES</v>
          </cell>
          <cell r="M4255" t="str">
            <v>8826666</v>
          </cell>
        </row>
        <row r="4256">
          <cell r="A4256">
            <v>890800718</v>
          </cell>
          <cell r="B4256" t="str">
            <v>1</v>
          </cell>
          <cell r="C4256" t="str">
            <v/>
          </cell>
          <cell r="D4256" t="str">
            <v>NJ</v>
          </cell>
          <cell r="E4256" t="str">
            <v/>
          </cell>
          <cell r="F4256" t="str">
            <v/>
          </cell>
          <cell r="G4256" t="str">
            <v>CASA LUKER SA</v>
          </cell>
          <cell r="H4256" t="str">
            <v>GRAU</v>
          </cell>
          <cell r="I4256" t="str">
            <v>GRAN CONTRIBUYENTE AUTORRETENEDO</v>
          </cell>
          <cell r="J4256" t="str">
            <v>CRA 23 No  64B-33 TORRE A</v>
          </cell>
          <cell r="K4256" t="str">
            <v>17001</v>
          </cell>
          <cell r="L4256" t="str">
            <v>MANIZALES</v>
          </cell>
          <cell r="M4256" t="str">
            <v>8879510</v>
          </cell>
        </row>
        <row r="4257">
          <cell r="A4257">
            <v>890800745</v>
          </cell>
          <cell r="B4257" t="str">
            <v>0</v>
          </cell>
          <cell r="C4257" t="str">
            <v/>
          </cell>
          <cell r="D4257" t="str">
            <v>NJ</v>
          </cell>
          <cell r="E4257" t="str">
            <v/>
          </cell>
          <cell r="F4257" t="str">
            <v/>
          </cell>
          <cell r="G4257" t="str">
            <v>TRANSPORTES CAMBIA LIMITADA</v>
          </cell>
          <cell r="H4257" t="str">
            <v>NORE</v>
          </cell>
          <cell r="I4257" t="str">
            <v>NO RESPONSABLE DE IVA</v>
          </cell>
          <cell r="J4257" t="str">
            <v>CR 43   65-100</v>
          </cell>
          <cell r="K4257" t="str">
            <v>17001</v>
          </cell>
          <cell r="L4257" t="str">
            <v>MANIZALES</v>
          </cell>
          <cell r="M4257" t="str">
            <v>6068786150</v>
          </cell>
        </row>
        <row r="4258">
          <cell r="A4258">
            <v>890800788</v>
          </cell>
          <cell r="B4258" t="str">
            <v>7</v>
          </cell>
          <cell r="C4258" t="str">
            <v/>
          </cell>
          <cell r="D4258" t="str">
            <v>NJ</v>
          </cell>
          <cell r="E4258" t="str">
            <v/>
          </cell>
          <cell r="F4258" t="str">
            <v/>
          </cell>
          <cell r="G4258" t="str">
            <v>SUMATEC S. A. S</v>
          </cell>
          <cell r="H4258" t="str">
            <v>GRAU</v>
          </cell>
          <cell r="I4258" t="str">
            <v>GRAN CONTRIBUYENTE AUTORRETENEDO</v>
          </cell>
          <cell r="J4258" t="str">
            <v>CR 23 64 B TO A P 3 ED CENTRO DE NEGOCIOS SIGLO XXI</v>
          </cell>
          <cell r="K4258" t="str">
            <v>17001</v>
          </cell>
          <cell r="L4258" t="str">
            <v>MANIZALES</v>
          </cell>
          <cell r="M4258" t="str">
            <v>8840810</v>
          </cell>
        </row>
        <row r="4259">
          <cell r="A4259">
            <v>890800895</v>
          </cell>
          <cell r="B4259" t="str">
            <v>7</v>
          </cell>
          <cell r="C4259" t="str">
            <v/>
          </cell>
          <cell r="D4259" t="str">
            <v>NJ</v>
          </cell>
          <cell r="E4259" t="str">
            <v/>
          </cell>
          <cell r="F4259" t="str">
            <v/>
          </cell>
          <cell r="G4259" t="str">
            <v xml:space="preserve">PAPELERIA LA NORMA S.A.                                     </v>
          </cell>
          <cell r="H4259" t="str">
            <v>RECO</v>
          </cell>
          <cell r="I4259" t="str">
            <v>REGIMEN COMUN</v>
          </cell>
          <cell r="J4259" t="str">
            <v>CR 21 20 37</v>
          </cell>
          <cell r="K4259" t="str">
            <v>17001</v>
          </cell>
          <cell r="L4259" t="str">
            <v>MANIZALES</v>
          </cell>
          <cell r="M4259" t="str">
            <v>8846600</v>
          </cell>
        </row>
        <row r="4260">
          <cell r="A4260">
            <v>890800947</v>
          </cell>
          <cell r="B4260" t="str">
            <v>1</v>
          </cell>
          <cell r="C4260" t="str">
            <v/>
          </cell>
          <cell r="D4260" t="str">
            <v>NJ</v>
          </cell>
          <cell r="E4260" t="str">
            <v/>
          </cell>
          <cell r="F4260" t="str">
            <v/>
          </cell>
          <cell r="G4260" t="str">
            <v>FEDERACION NACIONAL DE COMERCIANTES FENALCO-SECCIONAL CALDAS</v>
          </cell>
          <cell r="H4260" t="str">
            <v>IMVE</v>
          </cell>
          <cell r="I4260" t="str">
            <v>IMPUESTO SOBRE LAS VENTAS</v>
          </cell>
          <cell r="J4260" t="str">
            <v xml:space="preserve"> CL 56 24 25 BRR BELÉN</v>
          </cell>
          <cell r="K4260" t="str">
            <v>17001</v>
          </cell>
          <cell r="L4260" t="str">
            <v>MANIZALES</v>
          </cell>
          <cell r="M4260" t="str">
            <v>8814033</v>
          </cell>
        </row>
        <row r="4261">
          <cell r="A4261">
            <v>890801042</v>
          </cell>
          <cell r="B4261" t="str">
            <v>6</v>
          </cell>
          <cell r="C4261" t="str">
            <v/>
          </cell>
          <cell r="D4261" t="str">
            <v>NJ</v>
          </cell>
          <cell r="E4261" t="str">
            <v/>
          </cell>
          <cell r="F4261" t="str">
            <v/>
          </cell>
          <cell r="G4261" t="str">
            <v>CAMARA DE COMERCIO DE MANIZALES</v>
          </cell>
          <cell r="H4261" t="str">
            <v>IMVE</v>
          </cell>
          <cell r="I4261" t="str">
            <v>IMPUESTO SOBRE LAS VENTAS</v>
          </cell>
          <cell r="J4261" t="str">
            <v>CR 23 27 CAMARA DE COMERCIO</v>
          </cell>
          <cell r="K4261" t="str">
            <v>17001</v>
          </cell>
          <cell r="L4261" t="str">
            <v>MANIZALES</v>
          </cell>
          <cell r="M4261" t="str">
            <v>8841840</v>
          </cell>
        </row>
        <row r="4262">
          <cell r="A4262">
            <v>890801052</v>
          </cell>
          <cell r="B4262" t="str">
            <v>1</v>
          </cell>
          <cell r="C4262" t="str">
            <v>111717000</v>
          </cell>
          <cell r="D4262" t="str">
            <v>NJ</v>
          </cell>
          <cell r="E4262" t="str">
            <v/>
          </cell>
          <cell r="F4262" t="str">
            <v/>
          </cell>
          <cell r="G4262" t="str">
            <v xml:space="preserve">DEPARTAMENTO DE CALDAS        </v>
          </cell>
          <cell r="H4262" t="str">
            <v>COIM</v>
          </cell>
          <cell r="I4262" t="str">
            <v>CONTROL DE IMPUESTOS</v>
          </cell>
          <cell r="J4262" t="str">
            <v>CR 21 CL 22 23</v>
          </cell>
          <cell r="K4262" t="str">
            <v>17001</v>
          </cell>
          <cell r="L4262" t="str">
            <v>MANIZALES</v>
          </cell>
          <cell r="M4262" t="str">
            <v>8982444</v>
          </cell>
        </row>
        <row r="4263">
          <cell r="A4263">
            <v>890801053</v>
          </cell>
          <cell r="B4263" t="str">
            <v>7</v>
          </cell>
          <cell r="C4263" t="str">
            <v>210117001</v>
          </cell>
          <cell r="D4263" t="str">
            <v>NJ</v>
          </cell>
          <cell r="E4263" t="str">
            <v/>
          </cell>
          <cell r="F4263" t="str">
            <v/>
          </cell>
          <cell r="G4263" t="str">
            <v xml:space="preserve">MUNICIPIO DE MANIZALES        </v>
          </cell>
          <cell r="H4263" t="str">
            <v>GRAU</v>
          </cell>
          <cell r="I4263" t="str">
            <v>GRAN CONTRIBUYENTE AUTORRETENEDO</v>
          </cell>
          <cell r="J4263" t="str">
            <v>CL 19   21   44</v>
          </cell>
          <cell r="K4263" t="str">
            <v>17001</v>
          </cell>
          <cell r="L4263" t="str">
            <v>MANIZALES</v>
          </cell>
          <cell r="M4263" t="str">
            <v>8896810</v>
          </cell>
        </row>
        <row r="4264">
          <cell r="A4264">
            <v>890801059</v>
          </cell>
          <cell r="B4264" t="str">
            <v>0</v>
          </cell>
          <cell r="C4264" t="str">
            <v>232517001</v>
          </cell>
          <cell r="D4264" t="str">
            <v>NJ</v>
          </cell>
          <cell r="E4264" t="str">
            <v/>
          </cell>
          <cell r="F4264" t="str">
            <v/>
          </cell>
          <cell r="G4264" t="str">
            <v>INSTITUTO DE FINANCIAMIENTO PROMOCIÓN Y DESARROL</v>
          </cell>
          <cell r="H4264" t="str">
            <v>IMVE</v>
          </cell>
          <cell r="I4264" t="str">
            <v>IMPUESTO SOBRE LAS VENTAS</v>
          </cell>
          <cell r="J4264" t="str">
            <v>CR 22   18   9 P 2</v>
          </cell>
          <cell r="K4264" t="str">
            <v>17001</v>
          </cell>
          <cell r="L4264" t="str">
            <v>MANIZALES</v>
          </cell>
          <cell r="M4264" t="str">
            <v>8879790</v>
          </cell>
        </row>
        <row r="4265">
          <cell r="A4265">
            <v>890801063</v>
          </cell>
          <cell r="B4265" t="str">
            <v>0</v>
          </cell>
          <cell r="C4265" t="str">
            <v>27017000</v>
          </cell>
          <cell r="D4265" t="str">
            <v>NJ</v>
          </cell>
          <cell r="E4265" t="str">
            <v/>
          </cell>
          <cell r="F4265" t="str">
            <v/>
          </cell>
          <cell r="G4265" t="str">
            <v>UNIVERSIDAD DE CALDAS</v>
          </cell>
          <cell r="H4265" t="str">
            <v>GRCO</v>
          </cell>
          <cell r="I4265" t="str">
            <v>GRAN CONTRIBUYENTE</v>
          </cell>
          <cell r="J4265" t="str">
            <v>CL 65  26  10</v>
          </cell>
          <cell r="K4265" t="str">
            <v>17001</v>
          </cell>
          <cell r="L4265" t="str">
            <v>MANIZALES</v>
          </cell>
          <cell r="M4265" t="str">
            <v>8781500</v>
          </cell>
        </row>
        <row r="4266">
          <cell r="A4266">
            <v>890801130</v>
          </cell>
          <cell r="B4266" t="str">
            <v>6</v>
          </cell>
          <cell r="C4266" t="str">
            <v>218017380</v>
          </cell>
          <cell r="D4266" t="str">
            <v>NJ</v>
          </cell>
          <cell r="E4266" t="str">
            <v/>
          </cell>
          <cell r="F4266" t="str">
            <v/>
          </cell>
          <cell r="G4266" t="str">
            <v>MUNICIPIO DE LA DORADA</v>
          </cell>
          <cell r="H4266" t="str">
            <v>COIM</v>
          </cell>
          <cell r="I4266" t="str">
            <v>CONTROL DE IMPUESTOS</v>
          </cell>
          <cell r="J4266" t="str">
            <v>CR 3   14 y 15</v>
          </cell>
          <cell r="K4266" t="str">
            <v>17380</v>
          </cell>
          <cell r="L4266" t="str">
            <v>LA DORADA</v>
          </cell>
          <cell r="M4266" t="str">
            <v>8571885</v>
          </cell>
        </row>
        <row r="4267">
          <cell r="A4267">
            <v>890801132</v>
          </cell>
          <cell r="B4267" t="str">
            <v>0</v>
          </cell>
          <cell r="C4267" t="str">
            <v>211317013</v>
          </cell>
          <cell r="D4267" t="str">
            <v>NJ</v>
          </cell>
          <cell r="E4267" t="str">
            <v/>
          </cell>
          <cell r="F4267" t="str">
            <v/>
          </cell>
          <cell r="G4267" t="str">
            <v>MUNICIPIO DE AGUADAS</v>
          </cell>
          <cell r="H4267" t="str">
            <v>RECO</v>
          </cell>
          <cell r="I4267" t="str">
            <v>REGIMEN COMUN</v>
          </cell>
          <cell r="J4267" t="str">
            <v>CL 6 5 23</v>
          </cell>
          <cell r="K4267" t="str">
            <v>17001</v>
          </cell>
          <cell r="L4267" t="str">
            <v>MANIZALES</v>
          </cell>
          <cell r="M4267" t="str">
            <v>8515110</v>
          </cell>
        </row>
        <row r="4268">
          <cell r="A4268">
            <v>890801133</v>
          </cell>
          <cell r="B4268" t="str">
            <v>8</v>
          </cell>
          <cell r="C4268" t="str">
            <v>217417174</v>
          </cell>
          <cell r="D4268" t="str">
            <v>NJ</v>
          </cell>
          <cell r="E4268" t="str">
            <v/>
          </cell>
          <cell r="F4268" t="str">
            <v/>
          </cell>
          <cell r="G4268" t="str">
            <v xml:space="preserve">MUNICIPIO DE CHINCHINA                                      </v>
          </cell>
          <cell r="H4268" t="str">
            <v>IMVE</v>
          </cell>
          <cell r="I4268" t="str">
            <v>IMPUESTO SOBRE LAS VENTAS</v>
          </cell>
          <cell r="J4268" t="str">
            <v>CR 08 CL 8 ESQ</v>
          </cell>
          <cell r="K4268" t="str">
            <v>17174</v>
          </cell>
          <cell r="L4268" t="str">
            <v>CHINCHINÁ</v>
          </cell>
          <cell r="M4268" t="str">
            <v>8402380</v>
          </cell>
        </row>
        <row r="4269">
          <cell r="A4269">
            <v>890801135</v>
          </cell>
          <cell r="B4269" t="str">
            <v>2</v>
          </cell>
          <cell r="C4269" t="str">
            <v>218617486</v>
          </cell>
          <cell r="D4269" t="str">
            <v>NJ</v>
          </cell>
          <cell r="E4269" t="str">
            <v/>
          </cell>
          <cell r="F4269" t="str">
            <v/>
          </cell>
          <cell r="G4269" t="str">
            <v xml:space="preserve">MUNICIPIO DE NEIRA                                          </v>
          </cell>
          <cell r="H4269" t="str">
            <v>COIM</v>
          </cell>
          <cell r="I4269" t="str">
            <v>CONTROL DE IMPUESTOS</v>
          </cell>
          <cell r="J4269" t="str">
            <v>CR 10 CL 10  P 1 PALACIO MUNICIPÁL</v>
          </cell>
          <cell r="K4269" t="str">
            <v>17486</v>
          </cell>
          <cell r="L4269" t="str">
            <v>NEIRA</v>
          </cell>
          <cell r="M4269" t="str">
            <v>3128292983</v>
          </cell>
        </row>
        <row r="4270">
          <cell r="A4270">
            <v>890801137</v>
          </cell>
          <cell r="B4270" t="str">
            <v>7</v>
          </cell>
          <cell r="C4270" t="str">
            <v>214117541</v>
          </cell>
          <cell r="D4270" t="str">
            <v>NJ</v>
          </cell>
          <cell r="E4270" t="str">
            <v/>
          </cell>
          <cell r="F4270" t="str">
            <v/>
          </cell>
          <cell r="G4270" t="str">
            <v>MUNICIPIO DE PENSILVANIA</v>
          </cell>
          <cell r="H4270" t="str">
            <v>COIM</v>
          </cell>
          <cell r="I4270" t="str">
            <v>CONTROL DE IMPUESTOS</v>
          </cell>
          <cell r="J4270" t="str">
            <v>ALCALDIA MUNICIPAL CL 4 5 70 P 1 2 3</v>
          </cell>
          <cell r="K4270" t="str">
            <v>17001</v>
          </cell>
          <cell r="L4270" t="str">
            <v>MANIZALES</v>
          </cell>
          <cell r="M4270" t="str">
            <v>3103759216</v>
          </cell>
        </row>
        <row r="4271">
          <cell r="A4271">
            <v>890801138</v>
          </cell>
          <cell r="B4271" t="str">
            <v>4</v>
          </cell>
          <cell r="C4271" t="str">
            <v>211417614</v>
          </cell>
          <cell r="D4271" t="str">
            <v>NJ</v>
          </cell>
          <cell r="E4271" t="str">
            <v/>
          </cell>
          <cell r="F4271" t="str">
            <v/>
          </cell>
          <cell r="G4271" t="str">
            <v>MUNICIPIO DE RIOSUCIO</v>
          </cell>
          <cell r="H4271" t="str">
            <v>COIM</v>
          </cell>
          <cell r="I4271" t="str">
            <v>CONTROL DE IMPUESTOS</v>
          </cell>
          <cell r="J4271" t="str">
            <v>CR 7 CLLE 10 ESQ CEN RI</v>
          </cell>
          <cell r="K4271" t="str">
            <v>17614</v>
          </cell>
          <cell r="L4271" t="str">
            <v>RIOSUCIO</v>
          </cell>
          <cell r="M4271" t="str">
            <v>8592306</v>
          </cell>
        </row>
        <row r="4272">
          <cell r="A4272">
            <v>890801141</v>
          </cell>
          <cell r="B4272" t="str">
            <v>7</v>
          </cell>
          <cell r="C4272" t="str">
            <v>212417524</v>
          </cell>
          <cell r="D4272" t="str">
            <v>NJ</v>
          </cell>
          <cell r="E4272" t="str">
            <v/>
          </cell>
          <cell r="F4272" t="str">
            <v/>
          </cell>
          <cell r="G4272" t="str">
            <v>MUNICIPIO DE PALESTINA</v>
          </cell>
          <cell r="H4272" t="str">
            <v>RECO</v>
          </cell>
          <cell r="I4272" t="str">
            <v>REGIMEN COMUN</v>
          </cell>
          <cell r="J4272" t="str">
            <v>CR  10 8 25</v>
          </cell>
          <cell r="K4272" t="str">
            <v>17524</v>
          </cell>
          <cell r="L4272" t="str">
            <v>PALESTINA</v>
          </cell>
          <cell r="M4272" t="str">
            <v>8710460</v>
          </cell>
        </row>
        <row r="4273">
          <cell r="A4273">
            <v>890801142</v>
          </cell>
          <cell r="B4273" t="str">
            <v>4</v>
          </cell>
          <cell r="C4273" t="str">
            <v>215017050</v>
          </cell>
          <cell r="D4273" t="str">
            <v>NJ</v>
          </cell>
          <cell r="E4273" t="str">
            <v/>
          </cell>
          <cell r="F4273" t="str">
            <v/>
          </cell>
          <cell r="G4273" t="str">
            <v>MUNICIPIO DE ARANZAZU</v>
          </cell>
          <cell r="H4273" t="str">
            <v>RECO</v>
          </cell>
          <cell r="I4273" t="str">
            <v>REGIMEN COMUN</v>
          </cell>
          <cell r="J4273" t="str">
            <v>CR 6  6  13  P 1</v>
          </cell>
          <cell r="K4273" t="str">
            <v>17050</v>
          </cell>
          <cell r="L4273" t="str">
            <v>ARANZAZU</v>
          </cell>
          <cell r="M4273" t="str">
            <v>3103641949</v>
          </cell>
        </row>
        <row r="4274">
          <cell r="A4274">
            <v>890801144</v>
          </cell>
          <cell r="B4274" t="str">
            <v>9</v>
          </cell>
          <cell r="C4274" t="str">
            <v>217217272</v>
          </cell>
          <cell r="D4274" t="str">
            <v>NJ</v>
          </cell>
          <cell r="E4274" t="str">
            <v/>
          </cell>
          <cell r="F4274" t="str">
            <v/>
          </cell>
          <cell r="G4274" t="str">
            <v>MUNICIPIO DE FILADELFIA</v>
          </cell>
          <cell r="H4274" t="str">
            <v>RECO</v>
          </cell>
          <cell r="I4274" t="str">
            <v>REGIMEN COMUN</v>
          </cell>
          <cell r="J4274" t="str">
            <v>CL 6 6 23</v>
          </cell>
          <cell r="K4274" t="str">
            <v>17272</v>
          </cell>
          <cell r="L4274" t="str">
            <v>FILADELFIA</v>
          </cell>
          <cell r="M4274" t="str">
            <v>8580568</v>
          </cell>
        </row>
        <row r="4275">
          <cell r="A4275">
            <v>890801146</v>
          </cell>
          <cell r="B4275" t="str">
            <v>3</v>
          </cell>
          <cell r="C4275" t="str">
            <v>214617446</v>
          </cell>
          <cell r="D4275" t="str">
            <v>NJ</v>
          </cell>
          <cell r="E4275" t="str">
            <v/>
          </cell>
          <cell r="F4275" t="str">
            <v/>
          </cell>
          <cell r="G4275" t="str">
            <v>MUNICIPIO DE MARULANDA</v>
          </cell>
          <cell r="H4275" t="str">
            <v>REIC</v>
          </cell>
          <cell r="I4275" t="str">
            <v>RENTA REGIMEN ESPECIAL</v>
          </cell>
          <cell r="J4275" t="str">
            <v>CR 6  5  02</v>
          </cell>
          <cell r="K4275" t="str">
            <v>17446</v>
          </cell>
          <cell r="L4275" t="str">
            <v>MARULANDA</v>
          </cell>
          <cell r="M4275" t="str">
            <v>3148937017</v>
          </cell>
        </row>
        <row r="4276">
          <cell r="A4276">
            <v>890801149</v>
          </cell>
          <cell r="B4276" t="str">
            <v>5</v>
          </cell>
          <cell r="C4276" t="str">
            <v>216217662</v>
          </cell>
          <cell r="D4276" t="str">
            <v>NJ</v>
          </cell>
          <cell r="E4276" t="str">
            <v/>
          </cell>
          <cell r="F4276" t="str">
            <v/>
          </cell>
          <cell r="G4276" t="str">
            <v xml:space="preserve">MUNICIPIO DE SAMANA           </v>
          </cell>
          <cell r="H4276" t="str">
            <v>COIM</v>
          </cell>
          <cell r="I4276" t="str">
            <v>CONTROL DE IMPUESTOS</v>
          </cell>
          <cell r="J4276" t="str">
            <v>CR 9  4  69  ED PALACIO MUNICIPAL</v>
          </cell>
          <cell r="K4276" t="str">
            <v>17662</v>
          </cell>
          <cell r="L4276" t="str">
            <v>SAMANÁ</v>
          </cell>
          <cell r="M4276" t="str">
            <v>8658351</v>
          </cell>
        </row>
        <row r="4277">
          <cell r="A4277">
            <v>890801151</v>
          </cell>
          <cell r="B4277" t="str">
            <v>0</v>
          </cell>
          <cell r="C4277" t="str">
            <v>216717867</v>
          </cell>
          <cell r="D4277" t="str">
            <v>NJ</v>
          </cell>
          <cell r="E4277" t="str">
            <v/>
          </cell>
          <cell r="F4277" t="str">
            <v/>
          </cell>
          <cell r="G4277" t="str">
            <v>MUNICIPIO DE VICTORIA</v>
          </cell>
          <cell r="H4277" t="str">
            <v>RECO</v>
          </cell>
          <cell r="I4277" t="str">
            <v>REGIMEN COMUN</v>
          </cell>
          <cell r="J4277" t="str">
            <v>PAR ALCALDIA DE VICTORIA</v>
          </cell>
          <cell r="K4277" t="str">
            <v>17867</v>
          </cell>
          <cell r="L4277" t="str">
            <v>VICTORIA</v>
          </cell>
          <cell r="M4277" t="str">
            <v>8552228</v>
          </cell>
        </row>
        <row r="4278">
          <cell r="A4278">
            <v>890801167</v>
          </cell>
          <cell r="B4278" t="str">
            <v>8</v>
          </cell>
          <cell r="C4278" t="str">
            <v>132217000</v>
          </cell>
          <cell r="D4278" t="str">
            <v>NJ</v>
          </cell>
          <cell r="E4278" t="str">
            <v/>
          </cell>
          <cell r="F4278" t="str">
            <v/>
          </cell>
          <cell r="G4278" t="str">
            <v>INDUSTRIA LICORERA DE CALDAS</v>
          </cell>
          <cell r="H4278" t="str">
            <v>GRCO</v>
          </cell>
          <cell r="I4278" t="str">
            <v>GRAN CONTRIBUYENTE</v>
          </cell>
          <cell r="J4278" t="str">
            <v>ZN INDUSTRIAL JUANCHITO</v>
          </cell>
          <cell r="K4278" t="str">
            <v>17001</v>
          </cell>
          <cell r="L4278" t="str">
            <v>MANIZALES</v>
          </cell>
          <cell r="M4278" t="str">
            <v>8782200</v>
          </cell>
        </row>
        <row r="4279">
          <cell r="A4279">
            <v>890801262</v>
          </cell>
          <cell r="B4279" t="str">
            <v>1</v>
          </cell>
          <cell r="C4279" t="str">
            <v/>
          </cell>
          <cell r="D4279" t="str">
            <v>NJ</v>
          </cell>
          <cell r="E4279" t="str">
            <v/>
          </cell>
          <cell r="F4279" t="str">
            <v/>
          </cell>
          <cell r="G4279" t="str">
            <v>PARROQUIA CATEDRAL DE MANIZALES</v>
          </cell>
          <cell r="H4279" t="str">
            <v>RECO</v>
          </cell>
          <cell r="I4279" t="str">
            <v>REGIMEN COMUN</v>
          </cell>
          <cell r="J4279" t="str">
            <v>CL 23 22 29</v>
          </cell>
          <cell r="K4279" t="str">
            <v>17001</v>
          </cell>
          <cell r="L4279" t="str">
            <v>MANIZALES</v>
          </cell>
          <cell r="M4279" t="str">
            <v>8831880</v>
          </cell>
        </row>
        <row r="4280">
          <cell r="A4280">
            <v>890801300</v>
          </cell>
          <cell r="B4280" t="str">
            <v>1</v>
          </cell>
          <cell r="C4280" t="str">
            <v/>
          </cell>
          <cell r="D4280" t="str">
            <v>NJ</v>
          </cell>
          <cell r="E4280" t="str">
            <v/>
          </cell>
          <cell r="F4280" t="str">
            <v/>
          </cell>
          <cell r="G4280" t="str">
            <v>LA VOZ DE LA DORADA LIMITADA</v>
          </cell>
          <cell r="H4280" t="str">
            <v>RECO</v>
          </cell>
          <cell r="I4280" t="str">
            <v>REGIMEN COMUN</v>
          </cell>
          <cell r="J4280" t="str">
            <v>CL 11 3 58 BRR CENTRAL</v>
          </cell>
          <cell r="K4280" t="str">
            <v>17380</v>
          </cell>
          <cell r="L4280" t="str">
            <v>LA DORADA</v>
          </cell>
          <cell r="M4280" t="str">
            <v>8572347</v>
          </cell>
        </row>
        <row r="4281">
          <cell r="A4281">
            <v>890801447</v>
          </cell>
          <cell r="B4281" t="str">
            <v>5</v>
          </cell>
          <cell r="C4281" t="str">
            <v/>
          </cell>
          <cell r="D4281" t="str">
            <v>NJ</v>
          </cell>
          <cell r="E4281" t="str">
            <v/>
          </cell>
          <cell r="F4281" t="str">
            <v/>
          </cell>
          <cell r="G4281" t="str">
            <v>ONCE CALDAS S.A.</v>
          </cell>
          <cell r="H4281" t="str">
            <v>RECO</v>
          </cell>
          <cell r="I4281" t="str">
            <v>REGIMEN COMUN</v>
          </cell>
          <cell r="J4281" t="str">
            <v>ESTADIO PALOGRANDE PUERTA 18</v>
          </cell>
          <cell r="K4281" t="str">
            <v>17001</v>
          </cell>
          <cell r="L4281" t="str">
            <v>MANIZALES</v>
          </cell>
          <cell r="M4281" t="str">
            <v>8813484</v>
          </cell>
        </row>
        <row r="4282">
          <cell r="A4282">
            <v>890801476</v>
          </cell>
          <cell r="B4282" t="str">
            <v>9</v>
          </cell>
          <cell r="C4282" t="str">
            <v/>
          </cell>
          <cell r="D4282" t="str">
            <v>NJ</v>
          </cell>
          <cell r="E4282" t="str">
            <v/>
          </cell>
          <cell r="F4282" t="str">
            <v/>
          </cell>
          <cell r="G4282" t="str">
            <v>GLADYS MEJIA GARCIA Y CIA S.C.A.</v>
          </cell>
          <cell r="H4282" t="str">
            <v>RECO</v>
          </cell>
          <cell r="I4282" t="str">
            <v>REGIMEN COMUN</v>
          </cell>
          <cell r="J4282" t="str">
            <v>CL 17  22 25</v>
          </cell>
          <cell r="K4282" t="str">
            <v>17001</v>
          </cell>
          <cell r="L4282" t="str">
            <v>MANIZALES</v>
          </cell>
          <cell r="M4282" t="str">
            <v>8833841</v>
          </cell>
        </row>
        <row r="4283">
          <cell r="A4283">
            <v>890801515</v>
          </cell>
          <cell r="B4283" t="str">
            <v>8</v>
          </cell>
          <cell r="C4283" t="str">
            <v/>
          </cell>
          <cell r="D4283" t="str">
            <v>NJ</v>
          </cell>
          <cell r="E4283" t="str">
            <v/>
          </cell>
          <cell r="F4283" t="str">
            <v/>
          </cell>
          <cell r="G4283" t="str">
            <v>SOCIEDAD CALDENSE DE INGENIEROS Y ARQUITECTOS</v>
          </cell>
          <cell r="H4283" t="str">
            <v>RECO</v>
          </cell>
          <cell r="I4283" t="str">
            <v>REGIMEN COMUN</v>
          </cell>
          <cell r="J4283" t="str">
            <v xml:space="preserve"> CR 21 30 03 OF 809</v>
          </cell>
          <cell r="K4283" t="str">
            <v>17001</v>
          </cell>
          <cell r="L4283" t="str">
            <v>MANIZALES</v>
          </cell>
          <cell r="M4283" t="str">
            <v>8846881</v>
          </cell>
        </row>
        <row r="4284">
          <cell r="A4284">
            <v>890801752</v>
          </cell>
          <cell r="B4284" t="str">
            <v>7</v>
          </cell>
          <cell r="C4284" t="str">
            <v/>
          </cell>
          <cell r="D4284" t="str">
            <v>NJ</v>
          </cell>
          <cell r="E4284" t="str">
            <v/>
          </cell>
          <cell r="F4284" t="str">
            <v/>
          </cell>
          <cell r="G4284" t="str">
            <v>CORPORACION PARA EL DESARROLLO DE CALDAS</v>
          </cell>
          <cell r="H4284" t="str">
            <v>IMVE</v>
          </cell>
          <cell r="I4284" t="str">
            <v>IMPUESTO SOBRE LAS VENTAS</v>
          </cell>
          <cell r="J4284" t="str">
            <v>KM 11 VIA AL MAGDALENA RECINTO DEL PENSAMIENTO</v>
          </cell>
          <cell r="K4284" t="str">
            <v>17001</v>
          </cell>
          <cell r="L4284" t="str">
            <v>MANIZALES</v>
          </cell>
          <cell r="M4284" t="str">
            <v>8897073</v>
          </cell>
        </row>
        <row r="4285">
          <cell r="A4285">
            <v>890801763</v>
          </cell>
          <cell r="B4285" t="str">
            <v>8</v>
          </cell>
          <cell r="C4285" t="str">
            <v/>
          </cell>
          <cell r="D4285" t="str">
            <v>NJ</v>
          </cell>
          <cell r="E4285" t="str">
            <v/>
          </cell>
          <cell r="F4285" t="str">
            <v/>
          </cell>
          <cell r="G4285" t="str">
            <v>SEGAR S A</v>
          </cell>
          <cell r="H4285" t="str">
            <v>RCAU</v>
          </cell>
          <cell r="I4285" t="str">
            <v>RESPONSABLE IVA - AUTORETENEDOR</v>
          </cell>
          <cell r="J4285" t="str">
            <v>CR 25 17 77 BRR PALOQUEMAO</v>
          </cell>
          <cell r="K4285" t="str">
            <v>11001</v>
          </cell>
          <cell r="L4285" t="str">
            <v>BOGOTA DC</v>
          </cell>
          <cell r="M4285" t="str">
            <v>8872415</v>
          </cell>
        </row>
        <row r="4286">
          <cell r="A4286">
            <v>890801770</v>
          </cell>
          <cell r="B4286" t="str">
            <v>1</v>
          </cell>
          <cell r="C4286" t="str">
            <v/>
          </cell>
          <cell r="D4286" t="str">
            <v>NJ</v>
          </cell>
          <cell r="E4286" t="str">
            <v/>
          </cell>
          <cell r="F4286" t="str">
            <v/>
          </cell>
          <cell r="G4286" t="str">
            <v>CASA RESTREPO S.A.</v>
          </cell>
          <cell r="H4286" t="str">
            <v>RCAU</v>
          </cell>
          <cell r="I4286" t="str">
            <v>RESPONSABLE IVA - AUTORETENEDOR</v>
          </cell>
          <cell r="J4286" t="str">
            <v xml:space="preserve"> CL  84 26 71 BRR SIERRA BONITA</v>
          </cell>
          <cell r="K4286" t="str">
            <v>17001</v>
          </cell>
          <cell r="L4286" t="str">
            <v>MANIZALES</v>
          </cell>
          <cell r="M4286" t="str">
            <v>8841229</v>
          </cell>
        </row>
        <row r="4287">
          <cell r="A4287">
            <v>890801904</v>
          </cell>
          <cell r="B4287" t="str">
            <v>1</v>
          </cell>
          <cell r="C4287" t="str">
            <v/>
          </cell>
          <cell r="D4287" t="str">
            <v>NJ</v>
          </cell>
          <cell r="E4287" t="str">
            <v/>
          </cell>
          <cell r="F4287" t="str">
            <v/>
          </cell>
          <cell r="G4287" t="str">
            <v>REENCAUCHADORA MODERNA S. A.</v>
          </cell>
          <cell r="H4287" t="str">
            <v>RECO</v>
          </cell>
          <cell r="I4287" t="str">
            <v>REGIMEN COMUN</v>
          </cell>
          <cell r="J4287" t="str">
            <v xml:space="preserve"> AV CENTENARIO 26 05</v>
          </cell>
          <cell r="K4287" t="str">
            <v>17001</v>
          </cell>
          <cell r="L4287" t="str">
            <v>MANIZALES</v>
          </cell>
          <cell r="M4287" t="str">
            <v>8837948</v>
          </cell>
        </row>
        <row r="4288">
          <cell r="A4288">
            <v>890801949</v>
          </cell>
          <cell r="B4288" t="str">
            <v>0</v>
          </cell>
          <cell r="C4288" t="str">
            <v/>
          </cell>
          <cell r="D4288" t="str">
            <v>NJ</v>
          </cell>
          <cell r="E4288" t="str">
            <v/>
          </cell>
          <cell r="F4288" t="str">
            <v/>
          </cell>
          <cell r="G4288" t="str">
            <v>LIGA CALDENSE DE TENIS DE CAMPO</v>
          </cell>
          <cell r="H4288" t="str">
            <v>RECO</v>
          </cell>
          <cell r="I4288" t="str">
            <v>REGIMEN COMUN</v>
          </cell>
          <cell r="J4288" t="str">
            <v>CR 24   62   70  UN DEPORTIVA PALOGRANDE</v>
          </cell>
          <cell r="K4288" t="str">
            <v>17001</v>
          </cell>
          <cell r="L4288" t="str">
            <v>MANIZALES</v>
          </cell>
          <cell r="M4288" t="str">
            <v>3104181342</v>
          </cell>
        </row>
        <row r="4289">
          <cell r="A4289">
            <v>890802059</v>
          </cell>
          <cell r="B4289" t="str">
            <v>5</v>
          </cell>
          <cell r="C4289" t="str">
            <v/>
          </cell>
          <cell r="D4289" t="str">
            <v>NJ</v>
          </cell>
          <cell r="E4289" t="str">
            <v/>
          </cell>
          <cell r="F4289" t="str">
            <v/>
          </cell>
          <cell r="G4289" t="str">
            <v>LISTO FRENOS SAS</v>
          </cell>
          <cell r="H4289" t="str">
            <v>RECO</v>
          </cell>
          <cell r="I4289" t="str">
            <v>REGIMEN COMUN</v>
          </cell>
          <cell r="J4289" t="str">
            <v>CL 21   14   35</v>
          </cell>
          <cell r="K4289" t="str">
            <v>17001</v>
          </cell>
          <cell r="L4289" t="str">
            <v>MANIZALES</v>
          </cell>
          <cell r="M4289" t="str">
            <v>8829016</v>
          </cell>
        </row>
        <row r="4290">
          <cell r="A4290">
            <v>890802206</v>
          </cell>
          <cell r="B4290" t="str">
            <v>1</v>
          </cell>
          <cell r="C4290" t="str">
            <v/>
          </cell>
          <cell r="D4290" t="str">
            <v>NJ</v>
          </cell>
          <cell r="E4290" t="str">
            <v/>
          </cell>
          <cell r="F4290" t="str">
            <v/>
          </cell>
          <cell r="G4290" t="str">
            <v>EMPRESA DE TRANSPORTES AUTOLUJO SA</v>
          </cell>
          <cell r="H4290" t="str">
            <v>RECO</v>
          </cell>
          <cell r="I4290" t="str">
            <v>REGIMEN COMUN</v>
          </cell>
          <cell r="J4290" t="str">
            <v>cr 8 11 51 ok 202</v>
          </cell>
          <cell r="K4290" t="str">
            <v>17174</v>
          </cell>
          <cell r="L4290" t="str">
            <v>CHINCHINÁ</v>
          </cell>
          <cell r="M4290" t="str">
            <v>8506522</v>
          </cell>
        </row>
        <row r="4291">
          <cell r="A4291">
            <v>890802221</v>
          </cell>
          <cell r="B4291" t="str">
            <v>2</v>
          </cell>
          <cell r="C4291" t="str">
            <v/>
          </cell>
          <cell r="D4291" t="str">
            <v>NJ</v>
          </cell>
          <cell r="E4291" t="str">
            <v/>
          </cell>
          <cell r="F4291" t="str">
            <v/>
          </cell>
          <cell r="G4291" t="str">
            <v>EXCURSIONES AMISTAD SAS Y/O ADESCUBRIR TRAVEL &amp; ADVENTURE SAS</v>
          </cell>
          <cell r="H4291" t="str">
            <v>RECO</v>
          </cell>
          <cell r="I4291" t="str">
            <v>REGIMEN COMUN</v>
          </cell>
          <cell r="J4291" t="str">
            <v>CR 24 A 56 28</v>
          </cell>
          <cell r="K4291" t="str">
            <v>17001</v>
          </cell>
          <cell r="L4291" t="str">
            <v>MANIZALES</v>
          </cell>
          <cell r="M4291" t="str">
            <v>8811565</v>
          </cell>
        </row>
        <row r="4292">
          <cell r="A4292">
            <v>890802386</v>
          </cell>
          <cell r="B4292" t="str">
            <v>9</v>
          </cell>
          <cell r="C4292" t="str">
            <v/>
          </cell>
          <cell r="D4292" t="str">
            <v>NJ</v>
          </cell>
          <cell r="E4292" t="str">
            <v/>
          </cell>
          <cell r="F4292" t="str">
            <v/>
          </cell>
          <cell r="G4292" t="str">
            <v>COOPERATIVA DE TRANSPORTADORES DE CHINCHINA</v>
          </cell>
          <cell r="H4292" t="str">
            <v>IMVE</v>
          </cell>
          <cell r="I4292" t="str">
            <v>IMPUESTO SOBRE LAS VENTAS</v>
          </cell>
          <cell r="J4292" t="str">
            <v>CR 7 15 48</v>
          </cell>
          <cell r="K4292" t="str">
            <v>17174</v>
          </cell>
          <cell r="L4292" t="str">
            <v>CHINCHINÁ</v>
          </cell>
          <cell r="M4292" t="str">
            <v>8503130</v>
          </cell>
        </row>
        <row r="4293">
          <cell r="A4293">
            <v>890802461</v>
          </cell>
          <cell r="B4293" t="str">
            <v>3</v>
          </cell>
          <cell r="C4293" t="str">
            <v/>
          </cell>
          <cell r="D4293" t="str">
            <v>NJ</v>
          </cell>
          <cell r="E4293" t="str">
            <v/>
          </cell>
          <cell r="F4293" t="str">
            <v/>
          </cell>
          <cell r="G4293" t="str">
            <v>CORPORACION PARA EL DESARROLLO DEL HOSPITAL INFANTIL</v>
          </cell>
          <cell r="H4293" t="str">
            <v>RECO</v>
          </cell>
          <cell r="I4293" t="str">
            <v>REGIMEN COMUN</v>
          </cell>
          <cell r="J4293" t="str">
            <v>CL 47   27   39</v>
          </cell>
          <cell r="K4293" t="str">
            <v>17001</v>
          </cell>
          <cell r="L4293" t="str">
            <v>MANIZALES</v>
          </cell>
          <cell r="M4293" t="str">
            <v>8810300</v>
          </cell>
        </row>
        <row r="4294">
          <cell r="A4294">
            <v>890802505</v>
          </cell>
          <cell r="B4294" t="str">
            <v>9</v>
          </cell>
          <cell r="C4294" t="str">
            <v>213317433</v>
          </cell>
          <cell r="D4294" t="str">
            <v>NJ</v>
          </cell>
          <cell r="E4294" t="str">
            <v/>
          </cell>
          <cell r="F4294" t="str">
            <v/>
          </cell>
          <cell r="G4294" t="str">
            <v>MUNICIPIO DE MANZANARES</v>
          </cell>
          <cell r="H4294" t="str">
            <v>COIM</v>
          </cell>
          <cell r="I4294" t="str">
            <v>CONTROL DE IMPUESTOS</v>
          </cell>
          <cell r="J4294" t="str">
            <v>CR 4 5 76</v>
          </cell>
          <cell r="K4294" t="str">
            <v>17433</v>
          </cell>
          <cell r="L4294" t="str">
            <v>MANZANARES</v>
          </cell>
          <cell r="M4294" t="str">
            <v>8550022</v>
          </cell>
        </row>
        <row r="4295">
          <cell r="A4295">
            <v>890802546</v>
          </cell>
          <cell r="B4295" t="str">
            <v>0</v>
          </cell>
          <cell r="C4295" t="str">
            <v/>
          </cell>
          <cell r="D4295" t="str">
            <v>NJ</v>
          </cell>
          <cell r="E4295" t="str">
            <v/>
          </cell>
          <cell r="F4295" t="str">
            <v/>
          </cell>
          <cell r="G4295" t="str">
            <v>TRANSPORTES UNIÓN ANSERMA S.A.</v>
          </cell>
          <cell r="H4295" t="str">
            <v>IMVE</v>
          </cell>
          <cell r="I4295" t="str">
            <v>IMPUESTO SOBRE LAS VENTAS</v>
          </cell>
          <cell r="J4295" t="str">
            <v>CR 3 N 1 25</v>
          </cell>
          <cell r="K4295" t="str">
            <v>17042</v>
          </cell>
          <cell r="L4295" t="str">
            <v>ANSERMA</v>
          </cell>
          <cell r="M4295" t="str">
            <v>8533137</v>
          </cell>
        </row>
        <row r="4296">
          <cell r="A4296">
            <v>890802669</v>
          </cell>
          <cell r="B4296" t="str">
            <v>8</v>
          </cell>
          <cell r="C4296" t="str">
            <v/>
          </cell>
          <cell r="D4296" t="str">
            <v>NJ</v>
          </cell>
          <cell r="E4296" t="str">
            <v/>
          </cell>
          <cell r="F4296" t="str">
            <v/>
          </cell>
          <cell r="G4296" t="str">
            <v>COOPERATIVA DE TRANSPORTADORES DE MANZANARES COOTRAMAN</v>
          </cell>
          <cell r="H4296" t="str">
            <v>RECO</v>
          </cell>
          <cell r="I4296" t="str">
            <v>REGIMEN COMUN</v>
          </cell>
          <cell r="J4296" t="str">
            <v>CL 2 E4B 39 N BRR SANTA CLARA</v>
          </cell>
          <cell r="K4296" t="str">
            <v>17433</v>
          </cell>
          <cell r="L4296" t="str">
            <v>MANZANARES</v>
          </cell>
          <cell r="M4296" t="str">
            <v>8550085</v>
          </cell>
        </row>
        <row r="4297">
          <cell r="A4297">
            <v>890802783</v>
          </cell>
          <cell r="B4297" t="str">
            <v>1</v>
          </cell>
          <cell r="C4297" t="str">
            <v/>
          </cell>
          <cell r="D4297" t="str">
            <v>NJ</v>
          </cell>
          <cell r="E4297" t="str">
            <v/>
          </cell>
          <cell r="F4297" t="str">
            <v/>
          </cell>
          <cell r="G4297" t="str">
            <v>LIGA CALDENSE DE FUTBOL</v>
          </cell>
          <cell r="H4297" t="str">
            <v>IMVE</v>
          </cell>
          <cell r="I4297" t="str">
            <v>IMPUESTO SOBRE LAS VENTAS</v>
          </cell>
          <cell r="J4297" t="str">
            <v>EN 22 ESTADIO PALOGRANDE</v>
          </cell>
          <cell r="K4297" t="str">
            <v>17001</v>
          </cell>
          <cell r="L4297" t="str">
            <v>MANIZALES</v>
          </cell>
          <cell r="M4297" t="str">
            <v>3188430038</v>
          </cell>
        </row>
        <row r="4298">
          <cell r="A4298">
            <v>890803003</v>
          </cell>
          <cell r="B4298" t="str">
            <v>8</v>
          </cell>
          <cell r="C4298" t="str">
            <v/>
          </cell>
          <cell r="D4298" t="str">
            <v>NJ</v>
          </cell>
          <cell r="E4298" t="str">
            <v/>
          </cell>
          <cell r="F4298" t="str">
            <v/>
          </cell>
          <cell r="G4298" t="str">
            <v xml:space="preserve">JARDINES DE LA ESPERANZA                                    </v>
          </cell>
          <cell r="H4298" t="str">
            <v>GRCO</v>
          </cell>
          <cell r="I4298" t="str">
            <v>GRAN CONTRIBUYENTE</v>
          </cell>
          <cell r="J4298" t="str">
            <v xml:space="preserve">CL 50  N 24   05                     </v>
          </cell>
          <cell r="K4298" t="str">
            <v>17001</v>
          </cell>
          <cell r="L4298" t="str">
            <v>MANIZALES</v>
          </cell>
          <cell r="M4298" t="str">
            <v>8860260</v>
          </cell>
        </row>
        <row r="4299">
          <cell r="A4299">
            <v>890803005</v>
          </cell>
          <cell r="B4299" t="str">
            <v>2</v>
          </cell>
          <cell r="C4299" t="str">
            <v>21017000</v>
          </cell>
          <cell r="D4299" t="str">
            <v>NJ</v>
          </cell>
          <cell r="E4299" t="str">
            <v/>
          </cell>
          <cell r="F4299" t="str">
            <v/>
          </cell>
          <cell r="G4299" t="str">
            <v>CORPORACION AUTONOMA REGIONAL DE CALDAS</v>
          </cell>
          <cell r="H4299" t="str">
            <v>RECO</v>
          </cell>
          <cell r="I4299" t="str">
            <v>REGIMEN COMUN</v>
          </cell>
          <cell r="J4299" t="str">
            <v>CL 21   23   22 EDIFICIO SEGUROS ATLAS</v>
          </cell>
          <cell r="K4299" t="str">
            <v>17001</v>
          </cell>
          <cell r="L4299" t="str">
            <v>MANIZALES</v>
          </cell>
          <cell r="M4299" t="str">
            <v>8841409</v>
          </cell>
        </row>
        <row r="4300">
          <cell r="A4300">
            <v>890803025</v>
          </cell>
          <cell r="B4300" t="str">
            <v>1</v>
          </cell>
          <cell r="C4300" t="str">
            <v/>
          </cell>
          <cell r="D4300" t="str">
            <v>NJ</v>
          </cell>
          <cell r="E4300" t="str">
            <v/>
          </cell>
          <cell r="F4300" t="str">
            <v/>
          </cell>
          <cell r="G4300" t="str">
            <v>CAMACOL REGIONAL CALDAS</v>
          </cell>
          <cell r="H4300" t="str">
            <v>RECO</v>
          </cell>
          <cell r="I4300" t="str">
            <v>REGIMEN COMUN</v>
          </cell>
          <cell r="J4300" t="str">
            <v>CL 70 A 23 B 17</v>
          </cell>
          <cell r="K4300" t="str">
            <v>17001</v>
          </cell>
          <cell r="L4300" t="str">
            <v>MANIZALES</v>
          </cell>
          <cell r="M4300" t="str">
            <v>8870081</v>
          </cell>
        </row>
        <row r="4301">
          <cell r="A4301">
            <v>890803296</v>
          </cell>
          <cell r="B4301" t="str">
            <v>9</v>
          </cell>
          <cell r="C4301" t="str">
            <v/>
          </cell>
          <cell r="D4301" t="str">
            <v>NJ</v>
          </cell>
          <cell r="E4301" t="str">
            <v/>
          </cell>
          <cell r="F4301" t="str">
            <v/>
          </cell>
          <cell r="G4301" t="str">
            <v>CORPORACION CENTRO MANIZALES</v>
          </cell>
          <cell r="H4301" t="str">
            <v>IMVE</v>
          </cell>
          <cell r="I4301" t="str">
            <v>IMPUESTO SOBRE LAS VENTAS</v>
          </cell>
          <cell r="J4301" t="str">
            <v>CR 23   25 60 BRR CENTRO</v>
          </cell>
          <cell r="K4301" t="str">
            <v>17001</v>
          </cell>
          <cell r="L4301" t="str">
            <v>MANIZALES</v>
          </cell>
          <cell r="M4301" t="str">
            <v>8841611</v>
          </cell>
        </row>
        <row r="4302">
          <cell r="A4302">
            <v>890803304</v>
          </cell>
          <cell r="B4302" t="str">
            <v>1</v>
          </cell>
          <cell r="C4302" t="str">
            <v/>
          </cell>
          <cell r="D4302" t="str">
            <v>NJ</v>
          </cell>
          <cell r="E4302" t="str">
            <v/>
          </cell>
          <cell r="F4302" t="str">
            <v/>
          </cell>
          <cell r="G4302" t="str">
            <v>TORRES GUARIN Y CIA LTDA ASESORES DE SEGUROS</v>
          </cell>
          <cell r="H4302" t="str">
            <v>GRCO</v>
          </cell>
          <cell r="I4302" t="str">
            <v>GRAN CONTRIBUYENTE</v>
          </cell>
          <cell r="J4302" t="str">
            <v>CR 23 74 06</v>
          </cell>
          <cell r="K4302" t="str">
            <v>17001</v>
          </cell>
          <cell r="L4302" t="str">
            <v>MANIZALES</v>
          </cell>
          <cell r="M4302" t="str">
            <v>8865353</v>
          </cell>
        </row>
        <row r="4303">
          <cell r="A4303">
            <v>890803560</v>
          </cell>
          <cell r="B4303" t="str">
            <v>9</v>
          </cell>
          <cell r="C4303" t="str">
            <v/>
          </cell>
          <cell r="D4303" t="str">
            <v>NJ</v>
          </cell>
          <cell r="E4303" t="str">
            <v/>
          </cell>
          <cell r="F4303" t="str">
            <v/>
          </cell>
          <cell r="G4303" t="str">
            <v>PRECONCRETO SAS</v>
          </cell>
          <cell r="H4303" t="str">
            <v>RECO</v>
          </cell>
          <cell r="I4303" t="str">
            <v>REGIMEN COMUN</v>
          </cell>
          <cell r="J4303" t="str">
            <v>CR 33 62 08</v>
          </cell>
          <cell r="K4303" t="str">
            <v>17001</v>
          </cell>
          <cell r="L4303" t="str">
            <v>MANIZALES</v>
          </cell>
          <cell r="M4303" t="str">
            <v>8875246</v>
          </cell>
        </row>
        <row r="4304">
          <cell r="A4304">
            <v>890804111</v>
          </cell>
          <cell r="B4304" t="str">
            <v>1</v>
          </cell>
          <cell r="C4304" t="str">
            <v/>
          </cell>
          <cell r="D4304" t="str">
            <v>NJ</v>
          </cell>
          <cell r="E4304" t="str">
            <v/>
          </cell>
          <cell r="F4304" t="str">
            <v/>
          </cell>
          <cell r="G4304" t="str">
            <v>LIGA CONTRA EL CÁNCER SECCIONAL CALDAS</v>
          </cell>
          <cell r="H4304" t="str">
            <v>IMVE</v>
          </cell>
          <cell r="I4304" t="str">
            <v>IMPUESTO SOBRE LAS VENTAS</v>
          </cell>
          <cell r="J4304" t="str">
            <v>CR 26 49  34</v>
          </cell>
          <cell r="K4304" t="str">
            <v>17001</v>
          </cell>
          <cell r="L4304" t="str">
            <v>MANIZALES</v>
          </cell>
          <cell r="M4304" t="str">
            <v>8860403</v>
          </cell>
        </row>
        <row r="4305">
          <cell r="A4305">
            <v>890804451</v>
          </cell>
          <cell r="B4305" t="str">
            <v>9</v>
          </cell>
          <cell r="C4305" t="str">
            <v/>
          </cell>
          <cell r="D4305" t="str">
            <v>NJ</v>
          </cell>
          <cell r="E4305" t="str">
            <v/>
          </cell>
          <cell r="F4305" t="str">
            <v/>
          </cell>
          <cell r="G4305" t="str">
            <v>LLANO VILLEGAS Y MEJIA DECORAMOS LTDA</v>
          </cell>
          <cell r="H4305" t="str">
            <v>RECO</v>
          </cell>
          <cell r="I4305" t="str">
            <v>REGIMEN COMUN</v>
          </cell>
          <cell r="J4305" t="str">
            <v xml:space="preserve"> CR 23  62 69</v>
          </cell>
          <cell r="K4305" t="str">
            <v>17001</v>
          </cell>
          <cell r="L4305" t="str">
            <v>MANIZALES</v>
          </cell>
          <cell r="M4305" t="str">
            <v>8810323</v>
          </cell>
        </row>
        <row r="4306">
          <cell r="A4306">
            <v>890804614</v>
          </cell>
          <cell r="B4306" t="str">
            <v>2</v>
          </cell>
          <cell r="C4306" t="str">
            <v/>
          </cell>
          <cell r="D4306" t="str">
            <v>NJ</v>
          </cell>
          <cell r="E4306" t="str">
            <v/>
          </cell>
          <cell r="F4306" t="str">
            <v/>
          </cell>
          <cell r="G4306" t="str">
            <v>TRANSPORTES IRRA S.A.</v>
          </cell>
          <cell r="H4306" t="str">
            <v>REOR</v>
          </cell>
          <cell r="I4306" t="str">
            <v>RENTA REGIMEN ORDINARIO</v>
          </cell>
          <cell r="J4306" t="str">
            <v>CR 23 25 61</v>
          </cell>
          <cell r="K4306" t="str">
            <v>17001</v>
          </cell>
          <cell r="L4306" t="str">
            <v>MANIZALES</v>
          </cell>
          <cell r="M4306" t="str">
            <v>8730055</v>
          </cell>
        </row>
        <row r="4307">
          <cell r="A4307">
            <v>890804852</v>
          </cell>
          <cell r="B4307" t="str">
            <v>9</v>
          </cell>
          <cell r="C4307" t="str">
            <v/>
          </cell>
          <cell r="D4307" t="str">
            <v>NJ</v>
          </cell>
          <cell r="E4307" t="str">
            <v/>
          </cell>
          <cell r="F4307" t="str">
            <v/>
          </cell>
          <cell r="G4307" t="str">
            <v>VIAJES AGENTUR SA</v>
          </cell>
          <cell r="H4307" t="str">
            <v>RST</v>
          </cell>
          <cell r="I4307" t="str">
            <v>REGIMEN SIMPLE DE TRIBUTACION</v>
          </cell>
          <cell r="J4307" t="str">
            <v>CR 23 B 65 20</v>
          </cell>
          <cell r="K4307" t="str">
            <v>17001</v>
          </cell>
          <cell r="L4307" t="str">
            <v>MANIZALES</v>
          </cell>
          <cell r="M4307" t="str">
            <v>8874100</v>
          </cell>
        </row>
        <row r="4308">
          <cell r="A4308">
            <v>890804955</v>
          </cell>
          <cell r="B4308" t="str">
            <v>9</v>
          </cell>
          <cell r="C4308" t="str">
            <v/>
          </cell>
          <cell r="D4308" t="str">
            <v>NJ</v>
          </cell>
          <cell r="E4308" t="str">
            <v/>
          </cell>
          <cell r="F4308" t="str">
            <v/>
          </cell>
          <cell r="G4308" t="str">
            <v>HOTEL CARRETERO S.A</v>
          </cell>
          <cell r="H4308" t="str">
            <v>RECO</v>
          </cell>
          <cell r="I4308" t="str">
            <v>REGIMEN COMUN</v>
          </cell>
          <cell r="J4308" t="str">
            <v>CR 23   35 A 31</v>
          </cell>
          <cell r="K4308" t="str">
            <v>17001</v>
          </cell>
          <cell r="L4308" t="str">
            <v>MANIZALES</v>
          </cell>
          <cell r="M4308" t="str">
            <v>8840255</v>
          </cell>
        </row>
        <row r="4309">
          <cell r="A4309">
            <v>890804970</v>
          </cell>
          <cell r="B4309" t="str">
            <v>1</v>
          </cell>
          <cell r="C4309" t="str">
            <v/>
          </cell>
          <cell r="D4309" t="str">
            <v>NJ</v>
          </cell>
          <cell r="E4309" t="str">
            <v/>
          </cell>
          <cell r="F4309" t="str">
            <v/>
          </cell>
          <cell r="G4309" t="str">
            <v>EDITORIAL BLANECOLOR S.A.S</v>
          </cell>
          <cell r="H4309" t="str">
            <v>RECO</v>
          </cell>
          <cell r="I4309" t="str">
            <v>REGIMEN COMUN</v>
          </cell>
          <cell r="J4309" t="str">
            <v>CR 18   27   35</v>
          </cell>
          <cell r="K4309" t="str">
            <v>17001</v>
          </cell>
          <cell r="L4309" t="str">
            <v>MANIZALES</v>
          </cell>
          <cell r="M4309" t="str">
            <v>8847296</v>
          </cell>
        </row>
        <row r="4310">
          <cell r="A4310">
            <v>890805051</v>
          </cell>
          <cell r="B4310" t="str">
            <v>0</v>
          </cell>
          <cell r="C4310" t="str">
            <v/>
          </cell>
          <cell r="D4310" t="str">
            <v>NJ</v>
          </cell>
          <cell r="E4310" t="str">
            <v/>
          </cell>
          <cell r="F4310" t="str">
            <v/>
          </cell>
          <cell r="G4310" t="str">
            <v>UNIVERSIDAD AUTONOMA DE MANIZALES</v>
          </cell>
          <cell r="H4310" t="str">
            <v>REIC</v>
          </cell>
          <cell r="I4310" t="str">
            <v>RENTA REGIMEN ESPECIAL</v>
          </cell>
          <cell r="J4310" t="str">
            <v xml:space="preserve">ANTIGUA ESTACION DEL FERROCRRIL        </v>
          </cell>
          <cell r="K4310" t="str">
            <v>17001</v>
          </cell>
          <cell r="L4310" t="str">
            <v>MANIZALES</v>
          </cell>
          <cell r="M4310" t="str">
            <v>8727272</v>
          </cell>
        </row>
        <row r="4311">
          <cell r="A4311">
            <v>890805267</v>
          </cell>
          <cell r="B4311" t="str">
            <v>4</v>
          </cell>
          <cell r="C4311" t="str">
            <v/>
          </cell>
          <cell r="D4311" t="str">
            <v>NJ</v>
          </cell>
          <cell r="E4311" t="str">
            <v/>
          </cell>
          <cell r="F4311" t="str">
            <v/>
          </cell>
          <cell r="G4311" t="str">
            <v>C.I. SUPER DE ALIMENTOS S.A.</v>
          </cell>
          <cell r="H4311" t="str">
            <v>GRCO</v>
          </cell>
          <cell r="I4311" t="str">
            <v>GRAN CONTRIBUYENTE</v>
          </cell>
          <cell r="J4311" t="str">
            <v>KM 10 VIA AL MAGDALENA</v>
          </cell>
          <cell r="K4311" t="str">
            <v>17001</v>
          </cell>
          <cell r="L4311" t="str">
            <v>MANIZALES</v>
          </cell>
          <cell r="M4311" t="str">
            <v>8879500</v>
          </cell>
        </row>
        <row r="4312">
          <cell r="A4312">
            <v>890805503</v>
          </cell>
          <cell r="B4312" t="str">
            <v>8</v>
          </cell>
          <cell r="C4312" t="str">
            <v/>
          </cell>
          <cell r="D4312" t="str">
            <v>NJ</v>
          </cell>
          <cell r="E4312" t="str">
            <v/>
          </cell>
          <cell r="F4312" t="str">
            <v/>
          </cell>
          <cell r="G4312" t="str">
            <v>PASTELERIA LA SUIZA S.A.S.</v>
          </cell>
          <cell r="H4312" t="str">
            <v>IMVE</v>
          </cell>
          <cell r="I4312" t="str">
            <v>IMPUESTO SOBRE LAS VENTAS</v>
          </cell>
          <cell r="J4312" t="str">
            <v xml:space="preserve"> CR 23 26 57</v>
          </cell>
          <cell r="K4312" t="str">
            <v>17001</v>
          </cell>
          <cell r="L4312" t="str">
            <v>MANIZALES</v>
          </cell>
          <cell r="M4312" t="str">
            <v>8850545</v>
          </cell>
        </row>
        <row r="4313">
          <cell r="A4313">
            <v>890805506</v>
          </cell>
          <cell r="B4313" t="str">
            <v>1</v>
          </cell>
          <cell r="C4313" t="str">
            <v/>
          </cell>
          <cell r="D4313" t="str">
            <v>NJ</v>
          </cell>
          <cell r="E4313" t="str">
            <v/>
          </cell>
          <cell r="F4313" t="str">
            <v/>
          </cell>
          <cell r="G4313" t="str">
            <v xml:space="preserve">ASOCIACION DE PROFESIONALES DE LA CHEC                      </v>
          </cell>
          <cell r="H4313" t="str">
            <v>RECO</v>
          </cell>
          <cell r="I4313" t="str">
            <v>REGIMEN COMUN</v>
          </cell>
          <cell r="J4313" t="str">
            <v xml:space="preserve">CR 23 N 64B 33                     </v>
          </cell>
          <cell r="K4313" t="str">
            <v>17001</v>
          </cell>
          <cell r="L4313" t="str">
            <v>MANIZALES</v>
          </cell>
          <cell r="M4313" t="str">
            <v>8756262</v>
          </cell>
        </row>
        <row r="4314">
          <cell r="A4314">
            <v>890805554</v>
          </cell>
          <cell r="B4314" t="str">
            <v>3</v>
          </cell>
          <cell r="C4314" t="str">
            <v/>
          </cell>
          <cell r="D4314" t="str">
            <v>NJ</v>
          </cell>
          <cell r="E4314" t="str">
            <v/>
          </cell>
          <cell r="F4314" t="str">
            <v/>
          </cell>
          <cell r="G4314" t="str">
            <v>CENTRO DE DIAGNOSTICO AUTOMOTOR DE CALDAS LIMITADA</v>
          </cell>
          <cell r="H4314" t="str">
            <v>IMVE</v>
          </cell>
          <cell r="I4314" t="str">
            <v>IMPUESTO SOBRE LAS VENTAS</v>
          </cell>
          <cell r="J4314" t="str">
            <v>AV KEVIN ANGEL 63 77</v>
          </cell>
          <cell r="K4314" t="str">
            <v>17001</v>
          </cell>
          <cell r="L4314" t="str">
            <v>MANIZALES</v>
          </cell>
          <cell r="M4314" t="str">
            <v>8752828</v>
          </cell>
        </row>
        <row r="4315">
          <cell r="A4315">
            <v>890805825</v>
          </cell>
          <cell r="B4315" t="str">
            <v>4</v>
          </cell>
          <cell r="C4315" t="str">
            <v/>
          </cell>
          <cell r="D4315" t="str">
            <v>NJ</v>
          </cell>
          <cell r="E4315" t="str">
            <v/>
          </cell>
          <cell r="F4315" t="str">
            <v/>
          </cell>
          <cell r="G4315" t="str">
            <v>PUNTO ELECTRICO S.A.S</v>
          </cell>
          <cell r="H4315" t="str">
            <v>IMVE</v>
          </cell>
          <cell r="I4315" t="str">
            <v>IMPUESTO SOBRE LAS VENTAS</v>
          </cell>
          <cell r="J4315" t="str">
            <v>KM 10 VIA AL MAGDALENA-ZONA INDUSTRIAL VDA LA ENEA</v>
          </cell>
          <cell r="K4315" t="str">
            <v>17001</v>
          </cell>
          <cell r="L4315" t="str">
            <v>MANIZALES</v>
          </cell>
          <cell r="M4315" t="str">
            <v>8847505</v>
          </cell>
        </row>
        <row r="4316">
          <cell r="A4316">
            <v>890806001</v>
          </cell>
          <cell r="B4316" t="str">
            <v>7</v>
          </cell>
          <cell r="C4316" t="str">
            <v/>
          </cell>
          <cell r="D4316" t="str">
            <v>NJ</v>
          </cell>
          <cell r="E4316" t="str">
            <v/>
          </cell>
          <cell r="F4316" t="str">
            <v/>
          </cell>
          <cell r="G4316" t="str">
            <v xml:space="preserve">UNIVERSIDAD DE MANIZALES                                    </v>
          </cell>
          <cell r="H4316" t="str">
            <v>REIC</v>
          </cell>
          <cell r="I4316" t="str">
            <v>RENTA REGIMEN ESPECIAL</v>
          </cell>
          <cell r="J4316" t="str">
            <v xml:space="preserve"> CR 9 19 03 BRR CAMPO HERMOSO</v>
          </cell>
          <cell r="K4316" t="str">
            <v>17001</v>
          </cell>
          <cell r="L4316" t="str">
            <v>MANIZALES</v>
          </cell>
          <cell r="M4316" t="str">
            <v>8879680</v>
          </cell>
        </row>
        <row r="4317">
          <cell r="A4317">
            <v>890806006</v>
          </cell>
          <cell r="B4317" t="str">
            <v>3</v>
          </cell>
          <cell r="C4317" t="str">
            <v>141017000</v>
          </cell>
          <cell r="D4317" t="str">
            <v>NJ</v>
          </cell>
          <cell r="E4317" t="str">
            <v/>
          </cell>
          <cell r="F4317" t="str">
            <v/>
          </cell>
          <cell r="G4317" t="str">
            <v>INSTITUTO DE FINANCIAMIENTO PROMOCIÓN Y DESARROLLO DE CALDAS</v>
          </cell>
          <cell r="H4317" t="str">
            <v>IMVE</v>
          </cell>
          <cell r="I4317" t="str">
            <v>IMPUESTO SOBRE LAS VENTAS</v>
          </cell>
          <cell r="J4317" t="str">
            <v>CR 21   23   22 ED SEGUROS ATLAS P 4</v>
          </cell>
          <cell r="K4317" t="str">
            <v>17001</v>
          </cell>
          <cell r="L4317" t="str">
            <v>MANIZALES</v>
          </cell>
          <cell r="M4317" t="str">
            <v>8845639</v>
          </cell>
        </row>
        <row r="4318">
          <cell r="A4318">
            <v>890806065</v>
          </cell>
          <cell r="B4318" t="str">
            <v>8</v>
          </cell>
          <cell r="C4318" t="str">
            <v/>
          </cell>
          <cell r="D4318" t="str">
            <v>NJ</v>
          </cell>
          <cell r="E4318" t="str">
            <v/>
          </cell>
          <cell r="F4318" t="str">
            <v/>
          </cell>
          <cell r="G4318" t="str">
            <v>QUINTERO GIRALDO Y CIA S.A.</v>
          </cell>
          <cell r="H4318" t="str">
            <v>IMVE</v>
          </cell>
          <cell r="I4318" t="str">
            <v>IMPUESTO SOBRE LAS VENTAS</v>
          </cell>
          <cell r="J4318" t="str">
            <v xml:space="preserve">CR 23 47 66                        </v>
          </cell>
          <cell r="K4318" t="str">
            <v>17001</v>
          </cell>
          <cell r="L4318" t="str">
            <v>MANIZALES</v>
          </cell>
          <cell r="M4318" t="str">
            <v>8811435</v>
          </cell>
        </row>
        <row r="4319">
          <cell r="A4319">
            <v>890806088</v>
          </cell>
          <cell r="B4319" t="str">
            <v>7</v>
          </cell>
          <cell r="C4319" t="str">
            <v/>
          </cell>
          <cell r="D4319" t="str">
            <v>NJ</v>
          </cell>
          <cell r="E4319" t="str">
            <v/>
          </cell>
          <cell r="F4319" t="str">
            <v/>
          </cell>
          <cell r="G4319" t="str">
            <v>ASOCIACION COLOMBIANA DE INGENIEROS ACIEM</v>
          </cell>
          <cell r="H4319" t="str">
            <v>RECO</v>
          </cell>
          <cell r="I4319" t="str">
            <v>REGIMEN COMUN</v>
          </cell>
          <cell r="J4319" t="str">
            <v>CRA 23 62 26 OF 213</v>
          </cell>
          <cell r="K4319" t="str">
            <v>17001</v>
          </cell>
          <cell r="L4319" t="str">
            <v>MANIZALES</v>
          </cell>
          <cell r="M4319" t="str">
            <v>8863003</v>
          </cell>
        </row>
        <row r="4320">
          <cell r="A4320">
            <v>890806126</v>
          </cell>
          <cell r="B4320" t="str">
            <v>9</v>
          </cell>
          <cell r="C4320" t="str">
            <v/>
          </cell>
          <cell r="D4320" t="str">
            <v>NJ</v>
          </cell>
          <cell r="E4320" t="str">
            <v/>
          </cell>
          <cell r="F4320" t="str">
            <v/>
          </cell>
          <cell r="G4320" t="str">
            <v xml:space="preserve">R Y R ASEGURADORES                                          </v>
          </cell>
          <cell r="H4320" t="str">
            <v>RECO</v>
          </cell>
          <cell r="I4320" t="str">
            <v>REGIMEN COMUN</v>
          </cell>
          <cell r="J4320" t="str">
            <v>CL 64 A   21   50</v>
          </cell>
          <cell r="K4320" t="str">
            <v>17001</v>
          </cell>
          <cell r="L4320" t="str">
            <v>MANIZALES</v>
          </cell>
          <cell r="M4320" t="str">
            <v>8813434</v>
          </cell>
        </row>
        <row r="4321">
          <cell r="A4321">
            <v>890806147</v>
          </cell>
          <cell r="B4321" t="str">
            <v>3</v>
          </cell>
          <cell r="C4321" t="str">
            <v/>
          </cell>
          <cell r="D4321" t="str">
            <v>NJ</v>
          </cell>
          <cell r="E4321" t="str">
            <v/>
          </cell>
          <cell r="F4321" t="str">
            <v/>
          </cell>
          <cell r="G4321" t="str">
            <v>CALDAS MEDICAS S.A.S.</v>
          </cell>
          <cell r="H4321" t="str">
            <v>IMVE</v>
          </cell>
          <cell r="I4321" t="str">
            <v>IMPUESTO SOBRE LAS VENTAS</v>
          </cell>
          <cell r="J4321" t="str">
            <v>CR 24 47 74</v>
          </cell>
          <cell r="K4321" t="str">
            <v>17001</v>
          </cell>
          <cell r="L4321" t="str">
            <v>MANIZALES</v>
          </cell>
          <cell r="M4321" t="str">
            <v>8859134</v>
          </cell>
        </row>
        <row r="4322">
          <cell r="A4322">
            <v>890806230</v>
          </cell>
          <cell r="B4322" t="str">
            <v>7</v>
          </cell>
          <cell r="C4322" t="str">
            <v/>
          </cell>
          <cell r="D4322" t="str">
            <v>NJ</v>
          </cell>
          <cell r="E4322" t="str">
            <v/>
          </cell>
          <cell r="F4322" t="str">
            <v/>
          </cell>
          <cell r="G4322" t="str">
            <v>CORPORACION CASA DE LA CULTURA DEL MUNICIPIO DE VILLAMARIA CALDA</v>
          </cell>
          <cell r="H4322" t="str">
            <v>REIC</v>
          </cell>
          <cell r="I4322" t="str">
            <v>RENTA REGIMEN ESPECIAL</v>
          </cell>
          <cell r="J4322" t="str">
            <v>CL 4 CR 8 ESQ</v>
          </cell>
          <cell r="K4322" t="str">
            <v>17001</v>
          </cell>
          <cell r="L4322" t="str">
            <v>MANIZALES</v>
          </cell>
          <cell r="M4322" t="str">
            <v>3148816466</v>
          </cell>
        </row>
        <row r="4323">
          <cell r="A4323">
            <v>890806477</v>
          </cell>
          <cell r="B4323" t="str">
            <v>9</v>
          </cell>
          <cell r="C4323" t="str">
            <v/>
          </cell>
          <cell r="D4323" t="str">
            <v>NJ</v>
          </cell>
          <cell r="E4323" t="str">
            <v/>
          </cell>
          <cell r="F4323" t="str">
            <v/>
          </cell>
          <cell r="G4323" t="str">
            <v>UNIVERSIDAD CATOLICA DE MANIZALES</v>
          </cell>
          <cell r="H4323" t="str">
            <v>GRCO</v>
          </cell>
          <cell r="I4323" t="str">
            <v>GRAN CONTRIBUYENTE</v>
          </cell>
          <cell r="J4323" t="str">
            <v xml:space="preserve">CR 23 60 63                             </v>
          </cell>
          <cell r="K4323" t="str">
            <v>17001</v>
          </cell>
          <cell r="L4323" t="str">
            <v>MANIZALES</v>
          </cell>
          <cell r="M4323" t="str">
            <v>8782900</v>
          </cell>
        </row>
        <row r="4324">
          <cell r="A4324">
            <v>890806490</v>
          </cell>
          <cell r="B4324" t="str">
            <v>5</v>
          </cell>
          <cell r="C4324" t="str">
            <v/>
          </cell>
          <cell r="D4324" t="str">
            <v>NJ</v>
          </cell>
          <cell r="E4324" t="str">
            <v/>
          </cell>
          <cell r="F4324" t="str">
            <v/>
          </cell>
          <cell r="G4324" t="str">
            <v>CAJA DE COMPENSACIÓN FAMILIAR DE CALDAS</v>
          </cell>
          <cell r="H4324" t="str">
            <v>GRAU</v>
          </cell>
          <cell r="I4324" t="str">
            <v>GRAN CONTRIBUYENTE AUTORRETENEDO</v>
          </cell>
          <cell r="J4324" t="str">
            <v>CR 25 CLL 50  ESQ</v>
          </cell>
          <cell r="K4324" t="str">
            <v>17001</v>
          </cell>
          <cell r="L4324" t="str">
            <v>MANIZALES</v>
          </cell>
          <cell r="M4324" t="str">
            <v>8783111</v>
          </cell>
        </row>
        <row r="4325">
          <cell r="A4325">
            <v>890806677</v>
          </cell>
          <cell r="B4325" t="str">
            <v>5</v>
          </cell>
          <cell r="C4325" t="str">
            <v/>
          </cell>
          <cell r="D4325" t="str">
            <v>NJ</v>
          </cell>
          <cell r="E4325" t="str">
            <v/>
          </cell>
          <cell r="F4325" t="str">
            <v/>
          </cell>
          <cell r="G4325" t="str">
            <v>FESTIVAL INTERNACIONAL DE TEATRO</v>
          </cell>
          <cell r="H4325" t="str">
            <v>IMVE</v>
          </cell>
          <cell r="I4325" t="str">
            <v>IMPUESTO SOBRE LAS VENTAS</v>
          </cell>
          <cell r="J4325" t="str">
            <v>CR 24 B 61 A30 BRR ESTRELLA</v>
          </cell>
          <cell r="K4325" t="str">
            <v>17001</v>
          </cell>
          <cell r="L4325" t="str">
            <v>MANIZALES</v>
          </cell>
          <cell r="M4325" t="str">
            <v>8850165</v>
          </cell>
        </row>
        <row r="4326">
          <cell r="A4326">
            <v>890806680</v>
          </cell>
          <cell r="B4326" t="str">
            <v>8</v>
          </cell>
          <cell r="C4326" t="str">
            <v/>
          </cell>
          <cell r="D4326" t="str">
            <v>NJ</v>
          </cell>
          <cell r="E4326" t="str">
            <v/>
          </cell>
          <cell r="F4326" t="str">
            <v/>
          </cell>
          <cell r="G4326" t="str">
            <v>INSTITUCION EDUCATIVA SAN FRANCISCO DE PAULA</v>
          </cell>
          <cell r="H4326" t="str">
            <v>REIC</v>
          </cell>
          <cell r="I4326" t="str">
            <v>RENTA REGIMEN ESPECIAL</v>
          </cell>
          <cell r="J4326" t="str">
            <v>CL 16 CR 4 ESQ</v>
          </cell>
          <cell r="K4326" t="str">
            <v>17174</v>
          </cell>
          <cell r="L4326" t="str">
            <v>CHINCHINÁ</v>
          </cell>
          <cell r="M4326" t="str">
            <v>8506861</v>
          </cell>
        </row>
        <row r="4327">
          <cell r="A4327">
            <v>890806721</v>
          </cell>
          <cell r="B4327" t="str">
            <v>1</v>
          </cell>
          <cell r="C4327" t="str">
            <v/>
          </cell>
          <cell r="D4327" t="str">
            <v>NJ</v>
          </cell>
          <cell r="E4327" t="str">
            <v/>
          </cell>
          <cell r="F4327" t="str">
            <v/>
          </cell>
          <cell r="G4327" t="str">
            <v>CORPORACION CARNAVAL DE RIOSUCIO</v>
          </cell>
          <cell r="H4327" t="str">
            <v>RECO</v>
          </cell>
          <cell r="I4327" t="str">
            <v>REGIMEN COMUN</v>
          </cell>
          <cell r="J4327" t="str">
            <v xml:space="preserve"> CL 10 7 80</v>
          </cell>
          <cell r="K4327" t="str">
            <v>17614</v>
          </cell>
          <cell r="L4327" t="str">
            <v>RIOSUCIO</v>
          </cell>
          <cell r="M4327" t="str">
            <v>85922710</v>
          </cell>
        </row>
        <row r="4328">
          <cell r="A4328">
            <v>890806725</v>
          </cell>
          <cell r="B4328" t="str">
            <v>0</v>
          </cell>
          <cell r="C4328" t="str">
            <v/>
          </cell>
          <cell r="D4328" t="str">
            <v>NJ</v>
          </cell>
          <cell r="E4328" t="str">
            <v/>
          </cell>
          <cell r="F4328" t="str">
            <v/>
          </cell>
          <cell r="G4328" t="str">
            <v>ASESORANDO SAS</v>
          </cell>
          <cell r="H4328" t="str">
            <v>IMVE</v>
          </cell>
          <cell r="I4328" t="str">
            <v>IMPUESTO SOBRE LAS VENTAS</v>
          </cell>
          <cell r="J4328" t="str">
            <v>CL 22 23 33 OF 505 ED GUACAICA</v>
          </cell>
          <cell r="K4328" t="str">
            <v>17001</v>
          </cell>
          <cell r="L4328" t="str">
            <v>MANIZALES</v>
          </cell>
          <cell r="M4328" t="str">
            <v>8900083</v>
          </cell>
        </row>
        <row r="4329">
          <cell r="A4329">
            <v>890806968</v>
          </cell>
          <cell r="B4329" t="str">
            <v>3</v>
          </cell>
          <cell r="C4329" t="str">
            <v/>
          </cell>
          <cell r="D4329" t="str">
            <v>NJ</v>
          </cell>
          <cell r="E4329" t="str">
            <v/>
          </cell>
          <cell r="F4329" t="str">
            <v/>
          </cell>
          <cell r="G4329" t="str">
            <v>MOLANO LONDOÑO E HIJOS SAS</v>
          </cell>
          <cell r="H4329" t="str">
            <v>IMVE</v>
          </cell>
          <cell r="I4329" t="str">
            <v>IMPUESTO SOBRE LAS VENTAS</v>
          </cell>
          <cell r="J4329" t="str">
            <v>KM 4 CRT PANAMERICANA AD PARQUE CENTRO BODEGA ABC 15</v>
          </cell>
          <cell r="K4329" t="str">
            <v>17873</v>
          </cell>
          <cell r="L4329" t="str">
            <v>VILLAMARÍA</v>
          </cell>
          <cell r="M4329" t="str">
            <v>6068804600</v>
          </cell>
        </row>
        <row r="4330">
          <cell r="A4330">
            <v>890806999</v>
          </cell>
          <cell r="B4330" t="str">
            <v>1</v>
          </cell>
          <cell r="C4330" t="str">
            <v/>
          </cell>
          <cell r="D4330" t="str">
            <v>NJ</v>
          </cell>
          <cell r="E4330" t="str">
            <v/>
          </cell>
          <cell r="F4330" t="str">
            <v/>
          </cell>
          <cell r="G4330" t="str">
            <v xml:space="preserve">ARMETALES S A                                               </v>
          </cell>
          <cell r="H4330" t="str">
            <v>GRAU</v>
          </cell>
          <cell r="I4330" t="str">
            <v>GRAN CONTRIBUYENTE AUTORRETENEDO</v>
          </cell>
          <cell r="J4330" t="str">
            <v>CR 19   24   58</v>
          </cell>
          <cell r="K4330" t="str">
            <v>17001</v>
          </cell>
          <cell r="L4330" t="str">
            <v>MANIZALES</v>
          </cell>
          <cell r="M4330" t="str">
            <v>8842227</v>
          </cell>
        </row>
        <row r="4331">
          <cell r="A4331">
            <v>890807056</v>
          </cell>
          <cell r="B4331" t="str">
            <v>6</v>
          </cell>
          <cell r="C4331" t="str">
            <v/>
          </cell>
          <cell r="D4331" t="str">
            <v>NJ</v>
          </cell>
          <cell r="E4331" t="str">
            <v/>
          </cell>
          <cell r="F4331" t="str">
            <v/>
          </cell>
          <cell r="G4331" t="str">
            <v>GILBERTO ROBLEDO QUINTERO ASESORES DE SEGUROS &amp; CIA LTDA</v>
          </cell>
          <cell r="H4331" t="str">
            <v>RECO</v>
          </cell>
          <cell r="I4331" t="str">
            <v>REGIMEN COMUN</v>
          </cell>
          <cell r="J4331" t="str">
            <v>CR 23 A   74   71 ED ANDI OF 802</v>
          </cell>
          <cell r="K4331" t="str">
            <v>17001</v>
          </cell>
          <cell r="L4331" t="str">
            <v>MANIZALES</v>
          </cell>
          <cell r="M4331" t="str">
            <v>8875100</v>
          </cell>
        </row>
        <row r="4332">
          <cell r="A4332">
            <v>890807115</v>
          </cell>
          <cell r="B4332" t="str">
            <v>2</v>
          </cell>
          <cell r="C4332" t="str">
            <v/>
          </cell>
          <cell r="D4332" t="str">
            <v>NJ</v>
          </cell>
          <cell r="E4332" t="str">
            <v/>
          </cell>
          <cell r="F4332" t="str">
            <v/>
          </cell>
          <cell r="G4332" t="str">
            <v>PANADERIA LA VICTORIA SA</v>
          </cell>
          <cell r="H4332" t="str">
            <v>RECO</v>
          </cell>
          <cell r="I4332" t="str">
            <v>REGIMEN COMUN</v>
          </cell>
          <cell r="J4332" t="str">
            <v>CR 23 N 59-67</v>
          </cell>
          <cell r="K4332" t="str">
            <v>17001</v>
          </cell>
          <cell r="L4332" t="str">
            <v>MANIZALES</v>
          </cell>
          <cell r="M4332" t="str">
            <v>8810037</v>
          </cell>
        </row>
        <row r="4333">
          <cell r="A4333">
            <v>890807127</v>
          </cell>
          <cell r="B4333" t="str">
            <v>0</v>
          </cell>
          <cell r="C4333" t="str">
            <v/>
          </cell>
          <cell r="D4333" t="str">
            <v>NJ</v>
          </cell>
          <cell r="E4333" t="str">
            <v/>
          </cell>
          <cell r="F4333" t="str">
            <v/>
          </cell>
          <cell r="G4333" t="str">
            <v>JORGE ALBERTO ESCOBAR S.A.S.</v>
          </cell>
          <cell r="H4333" t="str">
            <v>IMVE</v>
          </cell>
          <cell r="I4333" t="str">
            <v>IMPUESTO SOBRE LAS VENTAS</v>
          </cell>
          <cell r="J4333" t="str">
            <v>CR 22 31 06</v>
          </cell>
          <cell r="K4333" t="str">
            <v>17001</v>
          </cell>
          <cell r="L4333" t="str">
            <v>MANIZALES</v>
          </cell>
          <cell r="M4333" t="str">
            <v>8842005</v>
          </cell>
        </row>
        <row r="4334">
          <cell r="A4334">
            <v>890807213</v>
          </cell>
          <cell r="B4334" t="str">
            <v>6</v>
          </cell>
          <cell r="C4334" t="str">
            <v/>
          </cell>
          <cell r="D4334" t="str">
            <v>NJ</v>
          </cell>
          <cell r="E4334" t="str">
            <v/>
          </cell>
          <cell r="F4334" t="str">
            <v/>
          </cell>
          <cell r="G4334" t="str">
            <v xml:space="preserve">ALMACEN PARIS S.A.                                          </v>
          </cell>
          <cell r="H4334" t="str">
            <v>GRAU</v>
          </cell>
          <cell r="I4334" t="str">
            <v>GRAN CONTRIBUYENTE AUTORRETENEDO</v>
          </cell>
          <cell r="J4334" t="str">
            <v>CR 18   25   15</v>
          </cell>
          <cell r="K4334" t="str">
            <v>17001</v>
          </cell>
          <cell r="L4334" t="str">
            <v>MANIZALES</v>
          </cell>
          <cell r="M4334" t="str">
            <v>8841606</v>
          </cell>
        </row>
        <row r="4335">
          <cell r="A4335">
            <v>890807711</v>
          </cell>
          <cell r="B4335" t="str">
            <v>2</v>
          </cell>
          <cell r="C4335" t="str">
            <v/>
          </cell>
          <cell r="D4335" t="str">
            <v>NJ</v>
          </cell>
          <cell r="E4335" t="str">
            <v/>
          </cell>
          <cell r="F4335" t="str">
            <v/>
          </cell>
          <cell r="G4335" t="str">
            <v>DELGADO OCAMPO HNOS LTDA</v>
          </cell>
          <cell r="H4335" t="str">
            <v>RECO</v>
          </cell>
          <cell r="I4335" t="str">
            <v>REGIMEN COMUN</v>
          </cell>
          <cell r="J4335" t="str">
            <v>CR 20 19 11</v>
          </cell>
          <cell r="K4335" t="str">
            <v>17001</v>
          </cell>
          <cell r="L4335" t="str">
            <v>MANIZALES</v>
          </cell>
          <cell r="M4335" t="str">
            <v>8828152</v>
          </cell>
        </row>
        <row r="4336">
          <cell r="A4336">
            <v>890807724</v>
          </cell>
          <cell r="B4336" t="str">
            <v>8</v>
          </cell>
          <cell r="C4336" t="str">
            <v>131110000</v>
          </cell>
          <cell r="D4336" t="str">
            <v>NJ</v>
          </cell>
          <cell r="E4336" t="str">
            <v/>
          </cell>
          <cell r="F4336" t="str">
            <v/>
          </cell>
          <cell r="G4336" t="str">
            <v>SOCIEDAD DE TELEVISION DE CALDAS, RISARALDA Y QUINDIO LTDA</v>
          </cell>
          <cell r="H4336" t="str">
            <v>IMVE</v>
          </cell>
          <cell r="I4336" t="str">
            <v>IMPUESTO SOBRE LAS VENTAS</v>
          </cell>
          <cell r="J4336" t="str">
            <v>CR 19 A  43 02 SACATIN</v>
          </cell>
          <cell r="K4336" t="str">
            <v>17001</v>
          </cell>
          <cell r="L4336" t="str">
            <v>MANIZALES</v>
          </cell>
          <cell r="M4336" t="str">
            <v>8727100</v>
          </cell>
        </row>
        <row r="4337">
          <cell r="A4337">
            <v>890900028</v>
          </cell>
          <cell r="B4337" t="str">
            <v>7</v>
          </cell>
          <cell r="C4337" t="str">
            <v/>
          </cell>
          <cell r="D4337" t="str">
            <v>NJ</v>
          </cell>
          <cell r="E4337" t="str">
            <v/>
          </cell>
          <cell r="F4337" t="str">
            <v/>
          </cell>
          <cell r="G4337" t="str">
            <v xml:space="preserve">ELECTRA S.A.                                                </v>
          </cell>
          <cell r="H4337" t="str">
            <v>RCAU</v>
          </cell>
          <cell r="I4337" t="str">
            <v>RESPONSABLE IVA - AUTORETENEDOR</v>
          </cell>
          <cell r="J4337" t="str">
            <v>CR 1  18  39  BRR SAN NICOLAS</v>
          </cell>
          <cell r="K4337" t="str">
            <v>76001</v>
          </cell>
          <cell r="L4337" t="str">
            <v>CALI</v>
          </cell>
          <cell r="M4337" t="str">
            <v>2010177</v>
          </cell>
        </row>
        <row r="4338">
          <cell r="A4338">
            <v>890900082</v>
          </cell>
          <cell r="B4338" t="str">
            <v>5</v>
          </cell>
          <cell r="C4338" t="str">
            <v/>
          </cell>
          <cell r="D4338" t="str">
            <v>NJ</v>
          </cell>
          <cell r="E4338" t="str">
            <v/>
          </cell>
          <cell r="F4338" t="str">
            <v/>
          </cell>
          <cell r="G4338" t="str">
            <v>EDUARDOÑO SAS</v>
          </cell>
          <cell r="H4338" t="str">
            <v>GRAU</v>
          </cell>
          <cell r="I4338" t="str">
            <v>GRAN CONTRIBUYENTE AUTORRETENEDO</v>
          </cell>
          <cell r="J4338" t="str">
            <v>CR 18 84 84 P 3 ED CALLE 85</v>
          </cell>
          <cell r="K4338" t="str">
            <v>11001</v>
          </cell>
          <cell r="L4338" t="str">
            <v>BOGOTA DC</v>
          </cell>
          <cell r="M4338" t="str">
            <v>3127770917</v>
          </cell>
        </row>
        <row r="4339">
          <cell r="A4339">
            <v>890900098</v>
          </cell>
          <cell r="B4339" t="str">
            <v>2</v>
          </cell>
          <cell r="C4339" t="str">
            <v/>
          </cell>
          <cell r="D4339" t="str">
            <v>NJ</v>
          </cell>
          <cell r="E4339" t="str">
            <v/>
          </cell>
          <cell r="F4339" t="str">
            <v/>
          </cell>
          <cell r="G4339" t="str">
            <v>LANDERS Y CIA S.A.S</v>
          </cell>
          <cell r="H4339" t="str">
            <v>GRAU</v>
          </cell>
          <cell r="I4339" t="str">
            <v>GRAN CONTRIBUYENTE AUTORRETENEDO</v>
          </cell>
          <cell r="J4339" t="str">
            <v>AV CL 26 57 41</v>
          </cell>
          <cell r="K4339" t="str">
            <v>17001</v>
          </cell>
          <cell r="L4339" t="str">
            <v>MANIZALES</v>
          </cell>
          <cell r="M4339" t="str">
            <v>3500060</v>
          </cell>
        </row>
        <row r="4340">
          <cell r="A4340">
            <v>890900121</v>
          </cell>
          <cell r="B4340" t="str">
            <v>4</v>
          </cell>
          <cell r="C4340" t="str">
            <v/>
          </cell>
          <cell r="D4340" t="str">
            <v>NJ</v>
          </cell>
          <cell r="E4340" t="str">
            <v/>
          </cell>
          <cell r="F4340" t="str">
            <v/>
          </cell>
          <cell r="G4340" t="str">
            <v>ELECTRO PORCELANA GAMMA S. A.S</v>
          </cell>
          <cell r="H4340" t="str">
            <v>GRCO</v>
          </cell>
          <cell r="I4340" t="str">
            <v>GRAN CONTRIBUYENTE</v>
          </cell>
          <cell r="J4340" t="str">
            <v xml:space="preserve"> CR 48 72 SUR 01 AV LAS VEGAS</v>
          </cell>
          <cell r="K4340" t="str">
            <v>05631</v>
          </cell>
          <cell r="L4340" t="str">
            <v>SABANETA</v>
          </cell>
          <cell r="M4340" t="str">
            <v>3058000</v>
          </cell>
        </row>
        <row r="4341">
          <cell r="A4341">
            <v>890900285</v>
          </cell>
          <cell r="B4341" t="str">
            <v>3</v>
          </cell>
          <cell r="C4341" t="str">
            <v/>
          </cell>
          <cell r="D4341" t="str">
            <v>NJ</v>
          </cell>
          <cell r="E4341" t="str">
            <v/>
          </cell>
          <cell r="F4341" t="str">
            <v/>
          </cell>
          <cell r="G4341" t="str">
            <v>COMPAÑIA DE EMPAQUES S.A</v>
          </cell>
          <cell r="H4341" t="str">
            <v>IMVE</v>
          </cell>
          <cell r="I4341" t="str">
            <v>IMPUESTO SOBRE LAS VENTAS</v>
          </cell>
          <cell r="J4341" t="str">
            <v>CR 42 86 25</v>
          </cell>
          <cell r="K4341" t="str">
            <v>05360</v>
          </cell>
          <cell r="L4341" t="str">
            <v>ITAGUI</v>
          </cell>
          <cell r="M4341" t="str">
            <v>3115996093</v>
          </cell>
        </row>
        <row r="4342">
          <cell r="A4342">
            <v>890900444</v>
          </cell>
          <cell r="B4342" t="str">
            <v>8</v>
          </cell>
          <cell r="C4342" t="str">
            <v/>
          </cell>
          <cell r="D4342" t="str">
            <v>NJ</v>
          </cell>
          <cell r="E4342" t="str">
            <v/>
          </cell>
          <cell r="F4342" t="str">
            <v/>
          </cell>
          <cell r="G4342" t="str">
            <v>MATERIALES INDUSTRIALES S.A.S</v>
          </cell>
          <cell r="H4342" t="str">
            <v>RCAU</v>
          </cell>
          <cell r="I4342" t="str">
            <v>RESPONSABLE IVA - AUTORETENEDOR</v>
          </cell>
          <cell r="J4342" t="str">
            <v>CR 49  67 SUR 680</v>
          </cell>
          <cell r="K4342" t="str">
            <v>05631</v>
          </cell>
          <cell r="L4342" t="str">
            <v>SABANETA</v>
          </cell>
          <cell r="M4342" t="str">
            <v>3058000</v>
          </cell>
        </row>
        <row r="4343">
          <cell r="A4343">
            <v>890900608</v>
          </cell>
          <cell r="B4343" t="str">
            <v>9</v>
          </cell>
          <cell r="C4343" t="str">
            <v/>
          </cell>
          <cell r="D4343" t="str">
            <v>NJ</v>
          </cell>
          <cell r="E4343" t="str">
            <v/>
          </cell>
          <cell r="F4343" t="str">
            <v/>
          </cell>
          <cell r="G4343" t="str">
            <v xml:space="preserve">ALMACENES EXITO S A                                         </v>
          </cell>
          <cell r="H4343" t="str">
            <v>GRCO</v>
          </cell>
          <cell r="I4343" t="str">
            <v>GRAN CONTRIBUYENTE</v>
          </cell>
          <cell r="J4343" t="str">
            <v>CR 48 CL 32 B SUR 139</v>
          </cell>
          <cell r="K4343" t="str">
            <v>05266</v>
          </cell>
          <cell r="L4343" t="str">
            <v>ENVIGADO</v>
          </cell>
          <cell r="M4343" t="str">
            <v>3396565</v>
          </cell>
        </row>
        <row r="4344">
          <cell r="A4344">
            <v>890900762</v>
          </cell>
          <cell r="B4344" t="str">
            <v>5</v>
          </cell>
          <cell r="C4344" t="str">
            <v/>
          </cell>
          <cell r="D4344" t="str">
            <v>NJ</v>
          </cell>
          <cell r="E4344" t="str">
            <v/>
          </cell>
          <cell r="F4344" t="str">
            <v/>
          </cell>
          <cell r="G4344" t="str">
            <v>ASOCIACI0N NACIONAL DE EMPRESARIOS DE COLOMBIA-ANDI</v>
          </cell>
          <cell r="H4344" t="str">
            <v>IMVE</v>
          </cell>
          <cell r="I4344" t="str">
            <v>IMPUESTO SOBRE LAS VENTAS</v>
          </cell>
          <cell r="J4344" t="str">
            <v>CR 43 A  1 50 ED SAN FERNANDO PLAZA  TO 2  P 9</v>
          </cell>
          <cell r="K4344" t="str">
            <v>05001</v>
          </cell>
          <cell r="L4344" t="str">
            <v>MEDELLÍN</v>
          </cell>
          <cell r="M4344" t="str">
            <v>3265100</v>
          </cell>
        </row>
        <row r="4345">
          <cell r="A4345">
            <v>890900769</v>
          </cell>
          <cell r="B4345" t="str">
            <v>6</v>
          </cell>
          <cell r="C4345" t="str">
            <v/>
          </cell>
          <cell r="D4345" t="str">
            <v>NJ</v>
          </cell>
          <cell r="E4345" t="str">
            <v/>
          </cell>
          <cell r="F4345" t="str">
            <v/>
          </cell>
          <cell r="G4345" t="str">
            <v>AUTOMATIZACION S.A.</v>
          </cell>
          <cell r="H4345" t="str">
            <v>IMVE</v>
          </cell>
          <cell r="I4345" t="str">
            <v>IMPUESTO SOBRE LAS VENTAS</v>
          </cell>
          <cell r="J4345" t="str">
            <v>CR 44 57 SUR 67 AP</v>
          </cell>
          <cell r="K4345" t="str">
            <v>05631</v>
          </cell>
          <cell r="L4345" t="str">
            <v>SABANETA</v>
          </cell>
          <cell r="M4345" t="str">
            <v>6044487566</v>
          </cell>
        </row>
        <row r="4346">
          <cell r="A4346">
            <v>890900943</v>
          </cell>
          <cell r="B4346" t="str">
            <v>1</v>
          </cell>
          <cell r="C4346" t="str">
            <v/>
          </cell>
          <cell r="D4346" t="str">
            <v>NJ</v>
          </cell>
          <cell r="E4346" t="str">
            <v/>
          </cell>
          <cell r="F4346" t="str">
            <v/>
          </cell>
          <cell r="G4346" t="str">
            <v>COLOMBIANA DE COMERCIO S.A.</v>
          </cell>
          <cell r="H4346" t="str">
            <v>GRAU</v>
          </cell>
          <cell r="I4346" t="str">
            <v>GRAN CONTRIBUYENTE AUTORRETENEDO</v>
          </cell>
          <cell r="J4346" t="str">
            <v>CL 11 31A  42</v>
          </cell>
          <cell r="K4346" t="str">
            <v>11001</v>
          </cell>
          <cell r="L4346" t="str">
            <v>BOGOTA DC</v>
          </cell>
          <cell r="M4346" t="str">
            <v>3649777</v>
          </cell>
        </row>
        <row r="4347">
          <cell r="A4347">
            <v>890901389</v>
          </cell>
          <cell r="B4347" t="str">
            <v>5</v>
          </cell>
          <cell r="C4347" t="str">
            <v/>
          </cell>
          <cell r="D4347" t="str">
            <v>NJ</v>
          </cell>
          <cell r="E4347" t="str">
            <v/>
          </cell>
          <cell r="F4347" t="str">
            <v/>
          </cell>
          <cell r="G4347" t="str">
            <v>UNIVERSIDAD EAFIT</v>
          </cell>
          <cell r="H4347" t="str">
            <v>GRCO</v>
          </cell>
          <cell r="I4347" t="str">
            <v>GRAN CONTRIBUYENTE</v>
          </cell>
          <cell r="J4347" t="str">
            <v xml:space="preserve"> CR 49 7 SUR 50</v>
          </cell>
          <cell r="K4347" t="str">
            <v>05001</v>
          </cell>
          <cell r="L4347" t="str">
            <v>MEDELLÍN</v>
          </cell>
          <cell r="M4347" t="str">
            <v>32141115</v>
          </cell>
        </row>
        <row r="4348">
          <cell r="A4348">
            <v>890902718</v>
          </cell>
          <cell r="B4348" t="str">
            <v>1</v>
          </cell>
          <cell r="C4348" t="str">
            <v/>
          </cell>
          <cell r="D4348" t="str">
            <v>NJ</v>
          </cell>
          <cell r="E4348" t="str">
            <v/>
          </cell>
          <cell r="F4348" t="str">
            <v/>
          </cell>
          <cell r="G4348" t="str">
            <v>SOCIEDAD ANTIOQUEÑA DE INGENIEROS Y ARQUITECTOS (SAI)</v>
          </cell>
          <cell r="H4348" t="str">
            <v>IMVE</v>
          </cell>
          <cell r="I4348" t="str">
            <v>IMPUESTO SOBRE LAS VENTAS</v>
          </cell>
          <cell r="J4348" t="str">
            <v>CR 81 A 48  B 44</v>
          </cell>
          <cell r="K4348" t="str">
            <v>05001</v>
          </cell>
          <cell r="L4348" t="str">
            <v>MEDELLÍN</v>
          </cell>
          <cell r="M4348" t="str">
            <v>2640832</v>
          </cell>
        </row>
        <row r="4349">
          <cell r="A4349">
            <v>890902872</v>
          </cell>
          <cell r="B4349" t="str">
            <v>6</v>
          </cell>
          <cell r="C4349" t="str">
            <v/>
          </cell>
          <cell r="D4349" t="str">
            <v>NJ</v>
          </cell>
          <cell r="E4349" t="str">
            <v/>
          </cell>
          <cell r="F4349" t="str">
            <v/>
          </cell>
          <cell r="G4349" t="str">
            <v>TRANSPORTES GOMEZ HERNANDEZ S A</v>
          </cell>
          <cell r="H4349" t="str">
            <v>RECO</v>
          </cell>
          <cell r="I4349" t="str">
            <v>REGIMEN COMUN</v>
          </cell>
          <cell r="J4349" t="str">
            <v>CR 64 C TV 78 580 IN 9821</v>
          </cell>
          <cell r="K4349" t="str">
            <v>05001</v>
          </cell>
          <cell r="L4349" t="str">
            <v>MEDELLÍN</v>
          </cell>
          <cell r="M4349" t="str">
            <v>2309551</v>
          </cell>
        </row>
        <row r="4350">
          <cell r="A4350">
            <v>890902920</v>
          </cell>
          <cell r="B4350" t="str">
            <v>1</v>
          </cell>
          <cell r="C4350" t="str">
            <v/>
          </cell>
          <cell r="D4350" t="str">
            <v>NJ</v>
          </cell>
          <cell r="E4350" t="str">
            <v/>
          </cell>
          <cell r="F4350" t="str">
            <v/>
          </cell>
          <cell r="G4350" t="str">
            <v>UNIVERSIDAD DE MEDELLIN</v>
          </cell>
          <cell r="H4350" t="str">
            <v>GRCO</v>
          </cell>
          <cell r="I4350" t="str">
            <v>GRAN CONTRIBUYENTE</v>
          </cell>
          <cell r="J4350" t="str">
            <v>CR 87 30 65</v>
          </cell>
          <cell r="K4350" t="str">
            <v>05001</v>
          </cell>
          <cell r="L4350" t="str">
            <v>MEDELLÍN</v>
          </cell>
          <cell r="M4350" t="str">
            <v>3113779691</v>
          </cell>
        </row>
        <row r="4351">
          <cell r="A4351">
            <v>890902922</v>
          </cell>
          <cell r="B4351" t="str">
            <v>6</v>
          </cell>
          <cell r="C4351" t="str">
            <v/>
          </cell>
          <cell r="D4351" t="str">
            <v>NJ</v>
          </cell>
          <cell r="E4351" t="str">
            <v/>
          </cell>
          <cell r="F4351" t="str">
            <v/>
          </cell>
          <cell r="G4351" t="str">
            <v>UNIVERSIDAD PONTIFICIA BOLIVARIANA</v>
          </cell>
          <cell r="H4351" t="str">
            <v>GRCO</v>
          </cell>
          <cell r="I4351" t="str">
            <v>GRAN CONTRIBUYENTE</v>
          </cell>
          <cell r="J4351" t="str">
            <v>CIR 1 70 01</v>
          </cell>
          <cell r="K4351" t="str">
            <v>11</v>
          </cell>
          <cell r="L4351" t="str">
            <v>ANTIOQUIA</v>
          </cell>
          <cell r="M4351" t="str">
            <v>4488388</v>
          </cell>
        </row>
        <row r="4352">
          <cell r="A4352">
            <v>890903024</v>
          </cell>
          <cell r="B4352" t="str">
            <v>1</v>
          </cell>
          <cell r="C4352" t="str">
            <v/>
          </cell>
          <cell r="D4352" t="str">
            <v>NJ</v>
          </cell>
          <cell r="E4352" t="str">
            <v/>
          </cell>
          <cell r="F4352" t="str">
            <v/>
          </cell>
          <cell r="G4352" t="str">
            <v>COMERCIAL INTERNACIONAL DE EQUIPOS Y MAQUINARIA S.A.S</v>
          </cell>
          <cell r="H4352" t="str">
            <v>GRAU</v>
          </cell>
          <cell r="I4352" t="str">
            <v>GRAN CONTRIBUYENTE AUTORRETENEDO</v>
          </cell>
          <cell r="J4352" t="str">
            <v>CL 11 SUR  CR 50  50</v>
          </cell>
          <cell r="K4352" t="str">
            <v>05001</v>
          </cell>
          <cell r="L4352" t="str">
            <v>MEDELLÍN</v>
          </cell>
          <cell r="M4352" t="str">
            <v>3606161</v>
          </cell>
        </row>
        <row r="4353">
          <cell r="A4353">
            <v>890903055</v>
          </cell>
          <cell r="B4353" t="str">
            <v>1</v>
          </cell>
          <cell r="C4353" t="str">
            <v/>
          </cell>
          <cell r="D4353" t="str">
            <v>NJ</v>
          </cell>
          <cell r="E4353" t="str">
            <v/>
          </cell>
          <cell r="F4353" t="str">
            <v/>
          </cell>
          <cell r="G4353" t="str">
            <v>INTEGRAL SA</v>
          </cell>
          <cell r="H4353" t="str">
            <v>IMVE</v>
          </cell>
          <cell r="I4353" t="str">
            <v>IMPUESTO SOBRE LAS VENTAS</v>
          </cell>
          <cell r="J4353" t="str">
            <v>CR 46 52 36  P 11</v>
          </cell>
          <cell r="K4353" t="str">
            <v>05001</v>
          </cell>
          <cell r="L4353" t="str">
            <v>MEDELLÍN</v>
          </cell>
          <cell r="M4353" t="str">
            <v>5115400</v>
          </cell>
        </row>
        <row r="4354">
          <cell r="A4354">
            <v>890903407</v>
          </cell>
          <cell r="B4354" t="str">
            <v>9</v>
          </cell>
          <cell r="C4354" t="str">
            <v/>
          </cell>
          <cell r="D4354" t="str">
            <v>NJ</v>
          </cell>
          <cell r="E4354" t="str">
            <v/>
          </cell>
          <cell r="F4354" t="str">
            <v/>
          </cell>
          <cell r="G4354" t="str">
            <v>SEGUROS GENERALES SURAMERICANA S A</v>
          </cell>
          <cell r="H4354" t="str">
            <v>GRCO</v>
          </cell>
          <cell r="I4354" t="str">
            <v>GRAN CONTRIBUYENTE</v>
          </cell>
          <cell r="J4354" t="str">
            <v xml:space="preserve"> CR 63 49 A 31 P 1 ED CAMACOL</v>
          </cell>
          <cell r="K4354" t="str">
            <v>05001</v>
          </cell>
          <cell r="L4354" t="str">
            <v>MEDELLÍN</v>
          </cell>
          <cell r="M4354" t="str">
            <v>2602100</v>
          </cell>
        </row>
        <row r="4355">
          <cell r="A4355">
            <v>890903790</v>
          </cell>
          <cell r="B4355" t="str">
            <v>5</v>
          </cell>
          <cell r="C4355" t="str">
            <v/>
          </cell>
          <cell r="D4355" t="str">
            <v>NJ</v>
          </cell>
          <cell r="E4355" t="str">
            <v/>
          </cell>
          <cell r="F4355" t="str">
            <v/>
          </cell>
          <cell r="G4355" t="str">
            <v>SEGUROS DE VIDA SURAMERICANA S.A.</v>
          </cell>
          <cell r="H4355" t="str">
            <v>GRAU</v>
          </cell>
          <cell r="I4355" t="str">
            <v>GRAN CONTRIBUYENTE AUTORRETENEDO</v>
          </cell>
          <cell r="J4355" t="str">
            <v>CR 63 49 A 31 P 1 ED</v>
          </cell>
          <cell r="K4355" t="str">
            <v>05002</v>
          </cell>
          <cell r="L4355" t="str">
            <v>MEDELLIN</v>
          </cell>
          <cell r="M4355" t="str">
            <v>2602100</v>
          </cell>
        </row>
        <row r="4356">
          <cell r="A4356">
            <v>890903910</v>
          </cell>
          <cell r="B4356" t="str">
            <v>2</v>
          </cell>
          <cell r="C4356" t="str">
            <v/>
          </cell>
          <cell r="D4356" t="str">
            <v>NJ</v>
          </cell>
          <cell r="E4356" t="str">
            <v/>
          </cell>
          <cell r="F4356" t="str">
            <v/>
          </cell>
          <cell r="G4356" t="str">
            <v>RADIO CADENA NACIONAL S.A.S</v>
          </cell>
          <cell r="H4356" t="str">
            <v>GRCO</v>
          </cell>
          <cell r="I4356" t="str">
            <v>GRAN CONTRIBUYENTE</v>
          </cell>
          <cell r="J4356" t="str">
            <v>CL 37  13 A  19</v>
          </cell>
          <cell r="K4356" t="str">
            <v>11001</v>
          </cell>
          <cell r="L4356" t="str">
            <v>BOGOTA DC</v>
          </cell>
          <cell r="M4356" t="str">
            <v>3147070</v>
          </cell>
        </row>
        <row r="4357">
          <cell r="A4357">
            <v>890903937</v>
          </cell>
          <cell r="B4357" t="str">
            <v>0</v>
          </cell>
          <cell r="C4357" t="str">
            <v/>
          </cell>
          <cell r="D4357" t="str">
            <v>NJ</v>
          </cell>
          <cell r="E4357" t="str">
            <v/>
          </cell>
          <cell r="F4357" t="str">
            <v/>
          </cell>
          <cell r="G4357" t="str">
            <v>ITAU CORPBANCA COLOMBIA S.A</v>
          </cell>
          <cell r="H4357" t="str">
            <v>GRAU</v>
          </cell>
          <cell r="I4357" t="str">
            <v>GRAN CONTRIBUYENTE AUTORRETENEDO</v>
          </cell>
          <cell r="J4357" t="str">
            <v>CR 7 99 53</v>
          </cell>
          <cell r="K4357" t="str">
            <v>11001</v>
          </cell>
          <cell r="L4357" t="str">
            <v>BOGOTA DC</v>
          </cell>
          <cell r="M4357" t="str">
            <v>6448271</v>
          </cell>
        </row>
        <row r="4358">
          <cell r="A4358">
            <v>890903938</v>
          </cell>
          <cell r="B4358" t="str">
            <v>8</v>
          </cell>
          <cell r="C4358" t="str">
            <v/>
          </cell>
          <cell r="D4358" t="str">
            <v>NJ</v>
          </cell>
          <cell r="E4358" t="str">
            <v/>
          </cell>
          <cell r="F4358" t="str">
            <v/>
          </cell>
          <cell r="G4358" t="str">
            <v>BANCOLOMBIA S.A.</v>
          </cell>
          <cell r="H4358" t="str">
            <v>GRAU</v>
          </cell>
          <cell r="I4358" t="str">
            <v>GRAN CONTRIBUYENTE AUTORRETENEDO</v>
          </cell>
          <cell r="J4358" t="str">
            <v>CL 33   20 04 CC FUNDADORES</v>
          </cell>
          <cell r="K4358" t="str">
            <v>17001</v>
          </cell>
          <cell r="L4358" t="str">
            <v>MANIZALES</v>
          </cell>
          <cell r="M4358" t="str">
            <v>8918741</v>
          </cell>
        </row>
        <row r="4359">
          <cell r="A4359">
            <v>890904224</v>
          </cell>
          <cell r="B4359" t="str">
            <v>2</v>
          </cell>
          <cell r="C4359" t="str">
            <v/>
          </cell>
          <cell r="D4359" t="str">
            <v>NJ</v>
          </cell>
          <cell r="E4359" t="str">
            <v/>
          </cell>
          <cell r="F4359" t="str">
            <v/>
          </cell>
          <cell r="G4359" t="str">
            <v>C.I UNION DE BANANEROS DE URABA SA UNIBAN</v>
          </cell>
          <cell r="H4359" t="str">
            <v>GRCO</v>
          </cell>
          <cell r="I4359" t="str">
            <v>GRAN CONTRIBUYENTE</v>
          </cell>
          <cell r="J4359" t="str">
            <v>CL 52 47 42</v>
          </cell>
          <cell r="K4359" t="str">
            <v>05001</v>
          </cell>
          <cell r="L4359" t="str">
            <v>MEDELLÍN</v>
          </cell>
          <cell r="M4359" t="str">
            <v>5115540</v>
          </cell>
        </row>
        <row r="4360">
          <cell r="A4360">
            <v>890904459</v>
          </cell>
          <cell r="B4360" t="str">
            <v>6</v>
          </cell>
          <cell r="C4360" t="str">
            <v/>
          </cell>
          <cell r="D4360" t="str">
            <v>NJ</v>
          </cell>
          <cell r="E4360" t="str">
            <v/>
          </cell>
          <cell r="F4360" t="str">
            <v/>
          </cell>
          <cell r="G4360" t="str">
            <v>ACEROS MAPA S.A</v>
          </cell>
          <cell r="H4360" t="str">
            <v>GRCO</v>
          </cell>
          <cell r="I4360" t="str">
            <v>GRAN CONTRIBUYENTE</v>
          </cell>
          <cell r="J4360" t="str">
            <v>CL 4 1 H 1 203 CENTRO EMPRESARIAL OIKOS BG 6 ET 1 MD A</v>
          </cell>
          <cell r="K4360" t="str">
            <v>08433</v>
          </cell>
          <cell r="L4360" t="str">
            <v>MALAMBO</v>
          </cell>
          <cell r="M4360" t="str">
            <v>3322344</v>
          </cell>
        </row>
        <row r="4361">
          <cell r="A4361">
            <v>890904713</v>
          </cell>
          <cell r="B4361" t="str">
            <v>2</v>
          </cell>
          <cell r="C4361" t="str">
            <v/>
          </cell>
          <cell r="D4361" t="str">
            <v>NJ</v>
          </cell>
          <cell r="E4361" t="str">
            <v/>
          </cell>
          <cell r="F4361" t="str">
            <v/>
          </cell>
          <cell r="G4361" t="str">
            <v>COORDINADORA MERCANTIL S.A.</v>
          </cell>
          <cell r="H4361" t="str">
            <v>GRAU</v>
          </cell>
          <cell r="I4361" t="str">
            <v>GRAN CONTRIBUYENTE AUTORRETENEDO</v>
          </cell>
          <cell r="J4361" t="str">
            <v>CL 30A 53 16</v>
          </cell>
          <cell r="K4361" t="str">
            <v>50001</v>
          </cell>
          <cell r="L4361" t="str">
            <v>VILLAVICENCIO</v>
          </cell>
          <cell r="M4361" t="str">
            <v>3370440</v>
          </cell>
        </row>
        <row r="4362">
          <cell r="A4362">
            <v>890904996</v>
          </cell>
          <cell r="B4362" t="str">
            <v>1</v>
          </cell>
          <cell r="C4362" t="str">
            <v>230105001</v>
          </cell>
          <cell r="D4362" t="str">
            <v>NJ</v>
          </cell>
          <cell r="E4362" t="str">
            <v/>
          </cell>
          <cell r="F4362" t="str">
            <v/>
          </cell>
          <cell r="G4362" t="str">
            <v xml:space="preserve">EMPRESAS PUBLICAS DE MEDELLIN E.S.P                         </v>
          </cell>
          <cell r="H4362" t="str">
            <v>GRCO</v>
          </cell>
          <cell r="I4362" t="str">
            <v>GRAN CONTRIBUYENTE</v>
          </cell>
          <cell r="J4362" t="str">
            <v>CR 58 N 42 125</v>
          </cell>
          <cell r="K4362" t="str">
            <v>05001</v>
          </cell>
          <cell r="L4362" t="str">
            <v>MEDELLÍN</v>
          </cell>
          <cell r="M4362" t="str">
            <v>3805963</v>
          </cell>
        </row>
        <row r="4363">
          <cell r="A4363">
            <v>890905065</v>
          </cell>
          <cell r="B4363" t="str">
            <v>2</v>
          </cell>
          <cell r="C4363" t="str">
            <v/>
          </cell>
          <cell r="D4363" t="str">
            <v>NJ</v>
          </cell>
          <cell r="E4363" t="str">
            <v/>
          </cell>
          <cell r="F4363" t="str">
            <v/>
          </cell>
          <cell r="G4363" t="str">
            <v>EDATEL S A E S P</v>
          </cell>
          <cell r="H4363" t="str">
            <v>GRCO</v>
          </cell>
          <cell r="I4363" t="str">
            <v>GRAN CONTRIBUYENTE</v>
          </cell>
          <cell r="J4363" t="str">
            <v>CL 41   52   28 P 18</v>
          </cell>
          <cell r="K4363" t="str">
            <v>05001</v>
          </cell>
          <cell r="L4363" t="str">
            <v>MEDELLÍN</v>
          </cell>
          <cell r="M4363" t="str">
            <v>5153382</v>
          </cell>
        </row>
        <row r="4364">
          <cell r="A4364">
            <v>890906413</v>
          </cell>
          <cell r="B4364" t="str">
            <v>7</v>
          </cell>
          <cell r="C4364" t="str">
            <v/>
          </cell>
          <cell r="D4364" t="str">
            <v>NJ</v>
          </cell>
          <cell r="E4364" t="str">
            <v/>
          </cell>
          <cell r="F4364" t="str">
            <v/>
          </cell>
          <cell r="G4364" t="str">
            <v>ELECTRICOS DE MEDELLIN INGENIERIA Y SERVICIOS SAS</v>
          </cell>
          <cell r="H4364" t="str">
            <v>GRCO</v>
          </cell>
          <cell r="I4364" t="str">
            <v>GRAN CONTRIBUYENTE</v>
          </cell>
          <cell r="J4364" t="str">
            <v xml:space="preserve"> CL 100 9 A 45 TO 2 OF 401</v>
          </cell>
          <cell r="K4364" t="str">
            <v>11001</v>
          </cell>
          <cell r="L4364" t="str">
            <v>BOGOTA DC</v>
          </cell>
          <cell r="M4364" t="str">
            <v>3504181272</v>
          </cell>
        </row>
        <row r="4365">
          <cell r="A4365">
            <v>890907515</v>
          </cell>
          <cell r="B4365" t="str">
            <v>4</v>
          </cell>
          <cell r="C4365" t="str">
            <v>214705847</v>
          </cell>
          <cell r="D4365" t="str">
            <v>NJ</v>
          </cell>
          <cell r="E4365" t="str">
            <v/>
          </cell>
          <cell r="F4365" t="str">
            <v/>
          </cell>
          <cell r="G4365" t="str">
            <v>MUNICIPIO DE URRAO</v>
          </cell>
          <cell r="H4365" t="str">
            <v>COIM</v>
          </cell>
          <cell r="I4365" t="str">
            <v>CONTROL DE IMPUESTOS</v>
          </cell>
          <cell r="J4365" t="str">
            <v>CL 34 27 10 BRR LAURELES</v>
          </cell>
          <cell r="K4365" t="str">
            <v>05847</v>
          </cell>
          <cell r="L4365" t="str">
            <v>URRAO</v>
          </cell>
          <cell r="M4365" t="str">
            <v>8502300</v>
          </cell>
        </row>
        <row r="4366">
          <cell r="A4366">
            <v>890907841</v>
          </cell>
          <cell r="B4366" t="str">
            <v>0</v>
          </cell>
          <cell r="C4366" t="str">
            <v/>
          </cell>
          <cell r="D4366" t="str">
            <v>NJ</v>
          </cell>
          <cell r="E4366" t="str">
            <v/>
          </cell>
          <cell r="F4366" t="str">
            <v/>
          </cell>
          <cell r="G4366" t="str">
            <v>ALMACEN RODAMIENTOS SA</v>
          </cell>
          <cell r="H4366" t="str">
            <v>GRCO</v>
          </cell>
          <cell r="I4366" t="str">
            <v>GRAN CONTRIBUYENTE</v>
          </cell>
          <cell r="J4366" t="str">
            <v>CARRERA 51 # 41-57</v>
          </cell>
          <cell r="K4366" t="str">
            <v>17001</v>
          </cell>
          <cell r="L4366" t="str">
            <v>MANIZALES</v>
          </cell>
          <cell r="M4366" t="str">
            <v>7421222</v>
          </cell>
        </row>
        <row r="4367">
          <cell r="A4367">
            <v>890908807</v>
          </cell>
          <cell r="B4367" t="str">
            <v>4</v>
          </cell>
          <cell r="C4367" t="str">
            <v/>
          </cell>
          <cell r="D4367" t="str">
            <v>NJ</v>
          </cell>
          <cell r="E4367" t="str">
            <v/>
          </cell>
          <cell r="F4367" t="str">
            <v/>
          </cell>
          <cell r="G4367" t="str">
            <v>TAMAYO PALACIO Y CIA S.A.</v>
          </cell>
          <cell r="H4367" t="str">
            <v>IMVE</v>
          </cell>
          <cell r="I4367" t="str">
            <v>IMPUESTO SOBRE LAS VENTAS</v>
          </cell>
          <cell r="J4367" t="str">
            <v>CR 56   29   144</v>
          </cell>
          <cell r="K4367" t="str">
            <v>05001</v>
          </cell>
          <cell r="L4367" t="str">
            <v>MEDELLÍN</v>
          </cell>
          <cell r="M4367" t="str">
            <v>2358115</v>
          </cell>
        </row>
        <row r="4368">
          <cell r="A4368">
            <v>890910447</v>
          </cell>
          <cell r="B4368" t="str">
            <v>2</v>
          </cell>
          <cell r="C4368" t="str">
            <v/>
          </cell>
          <cell r="D4368" t="str">
            <v>NJ</v>
          </cell>
          <cell r="E4368" t="str">
            <v/>
          </cell>
          <cell r="F4368" t="str">
            <v/>
          </cell>
          <cell r="G4368" t="str">
            <v>SEDIC S.A.</v>
          </cell>
          <cell r="H4368" t="str">
            <v>RECO</v>
          </cell>
          <cell r="I4368" t="str">
            <v>REGIMEN COMUN</v>
          </cell>
          <cell r="J4368" t="str">
            <v>CR 30 7 A A 207 ED TORRE SCAGLIA P 4 TV IN</v>
          </cell>
          <cell r="K4368" t="str">
            <v>17001</v>
          </cell>
          <cell r="L4368" t="str">
            <v>MANIZALES</v>
          </cell>
          <cell r="M4368" t="str">
            <v>2511400</v>
          </cell>
        </row>
        <row r="4369">
          <cell r="A4369">
            <v>890913321</v>
          </cell>
          <cell r="B4369" t="str">
            <v>7</v>
          </cell>
          <cell r="C4369" t="str">
            <v/>
          </cell>
          <cell r="D4369" t="str">
            <v>NJ</v>
          </cell>
          <cell r="E4369" t="str">
            <v/>
          </cell>
          <cell r="F4369" t="str">
            <v/>
          </cell>
          <cell r="G4369" t="str">
            <v>PREMAC SAS</v>
          </cell>
          <cell r="H4369" t="str">
            <v>RCAU</v>
          </cell>
          <cell r="I4369" t="str">
            <v>RESPONSABLE IVA - AUTORETENEDOR</v>
          </cell>
          <cell r="J4369" t="str">
            <v>CR 42 24 52</v>
          </cell>
          <cell r="K4369" t="str">
            <v>05360</v>
          </cell>
          <cell r="L4369" t="str">
            <v>ITAGUI</v>
          </cell>
          <cell r="M4369" t="str">
            <v>3721844</v>
          </cell>
        </row>
        <row r="4370">
          <cell r="A4370">
            <v>890913861</v>
          </cell>
          <cell r="B4370" t="str">
            <v>2</v>
          </cell>
          <cell r="C4370" t="str">
            <v/>
          </cell>
          <cell r="D4370" t="str">
            <v>NJ</v>
          </cell>
          <cell r="E4370" t="str">
            <v/>
          </cell>
          <cell r="F4370" t="str">
            <v/>
          </cell>
          <cell r="G4370" t="str">
            <v>UNIFORMES INDUSTRIALES ROPA Y CALZADO QUIN LOP S.A.S</v>
          </cell>
          <cell r="H4370" t="str">
            <v>IMVE</v>
          </cell>
          <cell r="I4370" t="str">
            <v>IMPUESTO SOBRE LAS VENTAS</v>
          </cell>
          <cell r="J4370" t="str">
            <v xml:space="preserve">CR 43F N 14 109                        </v>
          </cell>
          <cell r="K4370" t="str">
            <v>05001</v>
          </cell>
          <cell r="L4370" t="str">
            <v>MEDELLÍN</v>
          </cell>
          <cell r="M4370" t="str">
            <v>3116222</v>
          </cell>
        </row>
        <row r="4371">
          <cell r="A4371">
            <v>890913952</v>
          </cell>
          <cell r="B4371" t="str">
            <v>4</v>
          </cell>
          <cell r="C4371" t="str">
            <v/>
          </cell>
          <cell r="D4371" t="str">
            <v>NJ</v>
          </cell>
          <cell r="E4371" t="str">
            <v/>
          </cell>
          <cell r="F4371" t="str">
            <v/>
          </cell>
          <cell r="G4371" t="str">
            <v>FIBRATORE S.A</v>
          </cell>
          <cell r="H4371" t="str">
            <v>RECO</v>
          </cell>
          <cell r="I4371" t="str">
            <v>REGIMEN COMUN</v>
          </cell>
          <cell r="J4371" t="str">
            <v>CL  100 B  SUR   51 10</v>
          </cell>
          <cell r="K4371" t="str">
            <v>05001</v>
          </cell>
          <cell r="L4371" t="str">
            <v>MEDELLÍN</v>
          </cell>
          <cell r="M4371" t="str">
            <v>2781790</v>
          </cell>
        </row>
        <row r="4372">
          <cell r="A4372">
            <v>890914605</v>
          </cell>
          <cell r="B4372" t="str">
            <v>8</v>
          </cell>
          <cell r="C4372" t="str">
            <v/>
          </cell>
          <cell r="D4372" t="str">
            <v>NJ</v>
          </cell>
          <cell r="E4372" t="str">
            <v/>
          </cell>
          <cell r="F4372" t="str">
            <v/>
          </cell>
          <cell r="G4372" t="str">
            <v>SOCIEDAD TRANSPORTADORA SONSON DORADA S.A.S</v>
          </cell>
          <cell r="H4372" t="str">
            <v>RECO</v>
          </cell>
          <cell r="I4372" t="str">
            <v>REGIMEN COMUN</v>
          </cell>
          <cell r="J4372" t="str">
            <v>CR 65 8 B 91 IN 234</v>
          </cell>
          <cell r="K4372" t="str">
            <v>05002</v>
          </cell>
          <cell r="L4372" t="str">
            <v>MEDELLIN</v>
          </cell>
          <cell r="M4372" t="str">
            <v>3611085</v>
          </cell>
        </row>
        <row r="4373">
          <cell r="A4373">
            <v>890915475</v>
          </cell>
          <cell r="B4373" t="str">
            <v>1</v>
          </cell>
          <cell r="C4373" t="str">
            <v/>
          </cell>
          <cell r="D4373" t="str">
            <v>NJ</v>
          </cell>
          <cell r="E4373" t="str">
            <v/>
          </cell>
          <cell r="F4373" t="str">
            <v/>
          </cell>
          <cell r="G4373" t="str">
            <v xml:space="preserve">EMPAQUETADURAS Y EMPAQUES SA  </v>
          </cell>
          <cell r="H4373" t="str">
            <v>GRCO</v>
          </cell>
          <cell r="I4373" t="str">
            <v>GRAN CONTRIBUYENTE</v>
          </cell>
          <cell r="J4373" t="str">
            <v xml:space="preserve"> CR 52 23 54</v>
          </cell>
          <cell r="K4373" t="str">
            <v>05001</v>
          </cell>
          <cell r="L4373" t="str">
            <v>MEDELLÍN</v>
          </cell>
          <cell r="M4373" t="str">
            <v>3505000</v>
          </cell>
        </row>
        <row r="4374">
          <cell r="A4374">
            <v>890916269</v>
          </cell>
          <cell r="B4374" t="str">
            <v>5</v>
          </cell>
          <cell r="C4374" t="str">
            <v/>
          </cell>
          <cell r="D4374" t="str">
            <v>NJ</v>
          </cell>
          <cell r="E4374" t="str">
            <v/>
          </cell>
          <cell r="F4374" t="str">
            <v/>
          </cell>
          <cell r="G4374" t="str">
            <v>ESPUMAS PLASTICAS SA</v>
          </cell>
          <cell r="H4374" t="str">
            <v>GRAU</v>
          </cell>
          <cell r="I4374" t="str">
            <v>GRAN CONTRIBUYENTE AUTORRETENEDO</v>
          </cell>
          <cell r="J4374" t="str">
            <v>CR 42 85 117 AUT SUR</v>
          </cell>
          <cell r="K4374" t="str">
            <v>05360</v>
          </cell>
          <cell r="L4374" t="str">
            <v>ITAGUI</v>
          </cell>
          <cell r="M4374" t="str">
            <v>3116175161</v>
          </cell>
        </row>
        <row r="4375">
          <cell r="A4375">
            <v>890919437</v>
          </cell>
          <cell r="B4375" t="str">
            <v>1</v>
          </cell>
          <cell r="C4375" t="str">
            <v/>
          </cell>
          <cell r="D4375" t="str">
            <v>NJ</v>
          </cell>
          <cell r="E4375" t="str">
            <v/>
          </cell>
          <cell r="F4375" t="str">
            <v/>
          </cell>
          <cell r="G4375" t="str">
            <v>RYMEL INGENIERIA ELECTRICA SAS</v>
          </cell>
          <cell r="H4375" t="str">
            <v>IMVE</v>
          </cell>
          <cell r="I4375" t="str">
            <v>IMPUESTO SOBRE LAS VENTAS</v>
          </cell>
          <cell r="J4375" t="str">
            <v>AUT NORTE PARAJE EL NORAL DIAG BOMBA TOLU</v>
          </cell>
          <cell r="K4375" t="str">
            <v>05001</v>
          </cell>
          <cell r="L4375" t="str">
            <v>MEDELLÍN</v>
          </cell>
          <cell r="M4375" t="str">
            <v>4440430</v>
          </cell>
        </row>
        <row r="4376">
          <cell r="A4376">
            <v>890920990</v>
          </cell>
          <cell r="B4376" t="str">
            <v>3</v>
          </cell>
          <cell r="C4376" t="str">
            <v/>
          </cell>
          <cell r="D4376" t="str">
            <v>NJ</v>
          </cell>
          <cell r="E4376" t="str">
            <v/>
          </cell>
          <cell r="F4376" t="str">
            <v/>
          </cell>
          <cell r="G4376" t="str">
            <v>SAFERBO MENSAJERIA</v>
          </cell>
          <cell r="H4376" t="str">
            <v>GRCO</v>
          </cell>
          <cell r="I4376" t="str">
            <v>GRAN CONTRIBUYENTE</v>
          </cell>
          <cell r="J4376" t="str">
            <v>CL 7 S U SUR N 42-70 P 12</v>
          </cell>
          <cell r="K4376" t="str">
            <v>11001</v>
          </cell>
          <cell r="L4376" t="str">
            <v>BOGOTA DC</v>
          </cell>
          <cell r="M4376" t="str">
            <v>3696060</v>
          </cell>
        </row>
        <row r="4377">
          <cell r="A4377">
            <v>890922263</v>
          </cell>
          <cell r="B4377" t="str">
            <v>6</v>
          </cell>
          <cell r="C4377" t="str">
            <v/>
          </cell>
          <cell r="D4377" t="str">
            <v>NJ</v>
          </cell>
          <cell r="E4377" t="str">
            <v/>
          </cell>
          <cell r="F4377" t="str">
            <v/>
          </cell>
          <cell r="G4377" t="str">
            <v>WEG TRANSFORMADORES COLOMBIA S.A.S.</v>
          </cell>
          <cell r="H4377" t="str">
            <v>RCAU</v>
          </cell>
          <cell r="I4377" t="str">
            <v>RESPONSABLE IVA - AUTORETENEDOR</v>
          </cell>
          <cell r="J4377" t="str">
            <v>CR 47 G   78 D SUR 147</v>
          </cell>
          <cell r="K4377" t="str">
            <v>05631</v>
          </cell>
          <cell r="L4377" t="str">
            <v>SABANETA</v>
          </cell>
          <cell r="M4377" t="str">
            <v>4449277</v>
          </cell>
        </row>
        <row r="4378">
          <cell r="A4378">
            <v>890923691</v>
          </cell>
          <cell r="B4378" t="str">
            <v>1</v>
          </cell>
          <cell r="C4378" t="str">
            <v/>
          </cell>
          <cell r="D4378" t="str">
            <v>NJ</v>
          </cell>
          <cell r="E4378" t="str">
            <v/>
          </cell>
          <cell r="F4378" t="str">
            <v/>
          </cell>
          <cell r="G4378" t="str">
            <v>RODRIGUEZ Y LONDOÑO S.A.</v>
          </cell>
          <cell r="H4378" t="str">
            <v>GRCO</v>
          </cell>
          <cell r="I4378" t="str">
            <v>GRAN CONTRIBUYENTE</v>
          </cell>
          <cell r="J4378" t="str">
            <v>AC 80 116 B 61</v>
          </cell>
          <cell r="K4378" t="str">
            <v>11001</v>
          </cell>
          <cell r="L4378" t="str">
            <v>BOGOTA DC</v>
          </cell>
          <cell r="M4378" t="str">
            <v>5938830</v>
          </cell>
        </row>
        <row r="4379">
          <cell r="A4379">
            <v>890926283</v>
          </cell>
          <cell r="B4379" t="str">
            <v>1</v>
          </cell>
          <cell r="C4379" t="str">
            <v/>
          </cell>
          <cell r="D4379" t="str">
            <v>NJ</v>
          </cell>
          <cell r="E4379" t="str">
            <v/>
          </cell>
          <cell r="F4379" t="str">
            <v/>
          </cell>
          <cell r="G4379" t="str">
            <v xml:space="preserve">FACTORING BANCOLOMBIA SA                                    </v>
          </cell>
          <cell r="H4379" t="str">
            <v>RECO</v>
          </cell>
          <cell r="I4379" t="str">
            <v>REGIMEN COMUN</v>
          </cell>
          <cell r="J4379" t="str">
            <v xml:space="preserve">MEDELLIN                                </v>
          </cell>
          <cell r="K4379" t="str">
            <v>05001</v>
          </cell>
          <cell r="L4379" t="str">
            <v>MEDELLÍN</v>
          </cell>
          <cell r="M4379" t="str">
            <v>5146690</v>
          </cell>
        </row>
        <row r="4380">
          <cell r="A4380">
            <v>890930448</v>
          </cell>
          <cell r="B4380" t="str">
            <v>5</v>
          </cell>
          <cell r="C4380" t="str">
            <v/>
          </cell>
          <cell r="D4380" t="str">
            <v>NJ</v>
          </cell>
          <cell r="E4380" t="str">
            <v/>
          </cell>
          <cell r="F4380" t="str">
            <v/>
          </cell>
          <cell r="G4380" t="str">
            <v>DIVERTRONICA MEDELLIN S.A</v>
          </cell>
          <cell r="H4380" t="str">
            <v>RECO</v>
          </cell>
          <cell r="I4380" t="str">
            <v>REGIMEN COMUN</v>
          </cell>
          <cell r="J4380" t="str">
            <v>CL 51  46 11</v>
          </cell>
          <cell r="K4380" t="str">
            <v>05360</v>
          </cell>
          <cell r="L4380" t="str">
            <v>ITAGUI</v>
          </cell>
          <cell r="M4380" t="str">
            <v>3711210</v>
          </cell>
        </row>
        <row r="4381">
          <cell r="A4381">
            <v>890930534</v>
          </cell>
          <cell r="B4381" t="str">
            <v>0</v>
          </cell>
          <cell r="C4381" t="str">
            <v/>
          </cell>
          <cell r="D4381" t="str">
            <v>NJ</v>
          </cell>
          <cell r="E4381" t="str">
            <v/>
          </cell>
          <cell r="F4381" t="str">
            <v/>
          </cell>
          <cell r="G4381" t="str">
            <v>CADENA S A</v>
          </cell>
          <cell r="H4381" t="str">
            <v>GRAU</v>
          </cell>
          <cell r="I4381" t="str">
            <v>GRAN CONTRIBUYENTE AUTORRETENEDO</v>
          </cell>
          <cell r="J4381" t="str">
            <v>CR 50  97 A S 150</v>
          </cell>
          <cell r="K4381" t="str">
            <v>05380</v>
          </cell>
          <cell r="L4381" t="str">
            <v>LA ESTRELLA</v>
          </cell>
          <cell r="M4381" t="str">
            <v>3148880410</v>
          </cell>
        </row>
        <row r="4382">
          <cell r="A4382">
            <v>890936707</v>
          </cell>
          <cell r="B4382" t="str">
            <v>5</v>
          </cell>
          <cell r="C4382" t="str">
            <v/>
          </cell>
          <cell r="D4382" t="str">
            <v>NJ</v>
          </cell>
          <cell r="E4382" t="str">
            <v/>
          </cell>
          <cell r="F4382" t="str">
            <v/>
          </cell>
          <cell r="G4382" t="str">
            <v>MANUFACTURA S.A.S.</v>
          </cell>
          <cell r="H4382" t="str">
            <v>RECO</v>
          </cell>
          <cell r="I4382" t="str">
            <v>REGIMEN COMUN</v>
          </cell>
          <cell r="J4382" t="str">
            <v>CL 46 41 69 BG A 43</v>
          </cell>
          <cell r="K4382" t="str">
            <v>05360</v>
          </cell>
          <cell r="L4382" t="str">
            <v>ITAGUI</v>
          </cell>
          <cell r="M4382" t="str">
            <v>3147003113</v>
          </cell>
        </row>
        <row r="4383">
          <cell r="A4383">
            <v>890936909</v>
          </cell>
          <cell r="B4383" t="str">
            <v>6</v>
          </cell>
          <cell r="C4383" t="str">
            <v/>
          </cell>
          <cell r="D4383" t="str">
            <v>NJ</v>
          </cell>
          <cell r="E4383" t="str">
            <v/>
          </cell>
          <cell r="F4383" t="str">
            <v/>
          </cell>
          <cell r="G4383" t="str">
            <v>DISTRIBUIDORA DE QUIMICOS INDUSTRIALES SA</v>
          </cell>
          <cell r="H4383" t="str">
            <v>RECO</v>
          </cell>
          <cell r="I4383" t="str">
            <v>REGIMEN COMUN</v>
          </cell>
          <cell r="J4383" t="str">
            <v>CR 50 C 10 SUR 18</v>
          </cell>
          <cell r="K4383" t="str">
            <v>05001</v>
          </cell>
          <cell r="L4383" t="str">
            <v>MEDELLÍN</v>
          </cell>
          <cell r="M4383" t="str">
            <v>3610711</v>
          </cell>
        </row>
        <row r="4384">
          <cell r="A4384">
            <v>890937233</v>
          </cell>
          <cell r="B4384" t="str">
            <v>0</v>
          </cell>
          <cell r="C4384" t="str">
            <v>130505000</v>
          </cell>
          <cell r="D4384" t="str">
            <v>NJ</v>
          </cell>
          <cell r="E4384" t="str">
            <v/>
          </cell>
          <cell r="F4384" t="str">
            <v/>
          </cell>
          <cell r="G4384" t="str">
            <v>SOCIEDAD TELEVISION DE ANTIOQUIA LIMITADA</v>
          </cell>
          <cell r="H4384" t="str">
            <v>IMVE</v>
          </cell>
          <cell r="I4384" t="str">
            <v>IMPUESTO SOBRE LAS VENTAS</v>
          </cell>
          <cell r="J4384" t="str">
            <v>CL 44 53 A 11 P 3 A L 6</v>
          </cell>
          <cell r="K4384" t="str">
            <v>05001</v>
          </cell>
          <cell r="L4384" t="str">
            <v>MEDELLÍN</v>
          </cell>
          <cell r="M4384" t="str">
            <v>3569900</v>
          </cell>
        </row>
        <row r="4385">
          <cell r="A4385">
            <v>890937250</v>
          </cell>
          <cell r="B4385" t="str">
            <v>6</v>
          </cell>
          <cell r="C4385" t="str">
            <v/>
          </cell>
          <cell r="D4385" t="str">
            <v>NJ</v>
          </cell>
          <cell r="E4385" t="str">
            <v/>
          </cell>
          <cell r="F4385" t="str">
            <v/>
          </cell>
          <cell r="G4385" t="str">
            <v xml:space="preserve">UNION ELECTRICA S.A.                                        </v>
          </cell>
          <cell r="H4385" t="str">
            <v>GRCO</v>
          </cell>
          <cell r="I4385" t="str">
            <v>GRAN CONTRIBUYENTE</v>
          </cell>
          <cell r="J4385" t="str">
            <v xml:space="preserve">CL 15 SUR 48 39                      </v>
          </cell>
          <cell r="K4385" t="str">
            <v>05001</v>
          </cell>
          <cell r="L4385" t="str">
            <v>MEDELLÍN</v>
          </cell>
          <cell r="M4385" t="str">
            <v>3255555</v>
          </cell>
        </row>
        <row r="4386">
          <cell r="A4386">
            <v>890938580</v>
          </cell>
          <cell r="B4386" t="str">
            <v>6</v>
          </cell>
          <cell r="C4386" t="str">
            <v/>
          </cell>
          <cell r="D4386" t="str">
            <v>NJ</v>
          </cell>
          <cell r="E4386" t="str">
            <v/>
          </cell>
          <cell r="F4386" t="str">
            <v/>
          </cell>
          <cell r="G4386" t="str">
            <v>UNIVERSAL DE CILINDROS HIDRÁULICOS SA</v>
          </cell>
          <cell r="H4386" t="str">
            <v>RECO</v>
          </cell>
          <cell r="I4386" t="str">
            <v>REGIMEN COMUN</v>
          </cell>
          <cell r="J4386" t="str">
            <v>CL 31 45 25</v>
          </cell>
          <cell r="K4386" t="str">
            <v>05001</v>
          </cell>
          <cell r="L4386" t="str">
            <v>MEDELLÍN</v>
          </cell>
          <cell r="M4386" t="str">
            <v>4442341</v>
          </cell>
        </row>
        <row r="4387">
          <cell r="A4387">
            <v>890940052</v>
          </cell>
          <cell r="B4387" t="str">
            <v>5</v>
          </cell>
          <cell r="C4387" t="str">
            <v/>
          </cell>
          <cell r="D4387" t="str">
            <v>NJ</v>
          </cell>
          <cell r="E4387" t="str">
            <v/>
          </cell>
          <cell r="F4387" t="str">
            <v/>
          </cell>
          <cell r="G4387" t="str">
            <v>LUMEN S.A.S</v>
          </cell>
          <cell r="H4387" t="str">
            <v>RECO</v>
          </cell>
          <cell r="I4387" t="str">
            <v>REGIMEN COMUN</v>
          </cell>
          <cell r="J4387" t="str">
            <v>CR 58 9 78</v>
          </cell>
          <cell r="K4387" t="str">
            <v>05001</v>
          </cell>
          <cell r="L4387" t="str">
            <v>MEDELLÍN</v>
          </cell>
          <cell r="M4387" t="str">
            <v>3016599688</v>
          </cell>
        </row>
        <row r="4388">
          <cell r="A4388">
            <v>890941471</v>
          </cell>
          <cell r="B4388" t="str">
            <v>2</v>
          </cell>
          <cell r="C4388" t="str">
            <v/>
          </cell>
          <cell r="D4388" t="str">
            <v>NJ</v>
          </cell>
          <cell r="E4388" t="str">
            <v/>
          </cell>
          <cell r="F4388" t="str">
            <v/>
          </cell>
          <cell r="G4388" t="str">
            <v>PROBETAS Y PIPETAS LIMITADA</v>
          </cell>
          <cell r="H4388" t="str">
            <v>IMVE</v>
          </cell>
          <cell r="I4388" t="str">
            <v>IMPUESTO SOBRE LAS VENTAS</v>
          </cell>
          <cell r="J4388" t="str">
            <v>CL 2 C 65 58</v>
          </cell>
          <cell r="K4388" t="str">
            <v>11</v>
          </cell>
          <cell r="L4388" t="str">
            <v>ANTIOQUIA</v>
          </cell>
          <cell r="M4388" t="str">
            <v>3163945683</v>
          </cell>
        </row>
        <row r="4389">
          <cell r="A4389">
            <v>890941567</v>
          </cell>
          <cell r="B4389" t="str">
            <v>0</v>
          </cell>
          <cell r="C4389" t="str">
            <v/>
          </cell>
          <cell r="D4389" t="str">
            <v>NJ</v>
          </cell>
          <cell r="E4389" t="str">
            <v/>
          </cell>
          <cell r="F4389" t="str">
            <v/>
          </cell>
          <cell r="G4389" t="str">
            <v>SOLDADURAS INDUSTRIALES S.A.S</v>
          </cell>
          <cell r="H4389" t="str">
            <v>RCAU</v>
          </cell>
          <cell r="I4389" t="str">
            <v>RESPONSABLE IVA - AUTORETENEDOR</v>
          </cell>
          <cell r="J4389" t="str">
            <v>CR 48 N 26 SUR 181 LC 135</v>
          </cell>
          <cell r="K4389" t="str">
            <v>05266</v>
          </cell>
          <cell r="L4389" t="str">
            <v>ENVIGADO</v>
          </cell>
          <cell r="M4389" t="str">
            <v>43315211</v>
          </cell>
        </row>
        <row r="4390">
          <cell r="A4390">
            <v>890943055</v>
          </cell>
          <cell r="B4390" t="str">
            <v>0</v>
          </cell>
          <cell r="C4390" t="str">
            <v/>
          </cell>
          <cell r="D4390" t="str">
            <v>NJ</v>
          </cell>
          <cell r="E4390" t="str">
            <v/>
          </cell>
          <cell r="F4390" t="str">
            <v/>
          </cell>
          <cell r="G4390" t="str">
            <v xml:space="preserve">SUMINISTROS Y CONTROLES ELECTRONICOS S.A.                   </v>
          </cell>
          <cell r="H4390" t="str">
            <v>RECO</v>
          </cell>
          <cell r="I4390" t="str">
            <v>REGIMEN COMUN</v>
          </cell>
          <cell r="J4390" t="str">
            <v>CR 53 50 51 OF 506  BRR LA CASCADA</v>
          </cell>
          <cell r="K4390" t="str">
            <v>05001</v>
          </cell>
          <cell r="L4390" t="str">
            <v>MEDELLÍN</v>
          </cell>
          <cell r="M4390" t="str">
            <v>4487830</v>
          </cell>
        </row>
        <row r="4391">
          <cell r="A4391">
            <v>890980094</v>
          </cell>
          <cell r="B4391" t="str">
            <v>5</v>
          </cell>
          <cell r="C4391" t="str">
            <v>213405234</v>
          </cell>
          <cell r="D4391" t="str">
            <v>NJ</v>
          </cell>
          <cell r="E4391" t="str">
            <v/>
          </cell>
          <cell r="F4391" t="str">
            <v/>
          </cell>
          <cell r="G4391" t="str">
            <v>MUNICIPIO DE DABEIBA</v>
          </cell>
          <cell r="H4391" t="str">
            <v>COIM</v>
          </cell>
          <cell r="I4391" t="str">
            <v>CONTROL DE IMPUESTOS</v>
          </cell>
          <cell r="J4391" t="str">
            <v>CR MURILLO TORO 10 75 PALACIO MUNICIPAL</v>
          </cell>
          <cell r="K4391" t="str">
            <v>05234</v>
          </cell>
          <cell r="L4391" t="str">
            <v>DABEIBA</v>
          </cell>
          <cell r="M4391" t="str">
            <v>8590300</v>
          </cell>
        </row>
        <row r="4392">
          <cell r="A4392">
            <v>890980357</v>
          </cell>
          <cell r="B4392" t="str">
            <v>7</v>
          </cell>
          <cell r="C4392" t="str">
            <v>215605756</v>
          </cell>
          <cell r="D4392" t="str">
            <v>NJ</v>
          </cell>
          <cell r="E4392" t="str">
            <v/>
          </cell>
          <cell r="F4392" t="str">
            <v/>
          </cell>
          <cell r="G4392" t="str">
            <v>MUNICIPIO DE SONSON</v>
          </cell>
          <cell r="H4392" t="str">
            <v>COIM</v>
          </cell>
          <cell r="I4392" t="str">
            <v>CONTROL DE IMPUESTOS</v>
          </cell>
          <cell r="J4392" t="str">
            <v>CR 6 CL 6 58</v>
          </cell>
          <cell r="K4392" t="str">
            <v>05756</v>
          </cell>
          <cell r="L4392" t="str">
            <v>SONSON</v>
          </cell>
          <cell r="M4392" t="str">
            <v>8694444</v>
          </cell>
        </row>
        <row r="4393">
          <cell r="A4393">
            <v>890981683</v>
          </cell>
          <cell r="B4393" t="str">
            <v>8</v>
          </cell>
          <cell r="C4393" t="str">
            <v/>
          </cell>
          <cell r="D4393" t="str">
            <v>NJ</v>
          </cell>
          <cell r="E4393" t="str">
            <v/>
          </cell>
          <cell r="F4393" t="str">
            <v/>
          </cell>
          <cell r="G4393" t="str">
            <v>CORPAUL</v>
          </cell>
          <cell r="H4393" t="str">
            <v>RCAU</v>
          </cell>
          <cell r="I4393" t="str">
            <v>RESPONSABLE IVA - AUTORETENEDOR</v>
          </cell>
          <cell r="J4393" t="str">
            <v>PLAZA DE LA LIBERTAD</v>
          </cell>
          <cell r="K4393" t="str">
            <v>05001</v>
          </cell>
          <cell r="L4393" t="str">
            <v>MEDELLÍN</v>
          </cell>
          <cell r="M4393" t="str">
            <v>4480550</v>
          </cell>
        </row>
        <row r="4394">
          <cell r="A4394">
            <v>890982278</v>
          </cell>
          <cell r="B4394" t="str">
            <v>2</v>
          </cell>
          <cell r="C4394" t="str">
            <v>216105361</v>
          </cell>
          <cell r="D4394" t="str">
            <v>NJ</v>
          </cell>
          <cell r="E4394" t="str">
            <v/>
          </cell>
          <cell r="F4394" t="str">
            <v/>
          </cell>
          <cell r="G4394" t="str">
            <v>MUNICIPIO DE ITUANGO</v>
          </cell>
          <cell r="H4394" t="str">
            <v>COIM</v>
          </cell>
          <cell r="I4394" t="str">
            <v>CONTROL DE IMPUESTOS</v>
          </cell>
          <cell r="J4394" t="str">
            <v>PAR PRINCIPAL PALACIO MUNICIPAL</v>
          </cell>
          <cell r="K4394" t="str">
            <v>05361</v>
          </cell>
          <cell r="L4394" t="str">
            <v>ITUANGO</v>
          </cell>
          <cell r="M4394" t="str">
            <v>3122957381</v>
          </cell>
        </row>
        <row r="4395">
          <cell r="A4395">
            <v>890982524</v>
          </cell>
          <cell r="B4395" t="str">
            <v>1</v>
          </cell>
          <cell r="C4395" t="str">
            <v/>
          </cell>
          <cell r="D4395" t="str">
            <v>NJ</v>
          </cell>
          <cell r="E4395" t="str">
            <v/>
          </cell>
          <cell r="F4395" t="str">
            <v/>
          </cell>
          <cell r="G4395" t="str">
            <v>ASOCIACION CENTRO INTERAMERICANO JURIDICO FINANCIERO</v>
          </cell>
          <cell r="H4395" t="str">
            <v>IMVE</v>
          </cell>
          <cell r="I4395" t="str">
            <v>IMPUESTO SOBRE LAS VENTAS</v>
          </cell>
          <cell r="J4395" t="str">
            <v>CR 13 63 39 OF 608</v>
          </cell>
          <cell r="K4395" t="str">
            <v>11001</v>
          </cell>
          <cell r="L4395" t="str">
            <v>BOGOTA DC</v>
          </cell>
          <cell r="M4395" t="str">
            <v>2516090</v>
          </cell>
        </row>
        <row r="4396">
          <cell r="A4396">
            <v>890983706</v>
          </cell>
          <cell r="B4396" t="str">
            <v>8</v>
          </cell>
          <cell r="C4396" t="str">
            <v>218405284</v>
          </cell>
          <cell r="D4396" t="str">
            <v>NJ</v>
          </cell>
          <cell r="E4396" t="str">
            <v/>
          </cell>
          <cell r="F4396" t="str">
            <v/>
          </cell>
          <cell r="G4396" t="str">
            <v>MUNICIPIO DE FRONTINO</v>
          </cell>
          <cell r="H4396" t="str">
            <v>COIM</v>
          </cell>
          <cell r="I4396" t="str">
            <v>CONTROL DE IMPUESTOS</v>
          </cell>
          <cell r="J4396" t="str">
            <v>CL 30 30 04 PAR PRINCIPAL</v>
          </cell>
          <cell r="K4396" t="str">
            <v>05284</v>
          </cell>
          <cell r="L4396" t="str">
            <v>FRONTINO</v>
          </cell>
          <cell r="M4396" t="str">
            <v>8595032</v>
          </cell>
        </row>
        <row r="4397">
          <cell r="A4397">
            <v>890984882</v>
          </cell>
          <cell r="B4397" t="str">
            <v>0</v>
          </cell>
          <cell r="C4397" t="str">
            <v>217505475</v>
          </cell>
          <cell r="D4397" t="str">
            <v>NJ</v>
          </cell>
          <cell r="E4397" t="str">
            <v/>
          </cell>
          <cell r="F4397" t="str">
            <v/>
          </cell>
          <cell r="G4397" t="str">
            <v>MUNICIPIO DE MURINDO</v>
          </cell>
          <cell r="H4397" t="str">
            <v>COIM</v>
          </cell>
          <cell r="I4397" t="str">
            <v>CONTROL DE IMPUESTOS</v>
          </cell>
          <cell r="J4397" t="str">
            <v>ALCALDIA MUNICIPAL</v>
          </cell>
          <cell r="K4397" t="str">
            <v>05475</v>
          </cell>
          <cell r="L4397" t="str">
            <v>MURINDÓ</v>
          </cell>
          <cell r="M4397" t="str">
            <v>12345678</v>
          </cell>
        </row>
        <row r="4398">
          <cell r="A4398">
            <v>890985138</v>
          </cell>
          <cell r="B4398" t="str">
            <v>3</v>
          </cell>
          <cell r="C4398" t="str">
            <v>21805000</v>
          </cell>
          <cell r="D4398" t="str">
            <v>NJ</v>
          </cell>
          <cell r="E4398" t="str">
            <v/>
          </cell>
          <cell r="F4398" t="str">
            <v/>
          </cell>
          <cell r="G4398" t="str">
            <v>CORNARE</v>
          </cell>
          <cell r="H4398" t="str">
            <v>GRAU</v>
          </cell>
          <cell r="I4398" t="str">
            <v>GRAN CONTRIBUYENTE AUTORRETENEDO</v>
          </cell>
          <cell r="J4398" t="str">
            <v>CR 59 44 48 KM 54</v>
          </cell>
          <cell r="K4398" t="str">
            <v>05697</v>
          </cell>
          <cell r="L4398" t="str">
            <v>EL SANTUARIO</v>
          </cell>
          <cell r="M4398" t="str">
            <v>5201170</v>
          </cell>
        </row>
        <row r="4399">
          <cell r="A4399">
            <v>891000093</v>
          </cell>
          <cell r="B4399" t="str">
            <v>8</v>
          </cell>
          <cell r="C4399" t="str">
            <v/>
          </cell>
          <cell r="D4399" t="str">
            <v>NJ</v>
          </cell>
          <cell r="E4399" t="str">
            <v/>
          </cell>
          <cell r="F4399" t="str">
            <v/>
          </cell>
          <cell r="G4399" t="str">
            <v>SOCIEDAD TRANSPORTADORA DE CORDOBA SA</v>
          </cell>
          <cell r="H4399" t="str">
            <v>RECO</v>
          </cell>
          <cell r="I4399" t="str">
            <v>REGIMEN COMUN</v>
          </cell>
          <cell r="J4399" t="str">
            <v>CL 37 1 B 42</v>
          </cell>
          <cell r="K4399" t="str">
            <v>23001</v>
          </cell>
          <cell r="L4399" t="str">
            <v>MONTERÍA</v>
          </cell>
          <cell r="M4399" t="str">
            <v>7823422</v>
          </cell>
        </row>
        <row r="4400">
          <cell r="A4400">
            <v>891000159</v>
          </cell>
          <cell r="B4400" t="str">
            <v>5</v>
          </cell>
          <cell r="C4400" t="str">
            <v/>
          </cell>
          <cell r="D4400" t="str">
            <v>NJ</v>
          </cell>
          <cell r="E4400" t="str">
            <v/>
          </cell>
          <cell r="F4400" t="str">
            <v/>
          </cell>
          <cell r="G4400" t="str">
            <v>INVERSIONES DE LA OSSA &amp; ESPITIA TRANSPORTES LUZ SAS</v>
          </cell>
          <cell r="H4400" t="str">
            <v>REOR</v>
          </cell>
          <cell r="I4400" t="str">
            <v>RENTA REGIMEN ORDINARIO</v>
          </cell>
          <cell r="J4400" t="str">
            <v>CALLE 41 20 11</v>
          </cell>
          <cell r="K4400" t="str">
            <v>23001</v>
          </cell>
          <cell r="L4400" t="str">
            <v>MONTERÍA</v>
          </cell>
          <cell r="M4400" t="str">
            <v>3230075</v>
          </cell>
        </row>
        <row r="4401">
          <cell r="A4401">
            <v>891100299</v>
          </cell>
          <cell r="B4401" t="str">
            <v>7</v>
          </cell>
          <cell r="C4401" t="str">
            <v/>
          </cell>
          <cell r="D4401" t="str">
            <v>NJ</v>
          </cell>
          <cell r="E4401" t="str">
            <v/>
          </cell>
          <cell r="F4401" t="str">
            <v/>
          </cell>
          <cell r="G4401" t="str">
            <v>COOPERATIVA DE TRANSPORTADORES DEL HUILA LIMITADA</v>
          </cell>
          <cell r="H4401" t="str">
            <v>IMVE</v>
          </cell>
          <cell r="I4401" t="str">
            <v>IMPUESTO SOBRE LAS VENTAS</v>
          </cell>
          <cell r="J4401" t="str">
            <v>AV 26 4 82</v>
          </cell>
          <cell r="K4401" t="str">
            <v>41001</v>
          </cell>
          <cell r="L4401" t="str">
            <v>NEIVA</v>
          </cell>
          <cell r="M4401" t="str">
            <v>8756365</v>
          </cell>
        </row>
        <row r="4402">
          <cell r="A4402">
            <v>891100355</v>
          </cell>
          <cell r="B4402" t="str">
            <v>1</v>
          </cell>
          <cell r="C4402" t="str">
            <v/>
          </cell>
          <cell r="D4402" t="str">
            <v>NJ</v>
          </cell>
          <cell r="E4402" t="str">
            <v/>
          </cell>
          <cell r="F4402" t="str">
            <v/>
          </cell>
          <cell r="G4402" t="str">
            <v>COOPERATIVA DE TRASNPORTADORES DEL CAQUETA Y HUILA LTDA</v>
          </cell>
          <cell r="H4402" t="str">
            <v>IMVE</v>
          </cell>
          <cell r="I4402" t="str">
            <v>IMPUESTO SOBRE LAS VENTAS</v>
          </cell>
          <cell r="J4402" t="str">
            <v>CR 10 15 60 P 4</v>
          </cell>
          <cell r="K4402" t="str">
            <v>18001</v>
          </cell>
          <cell r="L4402" t="str">
            <v>FLORENCIA</v>
          </cell>
          <cell r="M4402" t="str">
            <v>3108583059</v>
          </cell>
        </row>
        <row r="4403">
          <cell r="A4403">
            <v>891100544</v>
          </cell>
          <cell r="B4403" t="str">
            <v>7</v>
          </cell>
          <cell r="C4403" t="str">
            <v/>
          </cell>
          <cell r="D4403" t="str">
            <v>NJ</v>
          </cell>
          <cell r="E4403" t="str">
            <v/>
          </cell>
          <cell r="F4403" t="str">
            <v/>
          </cell>
          <cell r="G4403" t="str">
            <v>COOPERATIVA MULTIACTIVA DE TRANSPOTADORES DE FLORENCIA</v>
          </cell>
          <cell r="H4403" t="str">
            <v>RECO</v>
          </cell>
          <cell r="I4403" t="str">
            <v>REGIMEN COMUN</v>
          </cell>
          <cell r="J4403" t="str">
            <v>TV 6 N 15 36 BRR EL PORVENIR</v>
          </cell>
          <cell r="K4403" t="str">
            <v>18001</v>
          </cell>
          <cell r="L4403" t="str">
            <v>FLORENCIA</v>
          </cell>
          <cell r="M4403" t="str">
            <v>4360333</v>
          </cell>
        </row>
        <row r="4404">
          <cell r="A4404">
            <v>891100556</v>
          </cell>
          <cell r="B4404" t="str">
            <v>5</v>
          </cell>
          <cell r="C4404" t="str">
            <v/>
          </cell>
          <cell r="D4404" t="str">
            <v>NJ</v>
          </cell>
          <cell r="E4404" t="str">
            <v/>
          </cell>
          <cell r="F4404" t="str">
            <v/>
          </cell>
          <cell r="G4404" t="str">
            <v xml:space="preserve">COOMOTOR FLORENCIA LTDA.                                    </v>
          </cell>
          <cell r="H4404" t="str">
            <v>RECO</v>
          </cell>
          <cell r="I4404" t="str">
            <v>REGIMEN COMUN</v>
          </cell>
          <cell r="J4404" t="str">
            <v xml:space="preserve">TER BOGOTA                         </v>
          </cell>
          <cell r="K4404" t="str">
            <v>11001</v>
          </cell>
          <cell r="L4404" t="str">
            <v>BOGOTA DC</v>
          </cell>
          <cell r="M4404" t="str">
            <v>4282891</v>
          </cell>
        </row>
        <row r="4405">
          <cell r="A4405">
            <v>891180001</v>
          </cell>
          <cell r="B4405" t="str">
            <v>1</v>
          </cell>
          <cell r="C4405" t="str">
            <v>38541000</v>
          </cell>
          <cell r="D4405" t="str">
            <v>NJ</v>
          </cell>
          <cell r="E4405" t="str">
            <v/>
          </cell>
          <cell r="F4405" t="str">
            <v/>
          </cell>
          <cell r="G4405" t="str">
            <v>ELECTRIFICADORA DEL HUILA/ELECELECTROHUILA</v>
          </cell>
          <cell r="H4405" t="str">
            <v>GRAU</v>
          </cell>
          <cell r="I4405" t="str">
            <v>GRAN CONTRIBUYENTE AUTORRETENEDO</v>
          </cell>
          <cell r="J4405" t="str">
            <v xml:space="preserve">ED EL BOTE KM 1 VIA PALERMO       </v>
          </cell>
          <cell r="K4405" t="str">
            <v>41001</v>
          </cell>
          <cell r="L4405" t="str">
            <v>NEIVA</v>
          </cell>
          <cell r="M4405" t="str">
            <v>8753222</v>
          </cell>
        </row>
        <row r="4406">
          <cell r="A4406">
            <v>891180008</v>
          </cell>
          <cell r="B4406" t="str">
            <v>2</v>
          </cell>
          <cell r="C4406" t="str">
            <v/>
          </cell>
          <cell r="D4406" t="str">
            <v>NJ</v>
          </cell>
          <cell r="E4406" t="str">
            <v/>
          </cell>
          <cell r="F4406" t="str">
            <v/>
          </cell>
          <cell r="G4406" t="str">
            <v>CAJA DE COMPENSACION FAMILIAR DEL HUILA-COMFAMILIAR HUILA</v>
          </cell>
          <cell r="H4406" t="str">
            <v>RECO</v>
          </cell>
          <cell r="I4406" t="str">
            <v>REGIMEN COMUN</v>
          </cell>
          <cell r="J4406" t="str">
            <v>CL 11   5   63</v>
          </cell>
          <cell r="K4406" t="str">
            <v>17001</v>
          </cell>
          <cell r="L4406" t="str">
            <v>MANIZALES</v>
          </cell>
          <cell r="M4406" t="str">
            <v>8713092</v>
          </cell>
        </row>
        <row r="4407">
          <cell r="A4407">
            <v>891190047</v>
          </cell>
          <cell r="B4407" t="str">
            <v>2</v>
          </cell>
          <cell r="C4407" t="str">
            <v/>
          </cell>
          <cell r="D4407" t="str">
            <v>NJ</v>
          </cell>
          <cell r="E4407" t="str">
            <v/>
          </cell>
          <cell r="F4407" t="str">
            <v/>
          </cell>
          <cell r="G4407" t="str">
            <v>CAJA DE COMPENSACION FAMILIAR DEL CAQUETA</v>
          </cell>
          <cell r="H4407" t="str">
            <v>RECO</v>
          </cell>
          <cell r="I4407" t="str">
            <v>REGIMEN COMUN</v>
          </cell>
          <cell r="J4407" t="str">
            <v>CR 11 10 34 BRR CEN</v>
          </cell>
          <cell r="K4407" t="str">
            <v>25151</v>
          </cell>
          <cell r="L4407" t="str">
            <v>CAQUEZA</v>
          </cell>
          <cell r="M4407" t="str">
            <v>4359520 ext 106</v>
          </cell>
        </row>
        <row r="4408">
          <cell r="A4408">
            <v>891190127</v>
          </cell>
          <cell r="B4408" t="str">
            <v>3</v>
          </cell>
          <cell r="C4408" t="str">
            <v>38218000</v>
          </cell>
          <cell r="D4408" t="str">
            <v>NJ</v>
          </cell>
          <cell r="E4408" t="str">
            <v/>
          </cell>
          <cell r="F4408" t="str">
            <v/>
          </cell>
          <cell r="G4408" t="str">
            <v>ELECTRIFICADORA DEL CAQUETA S.A. ESP.</v>
          </cell>
          <cell r="H4408" t="str">
            <v>RCAU</v>
          </cell>
          <cell r="I4408" t="str">
            <v>RESPONSABLE IVA - AUTORETENEDOR</v>
          </cell>
          <cell r="J4408" t="str">
            <v>CR 1 N 35 99 BRR EL CUNDUY</v>
          </cell>
          <cell r="K4408" t="str">
            <v>18001</v>
          </cell>
          <cell r="L4408" t="str">
            <v>FLORENCIA</v>
          </cell>
          <cell r="M4408" t="str">
            <v>4366400</v>
          </cell>
        </row>
        <row r="4409">
          <cell r="A4409">
            <v>891190322</v>
          </cell>
          <cell r="B4409" t="str">
            <v>3</v>
          </cell>
          <cell r="C4409" t="str">
            <v/>
          </cell>
          <cell r="D4409" t="str">
            <v>NJ</v>
          </cell>
          <cell r="E4409" t="str">
            <v/>
          </cell>
          <cell r="F4409" t="str">
            <v/>
          </cell>
          <cell r="G4409" t="str">
            <v xml:space="preserve">TRANSPORTES DEL YARI S.A.                                   </v>
          </cell>
          <cell r="H4409" t="str">
            <v>RECO</v>
          </cell>
          <cell r="I4409" t="str">
            <v>REGIMEN COMUN</v>
          </cell>
          <cell r="J4409" t="str">
            <v>OF 221 TERMINAL DE TRANSPORTE P2</v>
          </cell>
          <cell r="K4409" t="str">
            <v>19290</v>
          </cell>
          <cell r="L4409" t="str">
            <v>FLORENCIA</v>
          </cell>
          <cell r="M4409" t="str">
            <v>4343166</v>
          </cell>
        </row>
        <row r="4410">
          <cell r="A4410">
            <v>891200200</v>
          </cell>
          <cell r="B4410" t="str">
            <v>8</v>
          </cell>
          <cell r="C4410" t="str">
            <v>37352000</v>
          </cell>
          <cell r="D4410" t="str">
            <v>NJ</v>
          </cell>
          <cell r="E4410" t="str">
            <v/>
          </cell>
          <cell r="F4410" t="str">
            <v/>
          </cell>
          <cell r="G4410" t="str">
            <v>CENTRALES ELELCTRICAS DE NARIÑO S.A. E.S.P.</v>
          </cell>
          <cell r="H4410" t="str">
            <v>GRAU</v>
          </cell>
          <cell r="I4410" t="str">
            <v>GRAN CONTRIBUYENTE AUTORRETENEDO</v>
          </cell>
          <cell r="J4410" t="str">
            <v>CL 20 N36 12 AV LOS ESTUDIANTES</v>
          </cell>
          <cell r="K4410" t="str">
            <v>52001</v>
          </cell>
          <cell r="L4410" t="str">
            <v xml:space="preserve">PASTO	</v>
          </cell>
          <cell r="M4410" t="str">
            <v>73E6900</v>
          </cell>
        </row>
        <row r="4411">
          <cell r="A4411">
            <v>891200461</v>
          </cell>
          <cell r="B4411" t="str">
            <v>3</v>
          </cell>
          <cell r="C4411" t="str">
            <v>216886568</v>
          </cell>
          <cell r="D4411" t="str">
            <v>NJ</v>
          </cell>
          <cell r="E4411" t="str">
            <v/>
          </cell>
          <cell r="F4411" t="str">
            <v/>
          </cell>
          <cell r="G4411" t="str">
            <v>MUNICIPIO DE PUERTO ASIS</v>
          </cell>
          <cell r="H4411" t="str">
            <v>COIM</v>
          </cell>
          <cell r="I4411" t="str">
            <v>CONTROL DE IMPUESTOS</v>
          </cell>
          <cell r="J4411" t="str">
            <v>CR 19 CL 10 ESQ BRR CENTRO</v>
          </cell>
          <cell r="K4411" t="str">
            <v>86568</v>
          </cell>
          <cell r="L4411" t="str">
            <v>PUERTO ASÍS</v>
          </cell>
          <cell r="M4411" t="str">
            <v>3104980165</v>
          </cell>
        </row>
        <row r="4412">
          <cell r="A4412">
            <v>891200487</v>
          </cell>
          <cell r="B4412" t="str">
            <v>4</v>
          </cell>
          <cell r="C4412" t="str">
            <v/>
          </cell>
          <cell r="D4412" t="str">
            <v>NJ</v>
          </cell>
          <cell r="E4412" t="str">
            <v/>
          </cell>
          <cell r="F4412" t="str">
            <v/>
          </cell>
          <cell r="G4412" t="str">
            <v>INGENIERIA DE DISEÑO CONSTRUCCIONES ELECTRICAS INCOEL SAS</v>
          </cell>
          <cell r="H4412" t="str">
            <v>RECO</v>
          </cell>
          <cell r="I4412" t="str">
            <v>REGIMEN COMUN</v>
          </cell>
          <cell r="J4412" t="str">
            <v>CR 77 A  9 14</v>
          </cell>
          <cell r="K4412" t="str">
            <v>76001</v>
          </cell>
          <cell r="L4412" t="str">
            <v>CALI</v>
          </cell>
          <cell r="M4412" t="str">
            <v>3742403</v>
          </cell>
        </row>
        <row r="4413">
          <cell r="A4413">
            <v>891201578</v>
          </cell>
          <cell r="B4413" t="str">
            <v>0</v>
          </cell>
          <cell r="C4413" t="str">
            <v/>
          </cell>
          <cell r="D4413" t="str">
            <v>NJ</v>
          </cell>
          <cell r="E4413" t="str">
            <v/>
          </cell>
          <cell r="F4413" t="str">
            <v/>
          </cell>
          <cell r="G4413" t="str">
            <v>SERVICIOS AEREOS PANAMERICANOS SAS</v>
          </cell>
          <cell r="H4413" t="str">
            <v>RCAU</v>
          </cell>
          <cell r="I4413" t="str">
            <v>RESPONSABLE IVA - AUTORETENEDOR</v>
          </cell>
          <cell r="J4413" t="str">
            <v xml:space="preserve"> CR 67 A  3 26 HG 43</v>
          </cell>
          <cell r="K4413" t="str">
            <v>05001</v>
          </cell>
          <cell r="L4413" t="str">
            <v>MEDELLÍN</v>
          </cell>
          <cell r="M4413" t="str">
            <v>7434161</v>
          </cell>
        </row>
        <row r="4414">
          <cell r="A4414">
            <v>891201796</v>
          </cell>
          <cell r="B4414" t="str">
            <v>1</v>
          </cell>
          <cell r="C4414" t="str">
            <v/>
          </cell>
          <cell r="D4414" t="str">
            <v>NJ</v>
          </cell>
          <cell r="E4414" t="str">
            <v/>
          </cell>
          <cell r="F4414" t="str">
            <v/>
          </cell>
          <cell r="G4414" t="str">
            <v>COOPERATIVA DE TRANSPORTADORTES DEL PUTUMAYO LIMITADA</v>
          </cell>
          <cell r="H4414" t="str">
            <v>REIC</v>
          </cell>
          <cell r="I4414" t="str">
            <v>RENTA REGIMEN ESPECIAL</v>
          </cell>
          <cell r="J4414" t="str">
            <v>CR 19   10   09 BRR EL CENTRO</v>
          </cell>
          <cell r="K4414" t="str">
            <v>86568</v>
          </cell>
          <cell r="L4414" t="str">
            <v>PUERTO ASÍS</v>
          </cell>
          <cell r="M4414" t="str">
            <v>4227140</v>
          </cell>
        </row>
        <row r="4415">
          <cell r="A4415">
            <v>891303834</v>
          </cell>
          <cell r="B4415" t="str">
            <v>1</v>
          </cell>
          <cell r="C4415" t="str">
            <v/>
          </cell>
          <cell r="D4415" t="str">
            <v>NJ</v>
          </cell>
          <cell r="E4415" t="str">
            <v/>
          </cell>
          <cell r="F4415" t="str">
            <v/>
          </cell>
          <cell r="G4415" t="str">
            <v xml:space="preserve">AFILIADOS PALMIRA S.A.                                      </v>
          </cell>
          <cell r="H4415" t="str">
            <v>REOR</v>
          </cell>
          <cell r="I4415" t="str">
            <v>RENTA REGIMEN ORDINARIO</v>
          </cell>
          <cell r="J4415" t="str">
            <v>CR 34 10 229 URB ACOPI</v>
          </cell>
          <cell r="K4415" t="str">
            <v>76892</v>
          </cell>
          <cell r="L4415" t="str">
            <v>YUMBO</v>
          </cell>
          <cell r="M4415" t="str">
            <v>6644689</v>
          </cell>
        </row>
        <row r="4416">
          <cell r="A4416">
            <v>891400093</v>
          </cell>
          <cell r="B4416" t="str">
            <v>4</v>
          </cell>
          <cell r="C4416" t="str">
            <v/>
          </cell>
          <cell r="D4416" t="str">
            <v>NJ</v>
          </cell>
          <cell r="E4416" t="str">
            <v/>
          </cell>
          <cell r="F4416" t="str">
            <v/>
          </cell>
          <cell r="G4416" t="str">
            <v>CORPORACION CULTURAL Y DEPORTIVA DEL COMERCIO</v>
          </cell>
          <cell r="H4416" t="str">
            <v>RECO</v>
          </cell>
          <cell r="I4416" t="str">
            <v>REGIMEN COMUN</v>
          </cell>
          <cell r="J4416" t="str">
            <v>AV CIRCUNVALAR 7 - 19</v>
          </cell>
          <cell r="K4416" t="str">
            <v>66001</v>
          </cell>
          <cell r="L4416" t="str">
            <v>PEREIRA</v>
          </cell>
          <cell r="M4416" t="str">
            <v>3358666</v>
          </cell>
        </row>
        <row r="4417">
          <cell r="A4417">
            <v>891400148</v>
          </cell>
          <cell r="B4417" t="str">
            <v>0</v>
          </cell>
          <cell r="C4417" t="str">
            <v/>
          </cell>
          <cell r="D4417" t="str">
            <v>NJ</v>
          </cell>
          <cell r="E4417" t="str">
            <v/>
          </cell>
          <cell r="F4417" t="str">
            <v/>
          </cell>
          <cell r="G4417" t="str">
            <v>FLOTA OCCIDENTAL S.A.</v>
          </cell>
          <cell r="H4417" t="str">
            <v>RECO</v>
          </cell>
          <cell r="I4417" t="str">
            <v>REGIMEN COMUN</v>
          </cell>
          <cell r="J4417" t="str">
            <v>TERMINAL DE TRANSPORTES DE MANIZALES</v>
          </cell>
          <cell r="K4417" t="str">
            <v>17001</v>
          </cell>
          <cell r="L4417" t="str">
            <v>MANIZALES</v>
          </cell>
          <cell r="M4417" t="str">
            <v>8847563</v>
          </cell>
        </row>
        <row r="4418">
          <cell r="A4418">
            <v>891400343</v>
          </cell>
          <cell r="B4418" t="str">
            <v>0</v>
          </cell>
          <cell r="C4418" t="str">
            <v/>
          </cell>
          <cell r="D4418" t="str">
            <v>NJ</v>
          </cell>
          <cell r="E4418" t="str">
            <v/>
          </cell>
          <cell r="F4418" t="str">
            <v/>
          </cell>
          <cell r="G4418" t="str">
            <v>TAX CENTRAL S.A</v>
          </cell>
          <cell r="H4418" t="str">
            <v>RESI</v>
          </cell>
          <cell r="I4418" t="str">
            <v>REGIMEN SIMPLIFICADO</v>
          </cell>
          <cell r="J4418" t="str">
            <v>TER DE TRANSPORTES LOCAL 108</v>
          </cell>
          <cell r="K4418" t="str">
            <v>17001</v>
          </cell>
          <cell r="L4418" t="str">
            <v>MANIZALES</v>
          </cell>
          <cell r="M4418" t="str">
            <v>(6) 3215033</v>
          </cell>
        </row>
        <row r="4419">
          <cell r="A4419">
            <v>891400819</v>
          </cell>
          <cell r="B4419" t="str">
            <v>4</v>
          </cell>
          <cell r="C4419" t="str">
            <v/>
          </cell>
          <cell r="D4419" t="str">
            <v>NJ</v>
          </cell>
          <cell r="E4419" t="str">
            <v/>
          </cell>
          <cell r="F4419" t="str">
            <v/>
          </cell>
          <cell r="G4419" t="str">
            <v>GUILLERMO PULGARIN S. S.A. EN REORGANIZACION</v>
          </cell>
          <cell r="H4419" t="str">
            <v>IMVE</v>
          </cell>
          <cell r="I4419" t="str">
            <v>IMPUESTO SOBRE LAS VENTAS</v>
          </cell>
          <cell r="J4419" t="str">
            <v>CR 15 BIS 25 120 BRR BALAKAIKA</v>
          </cell>
          <cell r="K4419" t="str">
            <v>66170</v>
          </cell>
          <cell r="L4419" t="str">
            <v>DOSQUEBRADAS</v>
          </cell>
          <cell r="M4419" t="str">
            <v>3147784826</v>
          </cell>
        </row>
        <row r="4420">
          <cell r="A4420">
            <v>891401711</v>
          </cell>
          <cell r="B4420" t="str">
            <v>2</v>
          </cell>
          <cell r="C4420" t="str">
            <v/>
          </cell>
          <cell r="D4420" t="str">
            <v>NJ</v>
          </cell>
          <cell r="E4420" t="str">
            <v/>
          </cell>
          <cell r="F4420" t="str">
            <v/>
          </cell>
          <cell r="G4420" t="str">
            <v>INDUSTRIAS ELECTROMECANICAS MAGNETRON S.A.S</v>
          </cell>
          <cell r="H4420" t="str">
            <v>IMVE</v>
          </cell>
          <cell r="I4420" t="str">
            <v>IMPUESTO SOBRE LAS VENTAS</v>
          </cell>
          <cell r="J4420" t="str">
            <v xml:space="preserve"> KM KM 9 VIA PEREIRA CARTAGO</v>
          </cell>
          <cell r="K4420" t="str">
            <v>16</v>
          </cell>
          <cell r="L4420" t="str">
            <v>RISARALDA</v>
          </cell>
          <cell r="M4420" t="str">
            <v>3157100</v>
          </cell>
        </row>
        <row r="4421">
          <cell r="A4421">
            <v>891408584</v>
          </cell>
          <cell r="B4421" t="str">
            <v>5</v>
          </cell>
          <cell r="C4421" t="str">
            <v/>
          </cell>
          <cell r="D4421" t="str">
            <v>NJ</v>
          </cell>
          <cell r="E4421" t="str">
            <v/>
          </cell>
          <cell r="F4421" t="str">
            <v/>
          </cell>
          <cell r="G4421" t="str">
            <v xml:space="preserve">FRISBY S.A.                                                 </v>
          </cell>
          <cell r="H4421" t="str">
            <v>GRCO</v>
          </cell>
          <cell r="I4421" t="str">
            <v>GRAN CONTRIBUYENTE</v>
          </cell>
          <cell r="J4421" t="str">
            <v>CR 7 24 74 BRR CENTRO</v>
          </cell>
          <cell r="K4421" t="str">
            <v>66001</v>
          </cell>
          <cell r="L4421" t="str">
            <v>PEREIRA</v>
          </cell>
          <cell r="M4421" t="str">
            <v>8810246</v>
          </cell>
        </row>
        <row r="4422">
          <cell r="A4422">
            <v>891409156</v>
          </cell>
          <cell r="B4422" t="str">
            <v>0</v>
          </cell>
          <cell r="C4422" t="str">
            <v/>
          </cell>
          <cell r="D4422" t="str">
            <v>NJ</v>
          </cell>
          <cell r="E4422" t="str">
            <v/>
          </cell>
          <cell r="F4422" t="str">
            <v/>
          </cell>
          <cell r="G4422" t="str">
            <v>TECNODIESEL S.A.S</v>
          </cell>
          <cell r="H4422" t="str">
            <v>RCAU</v>
          </cell>
          <cell r="I4422" t="str">
            <v>RESPONSABLE IVA - AUTORETENEDOR</v>
          </cell>
          <cell r="J4422" t="str">
            <v>CL 10 29 B 143</v>
          </cell>
          <cell r="K4422" t="str">
            <v>76892</v>
          </cell>
          <cell r="L4422" t="str">
            <v>YUMBO</v>
          </cell>
          <cell r="M4422" t="str">
            <v>6024422422</v>
          </cell>
        </row>
        <row r="4423">
          <cell r="A4423">
            <v>891410476</v>
          </cell>
          <cell r="B4423" t="str">
            <v>4</v>
          </cell>
          <cell r="C4423" t="str">
            <v/>
          </cell>
          <cell r="D4423" t="str">
            <v>NJ</v>
          </cell>
          <cell r="E4423" t="str">
            <v/>
          </cell>
          <cell r="F4423" t="str">
            <v/>
          </cell>
          <cell r="G4423" t="str">
            <v>OVER VANI EXPERTOS EN VIAJE</v>
          </cell>
          <cell r="H4423" t="str">
            <v>RECO</v>
          </cell>
          <cell r="I4423" t="str">
            <v>REGIMEN COMUN</v>
          </cell>
          <cell r="J4423" t="str">
            <v>CL 20 7 30</v>
          </cell>
          <cell r="K4423" t="str">
            <v>17001</v>
          </cell>
          <cell r="L4423" t="str">
            <v>MANIZALES</v>
          </cell>
          <cell r="M4423" t="str">
            <v>3354246</v>
          </cell>
        </row>
        <row r="4424">
          <cell r="A4424">
            <v>891412809</v>
          </cell>
          <cell r="B4424" t="str">
            <v>2</v>
          </cell>
          <cell r="C4424" t="str">
            <v/>
          </cell>
          <cell r="D4424" t="str">
            <v>NJ</v>
          </cell>
          <cell r="E4424" t="str">
            <v/>
          </cell>
          <cell r="F4424" t="str">
            <v/>
          </cell>
          <cell r="G4424" t="str">
            <v>SUMINISTROS ELECTRICOS E INDUSTRIALES SUMILEC S.A</v>
          </cell>
          <cell r="H4424" t="str">
            <v>REOR</v>
          </cell>
          <cell r="I4424" t="str">
            <v>RENTA REGIMEN ORDINARIO</v>
          </cell>
          <cell r="J4424" t="str">
            <v xml:space="preserve"> AV 30 DE AGOSTO CL 94 14 73 BG 8 MULTICENTRO EMPRESARIAL LA VIL</v>
          </cell>
          <cell r="K4424" t="str">
            <v>66001</v>
          </cell>
          <cell r="L4424" t="str">
            <v>PEREIRA</v>
          </cell>
          <cell r="M4424" t="str">
            <v>3131199</v>
          </cell>
        </row>
        <row r="4425">
          <cell r="A4425">
            <v>891480025</v>
          </cell>
          <cell r="B4425" t="str">
            <v>5</v>
          </cell>
          <cell r="C4425" t="str">
            <v>211866318</v>
          </cell>
          <cell r="D4425" t="str">
            <v>NJ</v>
          </cell>
          <cell r="E4425" t="str">
            <v/>
          </cell>
          <cell r="F4425" t="str">
            <v/>
          </cell>
          <cell r="G4425" t="str">
            <v>MUNICIPIO DE GUATICA</v>
          </cell>
          <cell r="H4425" t="str">
            <v>COIM</v>
          </cell>
          <cell r="I4425" t="str">
            <v>CONTROL DE IMPUESTOS</v>
          </cell>
          <cell r="J4425" t="str">
            <v>CL 8 6 20</v>
          </cell>
          <cell r="K4425" t="str">
            <v>66318</v>
          </cell>
          <cell r="L4425" t="str">
            <v>GUÁTICA</v>
          </cell>
          <cell r="M4425" t="str">
            <v>3539010</v>
          </cell>
        </row>
        <row r="4426">
          <cell r="A4426">
            <v>891480030</v>
          </cell>
          <cell r="B4426" t="str">
            <v>2</v>
          </cell>
          <cell r="C4426" t="str">
            <v>210166001</v>
          </cell>
          <cell r="D4426" t="str">
            <v>NJ</v>
          </cell>
          <cell r="E4426" t="str">
            <v/>
          </cell>
          <cell r="F4426" t="str">
            <v/>
          </cell>
          <cell r="G4426" t="str">
            <v>MUNICIPIO DE PEREIRA</v>
          </cell>
          <cell r="H4426" t="str">
            <v>IMVE</v>
          </cell>
          <cell r="I4426" t="str">
            <v>IMPUESTO SOBRE LAS VENTAS</v>
          </cell>
          <cell r="J4426" t="str">
            <v>CR 7 18  55 P 5 ED MUNICIPAL</v>
          </cell>
          <cell r="K4426" t="str">
            <v>66001</v>
          </cell>
          <cell r="L4426" t="str">
            <v>PEREIRA</v>
          </cell>
          <cell r="M4426" t="str">
            <v>3248230</v>
          </cell>
        </row>
        <row r="4427">
          <cell r="A4427">
            <v>891480071</v>
          </cell>
          <cell r="B4427" t="str">
            <v>4</v>
          </cell>
          <cell r="C4427" t="str">
            <v/>
          </cell>
          <cell r="D4427" t="str">
            <v>NJ</v>
          </cell>
          <cell r="E4427" t="str">
            <v/>
          </cell>
          <cell r="F4427" t="str">
            <v/>
          </cell>
          <cell r="G4427" t="str">
            <v>SOCIEDAD DE MEJORAS DE PEREIRA</v>
          </cell>
          <cell r="H4427" t="str">
            <v>RECO</v>
          </cell>
          <cell r="I4427" t="str">
            <v>REGIMEN COMUN</v>
          </cell>
          <cell r="J4427" t="str">
            <v>CR 8 23 09 OF 1402 ED CULTURAL Y ADM CAMARA DE COMERCIO</v>
          </cell>
          <cell r="K4427" t="str">
            <v>66001</v>
          </cell>
          <cell r="L4427" t="str">
            <v>PEREIRA</v>
          </cell>
          <cell r="M4427" t="str">
            <v>3340727</v>
          </cell>
        </row>
        <row r="4428">
          <cell r="A4428">
            <v>891480085</v>
          </cell>
          <cell r="B4428" t="str">
            <v>7</v>
          </cell>
          <cell r="C4428" t="str">
            <v>116666000</v>
          </cell>
          <cell r="D4428" t="str">
            <v>NJ</v>
          </cell>
          <cell r="E4428" t="str">
            <v/>
          </cell>
          <cell r="F4428" t="str">
            <v/>
          </cell>
          <cell r="G4428" t="str">
            <v>DEPARTAMENTO  DE RISARALDA</v>
          </cell>
          <cell r="H4428" t="str">
            <v>COIM</v>
          </cell>
          <cell r="I4428" t="str">
            <v>CONTROL DE IMPUESTOS</v>
          </cell>
          <cell r="J4428" t="str">
            <v xml:space="preserve">CL 19   13   17  </v>
          </cell>
          <cell r="K4428" t="str">
            <v>66001</v>
          </cell>
          <cell r="L4428" t="str">
            <v>PEREIRA</v>
          </cell>
          <cell r="M4428" t="str">
            <v>3398323</v>
          </cell>
        </row>
        <row r="4429">
          <cell r="A4429">
            <v>891500090</v>
          </cell>
          <cell r="B4429" t="str">
            <v>1</v>
          </cell>
          <cell r="C4429" t="str">
            <v/>
          </cell>
          <cell r="D4429" t="str">
            <v>NJ</v>
          </cell>
          <cell r="E4429" t="str">
            <v/>
          </cell>
          <cell r="F4429" t="str">
            <v/>
          </cell>
          <cell r="G4429" t="str">
            <v xml:space="preserve">HOTELES LTDA                                                </v>
          </cell>
          <cell r="H4429" t="str">
            <v>RECO</v>
          </cell>
          <cell r="I4429" t="str">
            <v>REGIMEN COMUN</v>
          </cell>
          <cell r="J4429" t="str">
            <v>AERPOPUERTO ALFONS BONILLA ARAGON PALMIR</v>
          </cell>
          <cell r="K4429" t="str">
            <v>76520</v>
          </cell>
          <cell r="L4429" t="str">
            <v>PALMIRA</v>
          </cell>
          <cell r="M4429" t="str">
            <v>6663229</v>
          </cell>
        </row>
        <row r="4430">
          <cell r="A4430">
            <v>891500182</v>
          </cell>
          <cell r="B4430" t="str">
            <v>0</v>
          </cell>
          <cell r="C4430" t="str">
            <v/>
          </cell>
          <cell r="D4430" t="str">
            <v>NJ</v>
          </cell>
          <cell r="E4430" t="str">
            <v/>
          </cell>
          <cell r="F4430" t="str">
            <v/>
          </cell>
          <cell r="G4430" t="str">
            <v xml:space="preserve">COMFACAUCA                                                  </v>
          </cell>
          <cell r="H4430" t="str">
            <v>RECO</v>
          </cell>
          <cell r="I4430" t="str">
            <v>REGIMEN COMUN</v>
          </cell>
          <cell r="J4430" t="str">
            <v xml:space="preserve">CL 2 NORTE CR 8                 </v>
          </cell>
          <cell r="K4430" t="str">
            <v>19001</v>
          </cell>
          <cell r="L4430" t="str">
            <v>POPAYÁN</v>
          </cell>
          <cell r="M4430" t="str">
            <v>8231868</v>
          </cell>
        </row>
        <row r="4431">
          <cell r="A4431">
            <v>891500538</v>
          </cell>
          <cell r="B4431" t="str">
            <v>9</v>
          </cell>
          <cell r="C4431" t="str">
            <v/>
          </cell>
          <cell r="D4431" t="str">
            <v>NJ</v>
          </cell>
          <cell r="E4431" t="str">
            <v/>
          </cell>
          <cell r="F4431" t="str">
            <v/>
          </cell>
          <cell r="G4431" t="str">
            <v>ICOBANDAS SA</v>
          </cell>
          <cell r="H4431" t="str">
            <v>RECO</v>
          </cell>
          <cell r="I4431" t="str">
            <v>REGIMEN COMUN</v>
          </cell>
          <cell r="J4431" t="str">
            <v>CR 9  64 N  99</v>
          </cell>
          <cell r="K4431" t="str">
            <v>19001</v>
          </cell>
          <cell r="L4431" t="str">
            <v>POPAYÁN</v>
          </cell>
          <cell r="M4431" t="str">
            <v>8246644</v>
          </cell>
        </row>
        <row r="4432">
          <cell r="A4432">
            <v>891501783</v>
          </cell>
          <cell r="B4432" t="str">
            <v>1</v>
          </cell>
          <cell r="C4432" t="str">
            <v/>
          </cell>
          <cell r="D4432" t="str">
            <v>NJ</v>
          </cell>
          <cell r="E4432" t="str">
            <v/>
          </cell>
          <cell r="F4432" t="str">
            <v/>
          </cell>
          <cell r="G4432" t="str">
            <v>GAMMA INGENIEROS SAS</v>
          </cell>
          <cell r="H4432" t="str">
            <v>RECO</v>
          </cell>
          <cell r="I4432" t="str">
            <v>REGIMEN COMUN</v>
          </cell>
          <cell r="J4432" t="str">
            <v>CL 166 20 45</v>
          </cell>
          <cell r="K4432" t="str">
            <v>11001</v>
          </cell>
          <cell r="L4432" t="str">
            <v>BOGOTA DC</v>
          </cell>
          <cell r="M4432" t="str">
            <v>3113247668</v>
          </cell>
        </row>
        <row r="4433">
          <cell r="A4433">
            <v>891501885</v>
          </cell>
          <cell r="B4433" t="str">
            <v>4</v>
          </cell>
          <cell r="C4433" t="str">
            <v>820819000</v>
          </cell>
          <cell r="D4433" t="str">
            <v>NJ</v>
          </cell>
          <cell r="E4433" t="str">
            <v/>
          </cell>
          <cell r="F4433" t="str">
            <v/>
          </cell>
          <cell r="G4433" t="str">
            <v>CORPORACIÓN AUTONOMA REGIONAL DEL CAUCA C.R.C</v>
          </cell>
          <cell r="H4433" t="str">
            <v>GRCO</v>
          </cell>
          <cell r="I4433" t="str">
            <v>GRAN CONTRIBUYENTE</v>
          </cell>
          <cell r="J4433" t="str">
            <v>CR 7  1 N 28 ED EDGAR NEGRET DUEÑAS</v>
          </cell>
          <cell r="K4433" t="str">
            <v>19001</v>
          </cell>
          <cell r="L4433" t="str">
            <v>POPAYÁN</v>
          </cell>
          <cell r="M4433" t="str">
            <v>203232</v>
          </cell>
        </row>
        <row r="4434">
          <cell r="A4434">
            <v>891600091</v>
          </cell>
          <cell r="B4434" t="str">
            <v>8</v>
          </cell>
          <cell r="C4434" t="str">
            <v/>
          </cell>
          <cell r="D4434" t="str">
            <v>NJ</v>
          </cell>
          <cell r="E4434" t="str">
            <v/>
          </cell>
          <cell r="F4434" t="str">
            <v/>
          </cell>
          <cell r="G4434" t="str">
            <v xml:space="preserve">COMFACHOCO                                                  </v>
          </cell>
          <cell r="H4434" t="str">
            <v>RECO</v>
          </cell>
          <cell r="I4434" t="str">
            <v>REGIMEN COMUN</v>
          </cell>
          <cell r="J4434" t="str">
            <v xml:space="preserve">CR 4 N 23 14                       </v>
          </cell>
          <cell r="K4434" t="str">
            <v>27001</v>
          </cell>
          <cell r="L4434" t="str">
            <v>QUIBDO</v>
          </cell>
          <cell r="M4434" t="str">
            <v>6711597</v>
          </cell>
        </row>
        <row r="4435">
          <cell r="A4435">
            <v>891680196</v>
          </cell>
          <cell r="B4435" t="str">
            <v>4</v>
          </cell>
          <cell r="C4435" t="str">
            <v>210027800</v>
          </cell>
          <cell r="D4435" t="str">
            <v>NJ</v>
          </cell>
          <cell r="E4435" t="str">
            <v/>
          </cell>
          <cell r="F4435" t="str">
            <v/>
          </cell>
          <cell r="G4435" t="str">
            <v>MUNICIPIO DE UNGUIA</v>
          </cell>
          <cell r="H4435" t="str">
            <v>COIM</v>
          </cell>
          <cell r="I4435" t="str">
            <v>CONTROL DE IMPUESTOS</v>
          </cell>
          <cell r="J4435" t="str">
            <v>CL PRINCIPAL PALACIO MUNICIPAL</v>
          </cell>
          <cell r="K4435" t="str">
            <v>27800</v>
          </cell>
          <cell r="L4435" t="str">
            <v>UNGUÍA</v>
          </cell>
          <cell r="M4435" t="str">
            <v>313659389</v>
          </cell>
        </row>
        <row r="4436">
          <cell r="A4436">
            <v>891680395</v>
          </cell>
          <cell r="B4436" t="str">
            <v>3</v>
          </cell>
          <cell r="C4436" t="str">
            <v>217527075</v>
          </cell>
          <cell r="D4436" t="str">
            <v>NJ</v>
          </cell>
          <cell r="E4436" t="str">
            <v/>
          </cell>
          <cell r="F4436" t="str">
            <v/>
          </cell>
          <cell r="G4436" t="str">
            <v>MUNICIPIO DE BAHIA SOLANO - FO</v>
          </cell>
          <cell r="H4436" t="str">
            <v>RECO</v>
          </cell>
          <cell r="I4436" t="str">
            <v>REGIMEN COMUN</v>
          </cell>
          <cell r="J4436" t="str">
            <v>MCP BAHIA SOLANO PALACIO MUNICIPAL</v>
          </cell>
          <cell r="K4436" t="str">
            <v>27075</v>
          </cell>
          <cell r="L4436" t="str">
            <v>BAHÍA SOLANO</v>
          </cell>
          <cell r="M4436" t="str">
            <v>6827456</v>
          </cell>
        </row>
        <row r="4437">
          <cell r="A4437">
            <v>891700037</v>
          </cell>
          <cell r="B4437" t="str">
            <v>9</v>
          </cell>
          <cell r="C4437" t="str">
            <v/>
          </cell>
          <cell r="D4437" t="str">
            <v>NJ</v>
          </cell>
          <cell r="E4437" t="str">
            <v/>
          </cell>
          <cell r="F4437" t="str">
            <v/>
          </cell>
          <cell r="G4437" t="str">
            <v>MAPFRE SEGUROS GENERALES DE COLOMBIA S.A.</v>
          </cell>
          <cell r="H4437" t="str">
            <v>GRAU</v>
          </cell>
          <cell r="I4437" t="str">
            <v>GRAN CONTRIBUYENTE AUTORRETENEDO</v>
          </cell>
          <cell r="J4437" t="str">
            <v>CR 14 96 34</v>
          </cell>
          <cell r="K4437" t="str">
            <v>11001</v>
          </cell>
          <cell r="L4437" t="str">
            <v>BOGOTA DC</v>
          </cell>
          <cell r="M4437" t="str">
            <v>REVISAR</v>
          </cell>
        </row>
        <row r="4438">
          <cell r="A4438">
            <v>891780041</v>
          </cell>
          <cell r="B4438" t="str">
            <v>0</v>
          </cell>
          <cell r="C4438" t="str">
            <v>215347053</v>
          </cell>
          <cell r="D4438" t="str">
            <v>NJ</v>
          </cell>
          <cell r="E4438" t="str">
            <v/>
          </cell>
          <cell r="F4438" t="str">
            <v/>
          </cell>
          <cell r="G4438" t="str">
            <v>MUNICIPIO DE ARACATACA</v>
          </cell>
          <cell r="H4438" t="str">
            <v>COIM</v>
          </cell>
          <cell r="I4438" t="str">
            <v>CONTROL DE IMPUESTOS</v>
          </cell>
          <cell r="J4438" t="str">
            <v>CL 9 N 4 A</v>
          </cell>
          <cell r="K4438" t="str">
            <v>47053</v>
          </cell>
          <cell r="L4438" t="str">
            <v>MAGDALENA</v>
          </cell>
          <cell r="M4438" t="str">
            <v>4271518</v>
          </cell>
        </row>
        <row r="4439">
          <cell r="A4439">
            <v>891780045</v>
          </cell>
          <cell r="B4439" t="str">
            <v>1</v>
          </cell>
          <cell r="C4439" t="str">
            <v>218847288</v>
          </cell>
          <cell r="D4439" t="str">
            <v>NJ</v>
          </cell>
          <cell r="E4439" t="str">
            <v/>
          </cell>
          <cell r="F4439" t="str">
            <v/>
          </cell>
          <cell r="G4439" t="str">
            <v>MUNICIPIO FUNDACION</v>
          </cell>
          <cell r="H4439" t="str">
            <v>COIM</v>
          </cell>
          <cell r="I4439" t="str">
            <v>CONTROL DE IMPUESTOS</v>
          </cell>
          <cell r="J4439" t="str">
            <v>CARRERA 5 4 48 BRR CENTRO</v>
          </cell>
          <cell r="K4439" t="str">
            <v>17001</v>
          </cell>
          <cell r="L4439" t="str">
            <v>MANIZALES</v>
          </cell>
          <cell r="M4439" t="str">
            <v>4141877</v>
          </cell>
        </row>
        <row r="4440">
          <cell r="A4440">
            <v>891800043</v>
          </cell>
          <cell r="B4440" t="str">
            <v>2</v>
          </cell>
          <cell r="C4440" t="str">
            <v/>
          </cell>
          <cell r="D4440" t="str">
            <v>NJ</v>
          </cell>
          <cell r="E4440" t="str">
            <v/>
          </cell>
          <cell r="F4440" t="str">
            <v/>
          </cell>
          <cell r="G4440" t="str">
            <v>COOPERATIVA DE TRANSPORTADORES -COOFLOTAX</v>
          </cell>
          <cell r="H4440" t="str">
            <v>RESI</v>
          </cell>
          <cell r="I4440" t="str">
            <v>REGIMEN SIMPLIFICADO</v>
          </cell>
          <cell r="J4440" t="str">
            <v>OF TER</v>
          </cell>
          <cell r="K4440" t="str">
            <v>15001</v>
          </cell>
          <cell r="L4440" t="str">
            <v>TUNJA</v>
          </cell>
          <cell r="M4440" t="str">
            <v>7602888</v>
          </cell>
        </row>
        <row r="4441">
          <cell r="A4441">
            <v>891800044</v>
          </cell>
          <cell r="B4441" t="str">
            <v>1</v>
          </cell>
          <cell r="C4441" t="str">
            <v/>
          </cell>
          <cell r="D4441" t="str">
            <v>NJ</v>
          </cell>
          <cell r="E4441" t="str">
            <v/>
          </cell>
          <cell r="F4441" t="str">
            <v/>
          </cell>
          <cell r="G4441" t="str">
            <v>COOPERATIVA DE TRANSPORTADORES  RAPIDO CHICAMOCHA</v>
          </cell>
          <cell r="H4441" t="str">
            <v>IMVE</v>
          </cell>
          <cell r="I4441" t="str">
            <v>IMPUESTO SOBRE LAS VENTAS</v>
          </cell>
          <cell r="J4441" t="str">
            <v>CL 21 NO  41 10   Y 41  28</v>
          </cell>
          <cell r="K4441" t="str">
            <v>15238</v>
          </cell>
          <cell r="L4441" t="str">
            <v>DUITAMA</v>
          </cell>
          <cell r="M4441" t="str">
            <v>7606288</v>
          </cell>
        </row>
        <row r="4442">
          <cell r="A4442">
            <v>891800045</v>
          </cell>
          <cell r="B4442" t="str">
            <v>7</v>
          </cell>
          <cell r="C4442" t="str">
            <v/>
          </cell>
          <cell r="D4442" t="str">
            <v>NJ</v>
          </cell>
          <cell r="E4442" t="str">
            <v/>
          </cell>
          <cell r="F4442" t="str">
            <v/>
          </cell>
          <cell r="G4442" t="str">
            <v>COOPERATIVA DE TRANSPORTADORES FLOTA NORTE LTDA</v>
          </cell>
          <cell r="H4442" t="str">
            <v>RECO</v>
          </cell>
          <cell r="I4442" t="str">
            <v>REGIMEN COMUN</v>
          </cell>
          <cell r="J4442" t="str">
            <v>CL 9 20 08</v>
          </cell>
          <cell r="K4442" t="str">
            <v>15759</v>
          </cell>
          <cell r="L4442" t="str">
            <v>SOGAMOSO</v>
          </cell>
          <cell r="M4442" t="str">
            <v>7705815</v>
          </cell>
        </row>
        <row r="4443">
          <cell r="A4443">
            <v>891800062</v>
          </cell>
          <cell r="B4443" t="str">
            <v>2</v>
          </cell>
          <cell r="C4443" t="str">
            <v/>
          </cell>
          <cell r="D4443" t="str">
            <v>NJ</v>
          </cell>
          <cell r="E4443" t="str">
            <v/>
          </cell>
          <cell r="F4443" t="str">
            <v/>
          </cell>
          <cell r="G4443" t="str">
            <v xml:space="preserve">RAPIDO DUITAMA LTDA                                         </v>
          </cell>
          <cell r="H4443" t="str">
            <v>RECO</v>
          </cell>
          <cell r="I4443" t="str">
            <v>REGIMEN COMUN</v>
          </cell>
          <cell r="J4443" t="str">
            <v xml:space="preserve">DUITADA                                 </v>
          </cell>
          <cell r="K4443" t="str">
            <v>15238</v>
          </cell>
          <cell r="L4443" t="str">
            <v>DUITAMA</v>
          </cell>
          <cell r="M4443" t="str">
            <v>PND.</v>
          </cell>
        </row>
        <row r="4444">
          <cell r="A4444">
            <v>891800075</v>
          </cell>
          <cell r="B4444" t="str">
            <v>8</v>
          </cell>
          <cell r="C4444" t="str">
            <v/>
          </cell>
          <cell r="D4444" t="str">
            <v>NJ</v>
          </cell>
          <cell r="E4444" t="str">
            <v/>
          </cell>
          <cell r="F4444" t="str">
            <v/>
          </cell>
          <cell r="G4444" t="str">
            <v>FLOTA SUGAMUXI S.A</v>
          </cell>
          <cell r="H4444" t="str">
            <v>RECO</v>
          </cell>
          <cell r="I4444" t="str">
            <v>REGIMEN COMUN</v>
          </cell>
          <cell r="J4444" t="str">
            <v>CR 12 47 85 BRR SUCRE</v>
          </cell>
          <cell r="K4444" t="str">
            <v>15759</v>
          </cell>
          <cell r="L4444" t="str">
            <v>SOGAMOSO</v>
          </cell>
          <cell r="M4444" t="str">
            <v>7702440</v>
          </cell>
        </row>
        <row r="4445">
          <cell r="A4445">
            <v>891800082</v>
          </cell>
          <cell r="B4445" t="str">
            <v>1</v>
          </cell>
          <cell r="C4445" t="str">
            <v/>
          </cell>
          <cell r="D4445" t="str">
            <v>NJ</v>
          </cell>
          <cell r="E4445" t="str">
            <v/>
          </cell>
          <cell r="F4445" t="str">
            <v/>
          </cell>
          <cell r="G4445" t="str">
            <v>GRANADOS GOMEZ Y CIA SA ESP</v>
          </cell>
          <cell r="H4445" t="str">
            <v>RECO</v>
          </cell>
          <cell r="I4445" t="str">
            <v>REGIMEN COMUN</v>
          </cell>
          <cell r="J4445" t="str">
            <v>CR 1 48  33 ZN INDUSTRIAL CAZUCA</v>
          </cell>
          <cell r="K4445" t="str">
            <v>25754</v>
          </cell>
          <cell r="L4445" t="str">
            <v>SOACHA</v>
          </cell>
          <cell r="M4445" t="str">
            <v>7750090</v>
          </cell>
        </row>
        <row r="4446">
          <cell r="A4446">
            <v>891800213</v>
          </cell>
          <cell r="B4446" t="str">
            <v>8</v>
          </cell>
          <cell r="C4446" t="str">
            <v/>
          </cell>
          <cell r="D4446" t="str">
            <v>NJ</v>
          </cell>
          <cell r="E4446" t="str">
            <v/>
          </cell>
          <cell r="F4446" t="str">
            <v/>
          </cell>
          <cell r="G4446" t="str">
            <v>CAJA DE COMPENSACIÓN FAMILIAR DE BOYACÁ COMFABOY</v>
          </cell>
          <cell r="H4446" t="str">
            <v>IMVE</v>
          </cell>
          <cell r="I4446" t="str">
            <v>IMPUESTO SOBRE LAS VENTAS</v>
          </cell>
          <cell r="J4446" t="str">
            <v>CR 10  16 81</v>
          </cell>
          <cell r="K4446" t="str">
            <v>15001</v>
          </cell>
          <cell r="L4446" t="str">
            <v>TUNJA</v>
          </cell>
          <cell r="M4446" t="str">
            <v>7441515</v>
          </cell>
        </row>
        <row r="4447">
          <cell r="A4447">
            <v>891800215</v>
          </cell>
          <cell r="B4447" t="str">
            <v>2</v>
          </cell>
          <cell r="C4447" t="str">
            <v/>
          </cell>
          <cell r="D4447" t="str">
            <v>NJ</v>
          </cell>
          <cell r="E4447" t="str">
            <v/>
          </cell>
          <cell r="F4447" t="str">
            <v/>
          </cell>
          <cell r="G4447" t="str">
            <v>NOGO BOYACA LIMITADA</v>
          </cell>
          <cell r="H4447" t="str">
            <v>IMVE</v>
          </cell>
          <cell r="I4447" t="str">
            <v>IMPUESTO SOBRE LAS VENTAS</v>
          </cell>
          <cell r="J4447" t="str">
            <v>CR 12 14 99</v>
          </cell>
          <cell r="K4447" t="str">
            <v>15759</v>
          </cell>
          <cell r="L4447" t="str">
            <v>SOGAMOSO</v>
          </cell>
          <cell r="M4447" t="str">
            <v>7702466</v>
          </cell>
        </row>
        <row r="4448">
          <cell r="A4448">
            <v>891800219</v>
          </cell>
          <cell r="B4448" t="str">
            <v>1</v>
          </cell>
          <cell r="C4448" t="str">
            <v/>
          </cell>
          <cell r="D4448" t="str">
            <v>NJ</v>
          </cell>
          <cell r="E4448" t="str">
            <v/>
          </cell>
          <cell r="F4448" t="str">
            <v/>
          </cell>
          <cell r="G4448" t="str">
            <v>EMPRESA DE ENERGIA DE BOYACA S.A. E.S.P. EMPRESA DE SERVIC</v>
          </cell>
          <cell r="H4448" t="str">
            <v>GRAU</v>
          </cell>
          <cell r="I4448" t="str">
            <v>GRAN CONTRIBUYENTE AUTORRETENEDO</v>
          </cell>
          <cell r="J4448" t="str">
            <v xml:space="preserve"> CR 10 15 87 BRR CENTRO</v>
          </cell>
          <cell r="K4448" t="str">
            <v>15001</v>
          </cell>
          <cell r="L4448" t="str">
            <v>TUNJA</v>
          </cell>
          <cell r="M4448" t="str">
            <v>7405000</v>
          </cell>
        </row>
        <row r="4449">
          <cell r="A4449">
            <v>891800330</v>
          </cell>
          <cell r="B4449" t="str">
            <v>1</v>
          </cell>
          <cell r="C4449" t="str">
            <v>27615000</v>
          </cell>
          <cell r="D4449" t="str">
            <v>NJ</v>
          </cell>
          <cell r="E4449" t="str">
            <v/>
          </cell>
          <cell r="F4449" t="str">
            <v/>
          </cell>
          <cell r="G4449" t="str">
            <v>UNIVERSIDAD PEDAGÓGICA Y TECNOLÓGICA DE COLOMBIA</v>
          </cell>
          <cell r="H4449" t="str">
            <v>GRCO</v>
          </cell>
          <cell r="I4449" t="str">
            <v>GRAN CONTRIBUYENTE</v>
          </cell>
          <cell r="J4449" t="str">
            <v>CR 6 39 115  AV CENTRAL DEL NORTE</v>
          </cell>
          <cell r="K4449" t="str">
            <v>15001</v>
          </cell>
          <cell r="L4449" t="str">
            <v>TUNJA</v>
          </cell>
          <cell r="M4449" t="str">
            <v>7405626</v>
          </cell>
        </row>
        <row r="4450">
          <cell r="A4450">
            <v>891800332</v>
          </cell>
          <cell r="B4450" t="str">
            <v>6</v>
          </cell>
          <cell r="C4450" t="str">
            <v/>
          </cell>
          <cell r="D4450" t="str">
            <v>NJ</v>
          </cell>
          <cell r="E4450" t="str">
            <v/>
          </cell>
          <cell r="F4450" t="str">
            <v/>
          </cell>
          <cell r="G4450" t="str">
            <v>COOPERATIVA MINERA BOYACENSE</v>
          </cell>
          <cell r="H4450" t="str">
            <v>RECO</v>
          </cell>
          <cell r="I4450" t="str">
            <v>REGIMEN COMUN</v>
          </cell>
          <cell r="J4450" t="str">
            <v xml:space="preserve"> CR 11  14 62 P 2</v>
          </cell>
          <cell r="K4450" t="str">
            <v>15759</v>
          </cell>
          <cell r="L4450" t="str">
            <v>SOGAMOSO</v>
          </cell>
          <cell r="M4450" t="str">
            <v>702300</v>
          </cell>
        </row>
        <row r="4451">
          <cell r="A4451">
            <v>891800498</v>
          </cell>
          <cell r="B4451" t="str">
            <v>1</v>
          </cell>
          <cell r="C4451" t="str">
            <v>111515000</v>
          </cell>
          <cell r="D4451" t="str">
            <v>NJ</v>
          </cell>
          <cell r="E4451" t="str">
            <v/>
          </cell>
          <cell r="F4451" t="str">
            <v/>
          </cell>
          <cell r="G4451" t="str">
            <v xml:space="preserve">DEPARTAMENTO DE BOYACA                                      </v>
          </cell>
          <cell r="H4451" t="str">
            <v>IMVE</v>
          </cell>
          <cell r="I4451" t="str">
            <v>IMPUESTO SOBRE LAS VENTAS</v>
          </cell>
          <cell r="J4451" t="str">
            <v>CL 20 9 90 SEC CENTRO</v>
          </cell>
          <cell r="K4451" t="str">
            <v>15001</v>
          </cell>
          <cell r="L4451" t="str">
            <v>TUNJA</v>
          </cell>
          <cell r="M4451" t="str">
            <v>7404686</v>
          </cell>
        </row>
        <row r="4452">
          <cell r="A4452">
            <v>891800881</v>
          </cell>
          <cell r="B4452" t="str">
            <v>8</v>
          </cell>
          <cell r="C4452" t="str">
            <v/>
          </cell>
          <cell r="D4452" t="str">
            <v>NJ</v>
          </cell>
          <cell r="E4452" t="str">
            <v/>
          </cell>
          <cell r="F4452" t="str">
            <v/>
          </cell>
          <cell r="G4452" t="str">
            <v>ORGANIZACION COOPERATIVA COOPTEBOY</v>
          </cell>
          <cell r="H4452" t="str">
            <v>IMVE</v>
          </cell>
          <cell r="I4452" t="str">
            <v>IMPUESTO SOBRE LAS VENTAS</v>
          </cell>
          <cell r="J4452" t="str">
            <v>CALLE 17  10 26 BRR CENTRO</v>
          </cell>
          <cell r="K4452" t="str">
            <v>15001</v>
          </cell>
          <cell r="L4452" t="str">
            <v>TUNJA</v>
          </cell>
          <cell r="M4452" t="str">
            <v>3142953294</v>
          </cell>
        </row>
        <row r="4453">
          <cell r="A4453">
            <v>891801069</v>
          </cell>
          <cell r="B4453" t="str">
            <v>8</v>
          </cell>
          <cell r="C4453" t="str">
            <v>124715000</v>
          </cell>
          <cell r="D4453" t="str">
            <v>NJ</v>
          </cell>
          <cell r="E4453" t="str">
            <v/>
          </cell>
          <cell r="F4453" t="str">
            <v/>
          </cell>
          <cell r="G4453" t="str">
            <v>INSTITUTO DE TRANSITO DE BOYACA ITBOY</v>
          </cell>
          <cell r="H4453" t="str">
            <v>COIM</v>
          </cell>
          <cell r="I4453" t="str">
            <v>CONTROL DE IMPUESTOS</v>
          </cell>
          <cell r="J4453" t="str">
            <v>CR 2 72 43 BRR SUAMOX</v>
          </cell>
          <cell r="K4453" t="str">
            <v>15001</v>
          </cell>
          <cell r="L4453" t="str">
            <v>TUNJA</v>
          </cell>
          <cell r="M4453" t="str">
            <v>7450909</v>
          </cell>
        </row>
        <row r="4454">
          <cell r="A4454">
            <v>891801101</v>
          </cell>
          <cell r="B4454" t="str">
            <v>6</v>
          </cell>
          <cell r="C4454" t="str">
            <v/>
          </cell>
          <cell r="D4454" t="str">
            <v>NJ</v>
          </cell>
          <cell r="E4454" t="str">
            <v/>
          </cell>
          <cell r="F4454" t="str">
            <v/>
          </cell>
          <cell r="G4454" t="str">
            <v>UNIVERSIDAD DE BOYACA</v>
          </cell>
          <cell r="H4454" t="str">
            <v>REIC</v>
          </cell>
          <cell r="I4454" t="str">
            <v>RENTA REGIMEN ESPECIAL</v>
          </cell>
          <cell r="J4454" t="str">
            <v>CR 2  64  169</v>
          </cell>
          <cell r="K4454" t="str">
            <v>15001</v>
          </cell>
          <cell r="L4454" t="str">
            <v>TUNJA</v>
          </cell>
          <cell r="M4454" t="str">
            <v>3164782326</v>
          </cell>
        </row>
        <row r="4455">
          <cell r="A4455">
            <v>891801204</v>
          </cell>
          <cell r="B4455" t="str">
            <v>6</v>
          </cell>
          <cell r="C4455" t="str">
            <v/>
          </cell>
          <cell r="D4455" t="str">
            <v>NJ</v>
          </cell>
          <cell r="E4455" t="str">
            <v/>
          </cell>
          <cell r="F4455" t="str">
            <v/>
          </cell>
          <cell r="G4455" t="str">
            <v>MUNICIPIO DE PAIPA</v>
          </cell>
          <cell r="H4455" t="str">
            <v>RECO</v>
          </cell>
          <cell r="I4455" t="str">
            <v>REGIMEN COMUN</v>
          </cell>
          <cell r="J4455" t="str">
            <v>MCP DE PAIPA</v>
          </cell>
          <cell r="K4455" t="str">
            <v>15516</v>
          </cell>
          <cell r="L4455" t="str">
            <v>PAIPA</v>
          </cell>
          <cell r="M4455" t="str">
            <v>7850131</v>
          </cell>
        </row>
        <row r="4456">
          <cell r="A4456">
            <v>891801240</v>
          </cell>
          <cell r="B4456" t="str">
            <v>1</v>
          </cell>
          <cell r="C4456" t="str">
            <v>211615516</v>
          </cell>
          <cell r="D4456" t="str">
            <v>NJ</v>
          </cell>
          <cell r="E4456" t="str">
            <v/>
          </cell>
          <cell r="F4456" t="str">
            <v/>
          </cell>
          <cell r="G4456" t="str">
            <v>MUNICIPIO DE PAIPA</v>
          </cell>
          <cell r="H4456" t="str">
            <v>COIM</v>
          </cell>
          <cell r="I4456" t="str">
            <v>CONTROL DE IMPUESTOS</v>
          </cell>
          <cell r="J4456" t="str">
            <v>MCP PAIPA</v>
          </cell>
          <cell r="K4456" t="str">
            <v>15516</v>
          </cell>
          <cell r="L4456" t="str">
            <v>PAIPA</v>
          </cell>
          <cell r="M4456" t="str">
            <v>7850131</v>
          </cell>
        </row>
        <row r="4457">
          <cell r="A4457">
            <v>891801450</v>
          </cell>
          <cell r="B4457" t="str">
            <v>1</v>
          </cell>
          <cell r="C4457" t="str">
            <v/>
          </cell>
          <cell r="D4457" t="str">
            <v>NJ</v>
          </cell>
          <cell r="E4457" t="str">
            <v/>
          </cell>
          <cell r="F4457" t="str">
            <v/>
          </cell>
          <cell r="G4457" t="str">
            <v>TRANSPORTES LOS MUISCAS S.A</v>
          </cell>
          <cell r="H4457" t="str">
            <v>RESI</v>
          </cell>
          <cell r="I4457" t="str">
            <v>REGIMEN SIMPLIFICADO</v>
          </cell>
          <cell r="J4457" t="str">
            <v xml:space="preserve"> TERMINAL DE TRANSPORTES DE TUNJA</v>
          </cell>
          <cell r="K4457" t="str">
            <v>17001</v>
          </cell>
          <cell r="L4457" t="str">
            <v>MANIZALES</v>
          </cell>
          <cell r="M4457" t="str">
            <v>7444623</v>
          </cell>
        </row>
        <row r="4458">
          <cell r="A4458">
            <v>891801659</v>
          </cell>
          <cell r="B4458" t="str">
            <v>3</v>
          </cell>
          <cell r="C4458" t="str">
            <v/>
          </cell>
          <cell r="D4458" t="str">
            <v>NJ</v>
          </cell>
          <cell r="E4458" t="str">
            <v/>
          </cell>
          <cell r="F4458" t="str">
            <v/>
          </cell>
          <cell r="G4458" t="str">
            <v xml:space="preserve">COOAGROMIN PAIPA LTDA                                       </v>
          </cell>
          <cell r="H4458" t="str">
            <v>IMVE</v>
          </cell>
          <cell r="I4458" t="str">
            <v>IMPUESTO SOBRE LAS VENTAS</v>
          </cell>
          <cell r="J4458" t="str">
            <v>CL 21   23 28</v>
          </cell>
          <cell r="K4458" t="str">
            <v>15516</v>
          </cell>
          <cell r="L4458" t="str">
            <v>PAIPA</v>
          </cell>
          <cell r="M4458" t="str">
            <v>3156486111</v>
          </cell>
        </row>
        <row r="4459">
          <cell r="A4459">
            <v>891802033</v>
          </cell>
          <cell r="B4459" t="str">
            <v>8</v>
          </cell>
          <cell r="C4459" t="str">
            <v/>
          </cell>
          <cell r="D4459" t="str">
            <v>NJ</v>
          </cell>
          <cell r="E4459" t="str">
            <v/>
          </cell>
          <cell r="F4459" t="str">
            <v/>
          </cell>
          <cell r="G4459" t="str">
            <v xml:space="preserve">CARBONES DE BOYACA S.A.                                     </v>
          </cell>
          <cell r="H4459" t="str">
            <v>RECO</v>
          </cell>
          <cell r="I4459" t="str">
            <v>REGIMEN COMUN</v>
          </cell>
          <cell r="J4459" t="str">
            <v>CR 11   21-90 OF 316</v>
          </cell>
          <cell r="K4459" t="str">
            <v>15759</v>
          </cell>
          <cell r="L4459" t="str">
            <v>SOGAMOSO</v>
          </cell>
          <cell r="M4459" t="str">
            <v>7727004</v>
          </cell>
        </row>
        <row r="4460">
          <cell r="A4460">
            <v>891855017</v>
          </cell>
          <cell r="B4460" t="str">
            <v>7</v>
          </cell>
          <cell r="C4460" t="str">
            <v>210185001</v>
          </cell>
          <cell r="D4460" t="str">
            <v>NJ</v>
          </cell>
          <cell r="E4460" t="str">
            <v/>
          </cell>
          <cell r="F4460" t="str">
            <v/>
          </cell>
          <cell r="G4460" t="str">
            <v>MUNICIPIO DE YOPAL</v>
          </cell>
          <cell r="H4460" t="str">
            <v>COIM</v>
          </cell>
          <cell r="I4460" t="str">
            <v>CONTROL DE IMPUESTOS</v>
          </cell>
          <cell r="J4460" t="str">
            <v>DG 15 15 21</v>
          </cell>
          <cell r="K4460" t="str">
            <v>85001</v>
          </cell>
          <cell r="L4460" t="str">
            <v>YOPAL</v>
          </cell>
          <cell r="M4460" t="str">
            <v>6341117</v>
          </cell>
        </row>
        <row r="4461">
          <cell r="A4461">
            <v>891855025</v>
          </cell>
          <cell r="B4461" t="str">
            <v>6</v>
          </cell>
          <cell r="C4461" t="str">
            <v/>
          </cell>
          <cell r="D4461" t="str">
            <v>NJ</v>
          </cell>
          <cell r="E4461" t="str">
            <v/>
          </cell>
          <cell r="F4461" t="str">
            <v/>
          </cell>
          <cell r="G4461" t="str">
            <v>CAMARA DE COMERCIO DUITAMA</v>
          </cell>
          <cell r="H4461" t="str">
            <v>RECO</v>
          </cell>
          <cell r="I4461" t="str">
            <v>REGIMEN COMUN</v>
          </cell>
          <cell r="J4461" t="str">
            <v>TV 19   23   141</v>
          </cell>
          <cell r="K4461" t="str">
            <v>15238</v>
          </cell>
          <cell r="L4461" t="str">
            <v>DUITAMA</v>
          </cell>
          <cell r="M4461" t="str">
            <v>7602596</v>
          </cell>
        </row>
        <row r="4462">
          <cell r="A4462">
            <v>891855092</v>
          </cell>
          <cell r="B4462" t="str">
            <v>1</v>
          </cell>
          <cell r="C4462" t="str">
            <v/>
          </cell>
          <cell r="D4462" t="str">
            <v>NJ</v>
          </cell>
          <cell r="E4462" t="str">
            <v/>
          </cell>
          <cell r="F4462" t="str">
            <v/>
          </cell>
          <cell r="G4462" t="str">
            <v>CUERPO DE BOMBEROS VOLUNTARIOS DE SOGAMOSO</v>
          </cell>
          <cell r="H4462" t="str">
            <v>RECO</v>
          </cell>
          <cell r="I4462" t="str">
            <v>REGIMEN COMUN</v>
          </cell>
          <cell r="J4462" t="str">
            <v>CR 14 8 21</v>
          </cell>
          <cell r="K4462" t="str">
            <v>15759</v>
          </cell>
          <cell r="L4462" t="str">
            <v>SOGAMOSO</v>
          </cell>
          <cell r="M4462" t="str">
            <v>3132959348</v>
          </cell>
        </row>
        <row r="4463">
          <cell r="A4463">
            <v>891855130</v>
          </cell>
          <cell r="B4463" t="str">
            <v>1</v>
          </cell>
          <cell r="C4463" t="str">
            <v>215915759</v>
          </cell>
          <cell r="D4463" t="str">
            <v>NJ</v>
          </cell>
          <cell r="E4463" t="str">
            <v/>
          </cell>
          <cell r="F4463" t="str">
            <v/>
          </cell>
          <cell r="G4463" t="str">
            <v>MUNICIPIO DE SOGAMOSO</v>
          </cell>
          <cell r="H4463" t="str">
            <v>RECO</v>
          </cell>
          <cell r="I4463" t="str">
            <v>REGIMEN COMUN</v>
          </cell>
          <cell r="J4463" t="str">
            <v>ED CENTRO ADMINISTRATIVO</v>
          </cell>
          <cell r="K4463" t="str">
            <v>15759</v>
          </cell>
          <cell r="L4463" t="str">
            <v>SOGAMOSO</v>
          </cell>
          <cell r="M4463" t="str">
            <v>7702040</v>
          </cell>
        </row>
        <row r="4464">
          <cell r="A4464">
            <v>891855193</v>
          </cell>
          <cell r="B4464" t="str">
            <v>5</v>
          </cell>
          <cell r="C4464" t="str">
            <v/>
          </cell>
          <cell r="D4464" t="str">
            <v>NJ</v>
          </cell>
          <cell r="E4464" t="str">
            <v/>
          </cell>
          <cell r="F4464" t="str">
            <v/>
          </cell>
          <cell r="G4464" t="str">
            <v>BENEMERITO CUERPO DE BOMBEROS VOLUNTARIOS DE DUITAMA</v>
          </cell>
          <cell r="H4464" t="str">
            <v>IMVE</v>
          </cell>
          <cell r="I4464" t="str">
            <v>IMPUESTO SOBRE LAS VENTAS</v>
          </cell>
          <cell r="J4464" t="str">
            <v>CR 15  10 51</v>
          </cell>
          <cell r="K4464" t="str">
            <v>15238</v>
          </cell>
          <cell r="L4464" t="str">
            <v>DUITAMA</v>
          </cell>
          <cell r="M4464" t="str">
            <v>7604111</v>
          </cell>
        </row>
        <row r="4465">
          <cell r="A4465">
            <v>891855534</v>
          </cell>
          <cell r="B4465" t="str">
            <v>3</v>
          </cell>
          <cell r="C4465" t="str">
            <v/>
          </cell>
          <cell r="D4465" t="str">
            <v>NJ</v>
          </cell>
          <cell r="E4465" t="str">
            <v/>
          </cell>
          <cell r="F4465" t="str">
            <v/>
          </cell>
          <cell r="G4465" t="str">
            <v>COOPERATIVA CASANAREÑA DE TRANSPORTADORES LTDA</v>
          </cell>
          <cell r="H4465" t="str">
            <v>REIC</v>
          </cell>
          <cell r="I4465" t="str">
            <v>RENTA REGIMEN ESPECIAL</v>
          </cell>
          <cell r="J4465" t="str">
            <v>CL 24   20   08 ESQ</v>
          </cell>
          <cell r="K4465" t="str">
            <v>85001</v>
          </cell>
          <cell r="L4465" t="str">
            <v>YOPAL</v>
          </cell>
          <cell r="M4465" t="str">
            <v>6358312</v>
          </cell>
        </row>
        <row r="4466">
          <cell r="A4466">
            <v>891855753</v>
          </cell>
          <cell r="B4466" t="str">
            <v>1</v>
          </cell>
          <cell r="C4466" t="str">
            <v/>
          </cell>
          <cell r="D4466" t="str">
            <v>NJ</v>
          </cell>
          <cell r="E4466" t="str">
            <v/>
          </cell>
          <cell r="F4466" t="str">
            <v/>
          </cell>
          <cell r="G4466" t="str">
            <v>FERRETERIA EL COMPETIDOR LTDA</v>
          </cell>
          <cell r="H4466" t="str">
            <v>RECO</v>
          </cell>
          <cell r="I4466" t="str">
            <v>REGIMEN COMUN</v>
          </cell>
          <cell r="J4466" t="str">
            <v>CL 13 18 56</v>
          </cell>
          <cell r="K4466" t="str">
            <v>15238</v>
          </cell>
          <cell r="L4466" t="str">
            <v>DUITAMA</v>
          </cell>
          <cell r="M4466" t="str">
            <v>7603921</v>
          </cell>
        </row>
        <row r="4467">
          <cell r="A4467">
            <v>891855859</v>
          </cell>
          <cell r="B4467" t="str">
            <v>1</v>
          </cell>
          <cell r="C4467" t="str">
            <v/>
          </cell>
          <cell r="D4467" t="str">
            <v>NJ</v>
          </cell>
          <cell r="E4467" t="str">
            <v/>
          </cell>
          <cell r="F4467" t="str">
            <v/>
          </cell>
          <cell r="G4467" t="str">
            <v>INVERSIONES Y PROMOCIONES S.A.S</v>
          </cell>
          <cell r="H4467" t="str">
            <v>RECO</v>
          </cell>
          <cell r="I4467" t="str">
            <v>REGIMEN COMUN</v>
          </cell>
          <cell r="J4467" t="str">
            <v>CR 18 10 21</v>
          </cell>
          <cell r="K4467" t="str">
            <v>15238</v>
          </cell>
          <cell r="L4467" t="str">
            <v>DUITAMA</v>
          </cell>
          <cell r="M4467" t="str">
            <v>7623008</v>
          </cell>
        </row>
        <row r="4468">
          <cell r="A4468">
            <v>891856000</v>
          </cell>
          <cell r="B4468" t="str">
            <v>7</v>
          </cell>
          <cell r="C4468" t="str">
            <v>175285000</v>
          </cell>
          <cell r="D4468" t="str">
            <v>NJ</v>
          </cell>
          <cell r="E4468" t="str">
            <v/>
          </cell>
          <cell r="F4468" t="str">
            <v/>
          </cell>
          <cell r="G4468" t="str">
            <v>CAPRESOCA</v>
          </cell>
          <cell r="H4468" t="str">
            <v>GRCO</v>
          </cell>
          <cell r="I4468" t="str">
            <v>GRAN CONTRIBUYENTE</v>
          </cell>
          <cell r="J4468" t="str">
            <v>CL 07   19   34</v>
          </cell>
          <cell r="K4468" t="str">
            <v>85001</v>
          </cell>
          <cell r="L4468" t="str">
            <v>YOPAL</v>
          </cell>
          <cell r="M4468" t="str">
            <v>6558162</v>
          </cell>
        </row>
        <row r="4469">
          <cell r="A4469">
            <v>891856065</v>
          </cell>
          <cell r="B4469" t="str">
            <v>5</v>
          </cell>
          <cell r="C4469" t="str">
            <v/>
          </cell>
          <cell r="D4469" t="str">
            <v>NJ</v>
          </cell>
          <cell r="E4469" t="str">
            <v/>
          </cell>
          <cell r="F4469" t="str">
            <v/>
          </cell>
          <cell r="G4469" t="str">
            <v>COOPERATIVA INDUSTRIAL DE BOYACA LTDA</v>
          </cell>
          <cell r="H4469" t="str">
            <v>ENSA</v>
          </cell>
          <cell r="I4469" t="str">
            <v>ENTIDADES SIN ANIMO DE LUCRO</v>
          </cell>
          <cell r="J4469" t="str">
            <v>AUT BOGOTA KM 188 CIUDADELA</v>
          </cell>
          <cell r="K4469" t="str">
            <v>15238</v>
          </cell>
          <cell r="L4469" t="str">
            <v>DUITAMA</v>
          </cell>
          <cell r="M4469" t="str">
            <v>7638287</v>
          </cell>
        </row>
        <row r="4470">
          <cell r="A4470">
            <v>891856289</v>
          </cell>
          <cell r="B4470" t="str">
            <v>8</v>
          </cell>
          <cell r="C4470" t="str">
            <v/>
          </cell>
          <cell r="D4470" t="str">
            <v>NJ</v>
          </cell>
          <cell r="E4470" t="str">
            <v/>
          </cell>
          <cell r="F4470" t="str">
            <v/>
          </cell>
          <cell r="G4470" t="str">
            <v>COOPERATIVA INTEGRAL CARBONIFERA BOYACENSE LTDA</v>
          </cell>
          <cell r="H4470" t="str">
            <v>IMVE</v>
          </cell>
          <cell r="I4470" t="str">
            <v>IMPUESTO SOBRE LAS VENTAS</v>
          </cell>
          <cell r="J4470" t="str">
            <v>DG 59  5 18</v>
          </cell>
          <cell r="K4470" t="str">
            <v>15759</v>
          </cell>
          <cell r="L4470" t="str">
            <v>SOGAMOSO</v>
          </cell>
          <cell r="M4470" t="str">
            <v>6087736590</v>
          </cell>
        </row>
        <row r="4471">
          <cell r="A4471">
            <v>891856421</v>
          </cell>
          <cell r="B4471" t="str">
            <v>4</v>
          </cell>
          <cell r="C4471" t="str">
            <v/>
          </cell>
          <cell r="D4471" t="str">
            <v>NJ</v>
          </cell>
          <cell r="E4471" t="str">
            <v/>
          </cell>
          <cell r="F4471" t="str">
            <v/>
          </cell>
          <cell r="G4471" t="str">
            <v xml:space="preserve"> COOPERATIVA DE PRODUCTORES DE CARBON DE LA PROVINCIA DE SUGAMUX</v>
          </cell>
          <cell r="H4471" t="str">
            <v>REIC</v>
          </cell>
          <cell r="I4471" t="str">
            <v>RENTA REGIMEN ESPECIAL</v>
          </cell>
          <cell r="J4471" t="str">
            <v>CEN CL 4 4 A 35</v>
          </cell>
          <cell r="K4471" t="str">
            <v>15296</v>
          </cell>
          <cell r="L4471" t="str">
            <v>GAMEZA</v>
          </cell>
          <cell r="M4471" t="str">
            <v>778170</v>
          </cell>
        </row>
        <row r="4472">
          <cell r="A4472">
            <v>891856507</v>
          </cell>
          <cell r="B4472" t="str">
            <v>9</v>
          </cell>
          <cell r="C4472" t="str">
            <v/>
          </cell>
          <cell r="D4472" t="str">
            <v>NJ</v>
          </cell>
          <cell r="E4472" t="str">
            <v/>
          </cell>
          <cell r="F4472" t="str">
            <v/>
          </cell>
          <cell r="G4472" t="str">
            <v>SOCIEDAD CLINICA BOYACA LTDA</v>
          </cell>
          <cell r="H4472" t="str">
            <v>IMVE</v>
          </cell>
          <cell r="I4472" t="str">
            <v>IMPUESTO SOBRE LAS VENTAS</v>
          </cell>
          <cell r="J4472" t="str">
            <v>TV 29 9C 41</v>
          </cell>
          <cell r="K4472" t="str">
            <v>15238</v>
          </cell>
          <cell r="L4472" t="str">
            <v>DUITAMA</v>
          </cell>
          <cell r="M4472" t="str">
            <v>7604756</v>
          </cell>
        </row>
        <row r="4473">
          <cell r="A4473">
            <v>891856529</v>
          </cell>
          <cell r="B4473" t="str">
            <v>0</v>
          </cell>
          <cell r="C4473" t="str">
            <v/>
          </cell>
          <cell r="D4473" t="str">
            <v>NJ</v>
          </cell>
          <cell r="E4473" t="str">
            <v/>
          </cell>
          <cell r="F4473" t="str">
            <v/>
          </cell>
          <cell r="G4473" t="str">
            <v>ELECTRICOS INDUSTRILES SAS</v>
          </cell>
          <cell r="H4473" t="str">
            <v>RECO</v>
          </cell>
          <cell r="I4473" t="str">
            <v>REGIMEN COMUN</v>
          </cell>
          <cell r="J4473" t="str">
            <v>CR 21 20 30</v>
          </cell>
          <cell r="K4473" t="str">
            <v>15238</v>
          </cell>
          <cell r="L4473" t="str">
            <v>DUITAMA</v>
          </cell>
          <cell r="M4473" t="str">
            <v>7603157</v>
          </cell>
        </row>
        <row r="4474">
          <cell r="A4474">
            <v>891856576</v>
          </cell>
          <cell r="B4474" t="str">
            <v>7</v>
          </cell>
          <cell r="C4474" t="str">
            <v/>
          </cell>
          <cell r="D4474" t="str">
            <v>NJ</v>
          </cell>
          <cell r="E4474" t="str">
            <v/>
          </cell>
          <cell r="F4474" t="str">
            <v/>
          </cell>
          <cell r="G4474" t="str">
            <v>Tigof Y Cia Lta Ingenieros Contratistas</v>
          </cell>
          <cell r="H4474" t="str">
            <v>IMVE</v>
          </cell>
          <cell r="I4474" t="str">
            <v>IMPUESTO SOBRE LAS VENTAS</v>
          </cell>
          <cell r="J4474" t="str">
            <v>CL 90 14 26 OF 202</v>
          </cell>
          <cell r="K4474" t="str">
            <v>17001</v>
          </cell>
          <cell r="L4474" t="str">
            <v>MANIZALES</v>
          </cell>
          <cell r="M4474" t="str">
            <v>9 2 6 1 8 9 7</v>
          </cell>
        </row>
        <row r="4475">
          <cell r="A4475">
            <v>891857724</v>
          </cell>
          <cell r="B4475" t="str">
            <v>5</v>
          </cell>
          <cell r="C4475" t="str">
            <v/>
          </cell>
          <cell r="D4475" t="str">
            <v>NJ</v>
          </cell>
          <cell r="E4475" t="str">
            <v/>
          </cell>
          <cell r="F4475" t="str">
            <v/>
          </cell>
          <cell r="G4475" t="str">
            <v>UNIDROGAS LTDA</v>
          </cell>
          <cell r="H4475" t="str">
            <v>GRAU</v>
          </cell>
          <cell r="I4475" t="str">
            <v>GRAN CONTRIBUYENTE AUTORRETENEDO</v>
          </cell>
          <cell r="J4475" t="str">
            <v>CL 15 18 08</v>
          </cell>
          <cell r="K4475" t="str">
            <v>15238</v>
          </cell>
          <cell r="L4475" t="str">
            <v>DUITAMA</v>
          </cell>
          <cell r="M4475" t="str">
            <v>7630770</v>
          </cell>
        </row>
        <row r="4476">
          <cell r="A4476">
            <v>891857808</v>
          </cell>
          <cell r="B4476" t="str">
            <v>5</v>
          </cell>
          <cell r="C4476" t="str">
            <v/>
          </cell>
          <cell r="D4476" t="str">
            <v>NJ</v>
          </cell>
          <cell r="E4476" t="str">
            <v/>
          </cell>
          <cell r="F4476" t="str">
            <v/>
          </cell>
          <cell r="G4476" t="str">
            <v xml:space="preserve">COOP.INT.MIN.PROD.CARB TOPAGA                               </v>
          </cell>
          <cell r="H4476" t="str">
            <v>RECO</v>
          </cell>
          <cell r="I4476" t="str">
            <v>REGIMEN COMUN</v>
          </cell>
          <cell r="J4476" t="str">
            <v>DIAG 2 N 3 10</v>
          </cell>
          <cell r="K4476" t="str">
            <v>15820</v>
          </cell>
          <cell r="L4476" t="str">
            <v>TÓPAGA</v>
          </cell>
          <cell r="M4476" t="str">
            <v>7797006</v>
          </cell>
        </row>
        <row r="4477">
          <cell r="A4477">
            <v>891857823</v>
          </cell>
          <cell r="B4477" t="str">
            <v>6</v>
          </cell>
          <cell r="C4477" t="str">
            <v>210085300</v>
          </cell>
          <cell r="D4477" t="str">
            <v>NJ</v>
          </cell>
          <cell r="E4477" t="str">
            <v/>
          </cell>
          <cell r="F4477" t="str">
            <v/>
          </cell>
          <cell r="G4477" t="str">
            <v>MUNICIPIO DE SABANALARGA</v>
          </cell>
          <cell r="H4477" t="str">
            <v>COIM</v>
          </cell>
          <cell r="I4477" t="str">
            <v>CONTROL DE IMPUESTOS</v>
          </cell>
          <cell r="J4477" t="str">
            <v>CR 7   5-29</v>
          </cell>
          <cell r="K4477" t="str">
            <v>05628</v>
          </cell>
          <cell r="L4477" t="str">
            <v>SABANALARGA</v>
          </cell>
          <cell r="M4477" t="str">
            <v>6245006</v>
          </cell>
        </row>
        <row r="4478">
          <cell r="A4478">
            <v>891857861</v>
          </cell>
          <cell r="B4478" t="str">
            <v>6</v>
          </cell>
          <cell r="C4478" t="str">
            <v>213085430</v>
          </cell>
          <cell r="D4478" t="str">
            <v>NJ</v>
          </cell>
          <cell r="E4478" t="str">
            <v/>
          </cell>
          <cell r="F4478" t="str">
            <v/>
          </cell>
          <cell r="G4478" t="str">
            <v>MUNICIPIO DE TRINIDAD</v>
          </cell>
          <cell r="H4478" t="str">
            <v>COIM</v>
          </cell>
          <cell r="I4478" t="str">
            <v>CONTROL DE IMPUESTOS</v>
          </cell>
          <cell r="J4478" t="str">
            <v>CR 4   5   36</v>
          </cell>
          <cell r="K4478" t="str">
            <v>85430</v>
          </cell>
          <cell r="L4478" t="str">
            <v>TRINIDAD</v>
          </cell>
          <cell r="M4478" t="str">
            <v>6371004</v>
          </cell>
        </row>
        <row r="4479">
          <cell r="A4479">
            <v>891903403</v>
          </cell>
          <cell r="B4479" t="str">
            <v>3</v>
          </cell>
          <cell r="C4479" t="str">
            <v/>
          </cell>
          <cell r="D4479" t="str">
            <v>NJ</v>
          </cell>
          <cell r="E4479" t="str">
            <v/>
          </cell>
          <cell r="F4479" t="str">
            <v/>
          </cell>
          <cell r="G4479" t="str">
            <v>MAZCO BOGOTA SAS</v>
          </cell>
          <cell r="H4479" t="str">
            <v>GRAU</v>
          </cell>
          <cell r="I4479" t="str">
            <v>GRAN CONTRIBUYENTE AUTORRETENEDO</v>
          </cell>
          <cell r="J4479" t="str">
            <v>AK 70 95 15</v>
          </cell>
          <cell r="K4479" t="str">
            <v>11001</v>
          </cell>
          <cell r="L4479" t="str">
            <v>BOGOTA DC</v>
          </cell>
          <cell r="M4479" t="str">
            <v>6529666 EXT 136</v>
          </cell>
        </row>
        <row r="4480">
          <cell r="A4480">
            <v>891903664</v>
          </cell>
          <cell r="B4480" t="str">
            <v>9</v>
          </cell>
          <cell r="C4480" t="str">
            <v/>
          </cell>
          <cell r="D4480" t="str">
            <v>NJ</v>
          </cell>
          <cell r="E4480" t="str">
            <v/>
          </cell>
          <cell r="F4480" t="str">
            <v/>
          </cell>
          <cell r="G4480" t="str">
            <v>ELECTROINGENIERIA SAS</v>
          </cell>
          <cell r="H4480" t="str">
            <v>IMVE</v>
          </cell>
          <cell r="I4480" t="str">
            <v>IMPUESTO SOBRE LAS VENTAS</v>
          </cell>
          <cell r="J4480" t="str">
            <v>CR 23 25 57</v>
          </cell>
          <cell r="K4480" t="str">
            <v>76001</v>
          </cell>
          <cell r="L4480" t="str">
            <v>CALI</v>
          </cell>
          <cell r="M4480" t="str">
            <v>3187344191</v>
          </cell>
        </row>
        <row r="4481">
          <cell r="A4481">
            <v>892000113</v>
          </cell>
          <cell r="B4481" t="str">
            <v>0</v>
          </cell>
          <cell r="C4481" t="str">
            <v/>
          </cell>
          <cell r="D4481" t="str">
            <v>NJ</v>
          </cell>
          <cell r="E4481" t="str">
            <v/>
          </cell>
          <cell r="F4481" t="str">
            <v/>
          </cell>
          <cell r="G4481" t="str">
            <v>TAX META S.A</v>
          </cell>
          <cell r="H4481" t="str">
            <v>REOR</v>
          </cell>
          <cell r="I4481" t="str">
            <v>RENTA REGIMEN ORDINARIO</v>
          </cell>
          <cell r="J4481" t="str">
            <v>CL 38   32   41 OF 205</v>
          </cell>
          <cell r="K4481" t="str">
            <v>50001</v>
          </cell>
          <cell r="L4481" t="str">
            <v>VILLAVICENCIO</v>
          </cell>
          <cell r="M4481" t="str">
            <v>6626320</v>
          </cell>
        </row>
        <row r="4482">
          <cell r="A4482">
            <v>892000148</v>
          </cell>
          <cell r="B4482" t="str">
            <v>8</v>
          </cell>
          <cell r="C4482" t="str">
            <v>115050000</v>
          </cell>
          <cell r="D4482" t="str">
            <v>NJ</v>
          </cell>
          <cell r="E4482" t="str">
            <v/>
          </cell>
          <cell r="F4482" t="str">
            <v/>
          </cell>
          <cell r="G4482" t="str">
            <v>GOBERNACION DEL META</v>
          </cell>
          <cell r="H4482" t="str">
            <v>COIM</v>
          </cell>
          <cell r="I4482" t="str">
            <v>CONTROL DE IMPUESTOS</v>
          </cell>
          <cell r="J4482" t="str">
            <v>CR 33 38 45</v>
          </cell>
          <cell r="K4482" t="str">
            <v>17001</v>
          </cell>
          <cell r="L4482" t="str">
            <v>MANIZALES</v>
          </cell>
          <cell r="M4482" t="str">
            <v>386818500</v>
          </cell>
        </row>
        <row r="4483">
          <cell r="A4483">
            <v>892000482</v>
          </cell>
          <cell r="B4483" t="str">
            <v>3</v>
          </cell>
          <cell r="C4483" t="str">
            <v/>
          </cell>
          <cell r="D4483" t="str">
            <v>NJ</v>
          </cell>
          <cell r="E4483" t="str">
            <v/>
          </cell>
          <cell r="F4483" t="str">
            <v/>
          </cell>
          <cell r="G4483" t="str">
            <v>EMPRESA HOTELERA Y TURISTICA DEL LLANO LIMITADA HOTEL DEL LLANO</v>
          </cell>
          <cell r="H4483" t="str">
            <v>RECO</v>
          </cell>
          <cell r="I4483" t="str">
            <v>REGIMEN COMUN</v>
          </cell>
          <cell r="J4483" t="str">
            <v>CR 30 49 77 BRR CAUDAL</v>
          </cell>
          <cell r="K4483" t="str">
            <v>50001</v>
          </cell>
          <cell r="L4483" t="str">
            <v>VILLAVICENCIO</v>
          </cell>
          <cell r="M4483" t="str">
            <v>6717000</v>
          </cell>
        </row>
        <row r="4484">
          <cell r="A4484">
            <v>892000563</v>
          </cell>
          <cell r="B4484" t="str">
            <v>1</v>
          </cell>
          <cell r="C4484" t="str">
            <v>122350000</v>
          </cell>
          <cell r="D4484" t="str">
            <v>NJ</v>
          </cell>
          <cell r="E4484" t="str">
            <v/>
          </cell>
          <cell r="F4484" t="str">
            <v/>
          </cell>
          <cell r="G4484" t="str">
            <v>INSTITUTO DE TURISMO DEL META</v>
          </cell>
          <cell r="H4484" t="str">
            <v>COIM</v>
          </cell>
          <cell r="I4484" t="str">
            <v>CONTROL DE IMPUESTOS</v>
          </cell>
          <cell r="J4484" t="str">
            <v>CL 21 SUR AV CAMINO GANADERO KM 7 PAR LAS MALOCAS</v>
          </cell>
          <cell r="K4484" t="str">
            <v>50001</v>
          </cell>
          <cell r="L4484" t="str">
            <v>VILLAVICENCIO</v>
          </cell>
          <cell r="M4484" t="str">
            <v>3102084193</v>
          </cell>
        </row>
        <row r="4485">
          <cell r="A4485">
            <v>892000565</v>
          </cell>
          <cell r="B4485" t="str">
            <v>6</v>
          </cell>
          <cell r="C4485" t="str">
            <v/>
          </cell>
          <cell r="D4485" t="str">
            <v>NJ</v>
          </cell>
          <cell r="E4485" t="str">
            <v/>
          </cell>
          <cell r="F4485" t="str">
            <v/>
          </cell>
          <cell r="G4485" t="str">
            <v>TRANSPORTE AUTOLLANO S.A.</v>
          </cell>
          <cell r="H4485" t="str">
            <v>REOR</v>
          </cell>
          <cell r="I4485" t="str">
            <v>RENTA REGIMEN ORDINARIO</v>
          </cell>
          <cell r="J4485" t="str">
            <v>TER DE TRANSPORTE DE VILLAVICENCIO OF 207</v>
          </cell>
          <cell r="K4485" t="str">
            <v>50001</v>
          </cell>
          <cell r="L4485" t="str">
            <v>VILLAVICENCIO</v>
          </cell>
          <cell r="M4485" t="str">
            <v>6655515</v>
          </cell>
        </row>
        <row r="4486">
          <cell r="A4486">
            <v>892002210</v>
          </cell>
          <cell r="B4486" t="str">
            <v>6</v>
          </cell>
          <cell r="C4486" t="str">
            <v>38750000</v>
          </cell>
          <cell r="D4486" t="str">
            <v>NJ</v>
          </cell>
          <cell r="E4486" t="str">
            <v/>
          </cell>
          <cell r="F4486" t="str">
            <v/>
          </cell>
          <cell r="G4486" t="str">
            <v xml:space="preserve">ELECTRIFICADORA DEL META S.A E.S.P                          </v>
          </cell>
          <cell r="H4486" t="str">
            <v>GRCO</v>
          </cell>
          <cell r="I4486" t="str">
            <v>GRAN CONTRIBUYENTE</v>
          </cell>
          <cell r="J4486" t="str">
            <v>EDIFICIO BARZAL ALTO VÍA AZOTEA</v>
          </cell>
          <cell r="K4486" t="str">
            <v>50001</v>
          </cell>
          <cell r="L4486" t="str">
            <v>VILLAVICENCIO</v>
          </cell>
          <cell r="M4486" t="str">
            <v>6614000</v>
          </cell>
        </row>
        <row r="4487">
          <cell r="A4487">
            <v>892002427</v>
          </cell>
          <cell r="B4487" t="str">
            <v>7</v>
          </cell>
          <cell r="C4487" t="str">
            <v/>
          </cell>
          <cell r="D4487" t="str">
            <v>NJ</v>
          </cell>
          <cell r="E4487" t="str">
            <v/>
          </cell>
          <cell r="F4487" t="str">
            <v/>
          </cell>
          <cell r="G4487" t="str">
            <v>HOTEL DON LOLO LTDA</v>
          </cell>
          <cell r="H4487" t="str">
            <v>RECO</v>
          </cell>
          <cell r="I4487" t="str">
            <v>REGIMEN COMUN</v>
          </cell>
          <cell r="J4487" t="str">
            <v>CR 39-20 32 BRR CAMOA</v>
          </cell>
          <cell r="K4487" t="str">
            <v>50001</v>
          </cell>
          <cell r="L4487" t="str">
            <v>VILLAVICENCIO</v>
          </cell>
          <cell r="M4487" t="str">
            <v>6631824</v>
          </cell>
        </row>
        <row r="4488">
          <cell r="A4488">
            <v>892002708</v>
          </cell>
          <cell r="B4488" t="str">
            <v>1</v>
          </cell>
          <cell r="C4488" t="str">
            <v/>
          </cell>
          <cell r="D4488" t="str">
            <v>NJ</v>
          </cell>
          <cell r="E4488" t="str">
            <v/>
          </cell>
          <cell r="F4488" t="str">
            <v/>
          </cell>
          <cell r="G4488" t="str">
            <v>SOCIEDAD DE INGENIEROS CONTRATISTAS RAMO ELÉCTRICO S.A.S</v>
          </cell>
          <cell r="H4488" t="str">
            <v>IMVE</v>
          </cell>
          <cell r="I4488" t="str">
            <v>IMPUESTO SOBRE LAS VENTAS</v>
          </cell>
          <cell r="J4488" t="str">
            <v>CR  39 B  24 21</v>
          </cell>
          <cell r="K4488" t="str">
            <v>50001</v>
          </cell>
          <cell r="L4488" t="str">
            <v>VILLAVICENCIO</v>
          </cell>
          <cell r="M4488" t="str">
            <v>6849922</v>
          </cell>
        </row>
        <row r="4489">
          <cell r="A4489">
            <v>892002960</v>
          </cell>
          <cell r="B4489" t="str">
            <v>1</v>
          </cell>
          <cell r="C4489" t="str">
            <v/>
          </cell>
          <cell r="D4489" t="str">
            <v>NJ</v>
          </cell>
          <cell r="E4489" t="str">
            <v/>
          </cell>
          <cell r="F4489" t="str">
            <v/>
          </cell>
          <cell r="G4489" t="str">
            <v>TRANSPORTES MORICHAL S.A</v>
          </cell>
          <cell r="H4489" t="str">
            <v>REOR</v>
          </cell>
          <cell r="I4489" t="str">
            <v>RENTA REGIMEN ORDINARIO</v>
          </cell>
          <cell r="J4489" t="str">
            <v>CL 27 44 C 274 364 LC 4 CC VILLA CODEM</v>
          </cell>
          <cell r="K4489" t="str">
            <v>50001</v>
          </cell>
          <cell r="L4489" t="str">
            <v>VILLAVICENCIO</v>
          </cell>
          <cell r="M4489" t="str">
            <v>6460052</v>
          </cell>
        </row>
        <row r="4490">
          <cell r="A4490">
            <v>892099105</v>
          </cell>
          <cell r="B4490" t="str">
            <v>7</v>
          </cell>
          <cell r="C4490" t="str">
            <v>210194001</v>
          </cell>
          <cell r="D4490" t="str">
            <v>NJ</v>
          </cell>
          <cell r="E4490" t="str">
            <v/>
          </cell>
          <cell r="F4490" t="str">
            <v/>
          </cell>
          <cell r="G4490" t="str">
            <v xml:space="preserve">MUNICIPIO DE INIRIDA          </v>
          </cell>
          <cell r="H4490" t="str">
            <v>RECO</v>
          </cell>
          <cell r="I4490" t="str">
            <v>REGIMEN COMUN</v>
          </cell>
          <cell r="J4490" t="str">
            <v>CR 07   15   50</v>
          </cell>
          <cell r="K4490" t="str">
            <v>94001</v>
          </cell>
          <cell r="L4490" t="str">
            <v>INÍRIDA</v>
          </cell>
          <cell r="M4490" t="str">
            <v>5656065</v>
          </cell>
        </row>
        <row r="4491">
          <cell r="A4491">
            <v>892099173</v>
          </cell>
          <cell r="B4491" t="str">
            <v>8</v>
          </cell>
          <cell r="C4491" t="str">
            <v>211150711</v>
          </cell>
          <cell r="D4491" t="str">
            <v>NJ</v>
          </cell>
          <cell r="E4491" t="str">
            <v/>
          </cell>
          <cell r="F4491" t="str">
            <v/>
          </cell>
          <cell r="G4491" t="str">
            <v>MUNICIPIO DE VISTA HERMOSA</v>
          </cell>
          <cell r="H4491" t="str">
            <v>COIM</v>
          </cell>
          <cell r="I4491" t="str">
            <v>CONTROL DE IMPUESTOS</v>
          </cell>
          <cell r="J4491" t="str">
            <v>CR 13 9 9 BRR VISTA HERMOSA</v>
          </cell>
          <cell r="K4491" t="str">
            <v>50711</v>
          </cell>
          <cell r="L4491" t="str">
            <v>VISTAHERMOSA</v>
          </cell>
          <cell r="M4491" t="str">
            <v>6518127</v>
          </cell>
        </row>
        <row r="4492">
          <cell r="A4492">
            <v>892099216</v>
          </cell>
          <cell r="B4492" t="str">
            <v>6</v>
          </cell>
          <cell r="C4492" t="str">
            <v>118585000</v>
          </cell>
          <cell r="D4492" t="str">
            <v>NJ</v>
          </cell>
          <cell r="E4492" t="str">
            <v/>
          </cell>
          <cell r="F4492" t="str">
            <v/>
          </cell>
          <cell r="G4492" t="str">
            <v>GOBERNACION DE CASANARE</v>
          </cell>
          <cell r="H4492" t="str">
            <v>RENC</v>
          </cell>
          <cell r="I4492" t="str">
            <v>RENTA NO CONTRIBUYENTE</v>
          </cell>
          <cell r="J4492" t="str">
            <v>CR 19   6   100</v>
          </cell>
          <cell r="K4492" t="str">
            <v>85001</v>
          </cell>
          <cell r="L4492" t="str">
            <v>YOPAL</v>
          </cell>
          <cell r="M4492" t="str">
            <v>6358616</v>
          </cell>
        </row>
        <row r="4493">
          <cell r="A4493">
            <v>892099233</v>
          </cell>
          <cell r="B4493" t="str">
            <v>1</v>
          </cell>
          <cell r="C4493" t="str">
            <v>210197001</v>
          </cell>
          <cell r="D4493" t="str">
            <v>NJ</v>
          </cell>
          <cell r="E4493" t="str">
            <v/>
          </cell>
          <cell r="F4493" t="str">
            <v/>
          </cell>
          <cell r="G4493" t="str">
            <v xml:space="preserve">MUNICIPIO DE MITU             </v>
          </cell>
          <cell r="H4493" t="str">
            <v>COIM</v>
          </cell>
          <cell r="I4493" t="str">
            <v>CONTROL DE IMPUESTOS</v>
          </cell>
          <cell r="J4493" t="str">
            <v>CL 14 14 29</v>
          </cell>
          <cell r="K4493" t="str">
            <v>97001</v>
          </cell>
          <cell r="L4493" t="str">
            <v>MITÚ</v>
          </cell>
          <cell r="M4493" t="str">
            <v>564 20 72</v>
          </cell>
        </row>
        <row r="4494">
          <cell r="A4494">
            <v>892099234</v>
          </cell>
          <cell r="B4494" t="str">
            <v>9</v>
          </cell>
          <cell r="C4494" t="str">
            <v>215050350</v>
          </cell>
          <cell r="D4494" t="str">
            <v>NJ</v>
          </cell>
          <cell r="E4494" t="str">
            <v/>
          </cell>
          <cell r="F4494" t="str">
            <v/>
          </cell>
          <cell r="G4494" t="str">
            <v>MUNICIPIO DE LA MACARENA</v>
          </cell>
          <cell r="H4494" t="str">
            <v>COIM</v>
          </cell>
          <cell r="I4494" t="str">
            <v>CONTROL DE IMPUESTOS</v>
          </cell>
          <cell r="J4494" t="str">
            <v>CR 4 10-21</v>
          </cell>
          <cell r="K4494" t="str">
            <v>50350</v>
          </cell>
          <cell r="L4494" t="str">
            <v>LA MACARENA</v>
          </cell>
          <cell r="M4494" t="str">
            <v>5603209</v>
          </cell>
        </row>
        <row r="4495">
          <cell r="A4495">
            <v>892099305</v>
          </cell>
          <cell r="B4495" t="str">
            <v>3</v>
          </cell>
          <cell r="C4495" t="str">
            <v>210199001</v>
          </cell>
          <cell r="D4495" t="str">
            <v>NJ</v>
          </cell>
          <cell r="E4495" t="str">
            <v/>
          </cell>
          <cell r="F4495" t="str">
            <v/>
          </cell>
          <cell r="G4495" t="str">
            <v>MUNICIPIO DE PUERTO CARREÑO</v>
          </cell>
          <cell r="H4495" t="str">
            <v>COIM</v>
          </cell>
          <cell r="I4495" t="str">
            <v>CONTROL DE IMPUESTOS</v>
          </cell>
          <cell r="J4495" t="str">
            <v>CR 9 18 87 BRR EL CENTRO</v>
          </cell>
          <cell r="K4495" t="str">
            <v>99001</v>
          </cell>
          <cell r="L4495" t="str">
            <v>PUERTO CARREÑO</v>
          </cell>
          <cell r="M4495" t="str">
            <v>3112195114</v>
          </cell>
        </row>
        <row r="4496">
          <cell r="A4496">
            <v>892099324</v>
          </cell>
          <cell r="B4496" t="str">
            <v>3</v>
          </cell>
          <cell r="C4496" t="str">
            <v>210150001</v>
          </cell>
          <cell r="D4496" t="str">
            <v>NJ</v>
          </cell>
          <cell r="E4496" t="str">
            <v/>
          </cell>
          <cell r="F4496" t="str">
            <v/>
          </cell>
          <cell r="G4496" t="str">
            <v>MUNICIPIO DE VILLAVICENCIO</v>
          </cell>
          <cell r="H4496" t="str">
            <v>COIM</v>
          </cell>
          <cell r="I4496" t="str">
            <v>CONTROL DE IMPUESTOS</v>
          </cell>
          <cell r="J4496" t="str">
            <v>CLLE 40 33 64</v>
          </cell>
          <cell r="K4496" t="str">
            <v>50001</v>
          </cell>
          <cell r="L4496" t="str">
            <v>VILLAVICENCIO</v>
          </cell>
          <cell r="M4496" t="str">
            <v>6713228</v>
          </cell>
        </row>
        <row r="4497">
          <cell r="A4497">
            <v>892099421</v>
          </cell>
          <cell r="B4497" t="str">
            <v>1</v>
          </cell>
          <cell r="C4497" t="str">
            <v/>
          </cell>
          <cell r="D4497" t="str">
            <v>NJ</v>
          </cell>
          <cell r="E4497" t="str">
            <v/>
          </cell>
          <cell r="F4497" t="str">
            <v/>
          </cell>
          <cell r="G4497" t="str">
            <v>COOPERATIVA DE TRANSPORTADORES DE TAME</v>
          </cell>
          <cell r="H4497" t="str">
            <v>RECO</v>
          </cell>
          <cell r="I4497" t="str">
            <v>REGIMEN COMUN</v>
          </cell>
          <cell r="J4497" t="str">
            <v>CL 14 CR 13 ESQ</v>
          </cell>
          <cell r="K4497" t="str">
            <v>81794</v>
          </cell>
          <cell r="L4497" t="str">
            <v>TAME</v>
          </cell>
          <cell r="M4497" t="str">
            <v>8885316</v>
          </cell>
        </row>
        <row r="4498">
          <cell r="A4498">
            <v>892099499</v>
          </cell>
          <cell r="B4498" t="str">
            <v>3</v>
          </cell>
          <cell r="C4498" t="str">
            <v>130281000</v>
          </cell>
          <cell r="D4498" t="str">
            <v>NJ</v>
          </cell>
          <cell r="E4498" t="str">
            <v/>
          </cell>
          <cell r="F4498" t="str">
            <v/>
          </cell>
          <cell r="G4498" t="str">
            <v>EMPRESA DE ENERGÍA DE ARAUCA ESP.ENELAR E.S.P. EMPRESA INDUSTRIA</v>
          </cell>
          <cell r="H4498" t="str">
            <v>RCAU</v>
          </cell>
          <cell r="I4498" t="str">
            <v>RESPONSABLE IVA - AUTORETENEDOR</v>
          </cell>
          <cell r="J4498" t="str">
            <v>CR 22 22 46 BRR SIETE DE AGOSTO</v>
          </cell>
          <cell r="K4498" t="str">
            <v>81001</v>
          </cell>
          <cell r="L4498" t="str">
            <v>ARAUCA</v>
          </cell>
          <cell r="M4498" t="str">
            <v>78852495</v>
          </cell>
        </row>
        <row r="4499">
          <cell r="A4499">
            <v>892201235</v>
          </cell>
          <cell r="B4499" t="str">
            <v>3</v>
          </cell>
          <cell r="C4499" t="str">
            <v/>
          </cell>
          <cell r="D4499" t="str">
            <v>NJ</v>
          </cell>
          <cell r="E4499" t="str">
            <v/>
          </cell>
          <cell r="F4499" t="str">
            <v/>
          </cell>
          <cell r="G4499" t="str">
            <v>COOTRASUCRE</v>
          </cell>
          <cell r="H4499" t="str">
            <v>RECO</v>
          </cell>
          <cell r="I4499" t="str">
            <v>REGIMEN COMUN</v>
          </cell>
          <cell r="J4499" t="str">
            <v>Aeropuerto Monteria</v>
          </cell>
          <cell r="K4499" t="str">
            <v>17001</v>
          </cell>
          <cell r="L4499" t="str">
            <v>MANIZALES</v>
          </cell>
          <cell r="M4499" t="str">
            <v>2820608</v>
          </cell>
        </row>
        <row r="4500">
          <cell r="A4500">
            <v>892300365</v>
          </cell>
          <cell r="B4500" t="str">
            <v>7</v>
          </cell>
          <cell r="C4500" t="str">
            <v/>
          </cell>
          <cell r="D4500" t="str">
            <v>NJ</v>
          </cell>
          <cell r="E4500" t="str">
            <v/>
          </cell>
          <cell r="F4500" t="str">
            <v/>
          </cell>
          <cell r="G4500" t="str">
            <v>COOTRACEGUA</v>
          </cell>
          <cell r="H4500" t="str">
            <v>RESI</v>
          </cell>
          <cell r="I4500" t="str">
            <v>REGIMEN SIMPLIFICADO</v>
          </cell>
          <cell r="J4500" t="str">
            <v>CR 7 A 44 156</v>
          </cell>
          <cell r="K4500" t="str">
            <v>47001</v>
          </cell>
          <cell r="L4500" t="str">
            <v>SANTA MARTA</v>
          </cell>
          <cell r="M4500" t="str">
            <v>5716262</v>
          </cell>
        </row>
        <row r="4501">
          <cell r="A4501">
            <v>899999001</v>
          </cell>
          <cell r="B4501" t="str">
            <v>7</v>
          </cell>
          <cell r="C4501" t="str">
            <v>11300000</v>
          </cell>
          <cell r="D4501" t="str">
            <v>NJ</v>
          </cell>
          <cell r="E4501" t="str">
            <v/>
          </cell>
          <cell r="F4501" t="str">
            <v/>
          </cell>
          <cell r="G4501" t="str">
            <v>MINISTERIO DE EDUCACION NACIONAL</v>
          </cell>
          <cell r="H4501" t="str">
            <v>REIC</v>
          </cell>
          <cell r="I4501" t="str">
            <v>RENTA REGIMEN ESPECIAL</v>
          </cell>
          <cell r="J4501" t="str">
            <v>43 57 14 CEN ADMINISTRATIVO NACIONAL CAN</v>
          </cell>
          <cell r="K4501" t="str">
            <v>11001</v>
          </cell>
          <cell r="L4501" t="str">
            <v>BOGOTA DC</v>
          </cell>
          <cell r="M4501" t="str">
            <v>2222800</v>
          </cell>
        </row>
        <row r="4502">
          <cell r="A4502">
            <v>899999004</v>
          </cell>
          <cell r="B4502" t="str">
            <v>9</v>
          </cell>
          <cell r="C4502" t="str">
            <v>25300000</v>
          </cell>
          <cell r="D4502" t="str">
            <v>NJ</v>
          </cell>
          <cell r="E4502" t="str">
            <v/>
          </cell>
          <cell r="F4502" t="str">
            <v/>
          </cell>
          <cell r="G4502" t="str">
            <v xml:space="preserve">INSTITUTO GEOGRAFICO AGUSTIN CODAZZI                        </v>
          </cell>
          <cell r="H4502" t="str">
            <v>GRAU</v>
          </cell>
          <cell r="I4502" t="str">
            <v>GRAN CONTRIBUYENTE AUTORRETENEDO</v>
          </cell>
          <cell r="J4502" t="str">
            <v>CR 30   48   51</v>
          </cell>
          <cell r="K4502" t="str">
            <v>11001</v>
          </cell>
          <cell r="L4502" t="str">
            <v>BOGOTA DC</v>
          </cell>
          <cell r="M4502" t="str">
            <v>3694000</v>
          </cell>
        </row>
        <row r="4503">
          <cell r="A4503">
            <v>899999007</v>
          </cell>
          <cell r="B4503" t="str">
            <v>0</v>
          </cell>
          <cell r="C4503" t="str">
            <v>26900000</v>
          </cell>
          <cell r="D4503" t="str">
            <v>NJ</v>
          </cell>
          <cell r="E4503" t="str">
            <v/>
          </cell>
          <cell r="F4503" t="str">
            <v/>
          </cell>
          <cell r="G4503" t="str">
            <v>SUPERINTENDENCIA DE NOTARIADO Y REGISTRO</v>
          </cell>
          <cell r="H4503" t="str">
            <v>RECO</v>
          </cell>
          <cell r="I4503" t="str">
            <v>REGIMEN COMUN</v>
          </cell>
          <cell r="J4503" t="str">
            <v>CL 26 13 49 I N 201</v>
          </cell>
          <cell r="K4503" t="str">
            <v>03</v>
          </cell>
          <cell r="L4503" t="str">
            <v>BOGOTA</v>
          </cell>
          <cell r="M4503" t="str">
            <v>3417047</v>
          </cell>
        </row>
        <row r="4504">
          <cell r="A4504">
            <v>899999022</v>
          </cell>
          <cell r="B4504" t="str">
            <v>1</v>
          </cell>
          <cell r="C4504" t="str">
            <v>11700000</v>
          </cell>
          <cell r="D4504" t="str">
            <v>NJ</v>
          </cell>
          <cell r="E4504" t="str">
            <v/>
          </cell>
          <cell r="F4504" t="str">
            <v/>
          </cell>
          <cell r="G4504" t="str">
            <v xml:space="preserve">MINISTERIO DE MINAS Y ENERGIA </v>
          </cell>
          <cell r="H4504" t="str">
            <v>COIM</v>
          </cell>
          <cell r="I4504" t="str">
            <v>CONTROL DE IMPUESTOS</v>
          </cell>
          <cell r="J4504" t="str">
            <v>CL 43 57 31 BRR CENTRO ADMINISTRATIVO NACIONAL CAN</v>
          </cell>
          <cell r="K4504" t="str">
            <v>11001</v>
          </cell>
          <cell r="L4504" t="str">
            <v>BOGOTA DC</v>
          </cell>
          <cell r="M4504" t="str">
            <v>2200300</v>
          </cell>
        </row>
        <row r="4505">
          <cell r="A4505">
            <v>899999034</v>
          </cell>
          <cell r="B4505" t="str">
            <v>1</v>
          </cell>
          <cell r="C4505" t="str">
            <v>26800000</v>
          </cell>
          <cell r="D4505" t="str">
            <v>NJ</v>
          </cell>
          <cell r="E4505" t="str">
            <v/>
          </cell>
          <cell r="F4505" t="str">
            <v/>
          </cell>
          <cell r="G4505" t="str">
            <v xml:space="preserve">SERVICIO NACIONAL DE APRENDIZAJE SENA                       </v>
          </cell>
          <cell r="H4505" t="str">
            <v>GRCO</v>
          </cell>
          <cell r="I4505" t="str">
            <v>GRAN CONTRIBUYENTE</v>
          </cell>
          <cell r="J4505" t="str">
            <v>KM 10 NOMBRE VIA MAGDALENA</v>
          </cell>
          <cell r="K4505" t="str">
            <v>17001</v>
          </cell>
          <cell r="L4505" t="str">
            <v>MANIZALES</v>
          </cell>
          <cell r="M4505" t="str">
            <v>8741546</v>
          </cell>
        </row>
        <row r="4506">
          <cell r="A4506">
            <v>899999035</v>
          </cell>
          <cell r="B4506" t="str">
            <v>7</v>
          </cell>
          <cell r="C4506" t="str">
            <v>41500000</v>
          </cell>
          <cell r="D4506" t="str">
            <v>NJ</v>
          </cell>
          <cell r="E4506" t="str">
            <v/>
          </cell>
          <cell r="F4506" t="str">
            <v/>
          </cell>
          <cell r="G4506" t="str">
            <v>INSTITUTO COLOMBIANO DE CRÉDITO EDUCATIVO Y ESTUDIOS TÉCNICOS EN</v>
          </cell>
          <cell r="H4506" t="str">
            <v>GRCO</v>
          </cell>
          <cell r="I4506" t="str">
            <v>GRAN CONTRIBUYENTE</v>
          </cell>
          <cell r="J4506" t="str">
            <v>CR 3 18 32</v>
          </cell>
          <cell r="K4506" t="str">
            <v>03</v>
          </cell>
          <cell r="L4506" t="str">
            <v>BOGOTA</v>
          </cell>
          <cell r="M4506" t="str">
            <v>3821670</v>
          </cell>
        </row>
        <row r="4507">
          <cell r="A4507">
            <v>899999044</v>
          </cell>
          <cell r="B4507" t="str">
            <v>3</v>
          </cell>
          <cell r="C4507" t="str">
            <v>32300000</v>
          </cell>
          <cell r="D4507" t="str">
            <v>NJ</v>
          </cell>
          <cell r="E4507" t="str">
            <v/>
          </cell>
          <cell r="F4507" t="str">
            <v/>
          </cell>
          <cell r="G4507" t="str">
            <v>INDUSTRIA MILITAR</v>
          </cell>
          <cell r="H4507" t="str">
            <v>GRAU</v>
          </cell>
          <cell r="I4507" t="str">
            <v>GRAN CONTRIBUYENTE AUTORRETENEDO</v>
          </cell>
          <cell r="J4507" t="str">
            <v xml:space="preserve"> CL 44  54 11    CAN</v>
          </cell>
          <cell r="K4507" t="str">
            <v>11001</v>
          </cell>
          <cell r="L4507" t="str">
            <v>BOGOTA DC</v>
          </cell>
          <cell r="M4507" t="str">
            <v>2207830</v>
          </cell>
        </row>
        <row r="4508">
          <cell r="A4508">
            <v>899999048</v>
          </cell>
          <cell r="B4508" t="str">
            <v>2</v>
          </cell>
          <cell r="C4508" t="str">
            <v>36900000</v>
          </cell>
          <cell r="D4508" t="str">
            <v>NJ</v>
          </cell>
          <cell r="E4508" t="str">
            <v/>
          </cell>
          <cell r="F4508" t="str">
            <v/>
          </cell>
          <cell r="G4508" t="str">
            <v>INSTITUTO DE PLANIFICACION Y PROMOCION DE SOLUCIONES ENERGETICAS</v>
          </cell>
          <cell r="H4508" t="str">
            <v>RECO</v>
          </cell>
          <cell r="I4508" t="str">
            <v>REGIMEN COMUN</v>
          </cell>
          <cell r="J4508" t="str">
            <v>CL 99   9 A 54 TO 3 P 14</v>
          </cell>
          <cell r="K4508" t="str">
            <v>11001</v>
          </cell>
          <cell r="L4508" t="str">
            <v>BOGOTA DC</v>
          </cell>
          <cell r="M4508" t="str">
            <v xml:space="preserve"> 6449300</v>
          </cell>
        </row>
        <row r="4509">
          <cell r="A4509">
            <v>899999059</v>
          </cell>
          <cell r="B4509" t="str">
            <v>3</v>
          </cell>
          <cell r="C4509" t="str">
            <v>22100000</v>
          </cell>
          <cell r="D4509" t="str">
            <v>NJ</v>
          </cell>
          <cell r="E4509" t="str">
            <v/>
          </cell>
          <cell r="F4509" t="str">
            <v/>
          </cell>
          <cell r="G4509" t="str">
            <v>UNIDAD ADMINISTRATIVA ESPECIAL DE AERONAUTICA CIVIL</v>
          </cell>
          <cell r="H4509" t="str">
            <v>GRCO</v>
          </cell>
          <cell r="I4509" t="str">
            <v>GRAN CONTRIBUYENTE</v>
          </cell>
          <cell r="J4509" t="str">
            <v>AV CL 26 103 15</v>
          </cell>
          <cell r="K4509" t="str">
            <v>17001</v>
          </cell>
          <cell r="L4509" t="str">
            <v>MANIZALES</v>
          </cell>
          <cell r="M4509" t="str">
            <v>2963159</v>
          </cell>
        </row>
        <row r="4510">
          <cell r="A4510">
            <v>899999061</v>
          </cell>
          <cell r="B4510" t="str">
            <v>9</v>
          </cell>
          <cell r="C4510" t="str">
            <v>210111001</v>
          </cell>
          <cell r="D4510" t="str">
            <v>NJ</v>
          </cell>
          <cell r="E4510" t="str">
            <v/>
          </cell>
          <cell r="F4510" t="str">
            <v/>
          </cell>
          <cell r="G4510" t="str">
            <v xml:space="preserve">ALCALDIA MAYOR DE BOGOTA                                    </v>
          </cell>
          <cell r="H4510" t="str">
            <v>COIM</v>
          </cell>
          <cell r="I4510" t="str">
            <v>CONTROL DE IMPUESTOS</v>
          </cell>
          <cell r="J4510" t="str">
            <v xml:space="preserve">CR 8   10   65   </v>
          </cell>
          <cell r="K4510" t="str">
            <v>11001</v>
          </cell>
          <cell r="L4510" t="str">
            <v>BOGOTA DC</v>
          </cell>
          <cell r="M4510" t="str">
            <v>3813000</v>
          </cell>
        </row>
        <row r="4511">
          <cell r="A4511">
            <v>899999063</v>
          </cell>
          <cell r="B4511" t="str">
            <v>3</v>
          </cell>
          <cell r="C4511" t="str">
            <v>27400000</v>
          </cell>
          <cell r="D4511" t="str">
            <v>NJ</v>
          </cell>
          <cell r="E4511" t="str">
            <v/>
          </cell>
          <cell r="F4511" t="str">
            <v/>
          </cell>
          <cell r="G4511" t="str">
            <v>UNIVERSIDAD NACIONAL DE COLOMBIA</v>
          </cell>
          <cell r="H4511" t="str">
            <v>GRCO</v>
          </cell>
          <cell r="I4511" t="str">
            <v>GRAN CONTRIBUYENTE</v>
          </cell>
          <cell r="J4511" t="str">
            <v>CR 45 26 85 OF 481 ED URIEL GUTIERREZ</v>
          </cell>
          <cell r="K4511" t="str">
            <v>03</v>
          </cell>
          <cell r="L4511" t="str">
            <v>BOGOTA</v>
          </cell>
          <cell r="M4511" t="str">
            <v>3165000</v>
          </cell>
        </row>
        <row r="4512">
          <cell r="A4512">
            <v>899999067</v>
          </cell>
          <cell r="B4512" t="str">
            <v>2</v>
          </cell>
          <cell r="C4512" t="str">
            <v>10200000</v>
          </cell>
          <cell r="D4512" t="str">
            <v>NJ</v>
          </cell>
          <cell r="E4512" t="str">
            <v/>
          </cell>
          <cell r="F4512" t="str">
            <v/>
          </cell>
          <cell r="G4512" t="str">
            <v>CONTRALORIA GENERAL DE LA REPUBLICA</v>
          </cell>
          <cell r="H4512" t="str">
            <v>GRCO</v>
          </cell>
          <cell r="I4512" t="str">
            <v>GRAN CONTRIBUYENTE</v>
          </cell>
          <cell r="J4512" t="str">
            <v>CR 69   44   35</v>
          </cell>
          <cell r="K4512" t="str">
            <v>11001</v>
          </cell>
          <cell r="L4512" t="str">
            <v>BOGOTA DC</v>
          </cell>
          <cell r="M4512" t="str">
            <v>5187000</v>
          </cell>
        </row>
        <row r="4513">
          <cell r="A4513">
            <v>899999082</v>
          </cell>
          <cell r="B4513" t="str">
            <v>3</v>
          </cell>
          <cell r="C4513" t="str">
            <v>233911001</v>
          </cell>
          <cell r="D4513" t="str">
            <v>NJ</v>
          </cell>
          <cell r="E4513" t="str">
            <v/>
          </cell>
          <cell r="F4513" t="str">
            <v/>
          </cell>
          <cell r="G4513" t="str">
            <v>GRUPO ENERGÍA BOGOTA S.A. E.S.P.</v>
          </cell>
          <cell r="H4513" t="str">
            <v>GRCO</v>
          </cell>
          <cell r="I4513" t="str">
            <v>GRAN CONTRIBUYENTE</v>
          </cell>
          <cell r="J4513" t="str">
            <v>CR 09 A   73   44 P 06</v>
          </cell>
          <cell r="K4513" t="str">
            <v>11001</v>
          </cell>
          <cell r="L4513" t="str">
            <v>BOGOTA DC</v>
          </cell>
          <cell r="M4513" t="str">
            <v>6013268000</v>
          </cell>
        </row>
        <row r="4514">
          <cell r="A4514">
            <v>899999090</v>
          </cell>
          <cell r="B4514" t="str">
            <v>2</v>
          </cell>
          <cell r="C4514" t="str">
            <v>923272395</v>
          </cell>
          <cell r="D4514" t="str">
            <v>NJ</v>
          </cell>
          <cell r="E4514" t="str">
            <v/>
          </cell>
          <cell r="F4514" t="str">
            <v/>
          </cell>
          <cell r="G4514" t="str">
            <v>MINISTERIO DE HACIENDA Y CREDITO PUBLICO</v>
          </cell>
          <cell r="H4514" t="str">
            <v>COIM</v>
          </cell>
          <cell r="I4514" t="str">
            <v>CONTROL DE IMPUESTOS</v>
          </cell>
          <cell r="J4514" t="str">
            <v>CR 8 6C 38</v>
          </cell>
          <cell r="K4514" t="str">
            <v>11001</v>
          </cell>
          <cell r="L4514" t="str">
            <v>BOGOTA DC</v>
          </cell>
          <cell r="M4514" t="str">
            <v>381 17 00</v>
          </cell>
        </row>
        <row r="4515">
          <cell r="A4515">
            <v>899999094</v>
          </cell>
          <cell r="B4515" t="str">
            <v>1</v>
          </cell>
          <cell r="C4515" t="str">
            <v>234011001</v>
          </cell>
          <cell r="D4515" t="str">
            <v>NJ</v>
          </cell>
          <cell r="E4515" t="str">
            <v/>
          </cell>
          <cell r="F4515" t="str">
            <v/>
          </cell>
          <cell r="G4515" t="str">
            <v>ACUEDUCTO AGUA Y ALCANTARILLADO DE BOGOTA</v>
          </cell>
          <cell r="H4515" t="str">
            <v>GRAU</v>
          </cell>
          <cell r="I4515" t="str">
            <v>GRAN CONTRIBUYENTE AUTORRETENEDO</v>
          </cell>
          <cell r="J4515" t="str">
            <v>AC 127   60   75</v>
          </cell>
          <cell r="K4515" t="str">
            <v>11001</v>
          </cell>
          <cell r="L4515" t="str">
            <v>BOGOTA DC</v>
          </cell>
          <cell r="M4515" t="str">
            <v>6241242</v>
          </cell>
        </row>
        <row r="4516">
          <cell r="A4516">
            <v>899999115</v>
          </cell>
          <cell r="B4516" t="str">
            <v>8</v>
          </cell>
          <cell r="C4516" t="str">
            <v>234111001</v>
          </cell>
          <cell r="D4516" t="str">
            <v>NJ</v>
          </cell>
          <cell r="E4516" t="str">
            <v/>
          </cell>
          <cell r="F4516" t="str">
            <v/>
          </cell>
          <cell r="G4516" t="str">
            <v xml:space="preserve">ETB S.A. E.S.P.                                             </v>
          </cell>
          <cell r="H4516" t="str">
            <v>GRAU</v>
          </cell>
          <cell r="I4516" t="str">
            <v>GRAN CONTRIBUYENTE AUTORRETENEDO</v>
          </cell>
          <cell r="J4516" t="str">
            <v>CR 08   20   00</v>
          </cell>
          <cell r="K4516" t="str">
            <v>11001</v>
          </cell>
          <cell r="L4516" t="str">
            <v>BOGOTA DC</v>
          </cell>
          <cell r="M4516" t="str">
            <v>2422000</v>
          </cell>
        </row>
        <row r="4517">
          <cell r="A4517">
            <v>899999143</v>
          </cell>
          <cell r="B4517" t="str">
            <v>4</v>
          </cell>
          <cell r="C4517" t="str">
            <v>32800000</v>
          </cell>
          <cell r="D4517" t="str">
            <v>NJ</v>
          </cell>
          <cell r="E4517" t="str">
            <v/>
          </cell>
          <cell r="F4517" t="str">
            <v/>
          </cell>
          <cell r="G4517" t="str">
            <v>SERVICIO AEREO A TERRITORIOS NACIONALES SA</v>
          </cell>
          <cell r="H4517" t="str">
            <v>GRCO</v>
          </cell>
          <cell r="I4517" t="str">
            <v>GRAN CONTRIBUYENTE</v>
          </cell>
          <cell r="J4517" t="str">
            <v>AV EL DORADO EN 01 IN 11</v>
          </cell>
          <cell r="K4517" t="str">
            <v>11001</v>
          </cell>
          <cell r="L4517" t="str">
            <v>BOGOTA DC</v>
          </cell>
          <cell r="M4517" t="str">
            <v>4139886</v>
          </cell>
        </row>
        <row r="4518">
          <cell r="A4518">
            <v>899999238</v>
          </cell>
          <cell r="B4518" t="str">
            <v>5</v>
          </cell>
          <cell r="C4518" t="str">
            <v>21527000</v>
          </cell>
          <cell r="D4518" t="str">
            <v>NJ</v>
          </cell>
          <cell r="E4518" t="str">
            <v/>
          </cell>
          <cell r="F4518" t="str">
            <v/>
          </cell>
          <cell r="G4518" t="str">
            <v>CORPORACION AUTONOMA REGIONAL PARA EL DSLLO SOSTENIBLE DEL CHOCO</v>
          </cell>
          <cell r="H4518" t="str">
            <v>COIM</v>
          </cell>
          <cell r="I4518" t="str">
            <v>CONTROL DE IMPUESTOS</v>
          </cell>
          <cell r="J4518" t="str">
            <v>CR 1 22 96</v>
          </cell>
          <cell r="K4518" t="str">
            <v>27001</v>
          </cell>
          <cell r="L4518" t="str">
            <v>QUIBDO</v>
          </cell>
          <cell r="M4518" t="str">
            <v>6711343</v>
          </cell>
        </row>
        <row r="4519">
          <cell r="A4519">
            <v>899999239</v>
          </cell>
          <cell r="B4519" t="str">
            <v>2</v>
          </cell>
          <cell r="C4519" t="str">
            <v>23900000</v>
          </cell>
          <cell r="D4519" t="str">
            <v>NJ</v>
          </cell>
          <cell r="E4519" t="str">
            <v/>
          </cell>
          <cell r="F4519" t="str">
            <v/>
          </cell>
          <cell r="G4519" t="str">
            <v xml:space="preserve">I.C.B.F INSTITUTO COLOMBIANO </v>
          </cell>
          <cell r="H4519" t="str">
            <v>GRCO</v>
          </cell>
          <cell r="I4519" t="str">
            <v>GRAN CONTRIBUYENTE</v>
          </cell>
          <cell r="J4519" t="str">
            <v>AV 68   64 C 75</v>
          </cell>
          <cell r="K4519" t="str">
            <v>11001</v>
          </cell>
          <cell r="L4519" t="str">
            <v>BOGOTA DC</v>
          </cell>
          <cell r="M4519" t="str">
            <v>37 76 30</v>
          </cell>
        </row>
        <row r="4520">
          <cell r="A4520">
            <v>899999284</v>
          </cell>
          <cell r="B4520" t="str">
            <v>4</v>
          </cell>
          <cell r="C4520" t="str">
            <v>41300000</v>
          </cell>
          <cell r="D4520" t="str">
            <v>NJ</v>
          </cell>
          <cell r="E4520" t="str">
            <v/>
          </cell>
          <cell r="F4520" t="str">
            <v/>
          </cell>
          <cell r="G4520" t="str">
            <v>FONDO NACIONAL DEL AHORRO FNA</v>
          </cell>
          <cell r="H4520" t="str">
            <v>GRCO</v>
          </cell>
          <cell r="I4520" t="str">
            <v>GRAN CONTRIBUYENTE</v>
          </cell>
          <cell r="J4520" t="str">
            <v>CL 20   22   17</v>
          </cell>
          <cell r="K4520" t="str">
            <v>17001</v>
          </cell>
          <cell r="L4520" t="str">
            <v>MANIZALES</v>
          </cell>
          <cell r="M4520" t="str">
            <v>8999999</v>
          </cell>
        </row>
        <row r="4521">
          <cell r="A4521">
            <v>899999294</v>
          </cell>
          <cell r="B4521" t="str">
            <v>8</v>
          </cell>
          <cell r="C4521" t="str">
            <v>25200000</v>
          </cell>
          <cell r="D4521" t="str">
            <v>NJ</v>
          </cell>
          <cell r="E4521" t="str">
            <v/>
          </cell>
          <cell r="F4521" t="str">
            <v/>
          </cell>
          <cell r="G4521" t="str">
            <v>SERVICIO GEOLÓGICO COLOMBIANO INGEOMINAS</v>
          </cell>
          <cell r="H4521" t="str">
            <v>GRCO</v>
          </cell>
          <cell r="I4521" t="str">
            <v>GRAN CONTRIBUYENTE</v>
          </cell>
          <cell r="J4521" t="str">
            <v>DG 53   34   53</v>
          </cell>
          <cell r="K4521" t="str">
            <v>11001</v>
          </cell>
          <cell r="L4521" t="str">
            <v>BOGOTA DC</v>
          </cell>
          <cell r="M4521" t="str">
            <v>220 0200</v>
          </cell>
        </row>
        <row r="4522">
          <cell r="A4522">
            <v>899999302</v>
          </cell>
          <cell r="B4522" t="str">
            <v>9</v>
          </cell>
          <cell r="C4522" t="str">
            <v>210191001</v>
          </cell>
          <cell r="D4522" t="str">
            <v>NJ</v>
          </cell>
          <cell r="E4522" t="str">
            <v/>
          </cell>
          <cell r="F4522" t="str">
            <v/>
          </cell>
          <cell r="G4522" t="str">
            <v xml:space="preserve">MUNICIPIO DE LETICIA          </v>
          </cell>
          <cell r="H4522" t="str">
            <v>COIM</v>
          </cell>
          <cell r="I4522" t="str">
            <v>CONTROL DE IMPUESTOS</v>
          </cell>
          <cell r="J4522" t="str">
            <v>CL 10   10   47</v>
          </cell>
          <cell r="K4522" t="str">
            <v>91001</v>
          </cell>
          <cell r="L4522" t="str">
            <v>LETICIA</v>
          </cell>
          <cell r="M4522" t="str">
            <v>5928065</v>
          </cell>
        </row>
        <row r="4523">
          <cell r="A4523">
            <v>899999734</v>
          </cell>
          <cell r="B4523" t="str">
            <v>7</v>
          </cell>
          <cell r="C4523" t="str">
            <v>71200000</v>
          </cell>
          <cell r="D4523" t="str">
            <v>NJ</v>
          </cell>
          <cell r="E4523" t="str">
            <v/>
          </cell>
          <cell r="F4523" t="str">
            <v/>
          </cell>
          <cell r="G4523" t="str">
            <v>FONPRECON</v>
          </cell>
          <cell r="H4523" t="str">
            <v>ENSA</v>
          </cell>
          <cell r="I4523" t="str">
            <v>ENTIDADES SIN ANIMO DE LUCRO</v>
          </cell>
          <cell r="J4523" t="str">
            <v>Cra  10  No. 24 - 55 piso  2 y  3</v>
          </cell>
          <cell r="K4523" t="str">
            <v>11001</v>
          </cell>
          <cell r="L4523" t="str">
            <v>BOGOTA DC</v>
          </cell>
          <cell r="M4523" t="str">
            <v>5713415566</v>
          </cell>
        </row>
        <row r="4524">
          <cell r="A4524">
            <v>899999737</v>
          </cell>
          <cell r="B4524" t="str">
            <v>9</v>
          </cell>
          <cell r="C4524" t="str">
            <v>820500000</v>
          </cell>
          <cell r="D4524" t="str">
            <v>NJ</v>
          </cell>
          <cell r="E4524" t="str">
            <v/>
          </cell>
          <cell r="F4524" t="str">
            <v/>
          </cell>
          <cell r="G4524" t="str">
            <v>FONDO ROTATORIO DE LA REGISTRADURÍA</v>
          </cell>
          <cell r="H4524" t="str">
            <v>REIC</v>
          </cell>
          <cell r="I4524" t="str">
            <v>RENTA REGIMEN ESPECIAL</v>
          </cell>
          <cell r="J4524" t="str">
            <v>AV 26   51   50</v>
          </cell>
          <cell r="K4524" t="str">
            <v>11001</v>
          </cell>
          <cell r="L4524" t="str">
            <v>BOGOTA DC</v>
          </cell>
          <cell r="M4524" t="str">
            <v>2200815</v>
          </cell>
        </row>
        <row r="4525">
          <cell r="A4525">
            <v>900002583</v>
          </cell>
          <cell r="B4525" t="str">
            <v>6</v>
          </cell>
          <cell r="C4525" t="str">
            <v>33800000</v>
          </cell>
          <cell r="D4525" t="str">
            <v>NJ</v>
          </cell>
          <cell r="E4525" t="str">
            <v/>
          </cell>
          <cell r="F4525" t="str">
            <v/>
          </cell>
          <cell r="G4525" t="str">
            <v>RADIO TELEVISIÓN NACIONAL DE COLOMBIA RTVC</v>
          </cell>
          <cell r="H4525" t="str">
            <v>IMVE</v>
          </cell>
          <cell r="I4525" t="str">
            <v>IMPUESTO SOBRE LAS VENTAS</v>
          </cell>
          <cell r="J4525" t="str">
            <v>CR 45   26   33</v>
          </cell>
          <cell r="K4525" t="str">
            <v>11001</v>
          </cell>
          <cell r="L4525" t="str">
            <v>BOGOTA DC</v>
          </cell>
          <cell r="M4525" t="str">
            <v>2200700</v>
          </cell>
        </row>
        <row r="4526">
          <cell r="A4526">
            <v>900007124</v>
          </cell>
          <cell r="B4526" t="str">
            <v>1</v>
          </cell>
          <cell r="C4526" t="str">
            <v/>
          </cell>
          <cell r="D4526" t="str">
            <v>NJ</v>
          </cell>
          <cell r="E4526" t="str">
            <v/>
          </cell>
          <cell r="F4526" t="str">
            <v/>
          </cell>
          <cell r="G4526" t="str">
            <v>LUBRITER R &amp; Q SAS</v>
          </cell>
          <cell r="H4526" t="str">
            <v>IMVE</v>
          </cell>
          <cell r="I4526" t="str">
            <v>IMPUESTO SOBRE LAS VENTAS</v>
          </cell>
          <cell r="J4526" t="str">
            <v>CONJUNTO CENTRO LOGISTICA EJE CAFETERO CERRITOS CR 15 138 25 BG</v>
          </cell>
          <cell r="K4526" t="str">
            <v>66001</v>
          </cell>
          <cell r="L4526" t="str">
            <v>PEREIRA</v>
          </cell>
          <cell r="M4526" t="str">
            <v>3132699</v>
          </cell>
        </row>
        <row r="4527">
          <cell r="A4527">
            <v>900007834</v>
          </cell>
          <cell r="B4527" t="str">
            <v>2</v>
          </cell>
          <cell r="C4527" t="str">
            <v/>
          </cell>
          <cell r="D4527" t="str">
            <v>NJ</v>
          </cell>
          <cell r="E4527" t="str">
            <v/>
          </cell>
          <cell r="F4527" t="str">
            <v/>
          </cell>
          <cell r="G4527" t="str">
            <v>MORAFER REPRESENTACIONES LTDA</v>
          </cell>
          <cell r="H4527" t="str">
            <v>RECO</v>
          </cell>
          <cell r="I4527" t="str">
            <v>REGIMEN COMUN</v>
          </cell>
          <cell r="J4527" t="str">
            <v>CL 17 20 A 29 BRR PALOQUEMADO</v>
          </cell>
          <cell r="K4527" t="str">
            <v>11001</v>
          </cell>
          <cell r="L4527" t="str">
            <v>BOGOTA DC</v>
          </cell>
          <cell r="M4527" t="str">
            <v>2373461</v>
          </cell>
        </row>
        <row r="4528">
          <cell r="A4528">
            <v>900007843</v>
          </cell>
          <cell r="B4528" t="str">
            <v>9</v>
          </cell>
          <cell r="C4528" t="str">
            <v/>
          </cell>
          <cell r="D4528" t="str">
            <v>NJ</v>
          </cell>
          <cell r="E4528" t="str">
            <v/>
          </cell>
          <cell r="F4528" t="str">
            <v/>
          </cell>
          <cell r="G4528" t="str">
            <v>OGMIOS INGENIERIA LTDA</v>
          </cell>
          <cell r="H4528" t="str">
            <v>IMVE</v>
          </cell>
          <cell r="I4528" t="str">
            <v>IMPUESTO SOBRE LAS VENTAS</v>
          </cell>
          <cell r="J4528" t="str">
            <v>CL 23 66 39 TO 4 AP 501</v>
          </cell>
          <cell r="K4528" t="str">
            <v>03</v>
          </cell>
          <cell r="L4528" t="str">
            <v>BOGOTA</v>
          </cell>
          <cell r="M4528" t="str">
            <v>7037971</v>
          </cell>
        </row>
        <row r="4529">
          <cell r="A4529">
            <v>900008437</v>
          </cell>
          <cell r="B4529" t="str">
            <v>6</v>
          </cell>
          <cell r="C4529" t="str">
            <v/>
          </cell>
          <cell r="D4529" t="str">
            <v>NJ</v>
          </cell>
          <cell r="E4529" t="str">
            <v/>
          </cell>
          <cell r="F4529" t="str">
            <v/>
          </cell>
          <cell r="G4529" t="str">
            <v>PAPELERIA BOYACA</v>
          </cell>
          <cell r="H4529" t="str">
            <v>RECO</v>
          </cell>
          <cell r="I4529" t="str">
            <v>REGIMEN COMUN</v>
          </cell>
          <cell r="J4529" t="str">
            <v>CR 11 19 86</v>
          </cell>
          <cell r="K4529" t="str">
            <v>15001</v>
          </cell>
          <cell r="L4529" t="str">
            <v>TUNJA</v>
          </cell>
          <cell r="M4529" t="str">
            <v>7400647</v>
          </cell>
        </row>
        <row r="4530">
          <cell r="A4530">
            <v>900008613</v>
          </cell>
          <cell r="B4530" t="str">
            <v>6</v>
          </cell>
          <cell r="C4530" t="str">
            <v/>
          </cell>
          <cell r="D4530" t="str">
            <v>NJ</v>
          </cell>
          <cell r="E4530" t="str">
            <v/>
          </cell>
          <cell r="F4530" t="str">
            <v/>
          </cell>
          <cell r="G4530" t="str">
            <v>COOPERATIVA DE SERVICIOS PÚBLICOS DE CUPICA</v>
          </cell>
          <cell r="H4530" t="str">
            <v>REOR</v>
          </cell>
          <cell r="I4530" t="str">
            <v>RENTA REGIMEN ORDINARIO</v>
          </cell>
          <cell r="J4530" t="str">
            <v>CORR DE CUPICA</v>
          </cell>
          <cell r="K4530" t="str">
            <v>27075</v>
          </cell>
          <cell r="L4530" t="str">
            <v>BAHÍA SOLANO</v>
          </cell>
          <cell r="M4530" t="str">
            <v>3132158906</v>
          </cell>
        </row>
        <row r="4531">
          <cell r="A4531">
            <v>900008816</v>
          </cell>
          <cell r="B4531" t="str">
            <v>4</v>
          </cell>
          <cell r="C4531" t="str">
            <v/>
          </cell>
          <cell r="D4531" t="str">
            <v>NJ</v>
          </cell>
          <cell r="E4531" t="str">
            <v/>
          </cell>
          <cell r="F4531" t="str">
            <v/>
          </cell>
          <cell r="G4531" t="str">
            <v>ASOCIACION ANGULAR COMUNITARIA PRO-DESARROLLO DEL EJE CAFETERO</v>
          </cell>
          <cell r="H4531" t="str">
            <v>REOR</v>
          </cell>
          <cell r="I4531" t="str">
            <v>RENTA REGIMEN ORDINARIO</v>
          </cell>
          <cell r="J4531" t="str">
            <v>CR 11 8 12</v>
          </cell>
          <cell r="K4531" t="str">
            <v>41530</v>
          </cell>
          <cell r="L4531" t="str">
            <v>PALESTINA</v>
          </cell>
          <cell r="M4531" t="str">
            <v>312284201</v>
          </cell>
        </row>
        <row r="4532">
          <cell r="A4532">
            <v>900010928</v>
          </cell>
          <cell r="B4532" t="str">
            <v>7</v>
          </cell>
          <cell r="C4532" t="str">
            <v/>
          </cell>
          <cell r="D4532" t="str">
            <v>NJ</v>
          </cell>
          <cell r="E4532" t="str">
            <v/>
          </cell>
          <cell r="F4532" t="str">
            <v/>
          </cell>
          <cell r="G4532" t="str">
            <v>GLOBAL CONSULTING GC SAS</v>
          </cell>
          <cell r="H4532" t="str">
            <v>IMVE</v>
          </cell>
          <cell r="I4532" t="str">
            <v>IMPUESTO SOBRE LAS VENTAS</v>
          </cell>
          <cell r="J4532" t="str">
            <v xml:space="preserve"> CR 13 89 53 OF 503</v>
          </cell>
          <cell r="K4532" t="str">
            <v>11001</v>
          </cell>
          <cell r="L4532" t="str">
            <v>BOGOTA DC</v>
          </cell>
          <cell r="M4532" t="str">
            <v>6459869</v>
          </cell>
        </row>
        <row r="4533">
          <cell r="A4533">
            <v>900011416</v>
          </cell>
          <cell r="B4533" t="str">
            <v>2</v>
          </cell>
          <cell r="C4533" t="str">
            <v/>
          </cell>
          <cell r="D4533" t="str">
            <v>NJ</v>
          </cell>
          <cell r="E4533" t="str">
            <v/>
          </cell>
          <cell r="F4533" t="str">
            <v/>
          </cell>
          <cell r="G4533" t="str">
            <v>COMERCIALIZADORA M.I LTDA</v>
          </cell>
          <cell r="H4533" t="str">
            <v>RECO</v>
          </cell>
          <cell r="I4533" t="str">
            <v>REGIMEN COMUN</v>
          </cell>
          <cell r="J4533" t="str">
            <v>CR 27 13 29</v>
          </cell>
          <cell r="K4533" t="str">
            <v>11001</v>
          </cell>
          <cell r="L4533" t="str">
            <v>BOGOTA DC</v>
          </cell>
          <cell r="M4533" t="str">
            <v>3017079782</v>
          </cell>
        </row>
        <row r="4534">
          <cell r="A4534">
            <v>900011991</v>
          </cell>
          <cell r="B4534" t="str">
            <v>6</v>
          </cell>
          <cell r="C4534" t="str">
            <v/>
          </cell>
          <cell r="D4534" t="str">
            <v>NJ</v>
          </cell>
          <cell r="E4534" t="str">
            <v/>
          </cell>
          <cell r="F4534" t="str">
            <v/>
          </cell>
          <cell r="G4534" t="str">
            <v>HOTEL PAVILLON ROYAL LTDA</v>
          </cell>
          <cell r="H4534" t="str">
            <v>RCAU</v>
          </cell>
          <cell r="I4534" t="str">
            <v>RESPONSABLE IVA - AUTORETENEDOR</v>
          </cell>
          <cell r="J4534" t="str">
            <v>CL 94   11   45</v>
          </cell>
          <cell r="K4534" t="str">
            <v>17001</v>
          </cell>
          <cell r="L4534" t="str">
            <v>MANIZALES</v>
          </cell>
          <cell r="M4534" t="str">
            <v>6502555</v>
          </cell>
        </row>
        <row r="4535">
          <cell r="A4535">
            <v>900013033</v>
          </cell>
          <cell r="B4535" t="str">
            <v>4</v>
          </cell>
          <cell r="C4535" t="str">
            <v/>
          </cell>
          <cell r="D4535" t="str">
            <v>NJ</v>
          </cell>
          <cell r="E4535" t="str">
            <v/>
          </cell>
          <cell r="F4535" t="str">
            <v/>
          </cell>
          <cell r="G4535" t="str">
            <v>KUSPYDE INGENIERIA SAS</v>
          </cell>
          <cell r="H4535" t="str">
            <v>IMVE</v>
          </cell>
          <cell r="I4535" t="str">
            <v>IMPUESTO SOBRE LAS VENTAS</v>
          </cell>
          <cell r="J4535" t="str">
            <v>CR 20  40 84</v>
          </cell>
          <cell r="K4535" t="str">
            <v>11001</v>
          </cell>
          <cell r="L4535" t="str">
            <v>BOGOTA DC</v>
          </cell>
          <cell r="M4535" t="str">
            <v>3054578</v>
          </cell>
        </row>
        <row r="4536">
          <cell r="A4536">
            <v>900013167</v>
          </cell>
          <cell r="B4536" t="str">
            <v>2</v>
          </cell>
          <cell r="C4536" t="str">
            <v/>
          </cell>
          <cell r="D4536" t="str">
            <v>NJ</v>
          </cell>
          <cell r="E4536" t="str">
            <v/>
          </cell>
          <cell r="F4536" t="str">
            <v/>
          </cell>
          <cell r="G4536" t="str">
            <v>DIAZ Y RESTREO SAS</v>
          </cell>
          <cell r="H4536" t="str">
            <v>RECO</v>
          </cell>
          <cell r="I4536" t="str">
            <v>REGIMEN COMUN</v>
          </cell>
          <cell r="J4536" t="str">
            <v>CR 38 N 12-235</v>
          </cell>
          <cell r="K4536" t="str">
            <v>76892</v>
          </cell>
          <cell r="L4536" t="str">
            <v>YUMBO</v>
          </cell>
          <cell r="M4536" t="str">
            <v>4852080</v>
          </cell>
        </row>
        <row r="4537">
          <cell r="A4537">
            <v>900013412</v>
          </cell>
          <cell r="B4537" t="str">
            <v>2</v>
          </cell>
          <cell r="C4537" t="str">
            <v/>
          </cell>
          <cell r="D4537" t="str">
            <v>NJ</v>
          </cell>
          <cell r="E4537" t="str">
            <v/>
          </cell>
          <cell r="F4537" t="str">
            <v/>
          </cell>
          <cell r="G4537" t="str">
            <v>ALGORITMO SOFTWARE S.A.</v>
          </cell>
          <cell r="H4537" t="str">
            <v>IMVE</v>
          </cell>
          <cell r="I4537" t="str">
            <v>IMPUESTO SOBRE LAS VENTAS</v>
          </cell>
          <cell r="J4537" t="str">
            <v>CL 64 A 21 50 ED PORTAL DE CABLE OF 303</v>
          </cell>
          <cell r="K4537" t="str">
            <v>17001</v>
          </cell>
          <cell r="L4537" t="str">
            <v>MANIZALES</v>
          </cell>
          <cell r="M4537" t="str">
            <v>8902723</v>
          </cell>
        </row>
        <row r="4538">
          <cell r="A4538">
            <v>900013821</v>
          </cell>
          <cell r="B4538" t="str">
            <v>1</v>
          </cell>
          <cell r="C4538" t="str">
            <v/>
          </cell>
          <cell r="D4538" t="str">
            <v>NJ</v>
          </cell>
          <cell r="E4538" t="str">
            <v/>
          </cell>
          <cell r="F4538" t="str">
            <v/>
          </cell>
          <cell r="G4538" t="str">
            <v>DIAZ &amp; DIAZ INGENIEROS LTDA</v>
          </cell>
          <cell r="H4538" t="str">
            <v>RECO</v>
          </cell>
          <cell r="I4538" t="str">
            <v>REGIMEN COMUN</v>
          </cell>
          <cell r="J4538" t="str">
            <v>CL 189 45 30 MIRANDELA 3 IN 2 AP 201</v>
          </cell>
          <cell r="K4538" t="str">
            <v>11001</v>
          </cell>
          <cell r="L4538" t="str">
            <v>BOGOTA DC</v>
          </cell>
          <cell r="M4538" t="str">
            <v>7737731</v>
          </cell>
        </row>
        <row r="4539">
          <cell r="A4539">
            <v>900013989</v>
          </cell>
          <cell r="B4539" t="str">
            <v>1</v>
          </cell>
          <cell r="C4539" t="str">
            <v/>
          </cell>
          <cell r="D4539" t="str">
            <v>NJ</v>
          </cell>
          <cell r="E4539" t="str">
            <v/>
          </cell>
          <cell r="F4539" t="str">
            <v/>
          </cell>
          <cell r="G4539" t="str">
            <v>ECOSOLUCIONES SAS</v>
          </cell>
          <cell r="H4539" t="str">
            <v>IMVE</v>
          </cell>
          <cell r="I4539" t="str">
            <v>IMPUESTO SOBRE LAS VENTAS</v>
          </cell>
          <cell r="J4539" t="str">
            <v>DG 47 77 B  09</v>
          </cell>
          <cell r="K4539" t="str">
            <v>11001</v>
          </cell>
          <cell r="L4539" t="str">
            <v>BOGOTA DC</v>
          </cell>
          <cell r="M4539" t="str">
            <v>7452269</v>
          </cell>
        </row>
        <row r="4540">
          <cell r="A4540">
            <v>900014141</v>
          </cell>
          <cell r="B4540" t="str">
            <v>6</v>
          </cell>
          <cell r="C4540" t="str">
            <v/>
          </cell>
          <cell r="D4540" t="str">
            <v>NJ</v>
          </cell>
          <cell r="E4540" t="str">
            <v/>
          </cell>
          <cell r="F4540" t="str">
            <v/>
          </cell>
          <cell r="G4540" t="str">
            <v>HUJUETA S.A</v>
          </cell>
          <cell r="H4540" t="str">
            <v>RECO</v>
          </cell>
          <cell r="I4540" t="str">
            <v>REGIMEN COMUN</v>
          </cell>
          <cell r="J4540" t="str">
            <v>CR 19 9 57</v>
          </cell>
          <cell r="K4540" t="str">
            <v>15238</v>
          </cell>
          <cell r="L4540" t="str">
            <v>DUITAMA</v>
          </cell>
          <cell r="M4540" t="str">
            <v>7651036</v>
          </cell>
        </row>
        <row r="4541">
          <cell r="A4541">
            <v>900014237</v>
          </cell>
          <cell r="B4541" t="str">
            <v>4</v>
          </cell>
          <cell r="C4541" t="str">
            <v/>
          </cell>
          <cell r="D4541" t="str">
            <v>NJ</v>
          </cell>
          <cell r="E4541" t="str">
            <v/>
          </cell>
          <cell r="F4541" t="str">
            <v/>
          </cell>
          <cell r="G4541" t="str">
            <v>ASISTIR IPS Y HSE SU COMPAÑIA EN SALUD LTDA</v>
          </cell>
          <cell r="H4541" t="str">
            <v>RECO</v>
          </cell>
          <cell r="I4541" t="str">
            <v>REGIMEN COMUN</v>
          </cell>
          <cell r="J4541" t="str">
            <v>CL 17   27   56</v>
          </cell>
          <cell r="K4541" t="str">
            <v>85001</v>
          </cell>
          <cell r="L4541" t="str">
            <v>YOPAL</v>
          </cell>
          <cell r="M4541" t="str">
            <v>6357082</v>
          </cell>
        </row>
        <row r="4542">
          <cell r="A4542">
            <v>900015659</v>
          </cell>
          <cell r="B4542" t="str">
            <v>3</v>
          </cell>
          <cell r="C4542" t="str">
            <v/>
          </cell>
          <cell r="D4542" t="str">
            <v>NJ</v>
          </cell>
          <cell r="E4542" t="str">
            <v/>
          </cell>
          <cell r="F4542" t="str">
            <v/>
          </cell>
          <cell r="G4542" t="str">
            <v>VOLUMED SAS</v>
          </cell>
          <cell r="H4542" t="str">
            <v>RECO</v>
          </cell>
          <cell r="I4542" t="str">
            <v>REGIMEN COMUN</v>
          </cell>
          <cell r="J4542" t="str">
            <v>CR 54 14 68</v>
          </cell>
          <cell r="K4542" t="str">
            <v>11001</v>
          </cell>
          <cell r="L4542" t="str">
            <v>BOGOTA DC</v>
          </cell>
          <cell r="M4542" t="str">
            <v>3132932447</v>
          </cell>
        </row>
        <row r="4543">
          <cell r="A4543">
            <v>900019714</v>
          </cell>
          <cell r="B4543" t="str">
            <v>9</v>
          </cell>
          <cell r="C4543" t="str">
            <v/>
          </cell>
          <cell r="D4543" t="str">
            <v>NJ</v>
          </cell>
          <cell r="E4543" t="str">
            <v/>
          </cell>
          <cell r="F4543" t="str">
            <v/>
          </cell>
          <cell r="G4543" t="str">
            <v>SMR EL RESPLANDOR SAS</v>
          </cell>
          <cell r="H4543" t="str">
            <v>IMVE</v>
          </cell>
          <cell r="I4543" t="str">
            <v>IMPUESTO SOBRE LAS VENTAS</v>
          </cell>
          <cell r="J4543" t="str">
            <v>CL 18 A 26 47</v>
          </cell>
          <cell r="K4543" t="str">
            <v>15238</v>
          </cell>
          <cell r="L4543" t="str">
            <v>DUITAMA</v>
          </cell>
          <cell r="M4543" t="str">
            <v>3204935073</v>
          </cell>
        </row>
        <row r="4544">
          <cell r="A4544">
            <v>900020751</v>
          </cell>
          <cell r="B4544" t="str">
            <v>3</v>
          </cell>
          <cell r="C4544" t="str">
            <v/>
          </cell>
          <cell r="D4544" t="str">
            <v>NJ</v>
          </cell>
          <cell r="E4544" t="str">
            <v/>
          </cell>
          <cell r="F4544" t="str">
            <v/>
          </cell>
          <cell r="G4544" t="str">
            <v>PANDAID SOLUCIONES DE COLOMBIA LTDA</v>
          </cell>
          <cell r="H4544" t="str">
            <v>RECO</v>
          </cell>
          <cell r="I4544" t="str">
            <v>REGIMEN COMUN</v>
          </cell>
          <cell r="J4544" t="str">
            <v xml:space="preserve"> CR 11 A  94 A  31 OF 104</v>
          </cell>
          <cell r="K4544" t="str">
            <v>11001</v>
          </cell>
          <cell r="L4544" t="str">
            <v>BOGOTA DC</v>
          </cell>
          <cell r="M4544" t="str">
            <v>6183334</v>
          </cell>
        </row>
        <row r="4545">
          <cell r="A4545">
            <v>900021157</v>
          </cell>
          <cell r="B4545" t="str">
            <v>2</v>
          </cell>
          <cell r="C4545" t="str">
            <v/>
          </cell>
          <cell r="D4545" t="str">
            <v>NJ</v>
          </cell>
          <cell r="E4545" t="str">
            <v/>
          </cell>
          <cell r="F4545" t="str">
            <v/>
          </cell>
          <cell r="G4545" t="str">
            <v>CAIA INGENIERÍA S.A.S</v>
          </cell>
          <cell r="H4545" t="str">
            <v>RECO</v>
          </cell>
          <cell r="I4545" t="str">
            <v>REGIMEN COMUN</v>
          </cell>
          <cell r="J4545" t="str">
            <v>CL 67 7 94 OF404 TO COLFONDOS</v>
          </cell>
          <cell r="K4545" t="str">
            <v>11001</v>
          </cell>
          <cell r="L4545" t="str">
            <v>BOGOTA DC</v>
          </cell>
          <cell r="M4545" t="str">
            <v>3002162406</v>
          </cell>
        </row>
        <row r="4546">
          <cell r="A4546">
            <v>900021469</v>
          </cell>
          <cell r="B4546" t="str">
            <v>5</v>
          </cell>
          <cell r="C4546" t="str">
            <v/>
          </cell>
          <cell r="D4546" t="str">
            <v>NJ</v>
          </cell>
          <cell r="E4546" t="str">
            <v/>
          </cell>
          <cell r="F4546" t="str">
            <v/>
          </cell>
          <cell r="G4546" t="str">
            <v>AGROINDUSTRIAS Y SERVICIOS AMBIENTALES S.A.S</v>
          </cell>
          <cell r="H4546" t="str">
            <v>REOR</v>
          </cell>
          <cell r="I4546" t="str">
            <v>RENTA REGIMEN ORDINARIO</v>
          </cell>
          <cell r="J4546" t="str">
            <v>CL 9   20   44</v>
          </cell>
          <cell r="K4546" t="str">
            <v>85001</v>
          </cell>
          <cell r="L4546" t="str">
            <v>YOPAL</v>
          </cell>
          <cell r="M4546" t="str">
            <v>6349375</v>
          </cell>
        </row>
        <row r="4547">
          <cell r="A4547">
            <v>900021544</v>
          </cell>
          <cell r="B4547" t="str">
            <v>1</v>
          </cell>
          <cell r="C4547" t="str">
            <v/>
          </cell>
          <cell r="D4547" t="str">
            <v>NJ</v>
          </cell>
          <cell r="E4547" t="str">
            <v/>
          </cell>
          <cell r="F4547" t="str">
            <v/>
          </cell>
          <cell r="G4547" t="str">
            <v>COPROCAR SAS</v>
          </cell>
          <cell r="H4547" t="str">
            <v>RESI</v>
          </cell>
          <cell r="I4547" t="str">
            <v>REGIMEN SIMPLIFICADO</v>
          </cell>
          <cell r="J4547" t="str">
            <v xml:space="preserve"> VRD SAN JUDAS TADEO</v>
          </cell>
          <cell r="K4547" t="str">
            <v>15759</v>
          </cell>
          <cell r="L4547" t="str">
            <v>SOGAMOSO</v>
          </cell>
          <cell r="M4547" t="str">
            <v>7738888</v>
          </cell>
        </row>
        <row r="4548">
          <cell r="A4548">
            <v>900021998</v>
          </cell>
          <cell r="B4548" t="str">
            <v>1</v>
          </cell>
          <cell r="C4548" t="str">
            <v/>
          </cell>
          <cell r="D4548" t="str">
            <v>NJ</v>
          </cell>
          <cell r="E4548" t="str">
            <v/>
          </cell>
          <cell r="F4548" t="str">
            <v/>
          </cell>
          <cell r="G4548" t="str">
            <v>ITECSA S.A.S INFORMATION TECHNOLOGIES ENTERPRISE COLOMBIA Y SURA</v>
          </cell>
          <cell r="H4548" t="str">
            <v>RECO</v>
          </cell>
          <cell r="I4548" t="str">
            <v>REGIMEN COMUN</v>
          </cell>
          <cell r="J4548" t="str">
            <v xml:space="preserve"> CL  108 45 A 59</v>
          </cell>
          <cell r="K4548" t="str">
            <v>11001</v>
          </cell>
          <cell r="L4548" t="str">
            <v>BOGOTA DC</v>
          </cell>
          <cell r="M4548" t="str">
            <v>6367483</v>
          </cell>
        </row>
        <row r="4549">
          <cell r="A4549">
            <v>900022412</v>
          </cell>
          <cell r="B4549" t="str">
            <v>0</v>
          </cell>
          <cell r="C4549" t="str">
            <v/>
          </cell>
          <cell r="D4549" t="str">
            <v>NJ</v>
          </cell>
          <cell r="E4549" t="str">
            <v/>
          </cell>
          <cell r="F4549" t="str">
            <v/>
          </cell>
          <cell r="G4549" t="str">
            <v>HERNANDO OROZCO Y CIA SAS</v>
          </cell>
          <cell r="H4549" t="str">
            <v>RECO</v>
          </cell>
          <cell r="I4549" t="str">
            <v>REGIMEN COMUN</v>
          </cell>
          <cell r="J4549" t="str">
            <v>CR 1 40 05</v>
          </cell>
          <cell r="K4549" t="str">
            <v>76001</v>
          </cell>
          <cell r="L4549" t="str">
            <v>CALI</v>
          </cell>
          <cell r="M4549" t="str">
            <v>6851500</v>
          </cell>
        </row>
        <row r="4550">
          <cell r="A4550">
            <v>900023346</v>
          </cell>
          <cell r="B4550" t="str">
            <v>7</v>
          </cell>
          <cell r="C4550" t="str">
            <v/>
          </cell>
          <cell r="D4550" t="str">
            <v>NJ</v>
          </cell>
          <cell r="E4550" t="str">
            <v/>
          </cell>
          <cell r="F4550" t="str">
            <v/>
          </cell>
          <cell r="G4550" t="str">
            <v>SOCIEDAD COLOMBIANA DE INGENIERIA APLICADA SAS</v>
          </cell>
          <cell r="H4550" t="str">
            <v>IMVE</v>
          </cell>
          <cell r="I4550" t="str">
            <v>IMPUESTO SOBRE LAS VENTAS</v>
          </cell>
          <cell r="J4550" t="str">
            <v xml:space="preserve"> CR 20 45 A 33</v>
          </cell>
          <cell r="K4550" t="str">
            <v>11001</v>
          </cell>
          <cell r="L4550" t="str">
            <v>BOGOTA DC</v>
          </cell>
          <cell r="M4550" t="str">
            <v>3401862</v>
          </cell>
        </row>
        <row r="4551">
          <cell r="A4551">
            <v>900025302</v>
          </cell>
          <cell r="B4551" t="str">
            <v>2</v>
          </cell>
          <cell r="C4551" t="str">
            <v/>
          </cell>
          <cell r="D4551" t="str">
            <v>NJ</v>
          </cell>
          <cell r="E4551" t="str">
            <v/>
          </cell>
          <cell r="F4551" t="str">
            <v/>
          </cell>
          <cell r="G4551" t="str">
            <v>FRANQUICIAS DE LAS AMÉRICAS SAS</v>
          </cell>
          <cell r="H4551" t="str">
            <v>IMVE</v>
          </cell>
          <cell r="I4551" t="str">
            <v>IMPUESTO SOBRE LAS VENTAS</v>
          </cell>
          <cell r="J4551" t="str">
            <v xml:space="preserve"> CL  20 118 285 AP 213</v>
          </cell>
          <cell r="K4551" t="str">
            <v>76001</v>
          </cell>
          <cell r="L4551" t="str">
            <v>CALI</v>
          </cell>
          <cell r="M4551" t="str">
            <v>3969561</v>
          </cell>
        </row>
        <row r="4552">
          <cell r="A4552">
            <v>900025724</v>
          </cell>
          <cell r="B4552" t="str">
            <v>7</v>
          </cell>
          <cell r="C4552" t="str">
            <v/>
          </cell>
          <cell r="D4552" t="str">
            <v>NJ</v>
          </cell>
          <cell r="E4552" t="str">
            <v/>
          </cell>
          <cell r="F4552" t="str">
            <v/>
          </cell>
          <cell r="G4552" t="str">
            <v>TEKCEN SAS</v>
          </cell>
          <cell r="H4552" t="str">
            <v>IMVE</v>
          </cell>
          <cell r="I4552" t="str">
            <v>IMPUESTO SOBRE LAS VENTAS</v>
          </cell>
          <cell r="J4552" t="str">
            <v>12 A  77 A  48 O  F  I 504</v>
          </cell>
          <cell r="K4552" t="str">
            <v>11001</v>
          </cell>
          <cell r="L4552" t="str">
            <v>BOGOTA DC</v>
          </cell>
          <cell r="M4552" t="str">
            <v>3015181364</v>
          </cell>
        </row>
        <row r="4553">
          <cell r="A4553">
            <v>900026089</v>
          </cell>
          <cell r="B4553" t="str">
            <v>2</v>
          </cell>
          <cell r="C4553" t="str">
            <v/>
          </cell>
          <cell r="D4553" t="str">
            <v>NJ</v>
          </cell>
          <cell r="E4553" t="str">
            <v/>
          </cell>
          <cell r="F4553" t="str">
            <v/>
          </cell>
          <cell r="G4553" t="str">
            <v>GAMALOG SAS</v>
          </cell>
          <cell r="H4553" t="str">
            <v>RECO</v>
          </cell>
          <cell r="I4553" t="str">
            <v>REGIMEN COMUN</v>
          </cell>
          <cell r="J4553" t="str">
            <v xml:space="preserve"> AC 25 G  96 B  63 O  F  C 201</v>
          </cell>
          <cell r="K4553" t="str">
            <v>11001</v>
          </cell>
          <cell r="L4553" t="str">
            <v>BOGOTA DC</v>
          </cell>
          <cell r="M4553" t="str">
            <v>9261466</v>
          </cell>
        </row>
        <row r="4554">
          <cell r="A4554">
            <v>900026419</v>
          </cell>
          <cell r="B4554" t="str">
            <v>1</v>
          </cell>
          <cell r="C4554" t="str">
            <v/>
          </cell>
          <cell r="D4554" t="str">
            <v>NJ</v>
          </cell>
          <cell r="E4554" t="str">
            <v/>
          </cell>
          <cell r="F4554" t="str">
            <v/>
          </cell>
          <cell r="G4554" t="str">
            <v>BIOTOPO SERVICIOS DE INGENIERIA Y MEDIO AMBIENTE EMPRESA UNIPERS</v>
          </cell>
          <cell r="H4554" t="str">
            <v>RECO</v>
          </cell>
          <cell r="I4554" t="str">
            <v>REGIMEN COMUN</v>
          </cell>
          <cell r="J4554" t="str">
            <v>ED PLAZA CENTRO OF 208</v>
          </cell>
          <cell r="K4554" t="str">
            <v>17001</v>
          </cell>
          <cell r="L4554" t="str">
            <v>MANIZALES</v>
          </cell>
          <cell r="M4554" t="str">
            <v>3104104048</v>
          </cell>
        </row>
        <row r="4555">
          <cell r="A4555">
            <v>900026821</v>
          </cell>
          <cell r="B4555" t="str">
            <v>8</v>
          </cell>
          <cell r="C4555" t="str">
            <v/>
          </cell>
          <cell r="D4555" t="str">
            <v>NJ</v>
          </cell>
          <cell r="E4555" t="str">
            <v/>
          </cell>
          <cell r="F4555" t="str">
            <v/>
          </cell>
          <cell r="G4555" t="str">
            <v>COMFER SAS</v>
          </cell>
          <cell r="H4555" t="str">
            <v>IMVE</v>
          </cell>
          <cell r="I4555" t="str">
            <v>IMPUESTO SOBRE LAS VENTAS</v>
          </cell>
          <cell r="J4555" t="str">
            <v>CR 16 27 40</v>
          </cell>
          <cell r="K4555" t="str">
            <v>15001</v>
          </cell>
          <cell r="L4555" t="str">
            <v>TUNJA</v>
          </cell>
          <cell r="M4555" t="str">
            <v>3123533042</v>
          </cell>
        </row>
        <row r="4556">
          <cell r="A4556">
            <v>900031764</v>
          </cell>
          <cell r="B4556" t="str">
            <v>6</v>
          </cell>
          <cell r="C4556" t="str">
            <v/>
          </cell>
          <cell r="D4556" t="str">
            <v>NJ</v>
          </cell>
          <cell r="E4556" t="str">
            <v/>
          </cell>
          <cell r="F4556" t="str">
            <v/>
          </cell>
          <cell r="G4556" t="str">
            <v>RADIOS &amp; RINES S A</v>
          </cell>
          <cell r="H4556" t="str">
            <v>IMVE</v>
          </cell>
          <cell r="I4556" t="str">
            <v>IMPUESTO SOBRE LAS VENTAS</v>
          </cell>
          <cell r="J4556" t="str">
            <v xml:space="preserve"> CR  24 47 45 BRR LLERAS</v>
          </cell>
          <cell r="K4556" t="str">
            <v>17001</v>
          </cell>
          <cell r="L4556" t="str">
            <v>MANIZALES</v>
          </cell>
          <cell r="M4556" t="str">
            <v>8813050</v>
          </cell>
        </row>
        <row r="4557">
          <cell r="A4557">
            <v>900031780</v>
          </cell>
          <cell r="B4557" t="str">
            <v>4</v>
          </cell>
          <cell r="C4557" t="str">
            <v/>
          </cell>
          <cell r="D4557" t="str">
            <v>NJ</v>
          </cell>
          <cell r="E4557" t="str">
            <v/>
          </cell>
          <cell r="F4557" t="str">
            <v/>
          </cell>
          <cell r="G4557" t="str">
            <v>SM ASOCIADOS / FERRETERIA SYM</v>
          </cell>
          <cell r="H4557" t="str">
            <v>IMVE</v>
          </cell>
          <cell r="I4557" t="str">
            <v>IMPUESTO SOBRE LAS VENTAS</v>
          </cell>
          <cell r="J4557" t="str">
            <v>AV LIBERTADORES 22 71</v>
          </cell>
          <cell r="K4557" t="str">
            <v>15516</v>
          </cell>
          <cell r="L4557" t="str">
            <v>PAIPA</v>
          </cell>
          <cell r="M4557" t="str">
            <v>7850541</v>
          </cell>
        </row>
        <row r="4558">
          <cell r="A4558">
            <v>900032808</v>
          </cell>
          <cell r="B4558" t="str">
            <v>6</v>
          </cell>
          <cell r="C4558" t="str">
            <v/>
          </cell>
          <cell r="D4558" t="str">
            <v>NJ</v>
          </cell>
          <cell r="E4558" t="str">
            <v/>
          </cell>
          <cell r="F4558" t="str">
            <v/>
          </cell>
          <cell r="G4558" t="str">
            <v>INVERSION EN AUTOMOTORES S.A.</v>
          </cell>
          <cell r="H4558" t="str">
            <v>GRCO</v>
          </cell>
          <cell r="I4558" t="str">
            <v>GRAN CONTRIBUYENTE</v>
          </cell>
          <cell r="J4558" t="str">
            <v>AV KEVIN ANGEL   60   271</v>
          </cell>
          <cell r="K4558" t="str">
            <v>17001</v>
          </cell>
          <cell r="L4558" t="str">
            <v>MANIZALES</v>
          </cell>
          <cell r="M4558" t="str">
            <v>8754100</v>
          </cell>
        </row>
        <row r="4559">
          <cell r="A4559">
            <v>900034006</v>
          </cell>
          <cell r="B4559" t="str">
            <v>5</v>
          </cell>
          <cell r="C4559" t="str">
            <v/>
          </cell>
          <cell r="D4559" t="str">
            <v>NJ</v>
          </cell>
          <cell r="E4559" t="str">
            <v/>
          </cell>
          <cell r="F4559" t="str">
            <v/>
          </cell>
          <cell r="G4559" t="str">
            <v>SERVICIOS Y EQUIPOS VERDES S.A.</v>
          </cell>
          <cell r="H4559" t="str">
            <v>RECO</v>
          </cell>
          <cell r="I4559" t="str">
            <v>REGIMEN COMUN</v>
          </cell>
          <cell r="J4559" t="str">
            <v>CR 47 A 103 40</v>
          </cell>
          <cell r="K4559" t="str">
            <v>11001</v>
          </cell>
          <cell r="L4559" t="str">
            <v>BOGOTA DC</v>
          </cell>
          <cell r="M4559" t="str">
            <v>6235670</v>
          </cell>
        </row>
        <row r="4560">
          <cell r="A4560">
            <v>900034750</v>
          </cell>
          <cell r="B4560" t="str">
            <v>7</v>
          </cell>
          <cell r="C4560" t="str">
            <v/>
          </cell>
          <cell r="D4560" t="str">
            <v>NJ</v>
          </cell>
          <cell r="E4560" t="str">
            <v/>
          </cell>
          <cell r="F4560" t="str">
            <v/>
          </cell>
          <cell r="G4560" t="str">
            <v>SERVICIOS INDUSTRIALES Y AMBIENTALES LTDA SIAM LTDA.</v>
          </cell>
          <cell r="H4560" t="str">
            <v>IMVE</v>
          </cell>
          <cell r="I4560" t="str">
            <v>IMPUESTO SOBRE LAS VENTAS</v>
          </cell>
          <cell r="J4560" t="str">
            <v>CR 3  18  09 BRR EL LIBERTADOR</v>
          </cell>
          <cell r="K4560" t="str">
            <v>15238</v>
          </cell>
          <cell r="L4560" t="str">
            <v>DUITAMA</v>
          </cell>
          <cell r="M4560" t="str">
            <v>3208510863</v>
          </cell>
        </row>
        <row r="4561">
          <cell r="A4561">
            <v>900034993</v>
          </cell>
          <cell r="B4561" t="str">
            <v>1</v>
          </cell>
          <cell r="C4561" t="str">
            <v>66500000</v>
          </cell>
          <cell r="D4561" t="str">
            <v>NJ</v>
          </cell>
          <cell r="E4561" t="str">
            <v/>
          </cell>
          <cell r="F4561" t="str">
            <v/>
          </cell>
          <cell r="G4561" t="str">
            <v>COMISIÓN DE REGULACIÓN DE ENERGÍA Y GAS</v>
          </cell>
          <cell r="H4561" t="str">
            <v>COIM</v>
          </cell>
          <cell r="I4561" t="str">
            <v>CONTROL DE IMPUESTOS</v>
          </cell>
          <cell r="J4561" t="str">
            <v>CL 116 7 15 IN 2 P 9 OF 901</v>
          </cell>
          <cell r="K4561" t="str">
            <v>11001</v>
          </cell>
          <cell r="L4561" t="str">
            <v>BOGOTA DC</v>
          </cell>
          <cell r="M4561" t="str">
            <v>6016032020</v>
          </cell>
        </row>
        <row r="4562">
          <cell r="A4562">
            <v>900036523</v>
          </cell>
          <cell r="B4562" t="str">
            <v>0</v>
          </cell>
          <cell r="C4562" t="str">
            <v/>
          </cell>
          <cell r="D4562" t="str">
            <v>NJ</v>
          </cell>
          <cell r="E4562" t="str">
            <v/>
          </cell>
          <cell r="F4562" t="str">
            <v/>
          </cell>
          <cell r="G4562" t="str">
            <v>CALPES S.A.</v>
          </cell>
          <cell r="H4562" t="str">
            <v>IMVE</v>
          </cell>
          <cell r="I4562" t="str">
            <v>IMPUESTO SOBRE LAS VENTAS</v>
          </cell>
          <cell r="J4562" t="str">
            <v>CR 21 100 20 OF 401</v>
          </cell>
          <cell r="K4562" t="str">
            <v>11001</v>
          </cell>
          <cell r="L4562" t="str">
            <v>BOGOTA DC</v>
          </cell>
          <cell r="M4562" t="str">
            <v>2362769</v>
          </cell>
        </row>
        <row r="4563">
          <cell r="A4563">
            <v>900036536</v>
          </cell>
          <cell r="B4563" t="str">
            <v>6</v>
          </cell>
          <cell r="C4563" t="str">
            <v/>
          </cell>
          <cell r="D4563" t="str">
            <v>NJ</v>
          </cell>
          <cell r="E4563" t="str">
            <v/>
          </cell>
          <cell r="F4563" t="str">
            <v/>
          </cell>
          <cell r="G4563" t="str">
            <v>FERRETERIA MEGACOL</v>
          </cell>
          <cell r="H4563" t="str">
            <v>RECO</v>
          </cell>
          <cell r="I4563" t="str">
            <v>REGIMEN COMUN</v>
          </cell>
          <cell r="J4563" t="str">
            <v>CL 15 22 49</v>
          </cell>
          <cell r="K4563" t="str">
            <v>11001</v>
          </cell>
          <cell r="L4563" t="str">
            <v>BOGOTA DC</v>
          </cell>
          <cell r="M4563" t="str">
            <v>2779691</v>
          </cell>
        </row>
        <row r="4564">
          <cell r="A4564">
            <v>900039533</v>
          </cell>
          <cell r="B4564" t="str">
            <v>8</v>
          </cell>
          <cell r="C4564" t="str">
            <v>821500000</v>
          </cell>
          <cell r="D4564" t="str">
            <v>NJ</v>
          </cell>
          <cell r="E4564" t="str">
            <v/>
          </cell>
          <cell r="F4564" t="str">
            <v/>
          </cell>
          <cell r="G4564" t="str">
            <v>DEPARTAMENTO ADMINISTRATIVO PARA LA PROSPERIDAD SOCIAL</v>
          </cell>
          <cell r="H4564" t="str">
            <v>GRCO</v>
          </cell>
          <cell r="I4564" t="str">
            <v>GRAN CONTRIBUYENTE</v>
          </cell>
          <cell r="J4564" t="str">
            <v>CL 07   06   54</v>
          </cell>
          <cell r="K4564" t="str">
            <v>11001</v>
          </cell>
          <cell r="L4564" t="str">
            <v>BOGOTA DC</v>
          </cell>
          <cell r="M4564" t="str">
            <v>596 0800</v>
          </cell>
        </row>
        <row r="4565">
          <cell r="A4565">
            <v>900040583</v>
          </cell>
          <cell r="B4565" t="str">
            <v>8</v>
          </cell>
          <cell r="C4565" t="str">
            <v/>
          </cell>
          <cell r="D4565" t="str">
            <v>NJ</v>
          </cell>
          <cell r="E4565" t="str">
            <v/>
          </cell>
          <cell r="F4565" t="str">
            <v/>
          </cell>
          <cell r="G4565" t="str">
            <v>INNOVACIONES ENERGETICAS Y DE COMUNICACIONES LTDA</v>
          </cell>
          <cell r="H4565" t="str">
            <v>IMVE</v>
          </cell>
          <cell r="I4565" t="str">
            <v>IMPUESTO SOBRE LAS VENTAS</v>
          </cell>
          <cell r="J4565" t="str">
            <v>CL 61 9 83 OF 203</v>
          </cell>
          <cell r="K4565" t="str">
            <v>11001</v>
          </cell>
          <cell r="L4565" t="str">
            <v>BOGOTA DC</v>
          </cell>
          <cell r="M4565" t="str">
            <v>5406134</v>
          </cell>
        </row>
        <row r="4566">
          <cell r="A4566">
            <v>900042580</v>
          </cell>
          <cell r="B4566" t="str">
            <v>5</v>
          </cell>
          <cell r="C4566" t="str">
            <v/>
          </cell>
          <cell r="D4566" t="str">
            <v>NJ</v>
          </cell>
          <cell r="E4566" t="str">
            <v/>
          </cell>
          <cell r="F4566" t="str">
            <v/>
          </cell>
          <cell r="G4566" t="str">
            <v>PARTES Y REPUESTOS TECNICOS S.A.S</v>
          </cell>
          <cell r="H4566" t="str">
            <v>IMVE</v>
          </cell>
          <cell r="I4566" t="str">
            <v>IMPUESTO SOBRE LAS VENTAS</v>
          </cell>
          <cell r="J4566" t="str">
            <v xml:space="preserve"> C  L 92 B  S  U  R  49 131</v>
          </cell>
          <cell r="K4566" t="str">
            <v>11</v>
          </cell>
          <cell r="L4566" t="str">
            <v>ANTIOQUIA</v>
          </cell>
          <cell r="M4566" t="str">
            <v>4800260</v>
          </cell>
        </row>
        <row r="4567">
          <cell r="A4567">
            <v>900042857</v>
          </cell>
          <cell r="B4567" t="str">
            <v>1</v>
          </cell>
          <cell r="C4567" t="str">
            <v>39305000</v>
          </cell>
          <cell r="D4567" t="str">
            <v>NJ</v>
          </cell>
          <cell r="E4567" t="str">
            <v/>
          </cell>
          <cell r="F4567" t="str">
            <v/>
          </cell>
          <cell r="G4567" t="str">
            <v>COMPAÑIA DE EXPERTOS EN MERCADOS S.A E.S.P/XM</v>
          </cell>
          <cell r="H4567" t="str">
            <v>GRAU</v>
          </cell>
          <cell r="I4567" t="str">
            <v>GRAN CONTRIBUYENTE AUTORRETENEDO</v>
          </cell>
          <cell r="J4567" t="str">
            <v>CL 12 SUR   18 168</v>
          </cell>
          <cell r="K4567" t="str">
            <v>05001</v>
          </cell>
          <cell r="L4567" t="str">
            <v>MEDELLÍN</v>
          </cell>
          <cell r="M4567" t="str">
            <v>3172244</v>
          </cell>
        </row>
        <row r="4568">
          <cell r="A4568">
            <v>900043472</v>
          </cell>
          <cell r="B4568" t="str">
            <v>2</v>
          </cell>
          <cell r="C4568" t="str">
            <v/>
          </cell>
          <cell r="D4568" t="str">
            <v>NJ</v>
          </cell>
          <cell r="E4568" t="str">
            <v/>
          </cell>
          <cell r="F4568" t="str">
            <v/>
          </cell>
          <cell r="G4568" t="str">
            <v>INGENIERIA SANITARIA DE SUELOS ESTRUCTURAS Y AMBIENTAL LTDA/ISEA</v>
          </cell>
          <cell r="H4568" t="str">
            <v>RECO</v>
          </cell>
          <cell r="I4568" t="str">
            <v>REGIMEN COMUN</v>
          </cell>
          <cell r="J4568" t="str">
            <v>CL 19   30   75 IN 115</v>
          </cell>
          <cell r="K4568" t="str">
            <v>05001</v>
          </cell>
          <cell r="L4568" t="str">
            <v>MEDELLÍN</v>
          </cell>
          <cell r="M4568" t="str">
            <v>2689883</v>
          </cell>
        </row>
        <row r="4569">
          <cell r="A4569">
            <v>900044535</v>
          </cell>
          <cell r="B4569" t="str">
            <v>2</v>
          </cell>
          <cell r="C4569" t="str">
            <v/>
          </cell>
          <cell r="D4569" t="str">
            <v>NJ</v>
          </cell>
          <cell r="E4569" t="str">
            <v/>
          </cell>
          <cell r="F4569" t="str">
            <v/>
          </cell>
          <cell r="G4569" t="str">
            <v xml:space="preserve">FERRETERIA ELITEC LTDA.                                     </v>
          </cell>
          <cell r="H4569" t="str">
            <v>RECO</v>
          </cell>
          <cell r="I4569" t="str">
            <v>REGIMEN COMUN</v>
          </cell>
          <cell r="J4569" t="str">
            <v xml:space="preserve"> 13 24 37 OF 402 B</v>
          </cell>
          <cell r="K4569" t="str">
            <v>11001</v>
          </cell>
          <cell r="L4569" t="str">
            <v>BOGOTA DC</v>
          </cell>
          <cell r="M4569" t="str">
            <v>2015195</v>
          </cell>
        </row>
        <row r="4570">
          <cell r="A4570">
            <v>900045482</v>
          </cell>
          <cell r="B4570" t="str">
            <v>5</v>
          </cell>
          <cell r="C4570" t="str">
            <v/>
          </cell>
          <cell r="D4570" t="str">
            <v>NJ</v>
          </cell>
          <cell r="E4570" t="str">
            <v/>
          </cell>
          <cell r="F4570" t="str">
            <v/>
          </cell>
          <cell r="G4570" t="str">
            <v xml:space="preserve">PROSEPAL S.A.S.                                             </v>
          </cell>
          <cell r="H4570" t="str">
            <v>RECO</v>
          </cell>
          <cell r="I4570" t="str">
            <v>REGIMEN COMUN</v>
          </cell>
          <cell r="J4570" t="str">
            <v xml:space="preserve"> AV 15 100 69 OF 605</v>
          </cell>
          <cell r="K4570" t="str">
            <v>11001</v>
          </cell>
          <cell r="L4570" t="str">
            <v>BOGOTA DC</v>
          </cell>
          <cell r="M4570" t="str">
            <v>6912407</v>
          </cell>
        </row>
        <row r="4571">
          <cell r="A4571">
            <v>900046724</v>
          </cell>
          <cell r="B4571" t="str">
            <v>7</v>
          </cell>
          <cell r="C4571" t="str">
            <v/>
          </cell>
          <cell r="D4571" t="str">
            <v>NJ</v>
          </cell>
          <cell r="E4571" t="str">
            <v/>
          </cell>
          <cell r="F4571" t="str">
            <v/>
          </cell>
          <cell r="G4571" t="str">
            <v>PETRO EXA LTDA</v>
          </cell>
          <cell r="H4571" t="str">
            <v>RECO</v>
          </cell>
          <cell r="I4571" t="str">
            <v>REGIMEN COMUN</v>
          </cell>
          <cell r="J4571" t="str">
            <v>CL 65  A  17 32</v>
          </cell>
          <cell r="K4571" t="str">
            <v>11001</v>
          </cell>
          <cell r="L4571" t="str">
            <v>BOGOTA DC</v>
          </cell>
          <cell r="M4571" t="str">
            <v>4779222</v>
          </cell>
        </row>
        <row r="4572">
          <cell r="A4572">
            <v>900048371</v>
          </cell>
          <cell r="B4572" t="str">
            <v>1</v>
          </cell>
          <cell r="C4572" t="str">
            <v/>
          </cell>
          <cell r="D4572" t="str">
            <v>NJ</v>
          </cell>
          <cell r="E4572" t="str">
            <v/>
          </cell>
          <cell r="F4572" t="str">
            <v/>
          </cell>
          <cell r="G4572" t="str">
            <v>AUTOMATIZACION E INFORMATICA INDUSTRIAL SAS</v>
          </cell>
          <cell r="H4572" t="str">
            <v>IMVE</v>
          </cell>
          <cell r="I4572" t="str">
            <v>IMPUESTO SOBRE LAS VENTAS</v>
          </cell>
          <cell r="J4572" t="str">
            <v>CR 12 14 105 OF 205</v>
          </cell>
          <cell r="K4572" t="str">
            <v>15759</v>
          </cell>
          <cell r="L4572" t="str">
            <v>SOGAMOSO</v>
          </cell>
          <cell r="M4572" t="str">
            <v>7712443</v>
          </cell>
        </row>
        <row r="4573">
          <cell r="A4573">
            <v>900049176</v>
          </cell>
          <cell r="B4573" t="str">
            <v>4</v>
          </cell>
          <cell r="C4573" t="str">
            <v/>
          </cell>
          <cell r="D4573" t="str">
            <v>NJ</v>
          </cell>
          <cell r="E4573" t="str">
            <v/>
          </cell>
          <cell r="F4573" t="str">
            <v/>
          </cell>
          <cell r="G4573" t="str">
            <v>PRODICARBONES LTDA</v>
          </cell>
          <cell r="H4573" t="str">
            <v>RECO</v>
          </cell>
          <cell r="I4573" t="str">
            <v>REGIMEN COMUN</v>
          </cell>
          <cell r="J4573" t="str">
            <v>CL 9 B 31 A 06</v>
          </cell>
          <cell r="K4573" t="str">
            <v>15238</v>
          </cell>
          <cell r="L4573" t="str">
            <v>DUITAMA</v>
          </cell>
          <cell r="M4573" t="str">
            <v>7612670</v>
          </cell>
        </row>
        <row r="4574">
          <cell r="A4574">
            <v>900051013</v>
          </cell>
          <cell r="B4574" t="str">
            <v>9</v>
          </cell>
          <cell r="C4574" t="str">
            <v/>
          </cell>
          <cell r="D4574" t="str">
            <v>NJ</v>
          </cell>
          <cell r="E4574" t="str">
            <v/>
          </cell>
          <cell r="F4574" t="str">
            <v/>
          </cell>
          <cell r="G4574" t="str">
            <v>ASOCIACIÓN DE DESARROLLO COMUNAL DEL BARRIO ARANJUEZ</v>
          </cell>
          <cell r="H4574" t="str">
            <v>RESI</v>
          </cell>
          <cell r="I4574" t="str">
            <v>REGIMEN SIMPLIFICADO</v>
          </cell>
          <cell r="J4574" t="str">
            <v xml:space="preserve"> CL 73 A  40 A 45</v>
          </cell>
          <cell r="K4574" t="str">
            <v>17001</v>
          </cell>
          <cell r="L4574" t="str">
            <v>MANIZALES</v>
          </cell>
          <cell r="M4574" t="str">
            <v>3154991080</v>
          </cell>
        </row>
        <row r="4575">
          <cell r="A4575">
            <v>900052502</v>
          </cell>
          <cell r="B4575" t="str">
            <v>3</v>
          </cell>
          <cell r="C4575" t="str">
            <v/>
          </cell>
          <cell r="D4575" t="str">
            <v>NJ</v>
          </cell>
          <cell r="E4575" t="str">
            <v/>
          </cell>
          <cell r="F4575" t="str">
            <v/>
          </cell>
          <cell r="G4575" t="str">
            <v>INVERSIONES JARAMILLO GUERRERO SAS.</v>
          </cell>
          <cell r="H4575" t="str">
            <v>IMVE</v>
          </cell>
          <cell r="I4575" t="str">
            <v>IMPUESTO SOBRE LAS VENTAS</v>
          </cell>
          <cell r="J4575" t="str">
            <v>CRA 23 64B 33TO 2 OF. 202 B EDIF. CTRO NEGOCIOS SIGLO XXI LAUREL</v>
          </cell>
          <cell r="K4575" t="str">
            <v>17001</v>
          </cell>
          <cell r="L4575" t="str">
            <v>MANIZALES</v>
          </cell>
          <cell r="M4575" t="str">
            <v>6068756328</v>
          </cell>
        </row>
        <row r="4576">
          <cell r="A4576">
            <v>900053473</v>
          </cell>
          <cell r="B4576" t="str">
            <v>2</v>
          </cell>
          <cell r="C4576" t="str">
            <v/>
          </cell>
          <cell r="D4576" t="str">
            <v>NJ</v>
          </cell>
          <cell r="E4576" t="str">
            <v/>
          </cell>
          <cell r="F4576" t="str">
            <v/>
          </cell>
          <cell r="G4576" t="str">
            <v>PROYECTEN S.A.S</v>
          </cell>
          <cell r="H4576" t="str">
            <v>IMVE</v>
          </cell>
          <cell r="I4576" t="str">
            <v>IMPUESTO SOBRE LAS VENTAS</v>
          </cell>
          <cell r="J4576" t="str">
            <v>CL 22 22 26 OF 701</v>
          </cell>
          <cell r="K4576" t="str">
            <v>17001</v>
          </cell>
          <cell r="L4576" t="str">
            <v>MANIZALES</v>
          </cell>
          <cell r="M4576" t="str">
            <v>3122595597</v>
          </cell>
        </row>
        <row r="4577">
          <cell r="A4577">
            <v>900054429</v>
          </cell>
          <cell r="B4577" t="str">
            <v>2</v>
          </cell>
          <cell r="C4577" t="str">
            <v/>
          </cell>
          <cell r="D4577" t="str">
            <v>NJ</v>
          </cell>
          <cell r="E4577" t="str">
            <v/>
          </cell>
          <cell r="F4577" t="str">
            <v/>
          </cell>
          <cell r="G4577" t="str">
            <v>CENTRO VACACIONAL PARAISO TROPICAL S EN C</v>
          </cell>
          <cell r="H4577" t="str">
            <v>RECO</v>
          </cell>
          <cell r="I4577" t="str">
            <v>REGIMEN COMUN</v>
          </cell>
          <cell r="J4577" t="str">
            <v>AV CIRCUNVALAR BRR VILLAS DEL SAN JUAN</v>
          </cell>
          <cell r="K4577" t="str">
            <v>85430</v>
          </cell>
          <cell r="L4577" t="str">
            <v>TRINIDAD</v>
          </cell>
          <cell r="M4577" t="str">
            <v>3107996382</v>
          </cell>
        </row>
        <row r="4578">
          <cell r="A4578">
            <v>900054589</v>
          </cell>
          <cell r="B4578" t="str">
            <v>2</v>
          </cell>
          <cell r="C4578" t="str">
            <v/>
          </cell>
          <cell r="D4578" t="str">
            <v>NJ</v>
          </cell>
          <cell r="E4578" t="str">
            <v/>
          </cell>
          <cell r="F4578" t="str">
            <v/>
          </cell>
          <cell r="G4578" t="str">
            <v>INVERSORA G&amp;C SA</v>
          </cell>
          <cell r="H4578" t="str">
            <v>RECO</v>
          </cell>
          <cell r="I4578" t="str">
            <v>REGIMEN COMUN</v>
          </cell>
          <cell r="J4578" t="str">
            <v>AV ESPERANZA CL 24   44 A 79</v>
          </cell>
          <cell r="K4578" t="str">
            <v>11001</v>
          </cell>
          <cell r="L4578" t="str">
            <v>BOGOTA DC</v>
          </cell>
          <cell r="M4578" t="str">
            <v>2681666</v>
          </cell>
        </row>
        <row r="4579">
          <cell r="A4579">
            <v>900054741</v>
          </cell>
          <cell r="B4579" t="str">
            <v>6</v>
          </cell>
          <cell r="C4579" t="str">
            <v/>
          </cell>
          <cell r="D4579" t="str">
            <v>NJ</v>
          </cell>
          <cell r="E4579" t="str">
            <v/>
          </cell>
          <cell r="F4579" t="str">
            <v/>
          </cell>
          <cell r="G4579" t="str">
            <v>HOTEL CASTILLA DE ORO LIMITADA</v>
          </cell>
          <cell r="H4579" t="str">
            <v>RECO</v>
          </cell>
          <cell r="I4579" t="str">
            <v>REGIMEN COMUN</v>
          </cell>
          <cell r="J4579" t="str">
            <v>CL 100 CR 14 14 07</v>
          </cell>
          <cell r="K4579" t="str">
            <v>05837</v>
          </cell>
          <cell r="L4579" t="str">
            <v>TURBO</v>
          </cell>
          <cell r="M4579" t="str">
            <v>8272185</v>
          </cell>
        </row>
        <row r="4580">
          <cell r="A4580">
            <v>900055635</v>
          </cell>
          <cell r="B4580" t="str">
            <v>8</v>
          </cell>
          <cell r="C4580" t="str">
            <v/>
          </cell>
          <cell r="D4580" t="str">
            <v>NJ</v>
          </cell>
          <cell r="E4580" t="str">
            <v/>
          </cell>
          <cell r="F4580" t="str">
            <v/>
          </cell>
          <cell r="G4580" t="str">
            <v>INVERSIONES LIGOL S.A.S.</v>
          </cell>
          <cell r="H4580" t="str">
            <v>RCAU</v>
          </cell>
          <cell r="I4580" t="str">
            <v>RESPONSABLE IVA - AUTORETENEDOR</v>
          </cell>
          <cell r="J4580" t="str">
            <v>CR 19 40 89</v>
          </cell>
          <cell r="K4580" t="str">
            <v>11001</v>
          </cell>
          <cell r="L4580" t="str">
            <v>BOGOTA DC</v>
          </cell>
          <cell r="M4580" t="str">
            <v>2855330</v>
          </cell>
        </row>
        <row r="4581">
          <cell r="A4581">
            <v>900055843</v>
          </cell>
          <cell r="B4581" t="str">
            <v>3</v>
          </cell>
          <cell r="C4581" t="str">
            <v/>
          </cell>
          <cell r="D4581" t="str">
            <v>NJ</v>
          </cell>
          <cell r="E4581" t="str">
            <v/>
          </cell>
          <cell r="F4581" t="str">
            <v/>
          </cell>
          <cell r="G4581" t="str">
            <v>COMBUSTIBLES Y GASES DE COLOMBIA S.A.S</v>
          </cell>
          <cell r="H4581" t="str">
            <v>RECO</v>
          </cell>
          <cell r="I4581" t="str">
            <v>REGIMEN COMUN</v>
          </cell>
          <cell r="J4581" t="str">
            <v>CL 7   11 82 48</v>
          </cell>
          <cell r="K4581" t="str">
            <v>73443</v>
          </cell>
          <cell r="L4581" t="str">
            <v>MARIQUITA</v>
          </cell>
          <cell r="M4581" t="str">
            <v>982524256</v>
          </cell>
        </row>
        <row r="4582">
          <cell r="A4582">
            <v>900058407</v>
          </cell>
          <cell r="B4582" t="str">
            <v>9</v>
          </cell>
          <cell r="C4582" t="str">
            <v/>
          </cell>
          <cell r="D4582" t="str">
            <v>NJ</v>
          </cell>
          <cell r="E4582" t="str">
            <v/>
          </cell>
          <cell r="F4582" t="str">
            <v/>
          </cell>
          <cell r="G4582" t="str">
            <v>FUNDACIÓN BIODIVERSA</v>
          </cell>
          <cell r="H4582" t="str">
            <v>REIC</v>
          </cell>
          <cell r="I4582" t="str">
            <v>RENTA REGIMEN ESPECIAL</v>
          </cell>
          <cell r="J4582" t="str">
            <v>CR 22 47 15 AP 901 BL B</v>
          </cell>
          <cell r="K4582" t="str">
            <v>17001</v>
          </cell>
          <cell r="L4582" t="str">
            <v>MANIZALES</v>
          </cell>
          <cell r="M4582" t="str">
            <v>3117077561</v>
          </cell>
        </row>
        <row r="4583">
          <cell r="A4583">
            <v>900058982</v>
          </cell>
          <cell r="B4583" t="str">
            <v>2</v>
          </cell>
          <cell r="C4583" t="str">
            <v/>
          </cell>
          <cell r="D4583" t="str">
            <v>NJ</v>
          </cell>
          <cell r="E4583" t="str">
            <v/>
          </cell>
          <cell r="F4583" t="str">
            <v/>
          </cell>
          <cell r="G4583" t="str">
            <v>PLANTAR FUTURO INVERSIONES S A S</v>
          </cell>
          <cell r="H4583" t="str">
            <v>IMVE</v>
          </cell>
          <cell r="I4583" t="str">
            <v>IMPUESTO SOBRE LAS VENTAS</v>
          </cell>
          <cell r="J4583" t="str">
            <v>CL 35 20 06</v>
          </cell>
          <cell r="K4583" t="str">
            <v>11001</v>
          </cell>
          <cell r="L4583" t="str">
            <v>BOGOTA DC</v>
          </cell>
          <cell r="M4583" t="str">
            <v>4606552</v>
          </cell>
        </row>
        <row r="4584">
          <cell r="A4584">
            <v>900059238</v>
          </cell>
          <cell r="B4584" t="str">
            <v>5</v>
          </cell>
          <cell r="C4584" t="str">
            <v/>
          </cell>
          <cell r="D4584" t="str">
            <v>NJ</v>
          </cell>
          <cell r="E4584" t="str">
            <v/>
          </cell>
          <cell r="F4584" t="str">
            <v/>
          </cell>
          <cell r="G4584" t="str">
            <v>MAKRO SUPERMAYORISTA S.A.S</v>
          </cell>
          <cell r="H4584" t="str">
            <v>GRAU</v>
          </cell>
          <cell r="I4584" t="str">
            <v>GRAN CONTRIBUYENTE AUTORRETENEDO</v>
          </cell>
          <cell r="J4584" t="str">
            <v>CL 192  19-12</v>
          </cell>
          <cell r="K4584" t="str">
            <v>11001</v>
          </cell>
          <cell r="L4584" t="str">
            <v>BOGOTA DC</v>
          </cell>
          <cell r="M4584" t="str">
            <v>6752169</v>
          </cell>
        </row>
        <row r="4585">
          <cell r="A4585">
            <v>900062860</v>
          </cell>
          <cell r="B4585" t="str">
            <v>8</v>
          </cell>
          <cell r="C4585" t="str">
            <v/>
          </cell>
          <cell r="D4585" t="str">
            <v>NJ</v>
          </cell>
          <cell r="E4585" t="str">
            <v/>
          </cell>
          <cell r="F4585" t="str">
            <v/>
          </cell>
          <cell r="G4585" t="str">
            <v>ACUATEST S.A S</v>
          </cell>
          <cell r="H4585" t="str">
            <v>RECO</v>
          </cell>
          <cell r="I4585" t="str">
            <v>REGIMEN COMUN</v>
          </cell>
          <cell r="J4585" t="str">
            <v>CR 25  67 104</v>
          </cell>
          <cell r="K4585" t="str">
            <v>17001</v>
          </cell>
          <cell r="L4585" t="str">
            <v>MANIZALES</v>
          </cell>
          <cell r="M4585" t="str">
            <v>8735508</v>
          </cell>
        </row>
        <row r="4586">
          <cell r="A4586">
            <v>900062875</v>
          </cell>
          <cell r="B4586" t="str">
            <v>8</v>
          </cell>
          <cell r="C4586" t="str">
            <v/>
          </cell>
          <cell r="D4586" t="str">
            <v>NJ</v>
          </cell>
          <cell r="E4586" t="str">
            <v/>
          </cell>
          <cell r="F4586" t="str">
            <v/>
          </cell>
          <cell r="G4586" t="str">
            <v>COMPAÑIA RESTAURANTES PANORAMA SAS</v>
          </cell>
          <cell r="H4586" t="str">
            <v>RECO</v>
          </cell>
          <cell r="I4586" t="str">
            <v>REGIMEN COMUN</v>
          </cell>
          <cell r="J4586" t="str">
            <v xml:space="preserve"> CL 62 23 22</v>
          </cell>
          <cell r="K4586" t="str">
            <v>17001</v>
          </cell>
          <cell r="L4586" t="str">
            <v>MANIZALES</v>
          </cell>
          <cell r="M4586" t="str">
            <v>8853177</v>
          </cell>
        </row>
        <row r="4587">
          <cell r="A4587">
            <v>900062917</v>
          </cell>
          <cell r="B4587" t="str">
            <v>9</v>
          </cell>
          <cell r="C4587" t="str">
            <v>923269422</v>
          </cell>
          <cell r="D4587" t="str">
            <v>NJ</v>
          </cell>
          <cell r="E4587" t="str">
            <v/>
          </cell>
          <cell r="F4587" t="str">
            <v/>
          </cell>
          <cell r="G4587" t="str">
            <v>SERVICIOS POSTALES NACIONALES S.A.</v>
          </cell>
          <cell r="H4587" t="str">
            <v>GRAU</v>
          </cell>
          <cell r="I4587" t="str">
            <v>GRAN CONTRIBUYENTE AUTORRETENEDO</v>
          </cell>
          <cell r="J4587" t="str">
            <v xml:space="preserve"> DG 25 G 95 A 55</v>
          </cell>
          <cell r="K4587" t="str">
            <v>11001</v>
          </cell>
          <cell r="L4587" t="str">
            <v>BOGOTA DC</v>
          </cell>
          <cell r="M4587" t="str">
            <v>8928132</v>
          </cell>
        </row>
        <row r="4588">
          <cell r="A4588">
            <v>900063652</v>
          </cell>
          <cell r="B4588" t="str">
            <v>7</v>
          </cell>
          <cell r="C4588" t="str">
            <v/>
          </cell>
          <cell r="D4588" t="str">
            <v>NJ</v>
          </cell>
          <cell r="E4588" t="str">
            <v/>
          </cell>
          <cell r="F4588" t="str">
            <v/>
          </cell>
          <cell r="G4588" t="str">
            <v>CORPORACION TERRITORIO SANO ONG CORTESA</v>
          </cell>
          <cell r="H4588" t="str">
            <v>IMVE</v>
          </cell>
          <cell r="I4588" t="str">
            <v>IMPUESTO SOBRE LAS VENTAS</v>
          </cell>
          <cell r="J4588" t="str">
            <v xml:space="preserve"> CL 23 31 35</v>
          </cell>
          <cell r="K4588" t="str">
            <v>17001</v>
          </cell>
          <cell r="L4588" t="str">
            <v>MANIZALES</v>
          </cell>
          <cell r="M4588" t="str">
            <v>3207266246</v>
          </cell>
        </row>
        <row r="4589">
          <cell r="A4589">
            <v>900064236</v>
          </cell>
          <cell r="B4589" t="str">
            <v>0</v>
          </cell>
          <cell r="C4589" t="str">
            <v/>
          </cell>
          <cell r="D4589" t="str">
            <v>NJ</v>
          </cell>
          <cell r="E4589" t="str">
            <v/>
          </cell>
          <cell r="F4589" t="str">
            <v/>
          </cell>
          <cell r="G4589" t="str">
            <v>GRUPO SUITES S.A.S</v>
          </cell>
          <cell r="H4589" t="str">
            <v>RECO</v>
          </cell>
          <cell r="I4589" t="str">
            <v>REGIMEN COMUN</v>
          </cell>
          <cell r="J4589" t="str">
            <v>CR 43 A   1 SUR 150</v>
          </cell>
          <cell r="K4589" t="str">
            <v>05001</v>
          </cell>
          <cell r="L4589" t="str">
            <v>MEDELLÍN</v>
          </cell>
          <cell r="M4589" t="str">
            <v>3845542</v>
          </cell>
        </row>
        <row r="4590">
          <cell r="A4590">
            <v>900064762</v>
          </cell>
          <cell r="B4590" t="str">
            <v>3</v>
          </cell>
          <cell r="C4590" t="str">
            <v/>
          </cell>
          <cell r="D4590" t="str">
            <v>NJ</v>
          </cell>
          <cell r="E4590" t="str">
            <v/>
          </cell>
          <cell r="F4590" t="str">
            <v/>
          </cell>
          <cell r="G4590" t="str">
            <v>GNH COLOMBIA SAS</v>
          </cell>
          <cell r="H4590" t="str">
            <v>IMVE</v>
          </cell>
          <cell r="I4590" t="str">
            <v>IMPUESTO SOBRE LAS VENTAS</v>
          </cell>
          <cell r="J4590" t="str">
            <v>CR 51 70 57</v>
          </cell>
          <cell r="K4590" t="str">
            <v>11001</v>
          </cell>
          <cell r="L4590" t="str">
            <v>BOGOTA DC</v>
          </cell>
          <cell r="M4590" t="str">
            <v>3203086862</v>
          </cell>
        </row>
        <row r="4591">
          <cell r="A4591">
            <v>900065131</v>
          </cell>
          <cell r="B4591" t="str">
            <v>0</v>
          </cell>
          <cell r="C4591" t="str">
            <v/>
          </cell>
          <cell r="D4591" t="str">
            <v>NJ</v>
          </cell>
          <cell r="E4591" t="str">
            <v/>
          </cell>
          <cell r="F4591" t="str">
            <v/>
          </cell>
          <cell r="G4591" t="str">
            <v>LLANO VIEJO ESTADERO CRIOLLO CASANAREO LTDA</v>
          </cell>
          <cell r="H4591" t="str">
            <v>RECO</v>
          </cell>
          <cell r="I4591" t="str">
            <v>REGIMEN COMUN</v>
          </cell>
          <cell r="J4591" t="str">
            <v>KM 5 CRT VÍA SAN LUIS DE PALENQUE</v>
          </cell>
          <cell r="K4591" t="str">
            <v>85430</v>
          </cell>
          <cell r="L4591" t="str">
            <v>TRINIDAD</v>
          </cell>
          <cell r="M4591" t="str">
            <v>8756262</v>
          </cell>
        </row>
        <row r="4592">
          <cell r="A4592">
            <v>900069017</v>
          </cell>
          <cell r="B4592" t="str">
            <v>7</v>
          </cell>
          <cell r="C4592" t="str">
            <v/>
          </cell>
          <cell r="D4592" t="str">
            <v>NJ</v>
          </cell>
          <cell r="E4592" t="str">
            <v/>
          </cell>
          <cell r="F4592" t="str">
            <v/>
          </cell>
          <cell r="G4592" t="str">
            <v>FUNDACION UNIVERSITARIA DEL EJE CAFETERO</v>
          </cell>
          <cell r="H4592" t="str">
            <v>RECO</v>
          </cell>
          <cell r="I4592" t="str">
            <v>REGIMEN COMUN</v>
          </cell>
          <cell r="J4592" t="str">
            <v>CR 18   6   24</v>
          </cell>
          <cell r="K4592" t="str">
            <v>63001</v>
          </cell>
          <cell r="L4592" t="str">
            <v>ARMENIA</v>
          </cell>
          <cell r="M4592" t="str">
            <v>7487876</v>
          </cell>
        </row>
        <row r="4593">
          <cell r="A4593">
            <v>900070641</v>
          </cell>
          <cell r="B4593" t="str">
            <v>5</v>
          </cell>
          <cell r="C4593" t="str">
            <v/>
          </cell>
          <cell r="D4593" t="str">
            <v>NJ</v>
          </cell>
          <cell r="E4593" t="str">
            <v/>
          </cell>
          <cell r="F4593" t="str">
            <v/>
          </cell>
          <cell r="G4593" t="str">
            <v>TEXAS OILTECH LABORATORIES COLOMBIA LTDA</v>
          </cell>
          <cell r="H4593" t="str">
            <v>RECO</v>
          </cell>
          <cell r="I4593" t="str">
            <v>REGIMEN COMUN</v>
          </cell>
          <cell r="J4593" t="str">
            <v>CL 15 34 40</v>
          </cell>
          <cell r="K4593" t="str">
            <v>11001</v>
          </cell>
          <cell r="L4593" t="str">
            <v>BOGOTA DC</v>
          </cell>
          <cell r="M4593" t="str">
            <v>7456485</v>
          </cell>
        </row>
        <row r="4594">
          <cell r="A4594">
            <v>900071769</v>
          </cell>
          <cell r="B4594" t="str">
            <v>3</v>
          </cell>
          <cell r="C4594" t="str">
            <v/>
          </cell>
          <cell r="D4594" t="str">
            <v>NJ</v>
          </cell>
          <cell r="E4594" t="str">
            <v/>
          </cell>
          <cell r="F4594" t="str">
            <v/>
          </cell>
          <cell r="G4594" t="str">
            <v>CAPITULO CALDAS-INSTITUTO COLOMBIANO DE DERECHO PROCESAL</v>
          </cell>
          <cell r="H4594" t="str">
            <v>REIC</v>
          </cell>
          <cell r="I4594" t="str">
            <v>RENTA REGIMEN ESPECIAL</v>
          </cell>
          <cell r="J4594" t="str">
            <v>CL 71 17 24 AP 103 ED MIRADOR DE LA SUIZA BRR C O</v>
          </cell>
          <cell r="K4594" t="str">
            <v>17001</v>
          </cell>
          <cell r="L4594" t="str">
            <v>MANIZALES</v>
          </cell>
          <cell r="M4594" t="str">
            <v>8868029</v>
          </cell>
        </row>
        <row r="4595">
          <cell r="A4595">
            <v>900072847</v>
          </cell>
          <cell r="B4595" t="str">
            <v>4</v>
          </cell>
          <cell r="C4595" t="str">
            <v/>
          </cell>
          <cell r="D4595" t="str">
            <v>NJ</v>
          </cell>
          <cell r="E4595" t="str">
            <v/>
          </cell>
          <cell r="F4595" t="str">
            <v/>
          </cell>
          <cell r="G4595" t="str">
            <v>EDS BIOMAX ROCAMAR</v>
          </cell>
          <cell r="H4595" t="str">
            <v>RECO</v>
          </cell>
          <cell r="I4595" t="str">
            <v>REGIMEN COMUN</v>
          </cell>
          <cell r="J4595" t="str">
            <v>CR 7   169   15</v>
          </cell>
          <cell r="K4595" t="str">
            <v>11001</v>
          </cell>
          <cell r="L4595" t="str">
            <v>BOGOTA DC</v>
          </cell>
          <cell r="M4595" t="str">
            <v>8953621</v>
          </cell>
        </row>
        <row r="4596">
          <cell r="A4596">
            <v>900073981</v>
          </cell>
          <cell r="B4596" t="str">
            <v>8</v>
          </cell>
          <cell r="C4596" t="str">
            <v/>
          </cell>
          <cell r="D4596" t="str">
            <v>NJ</v>
          </cell>
          <cell r="E4596" t="str">
            <v/>
          </cell>
          <cell r="F4596" t="str">
            <v/>
          </cell>
          <cell r="G4596" t="str">
            <v>ONG ASOCIACION NATIVA NACIONAL E INTERNACIONAL</v>
          </cell>
          <cell r="H4596" t="str">
            <v>REIC</v>
          </cell>
          <cell r="I4596" t="str">
            <v>RENTA REGIMEN ESPECIAL</v>
          </cell>
          <cell r="J4596" t="str">
            <v>CL  21 # 23 22 ED ATLAS OF 1909</v>
          </cell>
          <cell r="K4596" t="str">
            <v>17001</v>
          </cell>
          <cell r="L4596" t="str">
            <v>MANIZALES</v>
          </cell>
          <cell r="M4596" t="str">
            <v>8802508</v>
          </cell>
        </row>
        <row r="4597">
          <cell r="A4597">
            <v>900074306</v>
          </cell>
          <cell r="B4597" t="str">
            <v>0</v>
          </cell>
          <cell r="C4597" t="str">
            <v/>
          </cell>
          <cell r="D4597" t="str">
            <v>NJ</v>
          </cell>
          <cell r="E4597" t="str">
            <v/>
          </cell>
          <cell r="F4597" t="str">
            <v/>
          </cell>
          <cell r="G4597" t="str">
            <v>CORPORACION FONDO MIXTO DE PROMOCION Y DESARROLLO TURISTICO DE P</v>
          </cell>
          <cell r="H4597" t="str">
            <v>IMVE</v>
          </cell>
          <cell r="I4597" t="str">
            <v>IMPUESTO SOBRE LAS VENTAS</v>
          </cell>
          <cell r="J4597" t="str">
            <v>CL 24   21   31</v>
          </cell>
          <cell r="K4597" t="str">
            <v>15516</v>
          </cell>
          <cell r="L4597" t="str">
            <v>PAIPA</v>
          </cell>
          <cell r="M4597" t="str">
            <v>7852910</v>
          </cell>
        </row>
        <row r="4598">
          <cell r="A4598">
            <v>900074572</v>
          </cell>
          <cell r="B4598" t="str">
            <v>3</v>
          </cell>
          <cell r="C4598" t="str">
            <v/>
          </cell>
          <cell r="D4598" t="str">
            <v>NJ</v>
          </cell>
          <cell r="E4598" t="str">
            <v/>
          </cell>
          <cell r="F4598" t="str">
            <v/>
          </cell>
          <cell r="G4598" t="str">
            <v>E. CUARTAS S.A.S</v>
          </cell>
          <cell r="H4598" t="str">
            <v>RECO</v>
          </cell>
          <cell r="I4598" t="str">
            <v>REGIMEN COMUN</v>
          </cell>
          <cell r="J4598" t="str">
            <v>CL 64 A 21 50 OF 11 01 ED PORTAL DEL CABLE</v>
          </cell>
          <cell r="K4598" t="str">
            <v>17001</v>
          </cell>
          <cell r="L4598" t="str">
            <v>MANIZALES</v>
          </cell>
          <cell r="M4598" t="str">
            <v>8895058</v>
          </cell>
        </row>
        <row r="4599">
          <cell r="A4599">
            <v>900075189</v>
          </cell>
          <cell r="B4599" t="str">
            <v>1</v>
          </cell>
          <cell r="C4599" t="str">
            <v/>
          </cell>
          <cell r="D4599" t="str">
            <v>NJ</v>
          </cell>
          <cell r="E4599" t="str">
            <v/>
          </cell>
          <cell r="F4599" t="str">
            <v/>
          </cell>
          <cell r="G4599" t="str">
            <v>B &amp; V INGENIERIA SAS</v>
          </cell>
          <cell r="H4599" t="str">
            <v>IMVE</v>
          </cell>
          <cell r="I4599" t="str">
            <v>IMPUESTO SOBRE LAS VENTAS</v>
          </cell>
          <cell r="J4599" t="str">
            <v>CR 43 C   61 SUR   53   BG 25 CONJ BODEGAS SABANETA SUR PH BRR R</v>
          </cell>
          <cell r="K4599" t="str">
            <v>05266</v>
          </cell>
          <cell r="L4599" t="str">
            <v>ENVIGADO</v>
          </cell>
          <cell r="M4599" t="str">
            <v>6044442882</v>
          </cell>
        </row>
        <row r="4600">
          <cell r="A4600">
            <v>900076284</v>
          </cell>
          <cell r="B4600" t="str">
            <v>6</v>
          </cell>
          <cell r="C4600" t="str">
            <v/>
          </cell>
          <cell r="D4600" t="str">
            <v>NJ</v>
          </cell>
          <cell r="E4600" t="str">
            <v/>
          </cell>
          <cell r="F4600" t="str">
            <v/>
          </cell>
          <cell r="G4600" t="str">
            <v>COENERSA S.A.S  E.S.P</v>
          </cell>
          <cell r="H4600" t="str">
            <v>RECO</v>
          </cell>
          <cell r="I4600" t="str">
            <v>REGIMEN COMUN</v>
          </cell>
          <cell r="J4600" t="str">
            <v>DG 6 3 90</v>
          </cell>
          <cell r="K4600" t="str">
            <v>25873</v>
          </cell>
          <cell r="L4600" t="str">
            <v>VILLAPINZÓN</v>
          </cell>
          <cell r="M4600" t="str">
            <v>8565004</v>
          </cell>
        </row>
        <row r="4601">
          <cell r="A4601">
            <v>900076424</v>
          </cell>
          <cell r="B4601" t="str">
            <v>0</v>
          </cell>
          <cell r="C4601" t="str">
            <v/>
          </cell>
          <cell r="D4601" t="str">
            <v>NJ</v>
          </cell>
          <cell r="E4601" t="str">
            <v/>
          </cell>
          <cell r="F4601" t="str">
            <v/>
          </cell>
          <cell r="G4601" t="str">
            <v>PEGSA LTDA</v>
          </cell>
          <cell r="H4601" t="str">
            <v>RECO</v>
          </cell>
          <cell r="I4601" t="str">
            <v>REGIMEN COMUN</v>
          </cell>
          <cell r="J4601" t="str">
            <v>TV 55 98  A 66 OF 411 412 CC SIERRA 100</v>
          </cell>
          <cell r="K4601" t="str">
            <v>11001</v>
          </cell>
          <cell r="L4601" t="str">
            <v>BOGOTA DC</v>
          </cell>
          <cell r="M4601" t="str">
            <v>6210345</v>
          </cell>
        </row>
        <row r="4602">
          <cell r="A4602">
            <v>900079073</v>
          </cell>
          <cell r="B4602" t="str">
            <v>2</v>
          </cell>
          <cell r="C4602" t="str">
            <v/>
          </cell>
          <cell r="D4602" t="str">
            <v>NJ</v>
          </cell>
          <cell r="E4602" t="str">
            <v/>
          </cell>
          <cell r="F4602" t="str">
            <v/>
          </cell>
          <cell r="G4602" t="str">
            <v>ASOCIACION DE FAMILIAS Y PERSONAS COMPROMETIDAS CON EL BUEN VIVI</v>
          </cell>
          <cell r="H4602" t="str">
            <v>RECO</v>
          </cell>
          <cell r="I4602" t="str">
            <v>REGIMEN COMUN</v>
          </cell>
          <cell r="J4602" t="str">
            <v>CR 39 A 10 62</v>
          </cell>
          <cell r="K4602" t="str">
            <v>17001</v>
          </cell>
          <cell r="L4602" t="str">
            <v>MANIZALES</v>
          </cell>
          <cell r="M4602" t="str">
            <v>3213737830</v>
          </cell>
        </row>
        <row r="4603">
          <cell r="A4603">
            <v>900079521</v>
          </cell>
          <cell r="B4603" t="str">
            <v>0</v>
          </cell>
          <cell r="C4603" t="str">
            <v/>
          </cell>
          <cell r="D4603" t="str">
            <v>NJ</v>
          </cell>
          <cell r="E4603" t="str">
            <v/>
          </cell>
          <cell r="F4603" t="str">
            <v/>
          </cell>
          <cell r="G4603" t="str">
            <v>ABC TELECOMUNICACIONES LTDA</v>
          </cell>
          <cell r="H4603" t="str">
            <v>RECO</v>
          </cell>
          <cell r="I4603" t="str">
            <v>REGIMEN COMUN</v>
          </cell>
          <cell r="J4603" t="str">
            <v>CL 24 D BIS 73 C 06 OF 301</v>
          </cell>
          <cell r="K4603" t="str">
            <v>11001</v>
          </cell>
          <cell r="L4603" t="str">
            <v>BOGOTA DC</v>
          </cell>
          <cell r="M4603" t="str">
            <v>2635883</v>
          </cell>
        </row>
        <row r="4604">
          <cell r="A4604">
            <v>900080289</v>
          </cell>
          <cell r="B4604" t="str">
            <v>8</v>
          </cell>
          <cell r="C4604" t="str">
            <v/>
          </cell>
          <cell r="D4604" t="str">
            <v>NJ</v>
          </cell>
          <cell r="E4604" t="str">
            <v/>
          </cell>
          <cell r="F4604" t="str">
            <v/>
          </cell>
          <cell r="G4604" t="str">
            <v>TUVALREP S.A.S</v>
          </cell>
          <cell r="H4604" t="str">
            <v>RECO</v>
          </cell>
          <cell r="I4604" t="str">
            <v>REGIMEN COMUN</v>
          </cell>
          <cell r="J4604" t="str">
            <v>AC 13 22 72</v>
          </cell>
          <cell r="K4604" t="str">
            <v>11001</v>
          </cell>
          <cell r="L4604" t="str">
            <v>BOGOTA DC</v>
          </cell>
          <cell r="M4604" t="str">
            <v>3713386</v>
          </cell>
        </row>
        <row r="4605">
          <cell r="A4605">
            <v>900080370</v>
          </cell>
          <cell r="B4605" t="str">
            <v>7</v>
          </cell>
          <cell r="C4605" t="str">
            <v/>
          </cell>
          <cell r="D4605" t="str">
            <v>NJ</v>
          </cell>
          <cell r="E4605" t="str">
            <v/>
          </cell>
          <cell r="F4605" t="str">
            <v/>
          </cell>
          <cell r="G4605" t="str">
            <v>FC INGENIERIA S.A.S</v>
          </cell>
          <cell r="H4605" t="str">
            <v>RECO</v>
          </cell>
          <cell r="I4605" t="str">
            <v>REGIMEN COMUN</v>
          </cell>
          <cell r="J4605" t="str">
            <v>CR 21 24 42</v>
          </cell>
          <cell r="K4605" t="str">
            <v>17001</v>
          </cell>
          <cell r="L4605" t="str">
            <v>MANIZALES</v>
          </cell>
          <cell r="M4605" t="str">
            <v>8833388</v>
          </cell>
        </row>
        <row r="4606">
          <cell r="A4606">
            <v>900081419</v>
          </cell>
          <cell r="B4606" t="str">
            <v>3</v>
          </cell>
          <cell r="C4606" t="str">
            <v/>
          </cell>
          <cell r="D4606" t="str">
            <v>NJ</v>
          </cell>
          <cell r="E4606" t="str">
            <v/>
          </cell>
          <cell r="F4606" t="str">
            <v/>
          </cell>
          <cell r="G4606" t="str">
            <v xml:space="preserve">NACIONAL DE MANTENIMIENTO LTDA                              </v>
          </cell>
          <cell r="H4606" t="str">
            <v>RECO</v>
          </cell>
          <cell r="I4606" t="str">
            <v>REGIMEN COMUN</v>
          </cell>
          <cell r="J4606" t="str">
            <v>CR 35 3 235</v>
          </cell>
          <cell r="K4606" t="str">
            <v>15238</v>
          </cell>
          <cell r="L4606" t="str">
            <v>DUITAMA</v>
          </cell>
          <cell r="M4606" t="str">
            <v>7612355</v>
          </cell>
        </row>
        <row r="4607">
          <cell r="A4607">
            <v>900081578</v>
          </cell>
          <cell r="B4607" t="str">
            <v>6</v>
          </cell>
          <cell r="C4607" t="str">
            <v/>
          </cell>
          <cell r="D4607" t="str">
            <v>NJ</v>
          </cell>
          <cell r="E4607" t="str">
            <v/>
          </cell>
          <cell r="F4607" t="str">
            <v/>
          </cell>
          <cell r="G4607" t="str">
            <v>LOS BUZOS Y CIA LTDA</v>
          </cell>
          <cell r="H4607" t="str">
            <v>RECO</v>
          </cell>
          <cell r="I4607" t="str">
            <v>REGIMEN COMUN</v>
          </cell>
          <cell r="J4607" t="str">
            <v>CR 44  6 A  32 BRR TEQUENDAMA</v>
          </cell>
          <cell r="K4607" t="str">
            <v>76001</v>
          </cell>
          <cell r="L4607" t="str">
            <v>CALI</v>
          </cell>
          <cell r="M4607" t="str">
            <v>5531440</v>
          </cell>
        </row>
        <row r="4608">
          <cell r="A4608">
            <v>900081626</v>
          </cell>
          <cell r="B4608" t="str">
            <v>1</v>
          </cell>
          <cell r="C4608" t="str">
            <v/>
          </cell>
          <cell r="D4608" t="str">
            <v>NJ</v>
          </cell>
          <cell r="E4608" t="str">
            <v/>
          </cell>
          <cell r="F4608" t="str">
            <v/>
          </cell>
          <cell r="G4608" t="str">
            <v>INVERSIONES NIÑO ALVAREZ SAS</v>
          </cell>
          <cell r="H4608" t="str">
            <v>IMVE</v>
          </cell>
          <cell r="I4608" t="str">
            <v>IMPUESTO SOBRE LAS VENTAS</v>
          </cell>
          <cell r="J4608" t="str">
            <v>CL 44 SUR 24 B 43</v>
          </cell>
          <cell r="K4608" t="str">
            <v>11001</v>
          </cell>
          <cell r="L4608" t="str">
            <v>BOGOTA DC</v>
          </cell>
          <cell r="M4608" t="str">
            <v>3795959</v>
          </cell>
        </row>
        <row r="4609">
          <cell r="A4609">
            <v>900082143</v>
          </cell>
          <cell r="B4609" t="str">
            <v>0</v>
          </cell>
          <cell r="C4609" t="str">
            <v>923270866</v>
          </cell>
          <cell r="D4609" t="str">
            <v>NJ</v>
          </cell>
          <cell r="E4609" t="str">
            <v/>
          </cell>
          <cell r="F4609" t="str">
            <v/>
          </cell>
          <cell r="G4609" t="str">
            <v>GECELCA GENERADORA COMERCIALIZADORA DE ENERGIA DEL CARIBE  E.S.P</v>
          </cell>
          <cell r="H4609" t="str">
            <v>GRAU</v>
          </cell>
          <cell r="I4609" t="str">
            <v>GRAN CONTRIBUYENTE AUTORRETENEDO</v>
          </cell>
          <cell r="J4609" t="str">
            <v>CR 55 N 72 109 P 9 ED CEN  EJECUTIVO II</v>
          </cell>
          <cell r="K4609" t="str">
            <v>08001</v>
          </cell>
          <cell r="L4609" t="str">
            <v>BARRANQUILLA</v>
          </cell>
          <cell r="M4609" t="str">
            <v>3303000</v>
          </cell>
        </row>
        <row r="4610">
          <cell r="A4610">
            <v>900082630</v>
          </cell>
          <cell r="B4610" t="str">
            <v>6</v>
          </cell>
          <cell r="C4610" t="str">
            <v/>
          </cell>
          <cell r="D4610" t="str">
            <v>NJ</v>
          </cell>
          <cell r="E4610" t="str">
            <v/>
          </cell>
          <cell r="F4610" t="str">
            <v/>
          </cell>
          <cell r="G4610" t="str">
            <v>LINEAS FLUVIALES DEL VICHADA S.A.S</v>
          </cell>
          <cell r="H4610" t="str">
            <v>RECO</v>
          </cell>
          <cell r="I4610" t="str">
            <v>REGIMEN COMUN</v>
          </cell>
          <cell r="J4610" t="str">
            <v>CR 2   7   86</v>
          </cell>
          <cell r="K4610" t="str">
            <v>50568</v>
          </cell>
          <cell r="L4610" t="str">
            <v>PUERTO GAITÁN</v>
          </cell>
          <cell r="M4610" t="str">
            <v>6460282</v>
          </cell>
        </row>
        <row r="4611">
          <cell r="A4611">
            <v>900083038</v>
          </cell>
          <cell r="B4611" t="str">
            <v>1</v>
          </cell>
          <cell r="C4611" t="str">
            <v/>
          </cell>
          <cell r="D4611" t="str">
            <v>NJ</v>
          </cell>
          <cell r="E4611" t="str">
            <v/>
          </cell>
          <cell r="F4611" t="str">
            <v/>
          </cell>
          <cell r="G4611" t="str">
            <v>CENTRO COMERCIAL SANTAFE</v>
          </cell>
          <cell r="H4611" t="str">
            <v>RECO</v>
          </cell>
          <cell r="I4611" t="str">
            <v>REGIMEN COMUN</v>
          </cell>
          <cell r="J4611" t="str">
            <v>CL 185 45 03</v>
          </cell>
          <cell r="K4611" t="str">
            <v>11001</v>
          </cell>
          <cell r="L4611" t="str">
            <v>BOGOTA DC</v>
          </cell>
          <cell r="M4611" t="str">
            <v>6050707</v>
          </cell>
        </row>
        <row r="4612">
          <cell r="A4612">
            <v>900084617</v>
          </cell>
          <cell r="B4612" t="str">
            <v>9</v>
          </cell>
          <cell r="C4612" t="str">
            <v/>
          </cell>
          <cell r="D4612" t="str">
            <v>NJ</v>
          </cell>
          <cell r="E4612" t="str">
            <v/>
          </cell>
          <cell r="F4612" t="str">
            <v/>
          </cell>
          <cell r="G4612" t="str">
            <v>SEGURIDAD GACELA LTDA</v>
          </cell>
          <cell r="H4612" t="str">
            <v>RECO</v>
          </cell>
          <cell r="I4612" t="str">
            <v>REGIMEN COMUN</v>
          </cell>
          <cell r="J4612" t="str">
            <v>CL 74B  72 78</v>
          </cell>
          <cell r="K4612" t="str">
            <v>11001</v>
          </cell>
          <cell r="L4612" t="str">
            <v>BOGOTA DC</v>
          </cell>
          <cell r="M4612" t="str">
            <v>4344846</v>
          </cell>
        </row>
        <row r="4613">
          <cell r="A4613">
            <v>900084777</v>
          </cell>
          <cell r="B4613" t="str">
            <v>9</v>
          </cell>
          <cell r="C4613" t="str">
            <v/>
          </cell>
          <cell r="D4613" t="str">
            <v>NJ</v>
          </cell>
          <cell r="E4613" t="str">
            <v/>
          </cell>
          <cell r="F4613" t="str">
            <v/>
          </cell>
          <cell r="G4613" t="str">
            <v>SUPERGIROS S.A.</v>
          </cell>
          <cell r="H4613" t="str">
            <v>GRCO</v>
          </cell>
          <cell r="I4613" t="str">
            <v>GRAN CONTRIBUYENTE</v>
          </cell>
          <cell r="J4613" t="str">
            <v>CR 20 20 60</v>
          </cell>
          <cell r="K4613" t="str">
            <v>17001</v>
          </cell>
          <cell r="L4613" t="str">
            <v>MANIZALES</v>
          </cell>
          <cell r="M4613" t="str">
            <v>8971499</v>
          </cell>
        </row>
        <row r="4614">
          <cell r="A4614">
            <v>900085569</v>
          </cell>
          <cell r="B4614" t="str">
            <v>8</v>
          </cell>
          <cell r="C4614" t="str">
            <v/>
          </cell>
          <cell r="D4614" t="str">
            <v>NJ</v>
          </cell>
          <cell r="E4614" t="str">
            <v/>
          </cell>
          <cell r="F4614" t="str">
            <v/>
          </cell>
          <cell r="G4614" t="str">
            <v xml:space="preserve">CENTRO COMERCIAL Y DE NEGOCIOS TORRE CENTRAL PH             </v>
          </cell>
          <cell r="H4614" t="str">
            <v>RECO</v>
          </cell>
          <cell r="I4614" t="str">
            <v>REGIMEN COMUN</v>
          </cell>
          <cell r="J4614" t="str">
            <v xml:space="preserve">CR 68D N 25B 86                         </v>
          </cell>
          <cell r="K4614" t="str">
            <v>11001</v>
          </cell>
          <cell r="L4614" t="str">
            <v>BOGOTA DC</v>
          </cell>
          <cell r="M4614" t="str">
            <v>4273051</v>
          </cell>
        </row>
        <row r="4615">
          <cell r="A4615">
            <v>900086174</v>
          </cell>
          <cell r="B4615" t="str">
            <v>7</v>
          </cell>
          <cell r="C4615" t="str">
            <v/>
          </cell>
          <cell r="D4615" t="str">
            <v>NJ</v>
          </cell>
          <cell r="E4615" t="str">
            <v/>
          </cell>
          <cell r="F4615" t="str">
            <v/>
          </cell>
          <cell r="G4615" t="str">
            <v>INMADICA ANDINA SA</v>
          </cell>
          <cell r="H4615" t="str">
            <v>RECO</v>
          </cell>
          <cell r="I4615" t="str">
            <v>REGIMEN COMUN</v>
          </cell>
          <cell r="J4615" t="str">
            <v>COSTADO SUR AUTOPISTA MEDELLIN MK 2 PUNTO 7 BG 7 PAR IND LOS N</v>
          </cell>
          <cell r="K4615" t="str">
            <v>25214</v>
          </cell>
          <cell r="L4615" t="str">
            <v>COTA</v>
          </cell>
          <cell r="M4615" t="str">
            <v>7431880</v>
          </cell>
        </row>
        <row r="4616">
          <cell r="A4616">
            <v>900088340</v>
          </cell>
          <cell r="B4616" t="str">
            <v>2</v>
          </cell>
          <cell r="C4616" t="str">
            <v/>
          </cell>
          <cell r="D4616" t="str">
            <v>NJ</v>
          </cell>
          <cell r="E4616" t="str">
            <v/>
          </cell>
          <cell r="F4616" t="str">
            <v/>
          </cell>
          <cell r="G4616" t="str">
            <v>SERNA LOPEZ Y CIA S EN C A</v>
          </cell>
          <cell r="H4616" t="str">
            <v>RECO</v>
          </cell>
          <cell r="I4616" t="str">
            <v>REGIMEN COMUN</v>
          </cell>
          <cell r="J4616" t="str">
            <v>CR 18   23   43 CC EL AHORRO</v>
          </cell>
          <cell r="K4616" t="str">
            <v>17001</v>
          </cell>
          <cell r="L4616" t="str">
            <v>MANIZALES</v>
          </cell>
          <cell r="M4616" t="str">
            <v>8730136</v>
          </cell>
        </row>
        <row r="4617">
          <cell r="A4617">
            <v>900088915</v>
          </cell>
          <cell r="B4617" t="str">
            <v>7</v>
          </cell>
          <cell r="C4617" t="str">
            <v/>
          </cell>
          <cell r="D4617" t="str">
            <v>NJ</v>
          </cell>
          <cell r="E4617" t="str">
            <v/>
          </cell>
          <cell r="F4617" t="str">
            <v/>
          </cell>
          <cell r="G4617" t="str">
            <v>EASYFLY S.A.</v>
          </cell>
          <cell r="H4617" t="str">
            <v>GRCO</v>
          </cell>
          <cell r="I4617" t="str">
            <v>GRAN CONTRIBUYENTE</v>
          </cell>
          <cell r="J4617" t="str">
            <v>AV EL DORADO   103   08 EN 1 HG</v>
          </cell>
          <cell r="K4617" t="str">
            <v>11001</v>
          </cell>
          <cell r="L4617" t="str">
            <v>BOGOTA DC</v>
          </cell>
          <cell r="M4617" t="str">
            <v>6725199</v>
          </cell>
        </row>
        <row r="4618">
          <cell r="A4618">
            <v>900090405</v>
          </cell>
          <cell r="B4618" t="str">
            <v>9</v>
          </cell>
          <cell r="C4618" t="str">
            <v/>
          </cell>
          <cell r="D4618" t="str">
            <v>NJ</v>
          </cell>
          <cell r="E4618" t="str">
            <v/>
          </cell>
          <cell r="F4618" t="str">
            <v/>
          </cell>
          <cell r="G4618" t="str">
            <v>MULETT INGENIERIA S.A.S/BADILLO HOTEL GALERIA</v>
          </cell>
          <cell r="H4618" t="str">
            <v>RECO</v>
          </cell>
          <cell r="I4618" t="str">
            <v>REGIMEN COMUN</v>
          </cell>
          <cell r="J4618" t="str">
            <v>CL SEGUNDA DE BADILLO 36   45</v>
          </cell>
          <cell r="K4618" t="str">
            <v>13001</v>
          </cell>
          <cell r="L4618" t="str">
            <v>CARTAGENA</v>
          </cell>
          <cell r="M4618" t="str">
            <v>5-6642725</v>
          </cell>
        </row>
        <row r="4619">
          <cell r="A4619">
            <v>900091695</v>
          </cell>
          <cell r="B4619" t="str">
            <v>2</v>
          </cell>
          <cell r="C4619" t="str">
            <v/>
          </cell>
          <cell r="D4619" t="str">
            <v>NJ</v>
          </cell>
          <cell r="E4619" t="str">
            <v/>
          </cell>
          <cell r="F4619" t="str">
            <v/>
          </cell>
          <cell r="G4619" t="str">
            <v>PROYECTOS SEMANA SA</v>
          </cell>
          <cell r="H4619" t="str">
            <v>IMVE</v>
          </cell>
          <cell r="I4619" t="str">
            <v>IMPUESTO SOBRE LAS VENTAS</v>
          </cell>
          <cell r="J4619" t="str">
            <v>CL 78 11 17</v>
          </cell>
          <cell r="K4619" t="str">
            <v>11001</v>
          </cell>
          <cell r="L4619" t="str">
            <v>BOGOTA DC</v>
          </cell>
          <cell r="M4619" t="str">
            <v>6468400</v>
          </cell>
        </row>
        <row r="4620">
          <cell r="A4620">
            <v>900092025</v>
          </cell>
          <cell r="B4620" t="str">
            <v>2</v>
          </cell>
          <cell r="C4620" t="str">
            <v/>
          </cell>
          <cell r="D4620" t="str">
            <v>NJ</v>
          </cell>
          <cell r="E4620" t="str">
            <v/>
          </cell>
          <cell r="F4620" t="str">
            <v/>
          </cell>
          <cell r="G4620" t="str">
            <v>INVERSIONES EL GALENO SOCIEDAD POR ACCIONES SIMPLIFICADA</v>
          </cell>
          <cell r="H4620" t="str">
            <v>RECO</v>
          </cell>
          <cell r="I4620" t="str">
            <v>REGIMEN COMUN</v>
          </cell>
          <cell r="J4620" t="str">
            <v>CALLE 42 # 68A-32</v>
          </cell>
          <cell r="K4620" t="str">
            <v>05001</v>
          </cell>
          <cell r="L4620" t="str">
            <v>MEDELLÍN</v>
          </cell>
          <cell r="M4620" t="str">
            <v>4444008</v>
          </cell>
        </row>
        <row r="4621">
          <cell r="A4621">
            <v>900092098</v>
          </cell>
          <cell r="B4621" t="str">
            <v>1</v>
          </cell>
          <cell r="C4621" t="str">
            <v/>
          </cell>
          <cell r="D4621" t="str">
            <v>NJ</v>
          </cell>
          <cell r="E4621" t="str">
            <v/>
          </cell>
          <cell r="F4621" t="str">
            <v/>
          </cell>
          <cell r="G4621" t="str">
            <v>VAELECTRICOS LIMITADA</v>
          </cell>
          <cell r="H4621" t="str">
            <v>IMVE</v>
          </cell>
          <cell r="I4621" t="str">
            <v>IMPUESTO SOBRE LAS VENTAS</v>
          </cell>
          <cell r="J4621" t="str">
            <v>CL 14 12 65 LC 151 152 153</v>
          </cell>
          <cell r="K4621" t="str">
            <v>03</v>
          </cell>
          <cell r="L4621" t="str">
            <v>BOGOTA</v>
          </cell>
          <cell r="M4621" t="str">
            <v>2842377</v>
          </cell>
        </row>
        <row r="4622">
          <cell r="A4622">
            <v>900092131</v>
          </cell>
          <cell r="B4622" t="str">
            <v>5</v>
          </cell>
          <cell r="C4622" t="str">
            <v/>
          </cell>
          <cell r="D4622" t="str">
            <v>NJ</v>
          </cell>
          <cell r="E4622" t="str">
            <v/>
          </cell>
          <cell r="F4622" t="str">
            <v/>
          </cell>
          <cell r="G4622" t="str">
            <v>EMPRESA ANDINA DE INGENIERIA S.A.S.</v>
          </cell>
          <cell r="H4622" t="str">
            <v>IMVE</v>
          </cell>
          <cell r="I4622" t="str">
            <v>IMPUESTO SOBRE LAS VENTAS</v>
          </cell>
          <cell r="J4622" t="str">
            <v>CR  3 C 20 06 BRR VILLA NUEVA</v>
          </cell>
          <cell r="K4622" t="str">
            <v>30</v>
          </cell>
          <cell r="L4622" t="str">
            <v>CUNDINAMARCA</v>
          </cell>
          <cell r="M4622" t="str">
            <v>31126072</v>
          </cell>
        </row>
        <row r="4623">
          <cell r="A4623">
            <v>900092234</v>
          </cell>
          <cell r="B4623" t="str">
            <v>5</v>
          </cell>
          <cell r="C4623" t="str">
            <v/>
          </cell>
          <cell r="D4623" t="str">
            <v>NJ</v>
          </cell>
          <cell r="E4623" t="str">
            <v/>
          </cell>
          <cell r="F4623" t="str">
            <v/>
          </cell>
          <cell r="G4623" t="str">
            <v>INDUSTRIA METALICAS CRUZ A.F LTDA</v>
          </cell>
          <cell r="H4623" t="str">
            <v>RECO</v>
          </cell>
          <cell r="I4623" t="str">
            <v>REGIMEN COMUN</v>
          </cell>
          <cell r="J4623" t="str">
            <v>CL 74 15 80 IN 2 OF 218</v>
          </cell>
          <cell r="K4623" t="str">
            <v>11001</v>
          </cell>
          <cell r="L4623" t="str">
            <v>BOGOTA DC</v>
          </cell>
          <cell r="M4623" t="str">
            <v>3216143</v>
          </cell>
        </row>
        <row r="4624">
          <cell r="A4624">
            <v>900092385</v>
          </cell>
          <cell r="B4624" t="str">
            <v>9</v>
          </cell>
          <cell r="C4624" t="str">
            <v>923269813</v>
          </cell>
          <cell r="D4624" t="str">
            <v>NJ</v>
          </cell>
          <cell r="E4624" t="str">
            <v/>
          </cell>
          <cell r="F4624" t="str">
            <v/>
          </cell>
          <cell r="G4624" t="str">
            <v>UNE EPM TELECOMUNICACIONES S.A</v>
          </cell>
          <cell r="H4624" t="str">
            <v>GRAU</v>
          </cell>
          <cell r="I4624" t="str">
            <v>GRAN CONTRIBUYENTE AUTORRETENEDO</v>
          </cell>
          <cell r="J4624" t="str">
            <v>CR 23 N  73   100 MILÁN</v>
          </cell>
          <cell r="K4624" t="str">
            <v>17001</v>
          </cell>
          <cell r="L4624" t="str">
            <v>MANIZALES</v>
          </cell>
          <cell r="M4624" t="str">
            <v>8809090</v>
          </cell>
        </row>
        <row r="4625">
          <cell r="A4625">
            <v>900092518</v>
          </cell>
          <cell r="B4625" t="str">
            <v>1</v>
          </cell>
          <cell r="C4625" t="str">
            <v/>
          </cell>
          <cell r="D4625" t="str">
            <v>NJ</v>
          </cell>
          <cell r="E4625" t="str">
            <v/>
          </cell>
          <cell r="F4625" t="str">
            <v/>
          </cell>
          <cell r="G4625" t="str">
            <v>ESTRUCTURAS PLÁSTICAS MADERPLAST S.A.</v>
          </cell>
          <cell r="H4625" t="str">
            <v>RECO</v>
          </cell>
          <cell r="I4625" t="str">
            <v>REGIMEN COMUN</v>
          </cell>
          <cell r="J4625" t="str">
            <v>CR 56 9 36</v>
          </cell>
          <cell r="K4625" t="str">
            <v>11001</v>
          </cell>
          <cell r="L4625" t="str">
            <v>BOGOTA DC</v>
          </cell>
          <cell r="M4625" t="str">
            <v>3186071129</v>
          </cell>
        </row>
        <row r="4626">
          <cell r="A4626">
            <v>900094529</v>
          </cell>
          <cell r="B4626" t="str">
            <v>1</v>
          </cell>
          <cell r="C4626" t="str">
            <v/>
          </cell>
          <cell r="D4626" t="str">
            <v>NJ</v>
          </cell>
          <cell r="E4626" t="str">
            <v/>
          </cell>
          <cell r="F4626" t="str">
            <v/>
          </cell>
          <cell r="G4626" t="str">
            <v>COOPERATIVA MULTIACTIVA SENDEROS</v>
          </cell>
          <cell r="H4626" t="str">
            <v>IMVE</v>
          </cell>
          <cell r="I4626" t="str">
            <v>IMPUESTO SOBRE LAS VENTAS</v>
          </cell>
          <cell r="J4626" t="str">
            <v>CR 21  21 16</v>
          </cell>
          <cell r="K4626" t="str">
            <v>15516</v>
          </cell>
          <cell r="L4626" t="str">
            <v>PAIPA</v>
          </cell>
          <cell r="M4626" t="str">
            <v>3143750287</v>
          </cell>
        </row>
        <row r="4627">
          <cell r="A4627">
            <v>900096245</v>
          </cell>
          <cell r="B4627" t="str">
            <v>4</v>
          </cell>
          <cell r="C4627" t="str">
            <v/>
          </cell>
          <cell r="D4627" t="str">
            <v>NJ</v>
          </cell>
          <cell r="E4627" t="str">
            <v/>
          </cell>
          <cell r="F4627" t="str">
            <v/>
          </cell>
          <cell r="G4627" t="str">
            <v>LA CASA DE LA UPS SAS</v>
          </cell>
          <cell r="H4627" t="str">
            <v>IMVE</v>
          </cell>
          <cell r="I4627" t="str">
            <v>IMPUESTO SOBRE LAS VENTAS</v>
          </cell>
          <cell r="J4627" t="str">
            <v>AV TREINTA DE AGOSTO 43 56</v>
          </cell>
          <cell r="K4627" t="str">
            <v>66001</v>
          </cell>
          <cell r="L4627" t="str">
            <v>PEREIRA</v>
          </cell>
          <cell r="M4627" t="str">
            <v>3295683</v>
          </cell>
        </row>
        <row r="4628">
          <cell r="A4628">
            <v>900096912</v>
          </cell>
          <cell r="B4628" t="str">
            <v>9</v>
          </cell>
          <cell r="C4628" t="str">
            <v/>
          </cell>
          <cell r="D4628" t="str">
            <v>NJ</v>
          </cell>
          <cell r="E4628" t="str">
            <v/>
          </cell>
          <cell r="F4628" t="str">
            <v/>
          </cell>
          <cell r="G4628" t="str">
            <v>DURANGAR S.A.S. SERVICIOS INTEGRALES</v>
          </cell>
          <cell r="H4628" t="str">
            <v>IMVE</v>
          </cell>
          <cell r="I4628" t="str">
            <v>IMPUESTO SOBRE LAS VENTAS</v>
          </cell>
          <cell r="J4628" t="str">
            <v>CR 24 12 72 OF 201 BRR LA CAMPIÑA</v>
          </cell>
          <cell r="K4628" t="str">
            <v>85001</v>
          </cell>
          <cell r="L4628" t="str">
            <v>YOPAL</v>
          </cell>
          <cell r="M4628" t="str">
            <v>3123896009</v>
          </cell>
        </row>
        <row r="4629">
          <cell r="A4629">
            <v>900097295</v>
          </cell>
          <cell r="B4629" t="str">
            <v>7</v>
          </cell>
          <cell r="C4629" t="str">
            <v/>
          </cell>
          <cell r="D4629" t="str">
            <v>NJ</v>
          </cell>
          <cell r="E4629" t="str">
            <v/>
          </cell>
          <cell r="F4629" t="str">
            <v/>
          </cell>
          <cell r="G4629" t="str">
            <v>RADIO COMUNICACIONES DEL CARIBE LTDA</v>
          </cell>
          <cell r="H4629" t="str">
            <v>RECO</v>
          </cell>
          <cell r="I4629" t="str">
            <v>REGIMEN COMUN</v>
          </cell>
          <cell r="J4629" t="str">
            <v>CR 45 70  211   BRR  COLOMBIA</v>
          </cell>
          <cell r="K4629" t="str">
            <v>08001</v>
          </cell>
          <cell r="L4629" t="str">
            <v>BARRANQUILLA</v>
          </cell>
          <cell r="M4629" t="str">
            <v>3680357</v>
          </cell>
        </row>
        <row r="4630">
          <cell r="A4630">
            <v>900097960</v>
          </cell>
          <cell r="B4630" t="str">
            <v>7</v>
          </cell>
          <cell r="C4630" t="str">
            <v/>
          </cell>
          <cell r="D4630" t="str">
            <v>NJ</v>
          </cell>
          <cell r="E4630" t="str">
            <v/>
          </cell>
          <cell r="F4630" t="str">
            <v/>
          </cell>
          <cell r="G4630" t="str">
            <v>INGENEC SAS</v>
          </cell>
          <cell r="H4630" t="str">
            <v>IMVE</v>
          </cell>
          <cell r="I4630" t="str">
            <v>IMPUESTO SOBRE LAS VENTAS</v>
          </cell>
          <cell r="J4630" t="str">
            <v>CL 47 70 A  50</v>
          </cell>
          <cell r="K4630" t="str">
            <v>05002</v>
          </cell>
          <cell r="L4630" t="str">
            <v>MEDELLIN</v>
          </cell>
          <cell r="M4630" t="str">
            <v>4126158</v>
          </cell>
        </row>
        <row r="4631">
          <cell r="A4631">
            <v>900099279</v>
          </cell>
          <cell r="B4631" t="str">
            <v>8</v>
          </cell>
          <cell r="C4631" t="str">
            <v/>
          </cell>
          <cell r="D4631" t="str">
            <v>NJ</v>
          </cell>
          <cell r="E4631" t="str">
            <v/>
          </cell>
          <cell r="F4631" t="str">
            <v/>
          </cell>
          <cell r="G4631" t="str">
            <v>APLETON S.A.S</v>
          </cell>
          <cell r="H4631" t="str">
            <v>RECO</v>
          </cell>
          <cell r="I4631" t="str">
            <v>REGIMEN COMUN</v>
          </cell>
          <cell r="J4631" t="str">
            <v>CR 22 25 57 P 2</v>
          </cell>
          <cell r="K4631" t="str">
            <v>17001</v>
          </cell>
          <cell r="L4631" t="str">
            <v>MANIZALES</v>
          </cell>
          <cell r="M4631" t="str">
            <v>8847854</v>
          </cell>
        </row>
        <row r="4632">
          <cell r="A4632">
            <v>900100691</v>
          </cell>
          <cell r="B4632" t="str">
            <v>3</v>
          </cell>
          <cell r="C4632" t="str">
            <v/>
          </cell>
          <cell r="D4632" t="str">
            <v>NJ</v>
          </cell>
          <cell r="E4632" t="str">
            <v/>
          </cell>
          <cell r="F4632" t="str">
            <v/>
          </cell>
          <cell r="G4632" t="str">
            <v>TRANSPORTADORA DEL SUR  ORIENTE E.U/ TRANSO E.U</v>
          </cell>
          <cell r="H4632" t="str">
            <v>RECO</v>
          </cell>
          <cell r="I4632" t="str">
            <v>REGIMEN COMUN</v>
          </cell>
          <cell r="J4632" t="str">
            <v>CL 48  73  65</v>
          </cell>
          <cell r="K4632" t="str">
            <v>11001</v>
          </cell>
          <cell r="L4632" t="str">
            <v>BOGOTA DC</v>
          </cell>
          <cell r="M4632" t="str">
            <v>4884439</v>
          </cell>
        </row>
        <row r="4633">
          <cell r="A4633">
            <v>900100828</v>
          </cell>
          <cell r="B4633" t="str">
            <v>5</v>
          </cell>
          <cell r="C4633" t="str">
            <v/>
          </cell>
          <cell r="D4633" t="str">
            <v>NJ</v>
          </cell>
          <cell r="E4633" t="str">
            <v/>
          </cell>
          <cell r="F4633" t="str">
            <v/>
          </cell>
          <cell r="G4633" t="str">
            <v>INVERSIONES AVANTE EN C</v>
          </cell>
          <cell r="H4633" t="str">
            <v>RECO</v>
          </cell>
          <cell r="I4633" t="str">
            <v>REGIMEN COMUN</v>
          </cell>
          <cell r="J4633" t="str">
            <v>AV 68 C 61</v>
          </cell>
          <cell r="K4633" t="str">
            <v>11001</v>
          </cell>
          <cell r="L4633" t="str">
            <v>BOGOTA DC</v>
          </cell>
          <cell r="M4633" t="str">
            <v>4059759</v>
          </cell>
        </row>
        <row r="4634">
          <cell r="A4634">
            <v>900103726</v>
          </cell>
          <cell r="B4634" t="str">
            <v>6</v>
          </cell>
          <cell r="C4634" t="str">
            <v/>
          </cell>
          <cell r="D4634" t="str">
            <v>NJ</v>
          </cell>
          <cell r="E4634" t="str">
            <v/>
          </cell>
          <cell r="F4634" t="str">
            <v/>
          </cell>
          <cell r="G4634" t="str">
            <v>CONSORCIO CONSTRUCTORA CUCUTA S.A</v>
          </cell>
          <cell r="H4634" t="str">
            <v>RECO</v>
          </cell>
          <cell r="I4634" t="str">
            <v>REGIMEN COMUN</v>
          </cell>
          <cell r="J4634" t="str">
            <v>CC BULEVAR OF 408B</v>
          </cell>
          <cell r="K4634" t="str">
            <v>54001</v>
          </cell>
          <cell r="L4634" t="str">
            <v>CÚCUTA</v>
          </cell>
          <cell r="M4634" t="str">
            <v>5731642</v>
          </cell>
        </row>
        <row r="4635">
          <cell r="A4635">
            <v>900104327</v>
          </cell>
          <cell r="B4635" t="str">
            <v>5</v>
          </cell>
          <cell r="C4635" t="str">
            <v/>
          </cell>
          <cell r="D4635" t="str">
            <v>NJ</v>
          </cell>
          <cell r="E4635" t="str">
            <v/>
          </cell>
          <cell r="F4635" t="str">
            <v/>
          </cell>
          <cell r="G4635" t="str">
            <v>TERASYS S.A.</v>
          </cell>
          <cell r="H4635" t="str">
            <v>RECO</v>
          </cell>
          <cell r="I4635" t="str">
            <v>REGIMEN COMUN</v>
          </cell>
          <cell r="J4635" t="str">
            <v>CR 67   100   20 OF 308</v>
          </cell>
          <cell r="K4635" t="str">
            <v>11001</v>
          </cell>
          <cell r="L4635" t="str">
            <v>BOGOTA DC</v>
          </cell>
          <cell r="M4635" t="str">
            <v>3400072</v>
          </cell>
        </row>
        <row r="4636">
          <cell r="A4636">
            <v>900106111</v>
          </cell>
          <cell r="B4636" t="str">
            <v>0</v>
          </cell>
          <cell r="C4636" t="str">
            <v/>
          </cell>
          <cell r="D4636" t="str">
            <v>NJ</v>
          </cell>
          <cell r="E4636" t="str">
            <v/>
          </cell>
          <cell r="F4636" t="str">
            <v/>
          </cell>
          <cell r="G4636" t="str">
            <v>JPA INGENIERIA S.A.S</v>
          </cell>
          <cell r="H4636" t="str">
            <v>IMVE</v>
          </cell>
          <cell r="I4636" t="str">
            <v>IMPUESTO SOBRE LAS VENTAS</v>
          </cell>
          <cell r="J4636" t="str">
            <v xml:space="preserve"> DG 182 20 91 OF 220 C</v>
          </cell>
          <cell r="K4636" t="str">
            <v>11001</v>
          </cell>
          <cell r="L4636" t="str">
            <v>BOGOTA DC</v>
          </cell>
          <cell r="M4636" t="str">
            <v>5262297</v>
          </cell>
        </row>
        <row r="4637">
          <cell r="A4637">
            <v>900109296</v>
          </cell>
          <cell r="B4637" t="str">
            <v>8</v>
          </cell>
          <cell r="C4637" t="str">
            <v/>
          </cell>
          <cell r="D4637" t="str">
            <v>NJ</v>
          </cell>
          <cell r="E4637" t="str">
            <v/>
          </cell>
          <cell r="F4637" t="str">
            <v/>
          </cell>
          <cell r="G4637" t="str">
            <v>COMPAÑIA CARBONES DE ORIENTE S.A.S</v>
          </cell>
          <cell r="H4637" t="str">
            <v>RECO</v>
          </cell>
          <cell r="I4637" t="str">
            <v>REGIMEN COMUN</v>
          </cell>
          <cell r="J4637" t="str">
            <v>CL 16   14 41 OF 1206</v>
          </cell>
          <cell r="K4637" t="str">
            <v>15238</v>
          </cell>
          <cell r="L4637" t="str">
            <v>DUITAMA</v>
          </cell>
          <cell r="M4637" t="str">
            <v>7432429</v>
          </cell>
        </row>
        <row r="4638">
          <cell r="A4638">
            <v>900109353</v>
          </cell>
          <cell r="B4638" t="str">
            <v>1</v>
          </cell>
          <cell r="C4638" t="str">
            <v/>
          </cell>
          <cell r="D4638" t="str">
            <v>NJ</v>
          </cell>
          <cell r="E4638" t="str">
            <v/>
          </cell>
          <cell r="F4638" t="str">
            <v/>
          </cell>
          <cell r="G4638" t="str">
            <v>IMPORTACIONES REPUESTOS MORENO LTDA</v>
          </cell>
          <cell r="H4638" t="str">
            <v>RECO</v>
          </cell>
          <cell r="I4638" t="str">
            <v>REGIMEN COMUN</v>
          </cell>
          <cell r="J4638" t="str">
            <v>CR 20 15 15</v>
          </cell>
          <cell r="K4638" t="str">
            <v>15238</v>
          </cell>
          <cell r="L4638" t="str">
            <v>DUITAMA</v>
          </cell>
          <cell r="M4638" t="str">
            <v>7605394</v>
          </cell>
        </row>
        <row r="4639">
          <cell r="A4639">
            <v>900109674</v>
          </cell>
          <cell r="B4639" t="str">
            <v>9</v>
          </cell>
          <cell r="C4639" t="str">
            <v/>
          </cell>
          <cell r="D4639" t="str">
            <v>NJ</v>
          </cell>
          <cell r="E4639" t="str">
            <v/>
          </cell>
          <cell r="F4639" t="str">
            <v/>
          </cell>
          <cell r="G4639" t="str">
            <v xml:space="preserve">INGENIAR DE LA COSTA S.A.                                   </v>
          </cell>
          <cell r="H4639" t="str">
            <v>RECO</v>
          </cell>
          <cell r="I4639" t="str">
            <v>REGIMEN COMUN</v>
          </cell>
          <cell r="J4639" t="str">
            <v xml:space="preserve">CR 3 N 28 38 EDIF MALENA OF 506        </v>
          </cell>
          <cell r="K4639" t="str">
            <v>23001</v>
          </cell>
          <cell r="L4639" t="str">
            <v>MONTERÍA</v>
          </cell>
          <cell r="M4639" t="str">
            <v>7907424</v>
          </cell>
        </row>
        <row r="4640">
          <cell r="A4640">
            <v>900110266</v>
          </cell>
          <cell r="B4640" t="str">
            <v>9</v>
          </cell>
          <cell r="C4640" t="str">
            <v/>
          </cell>
          <cell r="D4640" t="str">
            <v>NJ</v>
          </cell>
          <cell r="E4640" t="str">
            <v/>
          </cell>
          <cell r="F4640" t="str">
            <v/>
          </cell>
          <cell r="G4640" t="str">
            <v xml:space="preserve">ABACOL LTDA PROYECTORES       </v>
          </cell>
          <cell r="H4640" t="str">
            <v>RECO</v>
          </cell>
          <cell r="I4640" t="str">
            <v>REGIMEN COMUN</v>
          </cell>
          <cell r="J4640" t="str">
            <v>CR 24   40   77 OF 402</v>
          </cell>
          <cell r="K4640" t="str">
            <v>11001</v>
          </cell>
          <cell r="L4640" t="str">
            <v>BOGOTA DC</v>
          </cell>
          <cell r="M4640" t="str">
            <v>3379023</v>
          </cell>
        </row>
        <row r="4641">
          <cell r="A4641">
            <v>900110546</v>
          </cell>
          <cell r="B4641" t="str">
            <v>6</v>
          </cell>
          <cell r="C4641" t="str">
            <v/>
          </cell>
          <cell r="D4641" t="str">
            <v>NJ</v>
          </cell>
          <cell r="E4641" t="str">
            <v/>
          </cell>
          <cell r="F4641" t="str">
            <v/>
          </cell>
          <cell r="G4641" t="str">
            <v>BSD CONSULTING  SAS</v>
          </cell>
          <cell r="H4641" t="str">
            <v>RECO</v>
          </cell>
          <cell r="I4641" t="str">
            <v>REGIMEN COMUN</v>
          </cell>
          <cell r="J4641" t="str">
            <v>CR 11 A 94 A 56 OF 301</v>
          </cell>
          <cell r="K4641" t="str">
            <v>11001</v>
          </cell>
          <cell r="L4641" t="str">
            <v>BOGOTA DC</v>
          </cell>
          <cell r="M4641" t="str">
            <v>7032314</v>
          </cell>
        </row>
        <row r="4642">
          <cell r="A4642">
            <v>900111829</v>
          </cell>
          <cell r="B4642" t="str">
            <v>1</v>
          </cell>
          <cell r="C4642" t="str">
            <v/>
          </cell>
          <cell r="D4642" t="str">
            <v>NJ</v>
          </cell>
          <cell r="E4642" t="str">
            <v/>
          </cell>
          <cell r="F4642" t="str">
            <v/>
          </cell>
          <cell r="G4642" t="str">
            <v>HOTEL LINCOLN</v>
          </cell>
          <cell r="H4642" t="str">
            <v>RECO</v>
          </cell>
          <cell r="I4642" t="str">
            <v>REGIMEN COMUN</v>
          </cell>
          <cell r="J4642" t="str">
            <v>CIR 3   70   28</v>
          </cell>
          <cell r="K4642" t="str">
            <v>05001</v>
          </cell>
          <cell r="L4642" t="str">
            <v>MEDELLÍN</v>
          </cell>
          <cell r="M4642" t="str">
            <v>4091200</v>
          </cell>
        </row>
        <row r="4643">
          <cell r="A4643">
            <v>900112125</v>
          </cell>
          <cell r="B4643" t="str">
            <v>8</v>
          </cell>
          <cell r="C4643" t="str">
            <v/>
          </cell>
          <cell r="D4643" t="str">
            <v>NJ</v>
          </cell>
          <cell r="E4643" t="str">
            <v/>
          </cell>
          <cell r="F4643" t="str">
            <v/>
          </cell>
          <cell r="G4643" t="str">
            <v>PGC PLANEACION GESTION Y CONTROL SAS</v>
          </cell>
          <cell r="H4643" t="str">
            <v>IMVE</v>
          </cell>
          <cell r="I4643" t="str">
            <v>IMPUESTO SOBRE LAS VENTAS</v>
          </cell>
          <cell r="J4643" t="str">
            <v>CR 23 20 29 ED CAJA AGRARIA</v>
          </cell>
          <cell r="K4643" t="str">
            <v>17001</v>
          </cell>
          <cell r="L4643" t="str">
            <v>MANIZALES</v>
          </cell>
          <cell r="M4643" t="str">
            <v>8805650</v>
          </cell>
        </row>
        <row r="4644">
          <cell r="A4644">
            <v>900112400</v>
          </cell>
          <cell r="B4644" t="str">
            <v>9</v>
          </cell>
          <cell r="C4644" t="str">
            <v/>
          </cell>
          <cell r="D4644" t="str">
            <v>NJ</v>
          </cell>
          <cell r="E4644" t="str">
            <v/>
          </cell>
          <cell r="F4644" t="str">
            <v/>
          </cell>
          <cell r="G4644" t="str">
            <v>TRANSPORTE FLUVIAL DE ORIENTE S.A.S</v>
          </cell>
          <cell r="H4644" t="str">
            <v>RECO</v>
          </cell>
          <cell r="I4644" t="str">
            <v>REGIMEN COMUN</v>
          </cell>
          <cell r="J4644" t="str">
            <v>CR 2 B MLL SEC PRINCIPAL</v>
          </cell>
          <cell r="K4644" t="str">
            <v>50568</v>
          </cell>
          <cell r="L4644" t="str">
            <v>PUERTO GAITÁN</v>
          </cell>
          <cell r="M4644" t="str">
            <v>6460787</v>
          </cell>
        </row>
        <row r="4645">
          <cell r="A4645">
            <v>900112582</v>
          </cell>
          <cell r="B4645" t="str">
            <v>0</v>
          </cell>
          <cell r="C4645" t="str">
            <v/>
          </cell>
          <cell r="D4645" t="str">
            <v>NJ</v>
          </cell>
          <cell r="E4645" t="str">
            <v/>
          </cell>
          <cell r="F4645" t="str">
            <v/>
          </cell>
          <cell r="G4645" t="str">
            <v>CUSTOMER INDEX VALUE CIV LTDA</v>
          </cell>
          <cell r="H4645" t="str">
            <v>RECO</v>
          </cell>
          <cell r="I4645" t="str">
            <v>REGIMEN COMUN</v>
          </cell>
          <cell r="J4645" t="str">
            <v>CL 93 15 40 OF 302</v>
          </cell>
          <cell r="K4645" t="str">
            <v>03</v>
          </cell>
          <cell r="L4645" t="str">
            <v>BOGOTA</v>
          </cell>
          <cell r="M4645" t="str">
            <v>7456950</v>
          </cell>
        </row>
        <row r="4646">
          <cell r="A4646">
            <v>900113435</v>
          </cell>
          <cell r="B4646" t="str">
            <v>0</v>
          </cell>
          <cell r="C4646" t="str">
            <v/>
          </cell>
          <cell r="D4646" t="str">
            <v>NJ</v>
          </cell>
          <cell r="E4646" t="str">
            <v/>
          </cell>
          <cell r="F4646" t="str">
            <v/>
          </cell>
          <cell r="G4646" t="str">
            <v>SUMMUM PROJECTS S.A.S</v>
          </cell>
          <cell r="H4646" t="str">
            <v>IMVE</v>
          </cell>
          <cell r="I4646" t="str">
            <v>IMPUESTO SOBRE LAS VENTAS</v>
          </cell>
          <cell r="J4646" t="str">
            <v>CR 19 166 53 P 1</v>
          </cell>
          <cell r="K4646" t="str">
            <v>11001</v>
          </cell>
          <cell r="L4646" t="str">
            <v>BOGOTA DC</v>
          </cell>
          <cell r="M4646" t="str">
            <v>3209643779</v>
          </cell>
        </row>
        <row r="4647">
          <cell r="A4647">
            <v>900114346</v>
          </cell>
          <cell r="B4647" t="str">
            <v>8</v>
          </cell>
          <cell r="C4647" t="str">
            <v/>
          </cell>
          <cell r="D4647" t="str">
            <v>NJ</v>
          </cell>
          <cell r="E4647" t="str">
            <v/>
          </cell>
          <cell r="F4647" t="str">
            <v/>
          </cell>
          <cell r="G4647" t="str">
            <v>BANCO J. .P. MORGAN</v>
          </cell>
          <cell r="H4647" t="str">
            <v>GRAU</v>
          </cell>
          <cell r="I4647" t="str">
            <v>GRAN CONTRIBUYENTE AUTORRETENEDO</v>
          </cell>
          <cell r="J4647" t="str">
            <v>CR 28 13 15</v>
          </cell>
          <cell r="K4647" t="str">
            <v>11001</v>
          </cell>
          <cell r="L4647" t="str">
            <v>BOGOTA DC</v>
          </cell>
          <cell r="M4647" t="str">
            <v>6013269637</v>
          </cell>
        </row>
        <row r="4648">
          <cell r="A4648">
            <v>900115166</v>
          </cell>
          <cell r="B4648" t="str">
            <v>3</v>
          </cell>
          <cell r="C4648" t="str">
            <v/>
          </cell>
          <cell r="D4648" t="str">
            <v>NJ</v>
          </cell>
          <cell r="E4648" t="str">
            <v/>
          </cell>
          <cell r="F4648" t="str">
            <v/>
          </cell>
          <cell r="G4648" t="str">
            <v>INGENIERIA CONSULTORIA CONSTRUCCION COMERCIO E INVERSIONES</v>
          </cell>
          <cell r="H4648" t="str">
            <v>IMVE</v>
          </cell>
          <cell r="I4648" t="str">
            <v>IMPUESTO SOBRE LAS VENTAS</v>
          </cell>
          <cell r="J4648" t="str">
            <v>CR 4 3 65 IN 1</v>
          </cell>
          <cell r="K4648" t="str">
            <v>25377</v>
          </cell>
          <cell r="L4648" t="str">
            <v>LA CALERA</v>
          </cell>
          <cell r="M4648" t="str">
            <v>8757554</v>
          </cell>
        </row>
        <row r="4649">
          <cell r="A4649">
            <v>900115933</v>
          </cell>
          <cell r="B4649" t="str">
            <v>6</v>
          </cell>
          <cell r="C4649" t="str">
            <v/>
          </cell>
          <cell r="D4649" t="str">
            <v>NJ</v>
          </cell>
          <cell r="E4649" t="str">
            <v/>
          </cell>
          <cell r="F4649" t="str">
            <v/>
          </cell>
          <cell r="G4649" t="str">
            <v>INGERSAMA LTDA</v>
          </cell>
          <cell r="H4649" t="str">
            <v>IMVE</v>
          </cell>
          <cell r="I4649" t="str">
            <v>IMPUESTO SOBRE LAS VENTAS</v>
          </cell>
          <cell r="J4649" t="str">
            <v>TV ORIENTAL 90 223 TO 1 AP 1502 CON HISPANIA BRR EL TEJAR</v>
          </cell>
          <cell r="K4649" t="str">
            <v>68001</v>
          </cell>
          <cell r="L4649" t="str">
            <v>BUCARAMANGA</v>
          </cell>
          <cell r="M4649" t="str">
            <v>6948786</v>
          </cell>
        </row>
        <row r="4650">
          <cell r="A4650">
            <v>900117319</v>
          </cell>
          <cell r="B4650" t="str">
            <v>2</v>
          </cell>
          <cell r="C4650" t="str">
            <v/>
          </cell>
          <cell r="D4650" t="str">
            <v>NJ</v>
          </cell>
          <cell r="E4650" t="str">
            <v/>
          </cell>
          <cell r="F4650" t="str">
            <v/>
          </cell>
          <cell r="G4650" t="str">
            <v>QUOS LTDA</v>
          </cell>
          <cell r="H4650" t="str">
            <v>RECO</v>
          </cell>
          <cell r="I4650" t="str">
            <v>REGIMEN COMUN</v>
          </cell>
          <cell r="J4650" t="str">
            <v>CR 49  72 165</v>
          </cell>
          <cell r="K4650" t="str">
            <v>08001</v>
          </cell>
          <cell r="L4650" t="str">
            <v>BARRANQUILLA</v>
          </cell>
          <cell r="M4650" t="str">
            <v>3683137</v>
          </cell>
        </row>
        <row r="4651">
          <cell r="A4651">
            <v>900119034</v>
          </cell>
          <cell r="B4651" t="str">
            <v>8</v>
          </cell>
          <cell r="C4651" t="str">
            <v/>
          </cell>
          <cell r="D4651" t="str">
            <v>NJ</v>
          </cell>
          <cell r="E4651" t="str">
            <v/>
          </cell>
          <cell r="F4651" t="str">
            <v/>
          </cell>
          <cell r="G4651" t="str">
            <v>CORPORACIÓN AMIGOS DE LA ENEA CORPOENEA</v>
          </cell>
          <cell r="H4651" t="str">
            <v>REIC</v>
          </cell>
          <cell r="I4651" t="str">
            <v>RENTA REGIMEN ESPECIAL</v>
          </cell>
          <cell r="J4651" t="str">
            <v>CR 35 B 96 27</v>
          </cell>
          <cell r="K4651" t="str">
            <v>17001</v>
          </cell>
          <cell r="L4651" t="str">
            <v>MANIZALES</v>
          </cell>
          <cell r="M4651" t="str">
            <v>3174392362</v>
          </cell>
        </row>
        <row r="4652">
          <cell r="A4652">
            <v>900121836</v>
          </cell>
          <cell r="B4652" t="str">
            <v>4</v>
          </cell>
          <cell r="C4652" t="str">
            <v/>
          </cell>
          <cell r="D4652" t="str">
            <v>NJ</v>
          </cell>
          <cell r="E4652" t="str">
            <v/>
          </cell>
          <cell r="F4652" t="str">
            <v/>
          </cell>
          <cell r="G4652" t="str">
            <v>DISTRICOM INVERSIONES LIMITADA</v>
          </cell>
          <cell r="H4652" t="str">
            <v>RECO</v>
          </cell>
          <cell r="I4652" t="str">
            <v>REGIMEN COMUN</v>
          </cell>
          <cell r="J4652" t="str">
            <v>CR 50   19   32</v>
          </cell>
          <cell r="K4652" t="str">
            <v>11001</v>
          </cell>
          <cell r="L4652" t="str">
            <v>BOGOTA DC</v>
          </cell>
          <cell r="M4652" t="str">
            <v>4170696</v>
          </cell>
        </row>
        <row r="4653">
          <cell r="A4653">
            <v>900121964</v>
          </cell>
          <cell r="B4653" t="str">
            <v>9</v>
          </cell>
          <cell r="C4653" t="str">
            <v/>
          </cell>
          <cell r="D4653" t="str">
            <v>NJ</v>
          </cell>
          <cell r="E4653" t="str">
            <v/>
          </cell>
          <cell r="F4653" t="str">
            <v/>
          </cell>
          <cell r="G4653" t="str">
            <v>LOS HORNITOS LTDA</v>
          </cell>
          <cell r="H4653" t="str">
            <v>RECO</v>
          </cell>
          <cell r="I4653" t="str">
            <v>REGIMEN COMUN</v>
          </cell>
          <cell r="J4653" t="str">
            <v>CR 69 25   23 LC 3   4</v>
          </cell>
          <cell r="K4653" t="str">
            <v>11001</v>
          </cell>
          <cell r="L4653" t="str">
            <v>BOGOTA DC</v>
          </cell>
          <cell r="M4653" t="str">
            <v>4100203</v>
          </cell>
        </row>
        <row r="4654">
          <cell r="A4654">
            <v>900123166</v>
          </cell>
          <cell r="B4654" t="str">
            <v>7</v>
          </cell>
          <cell r="C4654" t="str">
            <v/>
          </cell>
          <cell r="D4654" t="str">
            <v>NJ</v>
          </cell>
          <cell r="E4654" t="str">
            <v/>
          </cell>
          <cell r="F4654" t="str">
            <v/>
          </cell>
          <cell r="G4654" t="str">
            <v>TELECOMMUNICATIONS ADVANCE GROUP S.A.S.</v>
          </cell>
          <cell r="H4654" t="str">
            <v>RECO</v>
          </cell>
          <cell r="I4654" t="str">
            <v>REGIMEN COMUN</v>
          </cell>
          <cell r="J4654" t="str">
            <v>CR 1 F 40 195 OF 619 ED ENTERPRSE TOWERS</v>
          </cell>
          <cell r="K4654" t="str">
            <v>15001</v>
          </cell>
          <cell r="L4654" t="str">
            <v>TUNJA</v>
          </cell>
          <cell r="M4654" t="str">
            <v>7454149</v>
          </cell>
        </row>
        <row r="4655">
          <cell r="A4655">
            <v>900123362</v>
          </cell>
          <cell r="B4655" t="str">
            <v>4</v>
          </cell>
          <cell r="C4655" t="str">
            <v/>
          </cell>
          <cell r="D4655" t="str">
            <v>NJ</v>
          </cell>
          <cell r="E4655" t="str">
            <v/>
          </cell>
          <cell r="F4655" t="str">
            <v/>
          </cell>
          <cell r="G4655" t="str">
            <v>ORGANIZACIÓN ESCOBAR Y FRANCOS.A.S</v>
          </cell>
          <cell r="H4655" t="str">
            <v>RECO</v>
          </cell>
          <cell r="I4655" t="str">
            <v>REGIMEN COMUN</v>
          </cell>
          <cell r="J4655" t="str">
            <v>CR 27   69 B 25 BRR LA CAMELIA</v>
          </cell>
          <cell r="K4655" t="str">
            <v>17001</v>
          </cell>
          <cell r="L4655" t="str">
            <v>MANIZALES</v>
          </cell>
          <cell r="M4655" t="str">
            <v>8875912</v>
          </cell>
        </row>
        <row r="4656">
          <cell r="A4656">
            <v>900124476</v>
          </cell>
          <cell r="B4656" t="str">
            <v>1</v>
          </cell>
          <cell r="C4656" t="str">
            <v/>
          </cell>
          <cell r="D4656" t="str">
            <v>NJ</v>
          </cell>
          <cell r="E4656" t="str">
            <v/>
          </cell>
          <cell r="F4656" t="str">
            <v/>
          </cell>
          <cell r="G4656" t="str">
            <v>TRANSMISIONES DIESEL SAS</v>
          </cell>
          <cell r="H4656" t="str">
            <v>IMVE</v>
          </cell>
          <cell r="I4656" t="str">
            <v>IMPUESTO SOBRE LAS VENTAS</v>
          </cell>
          <cell r="J4656" t="str">
            <v>CR 1 50 N  89</v>
          </cell>
          <cell r="K4656" t="str">
            <v>76001</v>
          </cell>
          <cell r="L4656" t="str">
            <v>CALI</v>
          </cell>
          <cell r="M4656" t="str">
            <v>4140000</v>
          </cell>
        </row>
        <row r="4657">
          <cell r="A4657">
            <v>900125720</v>
          </cell>
          <cell r="B4657" t="str">
            <v>7</v>
          </cell>
          <cell r="C4657" t="str">
            <v/>
          </cell>
          <cell r="D4657" t="str">
            <v>NJ</v>
          </cell>
          <cell r="E4657" t="str">
            <v/>
          </cell>
          <cell r="F4657" t="str">
            <v/>
          </cell>
          <cell r="G4657" t="str">
            <v>MARPATECH S.A</v>
          </cell>
          <cell r="H4657" t="str">
            <v>RECO</v>
          </cell>
          <cell r="I4657" t="str">
            <v>REGIMEN COMUN</v>
          </cell>
          <cell r="J4657" t="str">
            <v>CL 10 42-45 OF 304</v>
          </cell>
          <cell r="K4657" t="str">
            <v>05001</v>
          </cell>
          <cell r="L4657" t="str">
            <v>MEDELLÍN</v>
          </cell>
          <cell r="M4657" t="str">
            <v>4449495</v>
          </cell>
        </row>
        <row r="4658">
          <cell r="A4658">
            <v>900126811</v>
          </cell>
          <cell r="B4658" t="str">
            <v>3</v>
          </cell>
          <cell r="C4658" t="str">
            <v/>
          </cell>
          <cell r="D4658" t="str">
            <v>NJ</v>
          </cell>
          <cell r="E4658" t="str">
            <v/>
          </cell>
          <cell r="F4658" t="str">
            <v/>
          </cell>
          <cell r="G4658" t="str">
            <v>DOTA &amp; SEG S.A.S</v>
          </cell>
          <cell r="H4658" t="str">
            <v>RECO</v>
          </cell>
          <cell r="I4658" t="str">
            <v>REGIMEN COMUN</v>
          </cell>
          <cell r="J4658" t="str">
            <v>CR 20   22   32</v>
          </cell>
          <cell r="K4658" t="str">
            <v>85001</v>
          </cell>
          <cell r="L4658" t="str">
            <v>YOPAL</v>
          </cell>
          <cell r="M4658" t="str">
            <v>6324468</v>
          </cell>
        </row>
        <row r="4659">
          <cell r="A4659">
            <v>900127155</v>
          </cell>
          <cell r="B4659" t="str">
            <v>4</v>
          </cell>
          <cell r="C4659" t="str">
            <v/>
          </cell>
          <cell r="D4659" t="str">
            <v>NJ</v>
          </cell>
          <cell r="E4659" t="str">
            <v/>
          </cell>
          <cell r="F4659" t="str">
            <v/>
          </cell>
          <cell r="G4659" t="str">
            <v>INTERNATIONAL LOGISTIC SERVICE SAS</v>
          </cell>
          <cell r="H4659" t="str">
            <v>IMVE</v>
          </cell>
          <cell r="I4659" t="str">
            <v>IMPUESTO SOBRE LAS VENTAS</v>
          </cell>
          <cell r="J4659" t="str">
            <v>TV 85 G 24 F 28</v>
          </cell>
          <cell r="K4659" t="str">
            <v>11001</v>
          </cell>
          <cell r="L4659" t="str">
            <v>BOGOTA DC</v>
          </cell>
          <cell r="M4659" t="str">
            <v>3143316373</v>
          </cell>
        </row>
        <row r="4660">
          <cell r="A4660">
            <v>900128365</v>
          </cell>
          <cell r="B4660" t="str">
            <v>9</v>
          </cell>
          <cell r="C4660" t="str">
            <v/>
          </cell>
          <cell r="D4660" t="str">
            <v>NJ</v>
          </cell>
          <cell r="E4660" t="str">
            <v/>
          </cell>
          <cell r="F4660" t="str">
            <v/>
          </cell>
          <cell r="G4660" t="str">
            <v>CONCAPRESCOL CONSULTORIA CAPACITACION Y PRESTACION DE SERVICIOS</v>
          </cell>
          <cell r="H4660" t="str">
            <v>IMVE</v>
          </cell>
          <cell r="I4660" t="str">
            <v>IMPUESTO SOBRE LAS VENTAS</v>
          </cell>
          <cell r="J4660" t="str">
            <v>CL 77 B 59 61 OF 1009</v>
          </cell>
          <cell r="K4660" t="str">
            <v>08001</v>
          </cell>
          <cell r="L4660" t="str">
            <v>BARRANQUILLA</v>
          </cell>
          <cell r="M4660" t="str">
            <v>3016847340</v>
          </cell>
        </row>
        <row r="4661">
          <cell r="A4661">
            <v>900128508</v>
          </cell>
          <cell r="B4661" t="str">
            <v>5</v>
          </cell>
          <cell r="C4661" t="str">
            <v/>
          </cell>
          <cell r="D4661" t="str">
            <v>NJ</v>
          </cell>
          <cell r="E4661" t="str">
            <v/>
          </cell>
          <cell r="F4661" t="str">
            <v/>
          </cell>
          <cell r="G4661" t="str">
            <v>COMMERCIAL METERING SAS</v>
          </cell>
          <cell r="H4661" t="str">
            <v>IMVE</v>
          </cell>
          <cell r="I4661" t="str">
            <v>IMPUESTO SOBRE LAS VENTAS</v>
          </cell>
          <cell r="J4661" t="str">
            <v>CR 27 A 72 65 BRR LOS ALCAZARES</v>
          </cell>
          <cell r="K4661" t="str">
            <v>11001</v>
          </cell>
          <cell r="L4661" t="str">
            <v>BOGOTA DC</v>
          </cell>
          <cell r="M4661" t="str">
            <v>2506842</v>
          </cell>
        </row>
        <row r="4662">
          <cell r="A4662">
            <v>900130073</v>
          </cell>
          <cell r="B4662" t="str">
            <v>1</v>
          </cell>
          <cell r="C4662" t="str">
            <v/>
          </cell>
          <cell r="D4662" t="str">
            <v>NJ</v>
          </cell>
          <cell r="E4662" t="str">
            <v/>
          </cell>
          <cell r="F4662" t="str">
            <v/>
          </cell>
          <cell r="G4662" t="str">
            <v>EXPRESON SAN JUAN LTDA</v>
          </cell>
          <cell r="H4662" t="str">
            <v>RECO</v>
          </cell>
          <cell r="I4662" t="str">
            <v>REGIMEN COMUN</v>
          </cell>
          <cell r="J4662" t="str">
            <v>BRR EL CAMELLON  SEC EL CHARQUITO</v>
          </cell>
          <cell r="K4662" t="str">
            <v>27745</v>
          </cell>
          <cell r="L4662" t="str">
            <v>SIPÍ</v>
          </cell>
          <cell r="M4662" t="str">
            <v>3113002108</v>
          </cell>
        </row>
        <row r="4663">
          <cell r="A4663">
            <v>900130107</v>
          </cell>
          <cell r="B4663" t="str">
            <v>1</v>
          </cell>
          <cell r="C4663" t="str">
            <v/>
          </cell>
          <cell r="D4663" t="str">
            <v>NJ</v>
          </cell>
          <cell r="E4663" t="str">
            <v/>
          </cell>
          <cell r="F4663" t="str">
            <v/>
          </cell>
          <cell r="G4663" t="str">
            <v>ANALIZAR - RBM E.U</v>
          </cell>
          <cell r="H4663" t="str">
            <v>RECO</v>
          </cell>
          <cell r="I4663" t="str">
            <v>REGIMEN COMUN</v>
          </cell>
          <cell r="J4663" t="str">
            <v xml:space="preserve"> CL 2  22 175 OF 201  CC ALFAGUARA</v>
          </cell>
          <cell r="K4663" t="str">
            <v>76364</v>
          </cell>
          <cell r="L4663" t="str">
            <v>JAMUNDÍ</v>
          </cell>
          <cell r="M4663" t="str">
            <v>5162331</v>
          </cell>
        </row>
        <row r="4664">
          <cell r="A4664">
            <v>900130262</v>
          </cell>
          <cell r="B4664" t="str">
            <v>5</v>
          </cell>
          <cell r="C4664" t="str">
            <v/>
          </cell>
          <cell r="D4664" t="str">
            <v>NJ</v>
          </cell>
          <cell r="E4664" t="str">
            <v/>
          </cell>
          <cell r="F4664" t="str">
            <v/>
          </cell>
          <cell r="G4664" t="str">
            <v>SUMINISTROS Y SERVICIOS TONY SAS</v>
          </cell>
          <cell r="H4664" t="str">
            <v>IMVE</v>
          </cell>
          <cell r="I4664" t="str">
            <v>IMPUESTO SOBRE LAS VENTAS</v>
          </cell>
          <cell r="J4664" t="str">
            <v>CL 12 35 33 IN 113</v>
          </cell>
          <cell r="K4664" t="str">
            <v>17001</v>
          </cell>
          <cell r="L4664" t="str">
            <v>MANIZALES</v>
          </cell>
          <cell r="M4664" t="str">
            <v>3208361417</v>
          </cell>
        </row>
        <row r="4665">
          <cell r="A4665">
            <v>900130611</v>
          </cell>
          <cell r="B4665" t="str">
            <v>2</v>
          </cell>
          <cell r="C4665" t="str">
            <v/>
          </cell>
          <cell r="D4665" t="str">
            <v>NJ</v>
          </cell>
          <cell r="E4665" t="str">
            <v/>
          </cell>
          <cell r="F4665" t="str">
            <v/>
          </cell>
          <cell r="G4665" t="str">
            <v>IMPORTACIONES CALDAS S.A.S.</v>
          </cell>
          <cell r="H4665" t="str">
            <v>RECO</v>
          </cell>
          <cell r="I4665" t="str">
            <v>REGIMEN COMUN</v>
          </cell>
          <cell r="J4665" t="str">
            <v>CL 21 10 42</v>
          </cell>
          <cell r="K4665" t="str">
            <v>17001</v>
          </cell>
          <cell r="L4665" t="str">
            <v>MANIZALES</v>
          </cell>
          <cell r="M4665" t="str">
            <v>8823105</v>
          </cell>
        </row>
        <row r="4666">
          <cell r="A4666">
            <v>900130789</v>
          </cell>
          <cell r="B4666" t="str">
            <v>4</v>
          </cell>
          <cell r="C4666" t="str">
            <v/>
          </cell>
          <cell r="D4666" t="str">
            <v>NJ</v>
          </cell>
          <cell r="E4666" t="str">
            <v/>
          </cell>
          <cell r="F4666" t="str">
            <v/>
          </cell>
          <cell r="G4666" t="str">
            <v>SINDICATO DE TRABAJ. DE LA ELECTRICIDAD EN COLOMBIA SINTRAELECOL</v>
          </cell>
          <cell r="H4666" t="str">
            <v>NORE</v>
          </cell>
          <cell r="I4666" t="str">
            <v>NO RESPONSABLE DE IVA</v>
          </cell>
          <cell r="J4666" t="str">
            <v>CL 25 20 60 OF 304 305</v>
          </cell>
          <cell r="K4666" t="str">
            <v>15516</v>
          </cell>
          <cell r="L4666" t="str">
            <v>PAIPA</v>
          </cell>
          <cell r="M4666" t="str">
            <v>30530164330</v>
          </cell>
        </row>
        <row r="4667">
          <cell r="A4667">
            <v>900131487</v>
          </cell>
          <cell r="B4667" t="str">
            <v>1</v>
          </cell>
          <cell r="C4667" t="str">
            <v/>
          </cell>
          <cell r="D4667" t="str">
            <v>NJ</v>
          </cell>
          <cell r="E4667" t="str">
            <v/>
          </cell>
          <cell r="F4667" t="str">
            <v/>
          </cell>
          <cell r="G4667" t="str">
            <v>MEGAENERGIA SAS</v>
          </cell>
          <cell r="H4667" t="str">
            <v>IMVE</v>
          </cell>
          <cell r="I4667" t="str">
            <v>IMPUESTO SOBRE LAS VENTAS</v>
          </cell>
          <cell r="J4667" t="str">
            <v>CL 2  22  175  OF 305  CC ALFAGUARA</v>
          </cell>
          <cell r="K4667" t="str">
            <v>76364</v>
          </cell>
          <cell r="L4667" t="str">
            <v>JAMUNDÍ</v>
          </cell>
          <cell r="M4667" t="str">
            <v>5151515</v>
          </cell>
        </row>
        <row r="4668">
          <cell r="A4668">
            <v>900131931</v>
          </cell>
          <cell r="B4668" t="str">
            <v>9</v>
          </cell>
          <cell r="C4668" t="str">
            <v/>
          </cell>
          <cell r="D4668" t="str">
            <v>NJ</v>
          </cell>
          <cell r="E4668" t="str">
            <v/>
          </cell>
          <cell r="F4668" t="str">
            <v/>
          </cell>
          <cell r="G4668" t="str">
            <v>COQUES Y MINERALES DE COLOMBIA LIMITADA</v>
          </cell>
          <cell r="H4668" t="str">
            <v>RECO</v>
          </cell>
          <cell r="I4668" t="str">
            <v>REGIMEN COMUN</v>
          </cell>
          <cell r="J4668" t="str">
            <v>BRR BOYACA  MZ 1  CA 16</v>
          </cell>
          <cell r="K4668" t="str">
            <v>15238</v>
          </cell>
          <cell r="L4668" t="str">
            <v>DUITAMA</v>
          </cell>
          <cell r="M4668" t="str">
            <v>7600722</v>
          </cell>
        </row>
        <row r="4669">
          <cell r="A4669">
            <v>900131976</v>
          </cell>
          <cell r="B4669" t="str">
            <v>1</v>
          </cell>
          <cell r="C4669" t="str">
            <v/>
          </cell>
          <cell r="D4669" t="str">
            <v>NJ</v>
          </cell>
          <cell r="E4669" t="str">
            <v/>
          </cell>
          <cell r="F4669" t="str">
            <v/>
          </cell>
          <cell r="G4669" t="str">
            <v>ALDIA COMERCIO SAS</v>
          </cell>
          <cell r="H4669" t="str">
            <v>RECO</v>
          </cell>
          <cell r="I4669" t="str">
            <v>REGIMEN COMUN</v>
          </cell>
          <cell r="J4669" t="str">
            <v>CL 148 13 10 P 1</v>
          </cell>
          <cell r="K4669" t="str">
            <v>11001</v>
          </cell>
          <cell r="L4669" t="str">
            <v>BOGOTA DC</v>
          </cell>
          <cell r="M4669" t="str">
            <v>4872930</v>
          </cell>
        </row>
        <row r="4670">
          <cell r="A4670">
            <v>900132478</v>
          </cell>
          <cell r="B4670" t="str">
            <v>8</v>
          </cell>
          <cell r="C4670" t="str">
            <v/>
          </cell>
          <cell r="D4670" t="str">
            <v>NJ</v>
          </cell>
          <cell r="E4670" t="str">
            <v/>
          </cell>
          <cell r="F4670" t="str">
            <v/>
          </cell>
          <cell r="G4670" t="str">
            <v>AEROESTAR LTDA</v>
          </cell>
          <cell r="H4670" t="str">
            <v>RECO</v>
          </cell>
          <cell r="I4670" t="str">
            <v>REGIMEN COMUN</v>
          </cell>
          <cell r="J4670" t="str">
            <v>AEROPUERTO VANGUARDIA EDIFICIO AEROESTAR</v>
          </cell>
          <cell r="K4670" t="str">
            <v>50001</v>
          </cell>
          <cell r="L4670" t="str">
            <v>VILLAVICENCIO</v>
          </cell>
          <cell r="M4670" t="str">
            <v>6648343</v>
          </cell>
        </row>
        <row r="4671">
          <cell r="A4671">
            <v>900132805</v>
          </cell>
          <cell r="B4671" t="str">
            <v>3</v>
          </cell>
          <cell r="C4671" t="str">
            <v/>
          </cell>
          <cell r="D4671" t="str">
            <v>NJ</v>
          </cell>
          <cell r="E4671" t="str">
            <v/>
          </cell>
          <cell r="F4671" t="str">
            <v/>
          </cell>
          <cell r="G4671" t="str">
            <v>CREO CONSULTORES S.A.S</v>
          </cell>
          <cell r="H4671" t="str">
            <v>RECO</v>
          </cell>
          <cell r="I4671" t="str">
            <v>REGIMEN COMUN</v>
          </cell>
          <cell r="J4671" t="str">
            <v>CR 49   134 D 36  P 1</v>
          </cell>
          <cell r="K4671" t="str">
            <v>11001</v>
          </cell>
          <cell r="L4671" t="str">
            <v>BOGOTA DC</v>
          </cell>
          <cell r="M4671" t="str">
            <v>4749277</v>
          </cell>
        </row>
        <row r="4672">
          <cell r="A4672">
            <v>900133057</v>
          </cell>
          <cell r="B4672" t="str">
            <v>5</v>
          </cell>
          <cell r="C4672" t="str">
            <v/>
          </cell>
          <cell r="D4672" t="str">
            <v>NJ</v>
          </cell>
          <cell r="E4672" t="str">
            <v/>
          </cell>
          <cell r="F4672" t="str">
            <v/>
          </cell>
          <cell r="G4672" t="str">
            <v>SEAT COLOMBIANA S.A.S</v>
          </cell>
          <cell r="H4672" t="str">
            <v>RECO</v>
          </cell>
          <cell r="I4672" t="str">
            <v>REGIMEN COMUN</v>
          </cell>
          <cell r="J4672" t="str">
            <v>CR 25 15 90</v>
          </cell>
          <cell r="K4672" t="str">
            <v>11001</v>
          </cell>
          <cell r="L4672" t="str">
            <v>BOGOTA DC</v>
          </cell>
          <cell r="M4672" t="str">
            <v>3600069</v>
          </cell>
        </row>
        <row r="4673">
          <cell r="A4673">
            <v>900133060</v>
          </cell>
          <cell r="B4673" t="str">
            <v>8</v>
          </cell>
          <cell r="C4673" t="str">
            <v/>
          </cell>
          <cell r="D4673" t="str">
            <v>NJ</v>
          </cell>
          <cell r="E4673" t="str">
            <v/>
          </cell>
          <cell r="F4673" t="str">
            <v/>
          </cell>
          <cell r="G4673" t="str">
            <v>EDEPSA SOLUCIONES AMBIENTALES ESP SAS</v>
          </cell>
          <cell r="H4673" t="str">
            <v>RECO</v>
          </cell>
          <cell r="I4673" t="str">
            <v>REGIMEN COMUN</v>
          </cell>
          <cell r="J4673" t="str">
            <v>CL 63  32 81 BRR CONUCOS</v>
          </cell>
          <cell r="K4673" t="str">
            <v>17001</v>
          </cell>
          <cell r="L4673" t="str">
            <v>MANIZALES</v>
          </cell>
          <cell r="M4673" t="str">
            <v>3207273692</v>
          </cell>
        </row>
        <row r="4674">
          <cell r="A4674">
            <v>900134443</v>
          </cell>
          <cell r="B4674" t="str">
            <v>1</v>
          </cell>
          <cell r="C4674" t="str">
            <v/>
          </cell>
          <cell r="D4674" t="str">
            <v>NJ</v>
          </cell>
          <cell r="E4674" t="str">
            <v/>
          </cell>
          <cell r="F4674" t="str">
            <v/>
          </cell>
          <cell r="G4674" t="str">
            <v>CONSTRUCCIONES MONTAJES Y MANTENIMIENTO  CMM.  E.U.</v>
          </cell>
          <cell r="H4674" t="str">
            <v>IMVE</v>
          </cell>
          <cell r="I4674" t="str">
            <v>IMPUESTO SOBRE LAS VENTAS</v>
          </cell>
          <cell r="J4674" t="str">
            <v xml:space="preserve"> KM 4 SEC VIA PANAMERICANA BRR LA FLORIDA</v>
          </cell>
          <cell r="K4674" t="str">
            <v>17873</v>
          </cell>
          <cell r="L4674" t="str">
            <v>VILLAMARÍA</v>
          </cell>
          <cell r="M4674" t="str">
            <v>8894472</v>
          </cell>
        </row>
        <row r="4675">
          <cell r="A4675">
            <v>900134920</v>
          </cell>
          <cell r="B4675" t="str">
            <v>1</v>
          </cell>
          <cell r="C4675" t="str">
            <v/>
          </cell>
          <cell r="D4675" t="str">
            <v>NJ</v>
          </cell>
          <cell r="E4675" t="str">
            <v/>
          </cell>
          <cell r="F4675" t="str">
            <v/>
          </cell>
          <cell r="G4675" t="str">
            <v>IF CONTROL SAS</v>
          </cell>
          <cell r="H4675" t="str">
            <v>IMVE</v>
          </cell>
          <cell r="I4675" t="str">
            <v>IMPUESTO SOBRE LAS VENTAS</v>
          </cell>
          <cell r="J4675" t="str">
            <v>CL 2 A 23 19</v>
          </cell>
          <cell r="K4675" t="str">
            <v>11001</v>
          </cell>
          <cell r="L4675" t="str">
            <v>BOGOTA DC</v>
          </cell>
          <cell r="M4675" t="str">
            <v>3228703111</v>
          </cell>
        </row>
        <row r="4676">
          <cell r="A4676">
            <v>900135674</v>
          </cell>
          <cell r="B4676" t="str">
            <v>9</v>
          </cell>
          <cell r="C4676" t="str">
            <v/>
          </cell>
          <cell r="D4676" t="str">
            <v>NJ</v>
          </cell>
          <cell r="E4676" t="str">
            <v/>
          </cell>
          <cell r="F4676" t="str">
            <v/>
          </cell>
          <cell r="G4676" t="str">
            <v xml:space="preserve">UT-GENSA-SINTRAELECOL         </v>
          </cell>
          <cell r="H4676" t="str">
            <v>RECO</v>
          </cell>
          <cell r="I4676" t="str">
            <v>REGIMEN COMUN</v>
          </cell>
          <cell r="J4676" t="str">
            <v xml:space="preserve">      </v>
          </cell>
          <cell r="K4676" t="str">
            <v>91001</v>
          </cell>
          <cell r="L4676" t="str">
            <v>LETICIA</v>
          </cell>
          <cell r="M4676" t="str">
            <v>8756262</v>
          </cell>
        </row>
        <row r="4677">
          <cell r="A4677">
            <v>900138305</v>
          </cell>
          <cell r="B4677" t="str">
            <v>1</v>
          </cell>
          <cell r="C4677" t="str">
            <v/>
          </cell>
          <cell r="D4677" t="str">
            <v>NJ</v>
          </cell>
          <cell r="E4677" t="str">
            <v/>
          </cell>
          <cell r="F4677" t="str">
            <v/>
          </cell>
          <cell r="G4677" t="str">
            <v>TECSAI INGENIERIA LTDA</v>
          </cell>
          <cell r="H4677" t="str">
            <v>RECO</v>
          </cell>
          <cell r="I4677" t="str">
            <v>REGIMEN COMUN</v>
          </cell>
          <cell r="J4677" t="str">
            <v>CL 127 A   53 A 28</v>
          </cell>
          <cell r="K4677" t="str">
            <v>11001</v>
          </cell>
          <cell r="L4677" t="str">
            <v>BOGOTA DC</v>
          </cell>
          <cell r="M4677" t="str">
            <v>2710315</v>
          </cell>
        </row>
        <row r="4678">
          <cell r="A4678">
            <v>900138807</v>
          </cell>
          <cell r="B4678" t="str">
            <v>5</v>
          </cell>
          <cell r="C4678" t="str">
            <v/>
          </cell>
          <cell r="D4678" t="str">
            <v>NJ</v>
          </cell>
          <cell r="E4678" t="str">
            <v/>
          </cell>
          <cell r="F4678" t="str">
            <v/>
          </cell>
          <cell r="G4678" t="str">
            <v>SOLUCIONES INTEGRALES EN ARCHIVO S.A.S</v>
          </cell>
          <cell r="H4678" t="str">
            <v>IMVE</v>
          </cell>
          <cell r="I4678" t="str">
            <v>IMPUESTO SOBRE LAS VENTAS</v>
          </cell>
          <cell r="J4678" t="str">
            <v xml:space="preserve"> CR 18 25 12 OF 101</v>
          </cell>
          <cell r="K4678" t="str">
            <v>17001</v>
          </cell>
          <cell r="L4678" t="str">
            <v>MANIZALES</v>
          </cell>
          <cell r="M4678" t="str">
            <v>3128390151</v>
          </cell>
        </row>
        <row r="4679">
          <cell r="A4679">
            <v>900140322</v>
          </cell>
          <cell r="B4679" t="str">
            <v>1</v>
          </cell>
          <cell r="C4679" t="str">
            <v/>
          </cell>
          <cell r="D4679" t="str">
            <v>NJ</v>
          </cell>
          <cell r="E4679" t="str">
            <v/>
          </cell>
          <cell r="F4679" t="str">
            <v/>
          </cell>
          <cell r="G4679" t="str">
            <v>MINERLAB LIMITADA</v>
          </cell>
          <cell r="H4679" t="str">
            <v>RECO</v>
          </cell>
          <cell r="I4679" t="str">
            <v>REGIMEN COMUN</v>
          </cell>
          <cell r="J4679" t="str">
            <v>CL 51 SUR 80 I 34 BRR LA GRAN BRITALIA</v>
          </cell>
          <cell r="K4679" t="str">
            <v>11001</v>
          </cell>
          <cell r="L4679" t="str">
            <v>BOGOTA DC</v>
          </cell>
          <cell r="M4679" t="str">
            <v>3123202972</v>
          </cell>
        </row>
        <row r="4680">
          <cell r="A4680">
            <v>900142317</v>
          </cell>
          <cell r="B4680" t="str">
            <v>3</v>
          </cell>
          <cell r="C4680" t="str">
            <v/>
          </cell>
          <cell r="D4680" t="str">
            <v>NJ</v>
          </cell>
          <cell r="E4680" t="str">
            <v/>
          </cell>
          <cell r="F4680" t="str">
            <v/>
          </cell>
          <cell r="G4680" t="str">
            <v>HITECH AUTOMATIZACION S.A.S</v>
          </cell>
          <cell r="H4680" t="str">
            <v>IMVE</v>
          </cell>
          <cell r="I4680" t="str">
            <v>IMPUESTO SOBRE LAS VENTAS</v>
          </cell>
          <cell r="J4680" t="str">
            <v>CR 10 21 15 ED INVEROBON OF 406</v>
          </cell>
          <cell r="K4680" t="str">
            <v>66001</v>
          </cell>
          <cell r="L4680" t="str">
            <v>PEREIRA</v>
          </cell>
          <cell r="M4680" t="str">
            <v>3257441</v>
          </cell>
        </row>
        <row r="4681">
          <cell r="A4681">
            <v>900142797</v>
          </cell>
          <cell r="B4681" t="str">
            <v>5</v>
          </cell>
          <cell r="C4681" t="str">
            <v/>
          </cell>
          <cell r="D4681" t="str">
            <v>NJ</v>
          </cell>
          <cell r="E4681" t="str">
            <v/>
          </cell>
          <cell r="F4681" t="str">
            <v/>
          </cell>
          <cell r="G4681" t="str">
            <v>PEREZ HIJOS Y ASOCIADOS SA</v>
          </cell>
          <cell r="H4681" t="str">
            <v>RECO</v>
          </cell>
          <cell r="I4681" t="str">
            <v>REGIMEN COMUN</v>
          </cell>
          <cell r="J4681" t="str">
            <v>CR 8 16 28</v>
          </cell>
          <cell r="K4681" t="str">
            <v>66001</v>
          </cell>
          <cell r="L4681" t="str">
            <v>PEREIRA</v>
          </cell>
          <cell r="M4681" t="str">
            <v>3357406</v>
          </cell>
        </row>
        <row r="4682">
          <cell r="A4682">
            <v>900143748</v>
          </cell>
          <cell r="B4682" t="str">
            <v>9</v>
          </cell>
          <cell r="C4682" t="str">
            <v/>
          </cell>
          <cell r="D4682" t="str">
            <v>NJ</v>
          </cell>
          <cell r="E4682" t="str">
            <v/>
          </cell>
          <cell r="F4682" t="str">
            <v/>
          </cell>
          <cell r="G4682" t="str">
            <v>INGENIERIA PARA SOLUCIONES AMBIENTALES IPSA SAS</v>
          </cell>
          <cell r="H4682" t="str">
            <v>IMVE</v>
          </cell>
          <cell r="I4682" t="str">
            <v>IMPUESTO SOBRE LAS VENTAS</v>
          </cell>
          <cell r="J4682" t="str">
            <v>CR 37  13 116 BRR ACOPI</v>
          </cell>
          <cell r="K4682" t="str">
            <v>76892</v>
          </cell>
          <cell r="L4682" t="str">
            <v>YUMBO</v>
          </cell>
          <cell r="M4682" t="str">
            <v>3809029</v>
          </cell>
        </row>
        <row r="4683">
          <cell r="A4683">
            <v>900144159</v>
          </cell>
          <cell r="B4683" t="str">
            <v>5</v>
          </cell>
          <cell r="C4683" t="str">
            <v/>
          </cell>
          <cell r="D4683" t="str">
            <v>NJ</v>
          </cell>
          <cell r="E4683" t="str">
            <v/>
          </cell>
          <cell r="F4683" t="str">
            <v/>
          </cell>
          <cell r="G4683" t="str">
            <v>CERCAR ENERGY SAS</v>
          </cell>
          <cell r="H4683" t="str">
            <v>RECO</v>
          </cell>
          <cell r="I4683" t="str">
            <v>REGIMEN COMUN</v>
          </cell>
          <cell r="J4683" t="str">
            <v>CL 77 B 57 103 OF 1304</v>
          </cell>
          <cell r="K4683" t="str">
            <v>08001</v>
          </cell>
          <cell r="L4683" t="str">
            <v>BARRANQUILLA</v>
          </cell>
          <cell r="M4683" t="str">
            <v>3684301</v>
          </cell>
        </row>
        <row r="4684">
          <cell r="A4684">
            <v>900144255</v>
          </cell>
          <cell r="B4684" t="str">
            <v>4</v>
          </cell>
          <cell r="C4684" t="str">
            <v/>
          </cell>
          <cell r="D4684" t="str">
            <v>NJ</v>
          </cell>
          <cell r="E4684" t="str">
            <v/>
          </cell>
          <cell r="F4684" t="str">
            <v/>
          </cell>
          <cell r="G4684" t="str">
            <v>GEOPOLIMEROS S.A.S</v>
          </cell>
          <cell r="H4684" t="str">
            <v>RECO</v>
          </cell>
          <cell r="I4684" t="str">
            <v>REGIMEN COMUN</v>
          </cell>
          <cell r="J4684" t="str">
            <v>ZN CENTRO EMPRESARIAL METROPOLITANO KM 3   4 AUT MEDELLIN COSTAD</v>
          </cell>
          <cell r="K4684" t="str">
            <v>05001</v>
          </cell>
          <cell r="L4684" t="str">
            <v>MEDELLÍN</v>
          </cell>
          <cell r="M4684" t="str">
            <v>3155663298</v>
          </cell>
        </row>
        <row r="4685">
          <cell r="A4685">
            <v>900144956</v>
          </cell>
          <cell r="B4685" t="str">
            <v>9</v>
          </cell>
          <cell r="C4685" t="str">
            <v/>
          </cell>
          <cell r="D4685" t="str">
            <v>NJ</v>
          </cell>
          <cell r="E4685" t="str">
            <v/>
          </cell>
          <cell r="F4685" t="str">
            <v/>
          </cell>
          <cell r="G4685" t="str">
            <v>SOCIEDAD HOTELERA CALLE 74 LTDA</v>
          </cell>
          <cell r="H4685" t="str">
            <v>RECO</v>
          </cell>
          <cell r="I4685" t="str">
            <v>REGIMEN COMUN</v>
          </cell>
          <cell r="J4685" t="str">
            <v>CL 74 13 27</v>
          </cell>
          <cell r="K4685" t="str">
            <v>11001</v>
          </cell>
          <cell r="L4685" t="str">
            <v>BOGOTA DC</v>
          </cell>
          <cell r="M4685" t="str">
            <v>3254445</v>
          </cell>
        </row>
        <row r="4686">
          <cell r="A4686">
            <v>900145763</v>
          </cell>
          <cell r="B4686" t="str">
            <v>9</v>
          </cell>
          <cell r="C4686" t="str">
            <v/>
          </cell>
          <cell r="D4686" t="str">
            <v>NJ</v>
          </cell>
          <cell r="E4686" t="str">
            <v/>
          </cell>
          <cell r="F4686" t="str">
            <v/>
          </cell>
          <cell r="G4686" t="str">
            <v>DISGASES DUITAMA LTDA</v>
          </cell>
          <cell r="H4686" t="str">
            <v>RECO</v>
          </cell>
          <cell r="I4686" t="str">
            <v>REGIMEN COMUN</v>
          </cell>
          <cell r="J4686" t="str">
            <v>CL 9 N 22 71 DUITAMA   BOYACA</v>
          </cell>
          <cell r="K4686" t="str">
            <v>15238</v>
          </cell>
          <cell r="L4686" t="str">
            <v>DUITAMA</v>
          </cell>
          <cell r="M4686" t="str">
            <v>7604582</v>
          </cell>
        </row>
        <row r="4687">
          <cell r="A4687">
            <v>900145800</v>
          </cell>
          <cell r="B4687" t="str">
            <v>3</v>
          </cell>
          <cell r="C4687" t="str">
            <v/>
          </cell>
          <cell r="D4687" t="str">
            <v>NJ</v>
          </cell>
          <cell r="E4687" t="str">
            <v/>
          </cell>
          <cell r="F4687" t="str">
            <v/>
          </cell>
          <cell r="G4687" t="str">
            <v>FUNDACION VOCES DE ALIENTO</v>
          </cell>
          <cell r="H4687" t="str">
            <v>RECO</v>
          </cell>
          <cell r="I4687" t="str">
            <v>REGIMEN COMUN</v>
          </cell>
          <cell r="J4687" t="str">
            <v>CR 23 C 62 41</v>
          </cell>
          <cell r="K4687" t="str">
            <v>17001</v>
          </cell>
          <cell r="L4687" t="str">
            <v>MANIZALES</v>
          </cell>
          <cell r="M4687" t="str">
            <v>3217677972</v>
          </cell>
        </row>
        <row r="4688">
          <cell r="A4688">
            <v>900145884</v>
          </cell>
          <cell r="B4688" t="str">
            <v>1</v>
          </cell>
          <cell r="C4688" t="str">
            <v/>
          </cell>
          <cell r="D4688" t="str">
            <v>NJ</v>
          </cell>
          <cell r="E4688" t="str">
            <v/>
          </cell>
          <cell r="F4688" t="str">
            <v/>
          </cell>
          <cell r="G4688" t="str">
            <v>PROYECTOS TANQUES Y MONTAJES INGENIERÍA SAS</v>
          </cell>
          <cell r="H4688" t="str">
            <v>RECO</v>
          </cell>
          <cell r="I4688" t="str">
            <v>REGIMEN COMUN</v>
          </cell>
          <cell r="J4688" t="str">
            <v>CR 110 A 65 B 71</v>
          </cell>
          <cell r="K4688" t="str">
            <v>11001</v>
          </cell>
          <cell r="L4688" t="str">
            <v>BOGOTA DC</v>
          </cell>
          <cell r="M4688" t="str">
            <v>3114423312</v>
          </cell>
        </row>
        <row r="4689">
          <cell r="A4689">
            <v>900146103</v>
          </cell>
          <cell r="B4689" t="str">
            <v>2</v>
          </cell>
          <cell r="C4689" t="str">
            <v/>
          </cell>
          <cell r="D4689" t="str">
            <v>NJ</v>
          </cell>
          <cell r="E4689" t="str">
            <v/>
          </cell>
          <cell r="F4689" t="str">
            <v/>
          </cell>
          <cell r="G4689" t="str">
            <v>EMPRESA DE ACUEDUCTO ALCANTARILLADO Y ASEO DE BAHIA SOLANO S.A E</v>
          </cell>
          <cell r="H4689" t="str">
            <v>REOR</v>
          </cell>
          <cell r="I4689" t="str">
            <v>RENTA REGIMEN ORDINARIO</v>
          </cell>
          <cell r="J4689" t="str">
            <v>CR 2 CL 3 ESQ</v>
          </cell>
          <cell r="K4689" t="str">
            <v>27075</v>
          </cell>
          <cell r="L4689" t="str">
            <v>BAHÍA SOLANO</v>
          </cell>
          <cell r="M4689" t="str">
            <v>6827031</v>
          </cell>
        </row>
        <row r="4690">
          <cell r="A4690">
            <v>900146584</v>
          </cell>
          <cell r="B4690" t="str">
            <v>1</v>
          </cell>
          <cell r="C4690" t="str">
            <v/>
          </cell>
          <cell r="D4690" t="str">
            <v>NJ</v>
          </cell>
          <cell r="E4690" t="str">
            <v/>
          </cell>
          <cell r="F4690" t="str">
            <v/>
          </cell>
          <cell r="G4690" t="str">
            <v>SERVICIOS INDUSTRIALES Y DE TECNOLOGIA S.A.S</v>
          </cell>
          <cell r="H4690" t="str">
            <v>IMVE</v>
          </cell>
          <cell r="I4690" t="str">
            <v>IMPUESTO SOBRE LAS VENTAS</v>
          </cell>
          <cell r="J4690" t="str">
            <v>CL 10 BIS 67 A 18 LC 12 ED CATAYA</v>
          </cell>
          <cell r="K4690" t="str">
            <v>76001</v>
          </cell>
          <cell r="L4690" t="str">
            <v>CALI</v>
          </cell>
          <cell r="M4690" t="str">
            <v>3173008463</v>
          </cell>
        </row>
        <row r="4691">
          <cell r="A4691">
            <v>900146950</v>
          </cell>
          <cell r="B4691" t="str">
            <v>4</v>
          </cell>
          <cell r="C4691" t="str">
            <v/>
          </cell>
          <cell r="D4691" t="str">
            <v>NJ</v>
          </cell>
          <cell r="E4691" t="str">
            <v/>
          </cell>
          <cell r="F4691" t="str">
            <v/>
          </cell>
          <cell r="G4691" t="str">
            <v>GRAN ESTACION CENTRO COMERCIAL</v>
          </cell>
          <cell r="H4691" t="str">
            <v>RECO</v>
          </cell>
          <cell r="I4691" t="str">
            <v>REGIMEN COMUN</v>
          </cell>
          <cell r="J4691" t="str">
            <v>CC GRAN ESTACION</v>
          </cell>
          <cell r="K4691" t="str">
            <v>11001</v>
          </cell>
          <cell r="L4691" t="str">
            <v>BOGOTA DC</v>
          </cell>
          <cell r="M4691" t="str">
            <v>4441545</v>
          </cell>
        </row>
        <row r="4692">
          <cell r="A4692">
            <v>900147189</v>
          </cell>
          <cell r="B4692" t="str">
            <v>1</v>
          </cell>
          <cell r="C4692" t="str">
            <v/>
          </cell>
          <cell r="D4692" t="str">
            <v>NJ</v>
          </cell>
          <cell r="E4692" t="str">
            <v/>
          </cell>
          <cell r="F4692" t="str">
            <v/>
          </cell>
          <cell r="G4692" t="str">
            <v>SERVI TRANS CONDOR LTDA</v>
          </cell>
          <cell r="H4692" t="str">
            <v>RECO</v>
          </cell>
          <cell r="I4692" t="str">
            <v>REGIMEN COMUN</v>
          </cell>
          <cell r="J4692" t="str">
            <v>CR 5   5   32</v>
          </cell>
          <cell r="K4692" t="str">
            <v>15667</v>
          </cell>
          <cell r="L4692" t="str">
            <v>SAN LUIS DE GACENO</v>
          </cell>
          <cell r="M4692" t="str">
            <v>6248165</v>
          </cell>
        </row>
        <row r="4693">
          <cell r="A4693">
            <v>900147227</v>
          </cell>
          <cell r="B4693" t="str">
            <v>1</v>
          </cell>
          <cell r="C4693" t="str">
            <v/>
          </cell>
          <cell r="D4693" t="str">
            <v>NJ</v>
          </cell>
          <cell r="E4693" t="str">
            <v/>
          </cell>
          <cell r="F4693" t="str">
            <v/>
          </cell>
          <cell r="G4693" t="str">
            <v>MINERTRANS LTDA</v>
          </cell>
          <cell r="H4693" t="str">
            <v>REOR</v>
          </cell>
          <cell r="I4693" t="str">
            <v>RENTA REGIMEN ORDINARIO</v>
          </cell>
          <cell r="J4693" t="str">
            <v>DG 59 73 66</v>
          </cell>
          <cell r="K4693" t="str">
            <v>15759</v>
          </cell>
          <cell r="L4693" t="str">
            <v>SOGAMOSO</v>
          </cell>
          <cell r="M4693" t="str">
            <v>3132087172</v>
          </cell>
        </row>
        <row r="4694">
          <cell r="A4694">
            <v>900147262</v>
          </cell>
          <cell r="B4694" t="str">
            <v>1</v>
          </cell>
          <cell r="C4694" t="str">
            <v/>
          </cell>
          <cell r="D4694" t="str">
            <v>NJ</v>
          </cell>
          <cell r="E4694" t="str">
            <v/>
          </cell>
          <cell r="F4694" t="str">
            <v/>
          </cell>
          <cell r="G4694" t="str">
            <v>FREESTONE CONSTRUCCIONES SAS</v>
          </cell>
          <cell r="H4694" t="str">
            <v>IMVE</v>
          </cell>
          <cell r="I4694" t="str">
            <v>IMPUESTO SOBRE LAS VENTAS</v>
          </cell>
          <cell r="J4694" t="str">
            <v>CL 3   10-53</v>
          </cell>
          <cell r="K4694" t="str">
            <v>25899</v>
          </cell>
          <cell r="L4694" t="str">
            <v>ZIPAQUIRÁ</v>
          </cell>
          <cell r="M4694" t="str">
            <v>8510747</v>
          </cell>
        </row>
        <row r="4695">
          <cell r="A4695">
            <v>900147322</v>
          </cell>
          <cell r="B4695" t="str">
            <v>3</v>
          </cell>
          <cell r="C4695" t="str">
            <v/>
          </cell>
          <cell r="D4695" t="str">
            <v>NJ</v>
          </cell>
          <cell r="E4695" t="str">
            <v/>
          </cell>
          <cell r="F4695" t="str">
            <v/>
          </cell>
          <cell r="G4695" t="str">
            <v>EQUIPOS Y HERRAMIENTAS INDUSTRIALES S.A.S</v>
          </cell>
          <cell r="H4695" t="str">
            <v>RECO</v>
          </cell>
          <cell r="I4695" t="str">
            <v>REGIMEN COMUN</v>
          </cell>
          <cell r="J4695" t="str">
            <v>CL 21 3 36 BRR SAN NICOLAS</v>
          </cell>
          <cell r="K4695" t="str">
            <v>76001</v>
          </cell>
          <cell r="L4695" t="str">
            <v>CALI</v>
          </cell>
          <cell r="M4695" t="str">
            <v>4462308</v>
          </cell>
        </row>
        <row r="4696">
          <cell r="A4696">
            <v>900147832</v>
          </cell>
          <cell r="B4696" t="str">
            <v>8</v>
          </cell>
          <cell r="C4696" t="str">
            <v/>
          </cell>
          <cell r="D4696" t="str">
            <v>NJ</v>
          </cell>
          <cell r="E4696" t="str">
            <v/>
          </cell>
          <cell r="F4696" t="str">
            <v/>
          </cell>
          <cell r="G4696" t="str">
            <v>INVERSIONES ANGLOS S.A</v>
          </cell>
          <cell r="H4696" t="str">
            <v>RECO</v>
          </cell>
          <cell r="I4696" t="str">
            <v>REGIMEN COMUN</v>
          </cell>
          <cell r="J4696" t="str">
            <v>CR 23  24-17</v>
          </cell>
          <cell r="K4696" t="str">
            <v>15516</v>
          </cell>
          <cell r="L4696" t="str">
            <v>PAIPA</v>
          </cell>
          <cell r="M4696" t="str">
            <v>7852983</v>
          </cell>
        </row>
        <row r="4697">
          <cell r="A4697">
            <v>900148053</v>
          </cell>
          <cell r="B4697" t="str">
            <v>1</v>
          </cell>
          <cell r="C4697" t="str">
            <v/>
          </cell>
          <cell r="D4697" t="str">
            <v>NJ</v>
          </cell>
          <cell r="E4697" t="str">
            <v/>
          </cell>
          <cell r="F4697" t="str">
            <v/>
          </cell>
          <cell r="G4697" t="str">
            <v>LOKTECH LTDA</v>
          </cell>
          <cell r="H4697" t="str">
            <v>RECO</v>
          </cell>
          <cell r="I4697" t="str">
            <v>REGIMEN COMUN</v>
          </cell>
          <cell r="J4697" t="str">
            <v>CR 37 B   13   92</v>
          </cell>
          <cell r="K4697" t="str">
            <v>15238</v>
          </cell>
          <cell r="L4697" t="str">
            <v>DUITAMA</v>
          </cell>
          <cell r="M4697" t="str">
            <v>7612501</v>
          </cell>
        </row>
        <row r="4698">
          <cell r="A4698">
            <v>900148737</v>
          </cell>
          <cell r="B4698" t="str">
            <v>0</v>
          </cell>
          <cell r="C4698" t="str">
            <v/>
          </cell>
          <cell r="D4698" t="str">
            <v>NJ</v>
          </cell>
          <cell r="E4698" t="str">
            <v/>
          </cell>
          <cell r="F4698" t="str">
            <v/>
          </cell>
          <cell r="G4698" t="str">
            <v>ELECTROCONEXIONES BOGOTA S.A.S.</v>
          </cell>
          <cell r="H4698" t="str">
            <v>RECO</v>
          </cell>
          <cell r="I4698" t="str">
            <v>REGIMEN COMUN</v>
          </cell>
          <cell r="J4698" t="str">
            <v>CR 12 16 09</v>
          </cell>
          <cell r="K4698" t="str">
            <v>11001</v>
          </cell>
          <cell r="L4698" t="str">
            <v>BOGOTA DC</v>
          </cell>
          <cell r="M4698" t="str">
            <v>2435765</v>
          </cell>
        </row>
        <row r="4699">
          <cell r="A4699">
            <v>900148768</v>
          </cell>
          <cell r="B4699" t="str">
            <v>9</v>
          </cell>
          <cell r="C4699" t="str">
            <v/>
          </cell>
          <cell r="D4699" t="str">
            <v>NJ</v>
          </cell>
          <cell r="E4699" t="str">
            <v/>
          </cell>
          <cell r="F4699" t="str">
            <v/>
          </cell>
          <cell r="G4699" t="str">
            <v>ENERMAS SAS ESP</v>
          </cell>
          <cell r="H4699" t="str">
            <v>IMVE</v>
          </cell>
          <cell r="I4699" t="str">
            <v>IMPUESTO SOBRE LAS VENTAS</v>
          </cell>
          <cell r="J4699" t="str">
            <v>CLLE 31 A 26 15 OF. 501</v>
          </cell>
          <cell r="K4699" t="str">
            <v>68276</v>
          </cell>
          <cell r="L4699" t="str">
            <v>FLORIDABLANCA</v>
          </cell>
          <cell r="M4699" t="str">
            <v>3004675049</v>
          </cell>
        </row>
        <row r="4700">
          <cell r="A4700">
            <v>900150709</v>
          </cell>
          <cell r="B4700" t="str">
            <v>0</v>
          </cell>
          <cell r="C4700" t="str">
            <v/>
          </cell>
          <cell r="D4700" t="str">
            <v>NJ</v>
          </cell>
          <cell r="E4700" t="str">
            <v/>
          </cell>
          <cell r="F4700" t="str">
            <v/>
          </cell>
          <cell r="G4700" t="str">
            <v>GLOBAL STRATEGIES &amp; SOLUTIONS COLOMBIA S.A.S</v>
          </cell>
          <cell r="H4700" t="str">
            <v>RECO</v>
          </cell>
          <cell r="I4700" t="str">
            <v>REGIMEN COMUN</v>
          </cell>
          <cell r="J4700" t="str">
            <v xml:space="preserve"> CR 57  72 25 OF 105</v>
          </cell>
          <cell r="K4700" t="str">
            <v>08001</v>
          </cell>
          <cell r="L4700" t="str">
            <v>BARRANQUILLA</v>
          </cell>
          <cell r="M4700" t="str">
            <v>3581361</v>
          </cell>
        </row>
        <row r="4701">
          <cell r="A4701">
            <v>900151289</v>
          </cell>
          <cell r="B4701" t="str">
            <v>3</v>
          </cell>
          <cell r="C4701" t="str">
            <v/>
          </cell>
          <cell r="D4701" t="str">
            <v>NJ</v>
          </cell>
          <cell r="E4701" t="str">
            <v/>
          </cell>
          <cell r="F4701" t="str">
            <v/>
          </cell>
          <cell r="G4701" t="str">
            <v>VHZ INGENIERIA S.A.S.</v>
          </cell>
          <cell r="H4701" t="str">
            <v>RECO</v>
          </cell>
          <cell r="I4701" t="str">
            <v>REGIMEN COMUN</v>
          </cell>
          <cell r="J4701" t="str">
            <v>CL 24  7 29 OF 508</v>
          </cell>
          <cell r="K4701" t="str">
            <v>66001</v>
          </cell>
          <cell r="L4701" t="str">
            <v>PEREIRA</v>
          </cell>
          <cell r="M4701" t="str">
            <v>3243667</v>
          </cell>
        </row>
        <row r="4702">
          <cell r="A4702">
            <v>900151641</v>
          </cell>
          <cell r="B4702" t="str">
            <v>3</v>
          </cell>
          <cell r="C4702" t="str">
            <v/>
          </cell>
          <cell r="D4702" t="str">
            <v>NJ</v>
          </cell>
          <cell r="E4702" t="str">
            <v/>
          </cell>
          <cell r="F4702" t="str">
            <v/>
          </cell>
          <cell r="G4702" t="str">
            <v>AUTOPARKING COLOMBIA SA</v>
          </cell>
          <cell r="H4702" t="str">
            <v>RECO</v>
          </cell>
          <cell r="I4702" t="str">
            <v>REGIMEN COMUN</v>
          </cell>
          <cell r="J4702" t="str">
            <v>CL 80 19   25</v>
          </cell>
          <cell r="K4702" t="str">
            <v>11001</v>
          </cell>
          <cell r="L4702" t="str">
            <v>BOGOTA DC</v>
          </cell>
          <cell r="M4702" t="str">
            <v>6351680</v>
          </cell>
        </row>
        <row r="4703">
          <cell r="A4703">
            <v>900153237</v>
          </cell>
          <cell r="B4703" t="str">
            <v>1</v>
          </cell>
          <cell r="C4703" t="str">
            <v/>
          </cell>
          <cell r="D4703" t="str">
            <v>NJ</v>
          </cell>
          <cell r="E4703" t="str">
            <v/>
          </cell>
          <cell r="F4703" t="str">
            <v/>
          </cell>
          <cell r="G4703" t="str">
            <v>TECNOIL SAS</v>
          </cell>
          <cell r="H4703" t="str">
            <v>RECO</v>
          </cell>
          <cell r="I4703" t="str">
            <v>REGIMEN COMUN</v>
          </cell>
          <cell r="J4703" t="str">
            <v>AV AMERICAS    50   15</v>
          </cell>
          <cell r="K4703" t="str">
            <v>11001</v>
          </cell>
          <cell r="L4703" t="str">
            <v>BOGOTA DC</v>
          </cell>
          <cell r="M4703" t="str">
            <v>4146218</v>
          </cell>
        </row>
        <row r="4704">
          <cell r="A4704">
            <v>900153453</v>
          </cell>
          <cell r="B4704" t="str">
            <v>4</v>
          </cell>
          <cell r="C4704" t="str">
            <v/>
          </cell>
          <cell r="D4704" t="str">
            <v>NJ</v>
          </cell>
          <cell r="E4704" t="str">
            <v/>
          </cell>
          <cell r="F4704" t="str">
            <v/>
          </cell>
          <cell r="G4704" t="str">
            <v>CONCESION RUNT S.A.</v>
          </cell>
          <cell r="H4704" t="str">
            <v>GRCO</v>
          </cell>
          <cell r="I4704" t="str">
            <v>GRAN CONTRIBUYENTE</v>
          </cell>
          <cell r="J4704" t="str">
            <v>CL 26 59 41 65 OF 405 ED CAMARA COLOMBIANA DE INFRAESTRUCTURA</v>
          </cell>
          <cell r="K4704" t="str">
            <v>11001</v>
          </cell>
          <cell r="L4704" t="str">
            <v>BOGOTA DC</v>
          </cell>
          <cell r="M4704" t="str">
            <v>587040</v>
          </cell>
        </row>
        <row r="4705">
          <cell r="A4705">
            <v>900154878</v>
          </cell>
          <cell r="B4705" t="str">
            <v>5</v>
          </cell>
          <cell r="C4705" t="str">
            <v/>
          </cell>
          <cell r="D4705" t="str">
            <v>NJ</v>
          </cell>
          <cell r="E4705" t="str">
            <v/>
          </cell>
          <cell r="F4705" t="str">
            <v/>
          </cell>
          <cell r="G4705" t="str">
            <v>AMERICANA DE ENERGIA S.A.S E.S.P</v>
          </cell>
          <cell r="H4705" t="str">
            <v>RCAU</v>
          </cell>
          <cell r="I4705" t="str">
            <v>RESPONSABLE IVA - AUTORETENEDOR</v>
          </cell>
          <cell r="J4705" t="str">
            <v>DG 6 N°3-96</v>
          </cell>
          <cell r="K4705" t="str">
            <v>25873</v>
          </cell>
          <cell r="L4705" t="str">
            <v>VILLAPINZÓN</v>
          </cell>
          <cell r="M4705" t="str">
            <v>3102056266</v>
          </cell>
        </row>
        <row r="4706">
          <cell r="A4706">
            <v>900155103</v>
          </cell>
          <cell r="B4706" t="str">
            <v>0</v>
          </cell>
          <cell r="C4706" t="str">
            <v/>
          </cell>
          <cell r="D4706" t="str">
            <v>NJ</v>
          </cell>
          <cell r="E4706" t="str">
            <v/>
          </cell>
          <cell r="F4706" t="str">
            <v/>
          </cell>
          <cell r="G4706" t="str">
            <v>INVERSIONES VARUNA S.A</v>
          </cell>
          <cell r="H4706" t="str">
            <v>RECO</v>
          </cell>
          <cell r="I4706" t="str">
            <v>REGIMEN COMUN</v>
          </cell>
          <cell r="J4706" t="str">
            <v>CL 62   23 C 18</v>
          </cell>
          <cell r="K4706" t="str">
            <v>17001</v>
          </cell>
          <cell r="L4706" t="str">
            <v>MANIZALES</v>
          </cell>
          <cell r="M4706" t="str">
            <v>8811122</v>
          </cell>
        </row>
        <row r="4707">
          <cell r="A4707">
            <v>900155107</v>
          </cell>
          <cell r="B4707" t="str">
            <v>1</v>
          </cell>
          <cell r="C4707" t="str">
            <v/>
          </cell>
          <cell r="D4707" t="str">
            <v>NJ</v>
          </cell>
          <cell r="E4707" t="str">
            <v/>
          </cell>
          <cell r="F4707" t="str">
            <v/>
          </cell>
          <cell r="G4707" t="str">
            <v>CENCOSUD COLOMBIA S.A</v>
          </cell>
          <cell r="H4707" t="str">
            <v>GRAU</v>
          </cell>
          <cell r="I4707" t="str">
            <v>GRAN CONTRIBUYENTE AUTORRETENEDO</v>
          </cell>
          <cell r="J4707" t="str">
            <v>AV 9   125   30</v>
          </cell>
          <cell r="K4707" t="str">
            <v>11001</v>
          </cell>
          <cell r="L4707" t="str">
            <v>BOGOTA DC</v>
          </cell>
          <cell r="M4707" t="str">
            <v>6579797</v>
          </cell>
        </row>
        <row r="4708">
          <cell r="A4708">
            <v>900155215</v>
          </cell>
          <cell r="B4708" t="str">
            <v>7</v>
          </cell>
          <cell r="C4708" t="str">
            <v/>
          </cell>
          <cell r="D4708" t="str">
            <v>NJ</v>
          </cell>
          <cell r="E4708" t="str">
            <v/>
          </cell>
          <cell r="F4708" t="str">
            <v/>
          </cell>
          <cell r="G4708" t="str">
            <v>ENERGIZANDO INGENIERIA Y CONSTRUCCION S.A.S.</v>
          </cell>
          <cell r="H4708" t="str">
            <v>RECO</v>
          </cell>
          <cell r="I4708" t="str">
            <v>REGIMEN COMUN</v>
          </cell>
          <cell r="J4708" t="str">
            <v>CL 31 6 24 ITAGUI</v>
          </cell>
          <cell r="K4708" t="str">
            <v>05360</v>
          </cell>
          <cell r="L4708" t="str">
            <v>ITAGUI</v>
          </cell>
          <cell r="M4708" t="str">
            <v>3128337162</v>
          </cell>
        </row>
        <row r="4709">
          <cell r="A4709">
            <v>900156079</v>
          </cell>
          <cell r="B4709" t="str">
            <v>6</v>
          </cell>
          <cell r="C4709" t="str">
            <v/>
          </cell>
          <cell r="D4709" t="str">
            <v>NJ</v>
          </cell>
          <cell r="E4709" t="str">
            <v/>
          </cell>
          <cell r="F4709" t="str">
            <v/>
          </cell>
          <cell r="G4709" t="str">
            <v>TECNOLOGIA EN MEDICION SAS</v>
          </cell>
          <cell r="H4709" t="str">
            <v>RECO</v>
          </cell>
          <cell r="I4709" t="str">
            <v>REGIMEN COMUN</v>
          </cell>
          <cell r="J4709" t="str">
            <v>CR 26 11 48</v>
          </cell>
          <cell r="K4709" t="str">
            <v>11001</v>
          </cell>
          <cell r="L4709" t="str">
            <v>BOGOTA DC</v>
          </cell>
          <cell r="M4709" t="str">
            <v>2373277</v>
          </cell>
        </row>
        <row r="4710">
          <cell r="A4710">
            <v>900156264</v>
          </cell>
          <cell r="B4710" t="str">
            <v>2</v>
          </cell>
          <cell r="C4710" t="str">
            <v/>
          </cell>
          <cell r="D4710" t="str">
            <v>NJ</v>
          </cell>
          <cell r="E4710" t="str">
            <v/>
          </cell>
          <cell r="F4710" t="str">
            <v/>
          </cell>
          <cell r="G4710" t="str">
            <v>NUEVA EPS S.A.</v>
          </cell>
          <cell r="H4710" t="str">
            <v>GRCO</v>
          </cell>
          <cell r="I4710" t="str">
            <v>GRAN CONTRIBUYENTE</v>
          </cell>
          <cell r="J4710" t="str">
            <v>calle 652</v>
          </cell>
          <cell r="K4710" t="str">
            <v>17001</v>
          </cell>
          <cell r="L4710" t="str">
            <v>MANIZALES</v>
          </cell>
          <cell r="M4710" t="str">
            <v>PND.</v>
          </cell>
        </row>
        <row r="4711">
          <cell r="A4711">
            <v>900157639</v>
          </cell>
          <cell r="B4711" t="str">
            <v>5</v>
          </cell>
          <cell r="C4711" t="str">
            <v/>
          </cell>
          <cell r="D4711" t="str">
            <v>NJ</v>
          </cell>
          <cell r="E4711" t="str">
            <v/>
          </cell>
          <cell r="F4711" t="str">
            <v/>
          </cell>
          <cell r="G4711" t="str">
            <v xml:space="preserve"> CLUB DEPORTIVO MILENIUM SOBRE RUEDAS</v>
          </cell>
          <cell r="H4711" t="str">
            <v>REIC</v>
          </cell>
          <cell r="I4711" t="str">
            <v>RENTA REGIMEN ESPECIAL</v>
          </cell>
          <cell r="J4711" t="str">
            <v>CL 53 B 26 52 BRR LA ARBOLEDA</v>
          </cell>
          <cell r="K4711" t="str">
            <v>17001</v>
          </cell>
          <cell r="L4711" t="str">
            <v>MANIZALES</v>
          </cell>
          <cell r="M4711" t="str">
            <v>3175609285</v>
          </cell>
        </row>
        <row r="4712">
          <cell r="A4712">
            <v>900157835</v>
          </cell>
          <cell r="B4712" t="str">
            <v>2</v>
          </cell>
          <cell r="C4712" t="str">
            <v/>
          </cell>
          <cell r="D4712" t="str">
            <v>NJ</v>
          </cell>
          <cell r="E4712" t="str">
            <v/>
          </cell>
          <cell r="F4712" t="str">
            <v/>
          </cell>
          <cell r="G4712" t="str">
            <v>FLEXCOM INTERNATIONAL TRADE LTDA.</v>
          </cell>
          <cell r="H4712" t="str">
            <v>REOR</v>
          </cell>
          <cell r="I4712" t="str">
            <v>RENTA REGIMEN ORDINARIO</v>
          </cell>
          <cell r="J4712" t="str">
            <v>CL 94 A  60 31</v>
          </cell>
          <cell r="K4712" t="str">
            <v>11001</v>
          </cell>
          <cell r="L4712" t="str">
            <v>BOGOTA DC</v>
          </cell>
          <cell r="M4712" t="str">
            <v>2368311</v>
          </cell>
        </row>
        <row r="4713">
          <cell r="A4713">
            <v>900159278</v>
          </cell>
          <cell r="B4713" t="str">
            <v>9</v>
          </cell>
          <cell r="C4713" t="str">
            <v/>
          </cell>
          <cell r="D4713" t="str">
            <v>NJ</v>
          </cell>
          <cell r="E4713" t="str">
            <v/>
          </cell>
          <cell r="F4713" t="str">
            <v/>
          </cell>
          <cell r="G4713" t="str">
            <v>PROCTEK SAS</v>
          </cell>
          <cell r="H4713" t="str">
            <v>REOR</v>
          </cell>
          <cell r="I4713" t="str">
            <v>RENTA REGIMEN ORDINARIO</v>
          </cell>
          <cell r="J4713" t="str">
            <v>CL 99 11 B 66</v>
          </cell>
          <cell r="K4713" t="str">
            <v>11001</v>
          </cell>
          <cell r="L4713" t="str">
            <v>BOGOTA DC</v>
          </cell>
          <cell r="M4713" t="str">
            <v>7438828</v>
          </cell>
        </row>
        <row r="4714">
          <cell r="A4714">
            <v>900159631</v>
          </cell>
          <cell r="B4714" t="str">
            <v>6</v>
          </cell>
          <cell r="C4714" t="str">
            <v/>
          </cell>
          <cell r="D4714" t="str">
            <v>NJ</v>
          </cell>
          <cell r="E4714" t="str">
            <v/>
          </cell>
          <cell r="F4714" t="str">
            <v/>
          </cell>
          <cell r="G4714" t="str">
            <v>EMDICOR SAS</v>
          </cell>
          <cell r="H4714" t="str">
            <v>IMVE</v>
          </cell>
          <cell r="I4714" t="str">
            <v>IMPUESTO SOBRE LAS VENTAS</v>
          </cell>
          <cell r="J4714" t="str">
            <v>CR 4 16 BRR CENTRO</v>
          </cell>
          <cell r="K4714" t="str">
            <v>41551</v>
          </cell>
          <cell r="L4714" t="str">
            <v>PITALITO</v>
          </cell>
          <cell r="M4714" t="str">
            <v>8360818</v>
          </cell>
        </row>
        <row r="4715">
          <cell r="A4715">
            <v>900161104</v>
          </cell>
          <cell r="B4715" t="str">
            <v>2</v>
          </cell>
          <cell r="C4715" t="str">
            <v/>
          </cell>
          <cell r="D4715" t="str">
            <v>NJ</v>
          </cell>
          <cell r="E4715" t="str">
            <v/>
          </cell>
          <cell r="F4715" t="str">
            <v/>
          </cell>
          <cell r="G4715" t="str">
            <v>HONEYWELL COLOMBIA S.A.S</v>
          </cell>
          <cell r="H4715" t="str">
            <v>GRCO</v>
          </cell>
          <cell r="I4715" t="str">
            <v>GRAN CONTRIBUYENTE</v>
          </cell>
          <cell r="J4715" t="str">
            <v>CR 11 A 98 50 P 7</v>
          </cell>
          <cell r="K4715" t="str">
            <v>11001</v>
          </cell>
          <cell r="L4715" t="str">
            <v>BOGOTA DC</v>
          </cell>
          <cell r="M4715" t="str">
            <v>3904800</v>
          </cell>
        </row>
        <row r="4716">
          <cell r="A4716">
            <v>900161460</v>
          </cell>
          <cell r="B4716" t="str">
            <v>1</v>
          </cell>
          <cell r="C4716" t="str">
            <v/>
          </cell>
          <cell r="D4716" t="str">
            <v>NJ</v>
          </cell>
          <cell r="E4716" t="str">
            <v/>
          </cell>
          <cell r="F4716" t="str">
            <v/>
          </cell>
          <cell r="G4716" t="str">
            <v>TERMOTASAJERO S.A E.S.P</v>
          </cell>
          <cell r="H4716" t="str">
            <v>GRCO</v>
          </cell>
          <cell r="I4716" t="str">
            <v>GRAN CONTRIBUYENTE</v>
          </cell>
          <cell r="J4716" t="str">
            <v>CR 13   93   19 P 4</v>
          </cell>
          <cell r="K4716" t="str">
            <v>54001</v>
          </cell>
          <cell r="L4716" t="str">
            <v>CÚCUTA</v>
          </cell>
          <cell r="M4716" t="str">
            <v>730498</v>
          </cell>
        </row>
        <row r="4717">
          <cell r="A4717">
            <v>900162612</v>
          </cell>
          <cell r="B4717" t="str">
            <v>7</v>
          </cell>
          <cell r="C4717" t="str">
            <v/>
          </cell>
          <cell r="D4717" t="str">
            <v>NJ</v>
          </cell>
          <cell r="E4717" t="str">
            <v/>
          </cell>
          <cell r="F4717" t="str">
            <v/>
          </cell>
          <cell r="G4717" t="str">
            <v>TEMPEL COLOMBIA LTDA</v>
          </cell>
          <cell r="H4717" t="str">
            <v>RECO</v>
          </cell>
          <cell r="I4717" t="str">
            <v>REGIMEN COMUN</v>
          </cell>
          <cell r="J4717" t="str">
            <v>CR 7 B BIS   124   24</v>
          </cell>
          <cell r="K4717" t="str">
            <v>11001</v>
          </cell>
          <cell r="L4717" t="str">
            <v>BOGOTA DC</v>
          </cell>
          <cell r="M4717" t="str">
            <v>7034176</v>
          </cell>
        </row>
        <row r="4718">
          <cell r="A4718">
            <v>900164591</v>
          </cell>
          <cell r="B4718" t="str">
            <v>1</v>
          </cell>
          <cell r="C4718" t="str">
            <v/>
          </cell>
          <cell r="D4718" t="str">
            <v>NJ</v>
          </cell>
          <cell r="E4718" t="str">
            <v/>
          </cell>
          <cell r="F4718" t="str">
            <v/>
          </cell>
          <cell r="G4718" t="str">
            <v>INVERSIONES R &amp; P LIMITADA</v>
          </cell>
          <cell r="H4718" t="str">
            <v>IMVE</v>
          </cell>
          <cell r="I4718" t="str">
            <v>IMPUESTO SOBRE LAS VENTAS</v>
          </cell>
          <cell r="J4718" t="str">
            <v>CL 19 26 51 BRR LA ESPERANZA</v>
          </cell>
          <cell r="K4718" t="str">
            <v>81001</v>
          </cell>
          <cell r="L4718" t="str">
            <v>ARAUCA</v>
          </cell>
          <cell r="M4718" t="str">
            <v>8854917</v>
          </cell>
        </row>
        <row r="4719">
          <cell r="A4719">
            <v>900165714</v>
          </cell>
          <cell r="B4719" t="str">
            <v>3</v>
          </cell>
          <cell r="C4719" t="str">
            <v/>
          </cell>
          <cell r="D4719" t="str">
            <v>NJ</v>
          </cell>
          <cell r="E4719" t="str">
            <v/>
          </cell>
          <cell r="F4719" t="str">
            <v/>
          </cell>
          <cell r="G4719" t="str">
            <v>INVERSORA LA QUINTA &amp; CIA LTDA</v>
          </cell>
          <cell r="H4719" t="str">
            <v>RECO</v>
          </cell>
          <cell r="I4719" t="str">
            <v>REGIMEN COMUN</v>
          </cell>
          <cell r="J4719" t="str">
            <v>CARRERA 17 # 49 -12</v>
          </cell>
          <cell r="K4719" t="str">
            <v>68081</v>
          </cell>
          <cell r="L4719" t="str">
            <v>BARRANCABERMEJA</v>
          </cell>
          <cell r="M4719" t="str">
            <v>6222599</v>
          </cell>
        </row>
        <row r="4720">
          <cell r="A4720">
            <v>900166732</v>
          </cell>
          <cell r="B4720" t="str">
            <v>0</v>
          </cell>
          <cell r="C4720" t="str">
            <v/>
          </cell>
          <cell r="D4720" t="str">
            <v>NJ</v>
          </cell>
          <cell r="E4720" t="str">
            <v/>
          </cell>
          <cell r="F4720" t="str">
            <v/>
          </cell>
          <cell r="G4720" t="str">
            <v>TROPICAL INGENIERIA Y CONSULTORIA LIMITADA</v>
          </cell>
          <cell r="H4720" t="str">
            <v>RECO</v>
          </cell>
          <cell r="I4720" t="str">
            <v>REGIMEN COMUN</v>
          </cell>
          <cell r="J4720" t="str">
            <v>CR 6 # 49 85 P 8</v>
          </cell>
          <cell r="K4720" t="str">
            <v>11001</v>
          </cell>
          <cell r="L4720" t="str">
            <v>BOGOTA DC</v>
          </cell>
          <cell r="M4720" t="str">
            <v>2886993</v>
          </cell>
        </row>
        <row r="4721">
          <cell r="A4721">
            <v>900168908</v>
          </cell>
          <cell r="B4721" t="str">
            <v>9</v>
          </cell>
          <cell r="C4721" t="str">
            <v/>
          </cell>
          <cell r="D4721" t="str">
            <v>NJ</v>
          </cell>
          <cell r="E4721" t="str">
            <v/>
          </cell>
          <cell r="F4721" t="str">
            <v/>
          </cell>
          <cell r="G4721" t="str">
            <v>SOLUCIONES TECNICAS SOLUTEC SAS</v>
          </cell>
          <cell r="H4721" t="str">
            <v>RECO</v>
          </cell>
          <cell r="I4721" t="str">
            <v>REGIMEN COMUN</v>
          </cell>
          <cell r="J4721" t="str">
            <v>CR 23 46 06 BRR LLERAS</v>
          </cell>
          <cell r="K4721" t="str">
            <v>17001</v>
          </cell>
          <cell r="L4721" t="str">
            <v>MANIZALES</v>
          </cell>
          <cell r="M4721" t="str">
            <v>8853687</v>
          </cell>
        </row>
        <row r="4722">
          <cell r="A4722">
            <v>900169902</v>
          </cell>
          <cell r="B4722" t="str">
            <v>1</v>
          </cell>
          <cell r="C4722" t="str">
            <v/>
          </cell>
          <cell r="D4722" t="str">
            <v>NJ</v>
          </cell>
          <cell r="E4722" t="str">
            <v/>
          </cell>
          <cell r="F4722" t="str">
            <v/>
          </cell>
          <cell r="G4722" t="str">
            <v>AGROINDUSTRIAL DEL CAFE SAS</v>
          </cell>
          <cell r="H4722" t="str">
            <v>IMVE</v>
          </cell>
          <cell r="I4722" t="str">
            <v>IMPUESTO SOBRE LAS VENTAS</v>
          </cell>
          <cell r="J4722" t="str">
            <v>CR 22 16 50</v>
          </cell>
          <cell r="K4722" t="str">
            <v>17001</v>
          </cell>
          <cell r="L4722" t="str">
            <v>MANIZALES</v>
          </cell>
          <cell r="M4722" t="str">
            <v>8841919</v>
          </cell>
        </row>
        <row r="4723">
          <cell r="A4723">
            <v>900170178</v>
          </cell>
          <cell r="B4723" t="str">
            <v>5</v>
          </cell>
          <cell r="C4723" t="str">
            <v/>
          </cell>
          <cell r="D4723" t="str">
            <v>NJ</v>
          </cell>
          <cell r="E4723" t="str">
            <v/>
          </cell>
          <cell r="F4723" t="str">
            <v/>
          </cell>
          <cell r="G4723" t="str">
            <v>EGC SOLUTIONS LTDA</v>
          </cell>
          <cell r="H4723" t="str">
            <v>IMVE</v>
          </cell>
          <cell r="I4723" t="str">
            <v>IMPUESTO SOBRE LAS VENTAS</v>
          </cell>
          <cell r="J4723" t="str">
            <v>AK 70 74 C 30</v>
          </cell>
          <cell r="K4723" t="str">
            <v>11001</v>
          </cell>
          <cell r="L4723" t="str">
            <v>BOGOTA DC</v>
          </cell>
          <cell r="M4723" t="str">
            <v>7046518</v>
          </cell>
        </row>
        <row r="4724">
          <cell r="A4724">
            <v>900170664</v>
          </cell>
          <cell r="B4724" t="str">
            <v>3</v>
          </cell>
          <cell r="C4724" t="str">
            <v/>
          </cell>
          <cell r="D4724" t="str">
            <v>NJ</v>
          </cell>
          <cell r="E4724" t="str">
            <v/>
          </cell>
          <cell r="F4724" t="str">
            <v/>
          </cell>
          <cell r="G4724" t="str">
            <v>EXCELEC INTERNATIONAL S.A.S</v>
          </cell>
          <cell r="H4724" t="str">
            <v>RECO</v>
          </cell>
          <cell r="I4724" t="str">
            <v>REGIMEN COMUN</v>
          </cell>
          <cell r="J4724" t="str">
            <v>CN 50 79 S 35 P 4</v>
          </cell>
          <cell r="K4724" t="str">
            <v>05380</v>
          </cell>
          <cell r="L4724" t="str">
            <v>LA ESTRELLA</v>
          </cell>
          <cell r="M4724" t="str">
            <v>3012222</v>
          </cell>
        </row>
        <row r="4725">
          <cell r="A4725">
            <v>900171582</v>
          </cell>
          <cell r="B4725" t="str">
            <v>2</v>
          </cell>
          <cell r="C4725" t="str">
            <v/>
          </cell>
          <cell r="D4725" t="str">
            <v>NJ</v>
          </cell>
          <cell r="E4725" t="str">
            <v/>
          </cell>
          <cell r="F4725" t="str">
            <v/>
          </cell>
          <cell r="G4725" t="str">
            <v>SOUTH NET TURISMO COLOMBIA SAS</v>
          </cell>
          <cell r="H4725" t="str">
            <v>RECO</v>
          </cell>
          <cell r="I4725" t="str">
            <v>REGIMEN COMUN</v>
          </cell>
          <cell r="J4725" t="str">
            <v>CARRERA 12 - 97 ED GOLF 97 OFC 501</v>
          </cell>
          <cell r="K4725" t="str">
            <v>11001</v>
          </cell>
          <cell r="L4725" t="str">
            <v>BOGOTA DC</v>
          </cell>
          <cell r="M4725" t="str">
            <v>3175100312</v>
          </cell>
        </row>
        <row r="4726">
          <cell r="A4726">
            <v>900172168</v>
          </cell>
          <cell r="B4726" t="str">
            <v>0</v>
          </cell>
          <cell r="C4726" t="str">
            <v/>
          </cell>
          <cell r="D4726" t="str">
            <v>NJ</v>
          </cell>
          <cell r="E4726" t="str">
            <v/>
          </cell>
          <cell r="F4726" t="str">
            <v/>
          </cell>
          <cell r="G4726" t="str">
            <v>UNION TEMPORAL ODUESA</v>
          </cell>
          <cell r="H4726" t="str">
            <v>RECO</v>
          </cell>
          <cell r="I4726" t="str">
            <v>REGIMEN COMUN</v>
          </cell>
          <cell r="J4726" t="str">
            <v>PND.</v>
          </cell>
          <cell r="K4726" t="str">
            <v>17001</v>
          </cell>
          <cell r="L4726" t="str">
            <v>MANIZALES</v>
          </cell>
          <cell r="M4726" t="str">
            <v>PND.</v>
          </cell>
        </row>
        <row r="4727">
          <cell r="A4727">
            <v>900173404</v>
          </cell>
          <cell r="B4727" t="str">
            <v>9</v>
          </cell>
          <cell r="C4727" t="str">
            <v/>
          </cell>
          <cell r="D4727" t="str">
            <v>NJ</v>
          </cell>
          <cell r="E4727" t="str">
            <v/>
          </cell>
          <cell r="F4727" t="str">
            <v/>
          </cell>
          <cell r="G4727" t="str">
            <v>HEINSOHN HUMAN GLOBAL SOLUTIONS S.A.S</v>
          </cell>
          <cell r="H4727" t="str">
            <v>RCAU</v>
          </cell>
          <cell r="I4727" t="str">
            <v>RESPONSABLE IVA - AUTORETENEDOR</v>
          </cell>
          <cell r="J4727" t="str">
            <v xml:space="preserve"> CR 13 82  49  P 6</v>
          </cell>
          <cell r="K4727" t="str">
            <v>03</v>
          </cell>
          <cell r="L4727" t="str">
            <v>BOGOTA</v>
          </cell>
          <cell r="M4727" t="str">
            <v>9172172</v>
          </cell>
        </row>
        <row r="4728">
          <cell r="A4728">
            <v>900173496</v>
          </cell>
          <cell r="B4728" t="str">
            <v>6</v>
          </cell>
          <cell r="C4728" t="str">
            <v/>
          </cell>
          <cell r="D4728" t="str">
            <v>NJ</v>
          </cell>
          <cell r="E4728" t="str">
            <v/>
          </cell>
          <cell r="F4728" t="str">
            <v/>
          </cell>
          <cell r="G4728" t="str">
            <v>CALING LIMITADA</v>
          </cell>
          <cell r="H4728" t="str">
            <v>RECO</v>
          </cell>
          <cell r="I4728" t="str">
            <v>REGIMEN COMUN</v>
          </cell>
          <cell r="J4728" t="str">
            <v>CR 9 11 A 28 BRR AQUIMIN</v>
          </cell>
          <cell r="K4728" t="str">
            <v>15001</v>
          </cell>
          <cell r="L4728" t="str">
            <v>TUNJA</v>
          </cell>
          <cell r="M4728" t="str">
            <v>7433512</v>
          </cell>
        </row>
        <row r="4729">
          <cell r="A4729">
            <v>900176990</v>
          </cell>
          <cell r="B4729" t="str">
            <v>7</v>
          </cell>
          <cell r="C4729" t="str">
            <v/>
          </cell>
          <cell r="D4729" t="str">
            <v>NJ</v>
          </cell>
          <cell r="E4729" t="str">
            <v/>
          </cell>
          <cell r="F4729" t="str">
            <v/>
          </cell>
          <cell r="G4729" t="str">
            <v>ABC PUBLICIDAD INTEGRAL S.A</v>
          </cell>
          <cell r="H4729" t="str">
            <v>RECO</v>
          </cell>
          <cell r="I4729" t="str">
            <v>REGIMEN COMUN</v>
          </cell>
          <cell r="J4729" t="str">
            <v>CR 1 77-29</v>
          </cell>
          <cell r="K4729" t="str">
            <v>17873</v>
          </cell>
          <cell r="L4729" t="str">
            <v>VILLAMARÍA</v>
          </cell>
          <cell r="M4729" t="str">
            <v>8800777</v>
          </cell>
        </row>
        <row r="4730">
          <cell r="A4730">
            <v>900177156</v>
          </cell>
          <cell r="B4730" t="str">
            <v>5</v>
          </cell>
          <cell r="C4730" t="str">
            <v/>
          </cell>
          <cell r="D4730" t="str">
            <v>NJ</v>
          </cell>
          <cell r="E4730" t="str">
            <v/>
          </cell>
          <cell r="F4730" t="str">
            <v/>
          </cell>
          <cell r="G4730" t="str">
            <v>WI SAT COMUNICACIONES SAS</v>
          </cell>
          <cell r="H4730" t="str">
            <v>RECO</v>
          </cell>
          <cell r="I4730" t="str">
            <v>REGIMEN COMUN</v>
          </cell>
          <cell r="J4730" t="str">
            <v>CR 16 11 70 OF 202</v>
          </cell>
          <cell r="K4730" t="str">
            <v>15238</v>
          </cell>
          <cell r="L4730" t="str">
            <v>DUITAMA</v>
          </cell>
          <cell r="M4730" t="str">
            <v>3002175666</v>
          </cell>
        </row>
        <row r="4731">
          <cell r="A4731">
            <v>900177758</v>
          </cell>
          <cell r="B4731" t="str">
            <v>9</v>
          </cell>
          <cell r="C4731" t="str">
            <v/>
          </cell>
          <cell r="D4731" t="str">
            <v>NJ</v>
          </cell>
          <cell r="E4731" t="str">
            <v/>
          </cell>
          <cell r="F4731" t="str">
            <v/>
          </cell>
          <cell r="G4731" t="str">
            <v>FUNDACIÓN BIOLÓGICA AROMA VERDE</v>
          </cell>
          <cell r="H4731" t="str">
            <v>IMVE</v>
          </cell>
          <cell r="I4731" t="str">
            <v>IMPUESTO SOBRE LAS VENTAS</v>
          </cell>
          <cell r="J4731" t="str">
            <v>CL 125 21 A 70 OF 303</v>
          </cell>
          <cell r="K4731" t="str">
            <v>11001</v>
          </cell>
          <cell r="L4731" t="str">
            <v>BOGOTA DC</v>
          </cell>
          <cell r="M4731" t="str">
            <v>6129468</v>
          </cell>
        </row>
        <row r="4732">
          <cell r="A4732">
            <v>900178159</v>
          </cell>
          <cell r="B4732" t="str">
            <v>1</v>
          </cell>
          <cell r="C4732" t="str">
            <v/>
          </cell>
          <cell r="D4732" t="str">
            <v>NJ</v>
          </cell>
          <cell r="E4732" t="str">
            <v/>
          </cell>
          <cell r="F4732" t="str">
            <v/>
          </cell>
          <cell r="G4732" t="str">
            <v>MUNDO BIZ SAS</v>
          </cell>
          <cell r="H4732" t="str">
            <v>RECO</v>
          </cell>
          <cell r="I4732" t="str">
            <v>REGIMEN COMUN</v>
          </cell>
          <cell r="J4732" t="str">
            <v>CALLE 108 15 25 BARRIO SAN PATRICIO BOGOTA DC</v>
          </cell>
          <cell r="K4732" t="str">
            <v>17001</v>
          </cell>
          <cell r="L4732" t="str">
            <v>MANIZALES</v>
          </cell>
          <cell r="M4732" t="str">
            <v>2131777</v>
          </cell>
        </row>
        <row r="4733">
          <cell r="A4733">
            <v>900178704</v>
          </cell>
          <cell r="B4733" t="str">
            <v>6</v>
          </cell>
          <cell r="C4733" t="str">
            <v/>
          </cell>
          <cell r="D4733" t="str">
            <v>NJ</v>
          </cell>
          <cell r="E4733" t="str">
            <v/>
          </cell>
          <cell r="F4733" t="str">
            <v/>
          </cell>
          <cell r="G4733" t="str">
            <v>TECNOLUBRICANTES BOYACA LTDA</v>
          </cell>
          <cell r="H4733" t="str">
            <v>IMVE</v>
          </cell>
          <cell r="I4733" t="str">
            <v>IMPUESTO SOBRE LAS VENTAS</v>
          </cell>
          <cell r="J4733" t="str">
            <v xml:space="preserve"> CR 30 10 64</v>
          </cell>
          <cell r="K4733" t="str">
            <v>15238</v>
          </cell>
          <cell r="L4733" t="str">
            <v>DUITAMA</v>
          </cell>
          <cell r="M4733" t="str">
            <v>31080894</v>
          </cell>
        </row>
        <row r="4734">
          <cell r="A4734">
            <v>900178984</v>
          </cell>
          <cell r="B4734" t="str">
            <v>1</v>
          </cell>
          <cell r="C4734" t="str">
            <v/>
          </cell>
          <cell r="D4734" t="str">
            <v>NJ</v>
          </cell>
          <cell r="E4734" t="str">
            <v/>
          </cell>
          <cell r="F4734" t="str">
            <v/>
          </cell>
          <cell r="G4734" t="str">
            <v>SOCIEDAD DE MEJORAS PUBLICAS DE AGUADAS-CALDAS</v>
          </cell>
          <cell r="H4734" t="str">
            <v>RECO</v>
          </cell>
          <cell r="I4734" t="str">
            <v>REGIMEN COMUN</v>
          </cell>
          <cell r="J4734" t="str">
            <v>CR 6 7 52</v>
          </cell>
          <cell r="K4734" t="str">
            <v>17013</v>
          </cell>
          <cell r="L4734" t="str">
            <v>AGUADAS</v>
          </cell>
          <cell r="M4734" t="str">
            <v>3232865172</v>
          </cell>
        </row>
        <row r="4735">
          <cell r="A4735">
            <v>900179233</v>
          </cell>
          <cell r="B4735" t="str">
            <v>3</v>
          </cell>
          <cell r="C4735" t="str">
            <v/>
          </cell>
          <cell r="D4735" t="str">
            <v>NJ</v>
          </cell>
          <cell r="E4735" t="str">
            <v/>
          </cell>
          <cell r="F4735" t="str">
            <v/>
          </cell>
          <cell r="G4735" t="str">
            <v>DISELECOM SAS</v>
          </cell>
          <cell r="H4735" t="str">
            <v>IMVE</v>
          </cell>
          <cell r="I4735" t="str">
            <v>IMPUESTO SOBRE LAS VENTAS</v>
          </cell>
          <cell r="J4735" t="str">
            <v>CL 49  28  A 19  OF  403</v>
          </cell>
          <cell r="K4735" t="str">
            <v>17001</v>
          </cell>
          <cell r="L4735" t="str">
            <v>MANIZALES</v>
          </cell>
          <cell r="M4735" t="str">
            <v>8722234</v>
          </cell>
        </row>
        <row r="4736">
          <cell r="A4736">
            <v>900180500</v>
          </cell>
          <cell r="B4736" t="str">
            <v>7</v>
          </cell>
          <cell r="C4736" t="str">
            <v/>
          </cell>
          <cell r="D4736" t="str">
            <v>NJ</v>
          </cell>
          <cell r="E4736" t="str">
            <v/>
          </cell>
          <cell r="F4736" t="str">
            <v/>
          </cell>
          <cell r="G4736" t="str">
            <v>HOTELES MILLENIUM S.A</v>
          </cell>
          <cell r="H4736" t="str">
            <v>RECO</v>
          </cell>
          <cell r="I4736" t="str">
            <v>REGIMEN COMUN</v>
          </cell>
          <cell r="J4736" t="str">
            <v>CL 71 N 18 20 BRR LA LIBERTAD</v>
          </cell>
          <cell r="K4736" t="str">
            <v>68081</v>
          </cell>
          <cell r="L4736" t="str">
            <v>BARRANCABERMEJA</v>
          </cell>
          <cell r="M4736" t="str">
            <v>6213130</v>
          </cell>
        </row>
        <row r="4737">
          <cell r="A4737">
            <v>900180739</v>
          </cell>
          <cell r="B4737" t="str">
            <v>1</v>
          </cell>
          <cell r="C4737" t="str">
            <v>920200000</v>
          </cell>
          <cell r="D4737" t="str">
            <v>NJ</v>
          </cell>
          <cell r="E4737" t="str">
            <v/>
          </cell>
          <cell r="F4737" t="str">
            <v/>
          </cell>
          <cell r="G4737" t="str">
            <v>JUNTA CENTRAL DE CONTADORES</v>
          </cell>
          <cell r="H4737" t="str">
            <v>COIM</v>
          </cell>
          <cell r="I4737" t="str">
            <v>CONTROL DE IMPUESTOS</v>
          </cell>
          <cell r="J4737" t="str">
            <v>CR 16 97 46 OF 301</v>
          </cell>
          <cell r="K4737" t="str">
            <v>11001</v>
          </cell>
          <cell r="L4737" t="str">
            <v>BOGOTA DC</v>
          </cell>
          <cell r="M4737" t="str">
            <v>6444450</v>
          </cell>
        </row>
        <row r="4738">
          <cell r="A4738">
            <v>900181969</v>
          </cell>
          <cell r="B4738" t="str">
            <v>1</v>
          </cell>
          <cell r="C4738" t="str">
            <v/>
          </cell>
          <cell r="D4738" t="str">
            <v>NJ</v>
          </cell>
          <cell r="E4738" t="str">
            <v/>
          </cell>
          <cell r="F4738" t="str">
            <v/>
          </cell>
          <cell r="G4738" t="str">
            <v>HYBRYTEC S.A.S</v>
          </cell>
          <cell r="H4738" t="str">
            <v>IMVE</v>
          </cell>
          <cell r="I4738" t="str">
            <v>IMPUESTO SOBRE LAS VENTAS</v>
          </cell>
          <cell r="J4738" t="str">
            <v xml:space="preserve"> CR 42 54 A 155</v>
          </cell>
          <cell r="K4738" t="str">
            <v>05360</v>
          </cell>
          <cell r="L4738" t="str">
            <v>ITAGUI</v>
          </cell>
          <cell r="M4738" t="str">
            <v>3147753806</v>
          </cell>
        </row>
        <row r="4739">
          <cell r="A4739">
            <v>900182086</v>
          </cell>
          <cell r="B4739" t="str">
            <v>8</v>
          </cell>
          <cell r="C4739" t="str">
            <v/>
          </cell>
          <cell r="D4739" t="str">
            <v>NJ</v>
          </cell>
          <cell r="E4739" t="str">
            <v/>
          </cell>
          <cell r="F4739" t="str">
            <v/>
          </cell>
          <cell r="G4739" t="str">
            <v>VERITEST LTDA</v>
          </cell>
          <cell r="H4739" t="str">
            <v>RECO</v>
          </cell>
          <cell r="I4739" t="str">
            <v>REGIMEN COMUN</v>
          </cell>
          <cell r="J4739" t="str">
            <v>CL 99  60 54</v>
          </cell>
          <cell r="K4739" t="str">
            <v>11001</v>
          </cell>
          <cell r="L4739" t="str">
            <v>BOGOTA DC</v>
          </cell>
          <cell r="M4739" t="str">
            <v>8051521</v>
          </cell>
        </row>
        <row r="4740">
          <cell r="A4740">
            <v>900182371</v>
          </cell>
          <cell r="B4740" t="str">
            <v>2</v>
          </cell>
          <cell r="C4740" t="str">
            <v/>
          </cell>
          <cell r="D4740" t="str">
            <v>NJ</v>
          </cell>
          <cell r="E4740" t="str">
            <v/>
          </cell>
          <cell r="F4740" t="str">
            <v/>
          </cell>
          <cell r="G4740" t="str">
            <v>GC REINGENIERIA EU</v>
          </cell>
          <cell r="H4740" t="str">
            <v>IMVE</v>
          </cell>
          <cell r="I4740" t="str">
            <v>IMPUESTO SOBRE LAS VENTAS</v>
          </cell>
          <cell r="J4740" t="str">
            <v>CR 45 57 A 45 OF 101</v>
          </cell>
          <cell r="K4740" t="str">
            <v>11001</v>
          </cell>
          <cell r="L4740" t="str">
            <v>BOGOTA DC</v>
          </cell>
          <cell r="M4740" t="str">
            <v>3138528803</v>
          </cell>
        </row>
        <row r="4741">
          <cell r="A4741">
            <v>900182860</v>
          </cell>
          <cell r="B4741" t="str">
            <v>2</v>
          </cell>
          <cell r="C4741" t="str">
            <v/>
          </cell>
          <cell r="D4741" t="str">
            <v>NJ</v>
          </cell>
          <cell r="E4741" t="str">
            <v/>
          </cell>
          <cell r="F4741" t="str">
            <v/>
          </cell>
          <cell r="G4741" t="str">
            <v>DISREDES INGENIERÍA S.A.S</v>
          </cell>
          <cell r="H4741" t="str">
            <v>RECO</v>
          </cell>
          <cell r="I4741" t="str">
            <v>REGIMEN COMUN</v>
          </cell>
          <cell r="J4741" t="str">
            <v>CR 35 A 20 BRR LA RIVIERA</v>
          </cell>
          <cell r="K4741" t="str">
            <v>52001</v>
          </cell>
          <cell r="L4741" t="str">
            <v xml:space="preserve">PASTO	</v>
          </cell>
          <cell r="M4741" t="str">
            <v>7312434</v>
          </cell>
        </row>
        <row r="4742">
          <cell r="A4742">
            <v>900184260</v>
          </cell>
          <cell r="B4742" t="str">
            <v>2</v>
          </cell>
          <cell r="C4742" t="str">
            <v/>
          </cell>
          <cell r="D4742" t="str">
            <v>NJ</v>
          </cell>
          <cell r="E4742" t="str">
            <v/>
          </cell>
          <cell r="F4742" t="str">
            <v/>
          </cell>
          <cell r="G4742" t="str">
            <v>UNIVERSAL DE CARBONES ESPECIALES LTDA</v>
          </cell>
          <cell r="H4742" t="str">
            <v>RECO</v>
          </cell>
          <cell r="I4742" t="str">
            <v>REGIMEN COMUN</v>
          </cell>
          <cell r="J4742" t="str">
            <v>CL 16  15  43  OF 402</v>
          </cell>
          <cell r="K4742" t="str">
            <v>15238</v>
          </cell>
          <cell r="L4742" t="str">
            <v>DUITAMA</v>
          </cell>
          <cell r="M4742" t="str">
            <v>3214493646</v>
          </cell>
        </row>
        <row r="4743">
          <cell r="A4743">
            <v>900184540</v>
          </cell>
          <cell r="B4743" t="str">
            <v>1</v>
          </cell>
          <cell r="C4743" t="str">
            <v/>
          </cell>
          <cell r="D4743" t="str">
            <v>NJ</v>
          </cell>
          <cell r="E4743" t="str">
            <v/>
          </cell>
          <cell r="F4743" t="str">
            <v/>
          </cell>
          <cell r="G4743" t="str">
            <v>PROFESCO CONSULTORES Y AUDITORES SAS</v>
          </cell>
          <cell r="H4743" t="str">
            <v>IMVE</v>
          </cell>
          <cell r="I4743" t="str">
            <v>IMPUESTO SOBRE LAS VENTAS</v>
          </cell>
          <cell r="J4743" t="str">
            <v>CL 23 21 41 ED BCH P 7 OF 703</v>
          </cell>
          <cell r="K4743" t="str">
            <v>17001</v>
          </cell>
          <cell r="L4743" t="str">
            <v>MANIZALES</v>
          </cell>
          <cell r="M4743" t="str">
            <v>8934294</v>
          </cell>
        </row>
        <row r="4744">
          <cell r="A4744">
            <v>900186025</v>
          </cell>
          <cell r="B4744" t="str">
            <v>7</v>
          </cell>
          <cell r="C4744" t="str">
            <v/>
          </cell>
          <cell r="D4744" t="str">
            <v>NJ</v>
          </cell>
          <cell r="E4744" t="str">
            <v/>
          </cell>
          <cell r="F4744" t="str">
            <v/>
          </cell>
          <cell r="G4744" t="str">
            <v>ASOCIACION GLOBAL GREEN</v>
          </cell>
          <cell r="H4744" t="str">
            <v>IMVE</v>
          </cell>
          <cell r="I4744" t="str">
            <v>IMPUESTO SOBRE LAS VENTAS</v>
          </cell>
          <cell r="J4744" t="str">
            <v>CR 236272 ED PRANCHA CENTRO EMPRESARIAL 909</v>
          </cell>
          <cell r="K4744" t="str">
            <v>17001</v>
          </cell>
          <cell r="L4744" t="str">
            <v>MANIZALES</v>
          </cell>
          <cell r="M4744" t="str">
            <v>3148892718</v>
          </cell>
        </row>
        <row r="4745">
          <cell r="A4745">
            <v>900187095</v>
          </cell>
          <cell r="B4745" t="str">
            <v>7</v>
          </cell>
          <cell r="C4745" t="str">
            <v/>
          </cell>
          <cell r="D4745" t="str">
            <v>NJ</v>
          </cell>
          <cell r="E4745" t="str">
            <v/>
          </cell>
          <cell r="F4745" t="str">
            <v/>
          </cell>
          <cell r="G4745" t="str">
            <v>SAN DIEGO SERVICIOS EN SALUD S.A.S</v>
          </cell>
          <cell r="H4745" t="str">
            <v>RECO</v>
          </cell>
          <cell r="I4745" t="str">
            <v>REGIMEN COMUN</v>
          </cell>
          <cell r="J4745" t="str">
            <v>CL 35   74 IN 230</v>
          </cell>
          <cell r="K4745" t="str">
            <v>68001</v>
          </cell>
          <cell r="L4745" t="str">
            <v>BUCARAMANGA</v>
          </cell>
          <cell r="M4745" t="str">
            <v>6351618</v>
          </cell>
        </row>
        <row r="4746">
          <cell r="A4746">
            <v>900187692</v>
          </cell>
          <cell r="B4746" t="str">
            <v>4</v>
          </cell>
          <cell r="C4746" t="str">
            <v/>
          </cell>
          <cell r="D4746" t="str">
            <v>NJ</v>
          </cell>
          <cell r="E4746" t="str">
            <v/>
          </cell>
          <cell r="F4746" t="str">
            <v/>
          </cell>
          <cell r="G4746" t="str">
            <v>IDEA EMPRESA DE SERVICIOS PETROLEROS Y ENERGÉTICOS S.A.S.</v>
          </cell>
          <cell r="H4746" t="str">
            <v>RECO</v>
          </cell>
          <cell r="I4746" t="str">
            <v>REGIMEN COMUN</v>
          </cell>
          <cell r="J4746" t="str">
            <v>CL 100 11 A  07 OF 304</v>
          </cell>
          <cell r="K4746" t="str">
            <v>11001</v>
          </cell>
          <cell r="L4746" t="str">
            <v>BOGOTA DC</v>
          </cell>
          <cell r="M4746" t="str">
            <v>4911129</v>
          </cell>
        </row>
        <row r="4747">
          <cell r="A4747">
            <v>900187920</v>
          </cell>
          <cell r="B4747" t="str">
            <v>9</v>
          </cell>
          <cell r="C4747" t="str">
            <v/>
          </cell>
          <cell r="D4747" t="str">
            <v>NJ</v>
          </cell>
          <cell r="E4747" t="str">
            <v/>
          </cell>
          <cell r="F4747" t="str">
            <v/>
          </cell>
          <cell r="G4747" t="str">
            <v>UNION TEMPORAL GENERACION COLOMBIA</v>
          </cell>
          <cell r="H4747" t="str">
            <v>RECO</v>
          </cell>
          <cell r="I4747" t="str">
            <v>REGIMEN COMUN</v>
          </cell>
          <cell r="J4747" t="str">
            <v>CL 63 A   21   36 OF 402</v>
          </cell>
          <cell r="K4747" t="str">
            <v>17001</v>
          </cell>
          <cell r="L4747" t="str">
            <v>MANIZALES</v>
          </cell>
          <cell r="M4747" t="str">
            <v>3465646</v>
          </cell>
        </row>
        <row r="4748">
          <cell r="A4748">
            <v>900190554</v>
          </cell>
          <cell r="B4748" t="str">
            <v>7</v>
          </cell>
          <cell r="C4748" t="str">
            <v/>
          </cell>
          <cell r="D4748" t="str">
            <v>NJ</v>
          </cell>
          <cell r="E4748" t="str">
            <v/>
          </cell>
          <cell r="F4748" t="str">
            <v/>
          </cell>
          <cell r="G4748" t="str">
            <v>GRUPO HOTELERO Y TURISTICO AMBAR SA</v>
          </cell>
          <cell r="H4748" t="str">
            <v>RECO</v>
          </cell>
          <cell r="I4748" t="str">
            <v>REGIMEN COMUN</v>
          </cell>
          <cell r="J4748" t="str">
            <v>CALLE 50 NO 70-124</v>
          </cell>
          <cell r="K4748" t="str">
            <v>05001</v>
          </cell>
          <cell r="L4748" t="str">
            <v>MEDELLÍN</v>
          </cell>
          <cell r="M4748" t="str">
            <v>6040686</v>
          </cell>
        </row>
        <row r="4749">
          <cell r="A4749">
            <v>900190780</v>
          </cell>
          <cell r="B4749" t="str">
            <v>5</v>
          </cell>
          <cell r="C4749" t="str">
            <v/>
          </cell>
          <cell r="D4749" t="str">
            <v>NJ</v>
          </cell>
          <cell r="E4749" t="str">
            <v/>
          </cell>
          <cell r="F4749" t="str">
            <v/>
          </cell>
          <cell r="G4749" t="str">
            <v>G L 5 S.A.S</v>
          </cell>
          <cell r="H4749" t="str">
            <v>IMVE</v>
          </cell>
          <cell r="I4749" t="str">
            <v>IMPUESTO SOBRE LAS VENTAS</v>
          </cell>
          <cell r="J4749" t="str">
            <v>CR 57 44 14</v>
          </cell>
          <cell r="K4749" t="str">
            <v>03</v>
          </cell>
          <cell r="L4749" t="str">
            <v>BOGOTA</v>
          </cell>
          <cell r="M4749" t="str">
            <v>3417442</v>
          </cell>
        </row>
        <row r="4750">
          <cell r="A4750">
            <v>900191993</v>
          </cell>
          <cell r="B4750" t="str">
            <v>1</v>
          </cell>
          <cell r="C4750" t="str">
            <v/>
          </cell>
          <cell r="D4750" t="str">
            <v>NJ</v>
          </cell>
          <cell r="E4750" t="str">
            <v/>
          </cell>
          <cell r="F4750" t="str">
            <v/>
          </cell>
          <cell r="G4750" t="str">
            <v>COMITÉ COLOMBIANO DEL WEC</v>
          </cell>
          <cell r="H4750" t="str">
            <v>IMVE</v>
          </cell>
          <cell r="I4750" t="str">
            <v>IMPUESTO SOBRE LAS VENTAS</v>
          </cell>
          <cell r="J4750" t="str">
            <v>CL 12 SUR 18 168 BL 4</v>
          </cell>
          <cell r="K4750" t="str">
            <v>05001</v>
          </cell>
          <cell r="L4750" t="str">
            <v>MEDELLÍN</v>
          </cell>
          <cell r="M4750" t="str">
            <v>3171698</v>
          </cell>
        </row>
        <row r="4751">
          <cell r="A4751">
            <v>900193350</v>
          </cell>
          <cell r="B4751" t="str">
            <v>5</v>
          </cell>
          <cell r="C4751" t="str">
            <v/>
          </cell>
          <cell r="D4751" t="str">
            <v>NJ</v>
          </cell>
          <cell r="E4751" t="str">
            <v/>
          </cell>
          <cell r="F4751" t="str">
            <v/>
          </cell>
          <cell r="G4751" t="str">
            <v>PMO SOLYCOM S.A.S</v>
          </cell>
          <cell r="H4751" t="str">
            <v>IMVE</v>
          </cell>
          <cell r="I4751" t="str">
            <v>IMPUESTO SOBRE LAS VENTAS</v>
          </cell>
          <cell r="J4751" t="str">
            <v>AC 26 85 D 55 OF A 217</v>
          </cell>
          <cell r="K4751" t="str">
            <v>11001</v>
          </cell>
          <cell r="L4751" t="str">
            <v>BOGOTA DC</v>
          </cell>
          <cell r="M4751" t="str">
            <v>6966044</v>
          </cell>
        </row>
        <row r="4752">
          <cell r="A4752">
            <v>900193492</v>
          </cell>
          <cell r="B4752" t="str">
            <v>2</v>
          </cell>
          <cell r="C4752" t="str">
            <v/>
          </cell>
          <cell r="D4752" t="str">
            <v>NJ</v>
          </cell>
          <cell r="E4752" t="str">
            <v/>
          </cell>
          <cell r="F4752" t="str">
            <v/>
          </cell>
          <cell r="G4752" t="str">
            <v>ERGO &amp; HEALTH SAS</v>
          </cell>
          <cell r="H4752" t="str">
            <v>RECO</v>
          </cell>
          <cell r="I4752" t="str">
            <v>REGIMEN COMUN</v>
          </cell>
          <cell r="J4752" t="str">
            <v>CR 29 79 40</v>
          </cell>
          <cell r="K4752" t="str">
            <v>11001</v>
          </cell>
          <cell r="L4752" t="str">
            <v>BOGOTA DC</v>
          </cell>
          <cell r="M4752" t="str">
            <v>7446646</v>
          </cell>
        </row>
        <row r="4753">
          <cell r="A4753">
            <v>900194008</v>
          </cell>
          <cell r="B4753" t="str">
            <v>5</v>
          </cell>
          <cell r="C4753" t="str">
            <v/>
          </cell>
          <cell r="D4753" t="str">
            <v>NJ</v>
          </cell>
          <cell r="E4753" t="str">
            <v/>
          </cell>
          <cell r="F4753" t="str">
            <v/>
          </cell>
          <cell r="G4753" t="str">
            <v xml:space="preserve">MILLAN Y ASOCIADOS PROPIEDADA RAIZ SA                       </v>
          </cell>
          <cell r="H4753" t="str">
            <v>RECO</v>
          </cell>
          <cell r="I4753" t="str">
            <v>REGIMEN COMUN</v>
          </cell>
          <cell r="J4753" t="str">
            <v xml:space="preserve">CL 21 21 40 P 7                      </v>
          </cell>
          <cell r="K4753" t="str">
            <v>17001</v>
          </cell>
          <cell r="L4753" t="str">
            <v>MANIZALES</v>
          </cell>
          <cell r="M4753" t="str">
            <v>8808383</v>
          </cell>
        </row>
        <row r="4754">
          <cell r="A4754">
            <v>900194115</v>
          </cell>
          <cell r="B4754" t="str">
            <v>5</v>
          </cell>
          <cell r="C4754" t="str">
            <v/>
          </cell>
          <cell r="D4754" t="str">
            <v>NJ</v>
          </cell>
          <cell r="E4754" t="str">
            <v/>
          </cell>
          <cell r="F4754" t="str">
            <v/>
          </cell>
          <cell r="G4754" t="str">
            <v>IMPRESION TEXTIL SAS</v>
          </cell>
          <cell r="H4754" t="str">
            <v>RECO</v>
          </cell>
          <cell r="I4754" t="str">
            <v>REGIMEN COMUN</v>
          </cell>
          <cell r="J4754" t="str">
            <v>CR 66  A  3  85  BRR PRADERA</v>
          </cell>
          <cell r="K4754" t="str">
            <v>11001</v>
          </cell>
          <cell r="L4754" t="str">
            <v>BOGOTA DC</v>
          </cell>
          <cell r="M4754" t="str">
            <v>3057136885</v>
          </cell>
        </row>
        <row r="4755">
          <cell r="A4755">
            <v>900194987</v>
          </cell>
          <cell r="B4755" t="str">
            <v>0</v>
          </cell>
          <cell r="C4755" t="str">
            <v/>
          </cell>
          <cell r="D4755" t="str">
            <v>NJ</v>
          </cell>
          <cell r="E4755" t="str">
            <v/>
          </cell>
          <cell r="F4755" t="str">
            <v/>
          </cell>
          <cell r="G4755" t="str">
            <v xml:space="preserve">VICARTECHZ LTDA                                             </v>
          </cell>
          <cell r="H4755" t="str">
            <v>RECO</v>
          </cell>
          <cell r="I4755" t="str">
            <v>REGIMEN COMUN</v>
          </cell>
          <cell r="J4755" t="str">
            <v xml:space="preserve"> C  R  A 42 24 A  36</v>
          </cell>
          <cell r="K4755" t="str">
            <v>11001</v>
          </cell>
          <cell r="L4755" t="str">
            <v>BOGOTA DC</v>
          </cell>
          <cell r="M4755" t="str">
            <v>2699222</v>
          </cell>
        </row>
        <row r="4756">
          <cell r="A4756">
            <v>900195439</v>
          </cell>
          <cell r="B4756" t="str">
            <v>0</v>
          </cell>
          <cell r="C4756" t="str">
            <v/>
          </cell>
          <cell r="D4756" t="str">
            <v>NJ</v>
          </cell>
          <cell r="E4756" t="str">
            <v/>
          </cell>
          <cell r="F4756" t="str">
            <v/>
          </cell>
          <cell r="G4756" t="str">
            <v>BM INTERNACIONAL SAS</v>
          </cell>
          <cell r="H4756" t="str">
            <v>RECO</v>
          </cell>
          <cell r="I4756" t="str">
            <v>REGIMEN COMUN</v>
          </cell>
          <cell r="J4756" t="str">
            <v>CL 20 20 25 BRR CENTRO</v>
          </cell>
          <cell r="K4756" t="str">
            <v>17001</v>
          </cell>
          <cell r="L4756" t="str">
            <v>MANIZALES</v>
          </cell>
          <cell r="M4756" t="str">
            <v>3206970972</v>
          </cell>
        </row>
        <row r="4757">
          <cell r="A4757">
            <v>900195679</v>
          </cell>
          <cell r="B4757" t="str">
            <v>1</v>
          </cell>
          <cell r="C4757" t="str">
            <v/>
          </cell>
          <cell r="D4757" t="str">
            <v>NJ</v>
          </cell>
          <cell r="E4757" t="str">
            <v/>
          </cell>
          <cell r="F4757" t="str">
            <v/>
          </cell>
          <cell r="G4757" t="str">
            <v>GTD COLOMBIA S.A.S.</v>
          </cell>
          <cell r="H4757" t="str">
            <v>IMVE</v>
          </cell>
          <cell r="I4757" t="str">
            <v>IMPUESTO SOBRE LAS VENTAS</v>
          </cell>
          <cell r="J4757" t="str">
            <v>CL 53 45 112 P 24</v>
          </cell>
          <cell r="K4757" t="str">
            <v>05002</v>
          </cell>
          <cell r="L4757" t="str">
            <v>MEDELLIN</v>
          </cell>
          <cell r="M4757" t="str">
            <v>3004771131</v>
          </cell>
        </row>
        <row r="4758">
          <cell r="A4758">
            <v>900195844</v>
          </cell>
          <cell r="B4758" t="str">
            <v>0</v>
          </cell>
          <cell r="C4758" t="str">
            <v/>
          </cell>
          <cell r="D4758" t="str">
            <v>NJ</v>
          </cell>
          <cell r="E4758" t="str">
            <v/>
          </cell>
          <cell r="F4758" t="str">
            <v/>
          </cell>
          <cell r="G4758" t="str">
            <v>CONSTRUCTORA ARKING LTDA</v>
          </cell>
          <cell r="H4758" t="str">
            <v>RECO</v>
          </cell>
          <cell r="I4758" t="str">
            <v>REGIMEN COMUN</v>
          </cell>
          <cell r="J4758" t="str">
            <v>CL 12 14 32</v>
          </cell>
          <cell r="K4758" t="str">
            <v>15238</v>
          </cell>
          <cell r="L4758" t="str">
            <v>DUITAMA</v>
          </cell>
          <cell r="M4758" t="str">
            <v>3112909152</v>
          </cell>
        </row>
        <row r="4759">
          <cell r="A4759">
            <v>900196109</v>
          </cell>
          <cell r="B4759" t="str">
            <v>1</v>
          </cell>
          <cell r="C4759" t="str">
            <v/>
          </cell>
          <cell r="D4759" t="str">
            <v>NJ</v>
          </cell>
          <cell r="E4759" t="str">
            <v/>
          </cell>
          <cell r="F4759" t="str">
            <v/>
          </cell>
          <cell r="G4759" t="str">
            <v>ALPHAL1 SERVICIOS ANALITICOS S.A</v>
          </cell>
          <cell r="H4759" t="str">
            <v>RECO</v>
          </cell>
          <cell r="I4759" t="str">
            <v>REGIMEN COMUN</v>
          </cell>
          <cell r="J4759" t="str">
            <v>AV CR 60 67 A 80</v>
          </cell>
          <cell r="K4759" t="str">
            <v>11001</v>
          </cell>
          <cell r="L4759" t="str">
            <v>BOGOTA DC</v>
          </cell>
          <cell r="M4759" t="str">
            <v>3116346</v>
          </cell>
        </row>
        <row r="4760">
          <cell r="A4760">
            <v>900196919</v>
          </cell>
          <cell r="B4760" t="str">
            <v>9</v>
          </cell>
          <cell r="C4760" t="str">
            <v/>
          </cell>
          <cell r="D4760" t="str">
            <v>NJ</v>
          </cell>
          <cell r="E4760" t="str">
            <v/>
          </cell>
          <cell r="F4760" t="str">
            <v/>
          </cell>
          <cell r="G4760" t="str">
            <v>NEGOCIOS AGROPECUARIOS Y GANADEROS S.A.S.-</v>
          </cell>
          <cell r="H4760" t="str">
            <v>IMVE</v>
          </cell>
          <cell r="I4760" t="str">
            <v>IMPUESTO SOBRE LAS VENTAS</v>
          </cell>
          <cell r="J4760" t="str">
            <v>CR 35 7 47</v>
          </cell>
          <cell r="K4760" t="str">
            <v>05002</v>
          </cell>
          <cell r="L4760" t="str">
            <v>MEDELLIN</v>
          </cell>
          <cell r="M4760" t="str">
            <v>3661249</v>
          </cell>
        </row>
        <row r="4761">
          <cell r="A4761">
            <v>900198362</v>
          </cell>
          <cell r="B4761" t="str">
            <v>6</v>
          </cell>
          <cell r="C4761" t="str">
            <v/>
          </cell>
          <cell r="D4761" t="str">
            <v>NJ</v>
          </cell>
          <cell r="E4761" t="str">
            <v/>
          </cell>
          <cell r="F4761" t="str">
            <v/>
          </cell>
          <cell r="G4761" t="str">
            <v>PURO CACUMEN SAS</v>
          </cell>
          <cell r="H4761" t="str">
            <v>RECO</v>
          </cell>
          <cell r="I4761" t="str">
            <v>REGIMEN COMUN</v>
          </cell>
          <cell r="J4761" t="str">
            <v>CL 11 31 30</v>
          </cell>
          <cell r="K4761" t="str">
            <v>85001</v>
          </cell>
          <cell r="L4761" t="str">
            <v>YOPAL</v>
          </cell>
          <cell r="M4761" t="str">
            <v>3142944851</v>
          </cell>
        </row>
        <row r="4762">
          <cell r="A4762">
            <v>900198708</v>
          </cell>
          <cell r="B4762" t="str">
            <v>0</v>
          </cell>
          <cell r="C4762" t="str">
            <v/>
          </cell>
          <cell r="D4762" t="str">
            <v>NJ</v>
          </cell>
          <cell r="E4762" t="str">
            <v/>
          </cell>
          <cell r="F4762" t="str">
            <v/>
          </cell>
          <cell r="G4762" t="str">
            <v>BEROCIME DISEÑO INGENIERIA Y ARQUITECTURA SAS</v>
          </cell>
          <cell r="H4762" t="str">
            <v>RECO</v>
          </cell>
          <cell r="I4762" t="str">
            <v>REGIMEN COMUN</v>
          </cell>
          <cell r="J4762" t="str">
            <v>CR 51 44 C 28 IN 4</v>
          </cell>
          <cell r="K4762" t="str">
            <v>11001</v>
          </cell>
          <cell r="L4762" t="str">
            <v>BOGOTA DC</v>
          </cell>
          <cell r="M4762" t="str">
            <v>3202430187</v>
          </cell>
        </row>
        <row r="4763">
          <cell r="A4763">
            <v>900199342</v>
          </cell>
          <cell r="B4763" t="str">
            <v>3</v>
          </cell>
          <cell r="C4763" t="str">
            <v/>
          </cell>
          <cell r="D4763" t="str">
            <v>NJ</v>
          </cell>
          <cell r="E4763" t="str">
            <v/>
          </cell>
          <cell r="F4763" t="str">
            <v/>
          </cell>
          <cell r="G4763" t="str">
            <v xml:space="preserve">C&amp;M INGENIERIA LTDA           </v>
          </cell>
          <cell r="H4763" t="str">
            <v>RECO</v>
          </cell>
          <cell r="I4763" t="str">
            <v>REGIMEN COMUN</v>
          </cell>
          <cell r="J4763" t="str">
            <v>cl 11 28 75</v>
          </cell>
          <cell r="K4763" t="str">
            <v>15759</v>
          </cell>
          <cell r="L4763" t="str">
            <v>SOGAMOSO</v>
          </cell>
          <cell r="M4763" t="str">
            <v>7713616</v>
          </cell>
        </row>
        <row r="4764">
          <cell r="A4764">
            <v>900199666</v>
          </cell>
          <cell r="B4764" t="str">
            <v>4</v>
          </cell>
          <cell r="C4764" t="str">
            <v/>
          </cell>
          <cell r="D4764" t="str">
            <v>NJ</v>
          </cell>
          <cell r="E4764" t="str">
            <v/>
          </cell>
          <cell r="F4764" t="str">
            <v/>
          </cell>
          <cell r="G4764" t="str">
            <v xml:space="preserve">HOTEL CASA REAL                                             </v>
          </cell>
          <cell r="H4764" t="str">
            <v>RECO</v>
          </cell>
          <cell r="I4764" t="str">
            <v>REGIMEN COMUN</v>
          </cell>
          <cell r="J4764" t="str">
            <v xml:space="preserve">CLL 29 N 6 26                           </v>
          </cell>
          <cell r="K4764" t="str">
            <v>23001</v>
          </cell>
          <cell r="L4764" t="str">
            <v>MONTERÍA</v>
          </cell>
          <cell r="M4764" t="str">
            <v>PND.</v>
          </cell>
        </row>
        <row r="4765">
          <cell r="A4765">
            <v>900199965</v>
          </cell>
          <cell r="B4765" t="str">
            <v>1</v>
          </cell>
          <cell r="C4765" t="str">
            <v/>
          </cell>
          <cell r="D4765" t="str">
            <v>NJ</v>
          </cell>
          <cell r="E4765" t="str">
            <v/>
          </cell>
          <cell r="F4765" t="str">
            <v/>
          </cell>
          <cell r="G4765" t="str">
            <v>COMUNIDAD ELITE SAS</v>
          </cell>
          <cell r="H4765" t="str">
            <v>RECO</v>
          </cell>
          <cell r="I4765" t="str">
            <v>REGIMEN COMUN</v>
          </cell>
          <cell r="J4765" t="str">
            <v>CR 26 84 41 CA 89  CONJ  SIERRA BONITA</v>
          </cell>
          <cell r="K4765" t="str">
            <v>17001</v>
          </cell>
          <cell r="L4765" t="str">
            <v>MANIZALES</v>
          </cell>
          <cell r="M4765" t="str">
            <v>8744694</v>
          </cell>
        </row>
        <row r="4766">
          <cell r="A4766">
            <v>900200741</v>
          </cell>
          <cell r="B4766" t="str">
            <v>2</v>
          </cell>
          <cell r="C4766" t="str">
            <v/>
          </cell>
          <cell r="D4766" t="str">
            <v>NJ</v>
          </cell>
          <cell r="E4766" t="str">
            <v/>
          </cell>
          <cell r="F4766" t="str">
            <v/>
          </cell>
          <cell r="G4766" t="str">
            <v>MINERALES LA LUZ SAS</v>
          </cell>
          <cell r="H4766" t="str">
            <v>IMVE</v>
          </cell>
          <cell r="I4766" t="str">
            <v>IMPUESTO SOBRE LAS VENTAS</v>
          </cell>
          <cell r="J4766" t="str">
            <v>CR 15  16 A 14 ED DURDAN OF 413</v>
          </cell>
          <cell r="K4766" t="str">
            <v>15238</v>
          </cell>
          <cell r="L4766" t="str">
            <v>DUITAMA</v>
          </cell>
          <cell r="M4766" t="str">
            <v>3214913963</v>
          </cell>
        </row>
        <row r="4767">
          <cell r="A4767">
            <v>900202174</v>
          </cell>
          <cell r="B4767" t="str">
            <v>5</v>
          </cell>
          <cell r="C4767" t="str">
            <v/>
          </cell>
          <cell r="D4767" t="str">
            <v>NJ</v>
          </cell>
          <cell r="E4767" t="str">
            <v/>
          </cell>
          <cell r="F4767" t="str">
            <v/>
          </cell>
          <cell r="G4767" t="str">
            <v>SUR COMPANY LTDA</v>
          </cell>
          <cell r="H4767" t="str">
            <v>IMVE</v>
          </cell>
          <cell r="I4767" t="str">
            <v>IMPUESTO SOBRE LAS VENTAS</v>
          </cell>
          <cell r="J4767" t="str">
            <v>CL 12 79 A 25 BG 18 PARQUE INDUSTRIAL ALSACIA</v>
          </cell>
          <cell r="K4767" t="str">
            <v>11001</v>
          </cell>
          <cell r="L4767" t="str">
            <v>BOGOTA DC</v>
          </cell>
          <cell r="M4767" t="str">
            <v>2401322</v>
          </cell>
        </row>
        <row r="4768">
          <cell r="A4768">
            <v>900202195</v>
          </cell>
          <cell r="B4768" t="str">
            <v>1</v>
          </cell>
          <cell r="C4768" t="str">
            <v/>
          </cell>
          <cell r="D4768" t="str">
            <v>NJ</v>
          </cell>
          <cell r="E4768" t="str">
            <v/>
          </cell>
          <cell r="F4768" t="str">
            <v/>
          </cell>
          <cell r="G4768" t="str">
            <v>ITERA COLOMBIA SAS</v>
          </cell>
          <cell r="H4768" t="str">
            <v>RECO</v>
          </cell>
          <cell r="I4768" t="str">
            <v>REGIMEN COMUN</v>
          </cell>
          <cell r="J4768" t="str">
            <v>AK 15  88 64 OF 516</v>
          </cell>
          <cell r="K4768" t="str">
            <v>11001</v>
          </cell>
          <cell r="L4768" t="str">
            <v>BOGOTA DC</v>
          </cell>
          <cell r="M4768" t="str">
            <v>5190611</v>
          </cell>
        </row>
        <row r="4769">
          <cell r="A4769">
            <v>900203061</v>
          </cell>
          <cell r="B4769" t="str">
            <v>6</v>
          </cell>
          <cell r="C4769" t="str">
            <v/>
          </cell>
          <cell r="D4769" t="str">
            <v>NJ</v>
          </cell>
          <cell r="E4769" t="str">
            <v/>
          </cell>
          <cell r="F4769" t="str">
            <v/>
          </cell>
          <cell r="G4769" t="str">
            <v>LICS COLOMBIA S.A.S</v>
          </cell>
          <cell r="H4769" t="str">
            <v>IMVE</v>
          </cell>
          <cell r="I4769" t="str">
            <v>IMPUESTO SOBRE LAS VENTAS</v>
          </cell>
          <cell r="J4769" t="str">
            <v>VDA BOJACA AV PAEO DE LOS ZIPAS COSTADO OCCIDENETAL OF 401</v>
          </cell>
          <cell r="K4769" t="str">
            <v>25175</v>
          </cell>
          <cell r="L4769" t="str">
            <v>CHÍA</v>
          </cell>
          <cell r="M4769" t="str">
            <v>8651244</v>
          </cell>
        </row>
        <row r="4770">
          <cell r="A4770">
            <v>900205646</v>
          </cell>
          <cell r="B4770" t="str">
            <v>3</v>
          </cell>
          <cell r="C4770" t="str">
            <v/>
          </cell>
          <cell r="D4770" t="str">
            <v>NJ</v>
          </cell>
          <cell r="E4770" t="str">
            <v/>
          </cell>
          <cell r="F4770" t="str">
            <v/>
          </cell>
          <cell r="G4770" t="str">
            <v>BRAND SOLUTIONS LTDA</v>
          </cell>
          <cell r="H4770" t="str">
            <v>RECO</v>
          </cell>
          <cell r="I4770" t="str">
            <v>REGIMEN COMUN</v>
          </cell>
          <cell r="J4770" t="str">
            <v>CR 70 G  78 A  74</v>
          </cell>
          <cell r="K4770" t="str">
            <v>11001</v>
          </cell>
          <cell r="L4770" t="str">
            <v>BOGOTA DC</v>
          </cell>
          <cell r="M4770" t="str">
            <v>2240041</v>
          </cell>
        </row>
        <row r="4771">
          <cell r="A4771">
            <v>900205688</v>
          </cell>
          <cell r="B4771" t="str">
            <v>2</v>
          </cell>
          <cell r="C4771" t="str">
            <v/>
          </cell>
          <cell r="D4771" t="str">
            <v>NJ</v>
          </cell>
          <cell r="E4771" t="str">
            <v/>
          </cell>
          <cell r="F4771" t="str">
            <v/>
          </cell>
          <cell r="G4771" t="str">
            <v>FUNDACION INCOES</v>
          </cell>
          <cell r="H4771" t="str">
            <v>IMVE</v>
          </cell>
          <cell r="I4771" t="str">
            <v>IMPUESTO SOBRE LAS VENTAS</v>
          </cell>
          <cell r="J4771" t="str">
            <v>CL 11 4 42 OF 828</v>
          </cell>
          <cell r="K4771" t="str">
            <v>76001</v>
          </cell>
          <cell r="L4771" t="str">
            <v>CALI</v>
          </cell>
          <cell r="M4771" t="str">
            <v>3162784254</v>
          </cell>
        </row>
        <row r="4772">
          <cell r="A4772">
            <v>900205845</v>
          </cell>
          <cell r="B4772" t="str">
            <v>2</v>
          </cell>
          <cell r="C4772" t="str">
            <v/>
          </cell>
          <cell r="D4772" t="str">
            <v>NJ</v>
          </cell>
          <cell r="E4772" t="str">
            <v/>
          </cell>
          <cell r="F4772" t="str">
            <v/>
          </cell>
          <cell r="G4772" t="str">
            <v>CENTRO DE INNOVACION LTDA</v>
          </cell>
          <cell r="H4772" t="str">
            <v>RECO</v>
          </cell>
          <cell r="I4772" t="str">
            <v>REGIMEN COMUN</v>
          </cell>
          <cell r="J4772" t="str">
            <v>AV CR 1 42 60 OF 312</v>
          </cell>
          <cell r="K4772" t="str">
            <v>11001</v>
          </cell>
          <cell r="L4772" t="str">
            <v>BOGOTA DC</v>
          </cell>
          <cell r="M4772" t="str">
            <v>3383351</v>
          </cell>
        </row>
        <row r="4773">
          <cell r="A4773">
            <v>900206480</v>
          </cell>
          <cell r="B4773" t="str">
            <v>2</v>
          </cell>
          <cell r="C4773" t="str">
            <v/>
          </cell>
          <cell r="D4773" t="str">
            <v>NJ</v>
          </cell>
          <cell r="E4773" t="str">
            <v/>
          </cell>
          <cell r="F4773" t="str">
            <v/>
          </cell>
          <cell r="G4773" t="str">
            <v>INGETEC INGENIERIA &amp; DISEÑO S.A.</v>
          </cell>
          <cell r="H4773" t="str">
            <v>GRCO</v>
          </cell>
          <cell r="I4773" t="str">
            <v>GRAN CONTRIBUYENTE</v>
          </cell>
          <cell r="J4773" t="str">
            <v xml:space="preserve"> CR 6 30 A 30</v>
          </cell>
          <cell r="K4773" t="str">
            <v>11001</v>
          </cell>
          <cell r="L4773" t="str">
            <v>BOGOTA DC</v>
          </cell>
          <cell r="M4773" t="str">
            <v>3238050</v>
          </cell>
        </row>
        <row r="4774">
          <cell r="A4774">
            <v>900207074</v>
          </cell>
          <cell r="B4774" t="str">
            <v>1</v>
          </cell>
          <cell r="C4774" t="str">
            <v/>
          </cell>
          <cell r="D4774" t="str">
            <v>NJ</v>
          </cell>
          <cell r="E4774" t="str">
            <v/>
          </cell>
          <cell r="F4774" t="str">
            <v/>
          </cell>
          <cell r="G4774" t="str">
            <v>ZUME ARQUITECTURA LTDA</v>
          </cell>
          <cell r="H4774" t="str">
            <v>RECO</v>
          </cell>
          <cell r="I4774" t="str">
            <v>REGIMEN COMUN</v>
          </cell>
          <cell r="J4774" t="str">
            <v>AK 15 104 30 OF 712</v>
          </cell>
          <cell r="K4774" t="str">
            <v>17001</v>
          </cell>
          <cell r="L4774" t="str">
            <v>MANIZALES</v>
          </cell>
          <cell r="M4774" t="str">
            <v>3115165515</v>
          </cell>
        </row>
        <row r="4775">
          <cell r="A4775">
            <v>900208179</v>
          </cell>
          <cell r="B4775" t="str">
            <v>9</v>
          </cell>
          <cell r="C4775" t="str">
            <v/>
          </cell>
          <cell r="D4775" t="str">
            <v>NJ</v>
          </cell>
          <cell r="E4775" t="str">
            <v/>
          </cell>
          <cell r="F4775" t="str">
            <v/>
          </cell>
          <cell r="G4775" t="str">
            <v>INSTRUMENTOS Y AUTOMATIZACIONES INDUSTRIALES SAS</v>
          </cell>
          <cell r="H4775" t="str">
            <v>RECO</v>
          </cell>
          <cell r="I4775" t="str">
            <v>REGIMEN COMUN</v>
          </cell>
          <cell r="J4775" t="str">
            <v>CL 76 20 B 24 OF 207 ED CENTRUM</v>
          </cell>
          <cell r="K4775" t="str">
            <v>11001</v>
          </cell>
          <cell r="L4775" t="str">
            <v>BOGOTA DC</v>
          </cell>
          <cell r="M4775" t="str">
            <v>2129044</v>
          </cell>
        </row>
        <row r="4776">
          <cell r="A4776">
            <v>900208370</v>
          </cell>
          <cell r="B4776" t="str">
            <v>1</v>
          </cell>
          <cell r="C4776" t="str">
            <v/>
          </cell>
          <cell r="D4776" t="str">
            <v>NJ</v>
          </cell>
          <cell r="E4776" t="str">
            <v/>
          </cell>
          <cell r="F4776" t="str">
            <v/>
          </cell>
          <cell r="G4776" t="str">
            <v xml:space="preserve">ALTAIR INGENIEROS S.A.        </v>
          </cell>
          <cell r="H4776" t="str">
            <v>RECO</v>
          </cell>
          <cell r="I4776" t="str">
            <v>REGIMEN COMUN</v>
          </cell>
          <cell r="J4776" t="str">
            <v xml:space="preserve">CL 61 A   24 C   28   </v>
          </cell>
          <cell r="K4776" t="str">
            <v>17001</v>
          </cell>
          <cell r="L4776" t="str">
            <v>MANIZALES</v>
          </cell>
          <cell r="M4776" t="str">
            <v>8850145</v>
          </cell>
        </row>
        <row r="4777">
          <cell r="A4777">
            <v>900210774</v>
          </cell>
          <cell r="B4777" t="str">
            <v>8</v>
          </cell>
          <cell r="C4777" t="str">
            <v/>
          </cell>
          <cell r="D4777" t="str">
            <v>NJ</v>
          </cell>
          <cell r="E4777" t="str">
            <v/>
          </cell>
          <cell r="F4777" t="str">
            <v/>
          </cell>
          <cell r="G4777" t="str">
            <v>EMPRESA REGIONAL PARA EL MANEJO INTEGRAL DE RESIDUOS SA ESP</v>
          </cell>
          <cell r="H4777" t="str">
            <v>RECO</v>
          </cell>
          <cell r="I4777" t="str">
            <v>REGIMEN COMUN</v>
          </cell>
          <cell r="J4777" t="str">
            <v>CL 59 9 85</v>
          </cell>
          <cell r="K4777" t="str">
            <v>15759</v>
          </cell>
          <cell r="L4777" t="str">
            <v>SOGAMOSO</v>
          </cell>
          <cell r="M4777" t="str">
            <v>7734188</v>
          </cell>
        </row>
        <row r="4778">
          <cell r="A4778">
            <v>900211962</v>
          </cell>
          <cell r="B4778" t="str">
            <v>0</v>
          </cell>
          <cell r="C4778" t="str">
            <v/>
          </cell>
          <cell r="D4778" t="str">
            <v>NJ</v>
          </cell>
          <cell r="E4778" t="str">
            <v/>
          </cell>
          <cell r="F4778" t="str">
            <v/>
          </cell>
          <cell r="G4778" t="str">
            <v>COOPERATIVA MULTIACTIVA DE  MINEROS Y EMPRESARIOS DE PAIPA LTDA</v>
          </cell>
          <cell r="H4778" t="str">
            <v>RECO</v>
          </cell>
          <cell r="I4778" t="str">
            <v>REGIMEN COMUN</v>
          </cell>
          <cell r="J4778" t="str">
            <v>CR 22 25 61 OF 204</v>
          </cell>
          <cell r="K4778" t="str">
            <v>15516</v>
          </cell>
          <cell r="L4778" t="str">
            <v>PAIPA</v>
          </cell>
          <cell r="M4778" t="str">
            <v>7850241</v>
          </cell>
        </row>
        <row r="4779">
          <cell r="A4779">
            <v>900214588</v>
          </cell>
          <cell r="B4779" t="str">
            <v>2</v>
          </cell>
          <cell r="C4779" t="str">
            <v/>
          </cell>
          <cell r="D4779" t="str">
            <v>NJ</v>
          </cell>
          <cell r="E4779" t="str">
            <v/>
          </cell>
          <cell r="F4779" t="str">
            <v/>
          </cell>
          <cell r="G4779" t="str">
            <v>ESPACIO PRODUCTIVO SAS ESP</v>
          </cell>
          <cell r="H4779" t="str">
            <v>IMVE</v>
          </cell>
          <cell r="I4779" t="str">
            <v>IMPUESTO SOBRE LAS VENTAS</v>
          </cell>
          <cell r="J4779" t="str">
            <v>CARRERA 43 N° 1 SUR 188 OF 806</v>
          </cell>
          <cell r="K4779" t="str">
            <v>05001</v>
          </cell>
          <cell r="L4779" t="str">
            <v>MEDELLÍN</v>
          </cell>
          <cell r="M4779" t="str">
            <v>6183899</v>
          </cell>
        </row>
        <row r="4780">
          <cell r="A4780">
            <v>900215065</v>
          </cell>
          <cell r="B4780" t="str">
            <v>7</v>
          </cell>
          <cell r="C4780" t="str">
            <v/>
          </cell>
          <cell r="D4780" t="str">
            <v>NJ</v>
          </cell>
          <cell r="E4780" t="str">
            <v/>
          </cell>
          <cell r="F4780" t="str">
            <v/>
          </cell>
          <cell r="G4780" t="str">
            <v>SERVICIOS DE INGENIERIA E Y C SAS</v>
          </cell>
          <cell r="H4780" t="str">
            <v>RECO</v>
          </cell>
          <cell r="I4780" t="str">
            <v>REGIMEN COMUN</v>
          </cell>
          <cell r="J4780" t="str">
            <v>CR 39 19 86 AP 901 ED PORTAL 39</v>
          </cell>
          <cell r="K4780" t="str">
            <v>52001</v>
          </cell>
          <cell r="L4780" t="str">
            <v xml:space="preserve">PASTO	</v>
          </cell>
          <cell r="M4780" t="str">
            <v>3157421740</v>
          </cell>
        </row>
        <row r="4781">
          <cell r="A4781">
            <v>900215775</v>
          </cell>
          <cell r="B4781" t="str">
            <v>8</v>
          </cell>
          <cell r="C4781" t="str">
            <v/>
          </cell>
          <cell r="D4781" t="str">
            <v>NJ</v>
          </cell>
          <cell r="E4781" t="str">
            <v/>
          </cell>
          <cell r="F4781" t="str">
            <v/>
          </cell>
          <cell r="G4781" t="str">
            <v>CENTRO DEDIAGNOSTICO AUTOMOTOR LA PERLA LTDA</v>
          </cell>
          <cell r="H4781" t="str">
            <v>IMVE</v>
          </cell>
          <cell r="I4781" t="str">
            <v>IMPUESTO SOBRE LAS VENTAS</v>
          </cell>
          <cell r="J4781" t="str">
            <v>KM 1 VIA DUITAMA PAIPA SEC HIGUERAS</v>
          </cell>
          <cell r="K4781" t="str">
            <v>15238</v>
          </cell>
          <cell r="L4781" t="str">
            <v>DUITAMA</v>
          </cell>
          <cell r="M4781" t="str">
            <v>7623537</v>
          </cell>
        </row>
        <row r="4782">
          <cell r="A4782">
            <v>900216225</v>
          </cell>
          <cell r="B4782" t="str">
            <v>3</v>
          </cell>
          <cell r="C4782" t="str">
            <v/>
          </cell>
          <cell r="D4782" t="str">
            <v>NJ</v>
          </cell>
          <cell r="E4782" t="str">
            <v/>
          </cell>
          <cell r="F4782" t="str">
            <v/>
          </cell>
          <cell r="G4782" t="str">
            <v>SOLDADURAS WEST ARCO SAS</v>
          </cell>
          <cell r="H4782" t="str">
            <v>GRAU</v>
          </cell>
          <cell r="I4782" t="str">
            <v>GRAN CONTRIBUYENTE AUTORRETENEDO</v>
          </cell>
          <cell r="J4782" t="str">
            <v>AV CR 68  5 93</v>
          </cell>
          <cell r="K4782" t="str">
            <v>11001</v>
          </cell>
          <cell r="L4782" t="str">
            <v>BOGOTA DC</v>
          </cell>
          <cell r="M4782" t="str">
            <v>4176288</v>
          </cell>
        </row>
        <row r="4783">
          <cell r="A4783">
            <v>900216798</v>
          </cell>
          <cell r="B4783" t="str">
            <v>1</v>
          </cell>
          <cell r="C4783" t="str">
            <v/>
          </cell>
          <cell r="D4783" t="str">
            <v>NJ</v>
          </cell>
          <cell r="E4783" t="str">
            <v/>
          </cell>
          <cell r="F4783" t="str">
            <v/>
          </cell>
          <cell r="G4783" t="str">
            <v>ACUSTICA INTEGRADA S.A.S.</v>
          </cell>
          <cell r="H4783" t="str">
            <v>IMVE</v>
          </cell>
          <cell r="I4783" t="str">
            <v>IMPUESTO SOBRE LAS VENTAS</v>
          </cell>
          <cell r="J4783" t="str">
            <v>CL 19 2 39 BRR SAN NICOLAS</v>
          </cell>
          <cell r="K4783" t="str">
            <v>76001</v>
          </cell>
          <cell r="L4783" t="str">
            <v>CALI</v>
          </cell>
          <cell r="M4783" t="str">
            <v>3137193172</v>
          </cell>
        </row>
        <row r="4784">
          <cell r="A4784">
            <v>900216885</v>
          </cell>
          <cell r="B4784" t="str">
            <v>4</v>
          </cell>
          <cell r="C4784" t="str">
            <v/>
          </cell>
          <cell r="D4784" t="str">
            <v>NJ</v>
          </cell>
          <cell r="E4784" t="str">
            <v/>
          </cell>
          <cell r="F4784" t="str">
            <v/>
          </cell>
          <cell r="G4784" t="str">
            <v>CORPORACION FUNDACION LA ROCA</v>
          </cell>
          <cell r="H4784" t="str">
            <v>REIC</v>
          </cell>
          <cell r="I4784" t="str">
            <v>RENTA REGIMEN ESPECIAL</v>
          </cell>
          <cell r="J4784" t="str">
            <v>CR 22 26 03</v>
          </cell>
          <cell r="K4784" t="str">
            <v>17001</v>
          </cell>
          <cell r="L4784" t="str">
            <v>MANIZALES</v>
          </cell>
          <cell r="M4784" t="str">
            <v>3147920816</v>
          </cell>
        </row>
        <row r="4785">
          <cell r="A4785">
            <v>900217567</v>
          </cell>
          <cell r="B4785" t="str">
            <v>1</v>
          </cell>
          <cell r="C4785" t="str">
            <v/>
          </cell>
          <cell r="D4785" t="str">
            <v>NJ</v>
          </cell>
          <cell r="E4785" t="str">
            <v/>
          </cell>
          <cell r="F4785" t="str">
            <v/>
          </cell>
          <cell r="G4785" t="str">
            <v>DUCTO LIMPIO DE COLOMBIA S.A.S ESP</v>
          </cell>
          <cell r="H4785" t="str">
            <v>IMVE</v>
          </cell>
          <cell r="I4785" t="str">
            <v>IMPUESTO SOBRE LAS VENTAS</v>
          </cell>
          <cell r="J4785" t="str">
            <v xml:space="preserve"> CL 161 A  21 17</v>
          </cell>
          <cell r="K4785" t="str">
            <v>11001</v>
          </cell>
          <cell r="L4785" t="str">
            <v>BOGOTA DC</v>
          </cell>
          <cell r="M4785" t="str">
            <v>3144615763</v>
          </cell>
        </row>
        <row r="4786">
          <cell r="A4786">
            <v>900219569</v>
          </cell>
          <cell r="B4786" t="str">
            <v>5</v>
          </cell>
          <cell r="C4786" t="str">
            <v/>
          </cell>
          <cell r="D4786" t="str">
            <v>NJ</v>
          </cell>
          <cell r="E4786" t="str">
            <v/>
          </cell>
          <cell r="F4786" t="str">
            <v/>
          </cell>
          <cell r="G4786" t="str">
            <v>FUNDACION SIN ANIMO DE LUCRO ECOLOGICA FULECOL</v>
          </cell>
          <cell r="H4786" t="str">
            <v>IMVE</v>
          </cell>
          <cell r="I4786" t="str">
            <v>IMPUESTO SOBRE LAS VENTAS</v>
          </cell>
          <cell r="J4786" t="str">
            <v xml:space="preserve"> CL 42 8 A  80</v>
          </cell>
          <cell r="K4786" t="str">
            <v>11001</v>
          </cell>
          <cell r="L4786" t="str">
            <v>BOGOTA DC</v>
          </cell>
          <cell r="M4786" t="str">
            <v>2883919</v>
          </cell>
        </row>
        <row r="4787">
          <cell r="A4787">
            <v>900220061</v>
          </cell>
          <cell r="B4787" t="str">
            <v>8</v>
          </cell>
          <cell r="C4787" t="str">
            <v>923271475</v>
          </cell>
          <cell r="D4787" t="str">
            <v>NJ</v>
          </cell>
          <cell r="E4787" t="str">
            <v/>
          </cell>
          <cell r="F4787" t="str">
            <v/>
          </cell>
          <cell r="G4787" t="str">
            <v>MUNICIIPIO DE SAN OSE DE URE</v>
          </cell>
          <cell r="H4787" t="str">
            <v>COIM</v>
          </cell>
          <cell r="I4787" t="str">
            <v>CONTROL DE IMPUESTOS</v>
          </cell>
          <cell r="J4787" t="str">
            <v>CRA 6 3 47 BRR  E L 60</v>
          </cell>
          <cell r="K4787" t="str">
            <v>23079</v>
          </cell>
          <cell r="L4787" t="str">
            <v>CORDOBA</v>
          </cell>
          <cell r="M4787" t="str">
            <v>7629762</v>
          </cell>
        </row>
        <row r="4788">
          <cell r="A4788">
            <v>900220547</v>
          </cell>
          <cell r="B4788" t="str">
            <v>5</v>
          </cell>
          <cell r="C4788" t="str">
            <v>923271358</v>
          </cell>
          <cell r="D4788" t="str">
            <v>NJ</v>
          </cell>
          <cell r="E4788" t="str">
            <v/>
          </cell>
          <cell r="F4788" t="str">
            <v/>
          </cell>
          <cell r="G4788" t="str">
            <v>AGENCIA PARA LA INFRAESTRUCTURA DEL META - AIM</v>
          </cell>
          <cell r="H4788" t="str">
            <v>IMVE</v>
          </cell>
          <cell r="I4788" t="str">
            <v>IMPUESTO SOBRE LAS VENTAS</v>
          </cell>
          <cell r="J4788" t="str">
            <v>CR 31 38 41 ED NISA BARRIO CENTRO</v>
          </cell>
          <cell r="K4788" t="str">
            <v>50001</v>
          </cell>
          <cell r="L4788" t="str">
            <v>VILLAVICENCIO</v>
          </cell>
          <cell r="M4788" t="str">
            <v>6715927</v>
          </cell>
        </row>
        <row r="4789">
          <cell r="A4789">
            <v>900221412</v>
          </cell>
          <cell r="B4789" t="str">
            <v>4</v>
          </cell>
          <cell r="C4789" t="str">
            <v/>
          </cell>
          <cell r="D4789" t="str">
            <v>NJ</v>
          </cell>
          <cell r="E4789" t="str">
            <v/>
          </cell>
          <cell r="F4789" t="str">
            <v/>
          </cell>
          <cell r="G4789" t="str">
            <v>LOGIUS SAS</v>
          </cell>
          <cell r="H4789" t="str">
            <v>IMVE</v>
          </cell>
          <cell r="I4789" t="str">
            <v>IMPUESTO SOBRE LAS VENTAS</v>
          </cell>
          <cell r="J4789" t="str">
            <v>CR 23 A 74 71 OF 907 ED ANDI</v>
          </cell>
          <cell r="K4789" t="str">
            <v>17001</v>
          </cell>
          <cell r="L4789" t="str">
            <v>MANIZALES</v>
          </cell>
          <cell r="M4789" t="str">
            <v>3176612093</v>
          </cell>
        </row>
        <row r="4790">
          <cell r="A4790">
            <v>900221459</v>
          </cell>
          <cell r="B4790" t="str">
            <v>1</v>
          </cell>
          <cell r="C4790" t="str">
            <v>923272787</v>
          </cell>
          <cell r="D4790" t="str">
            <v>NJ</v>
          </cell>
          <cell r="E4790" t="str">
            <v/>
          </cell>
          <cell r="F4790" t="str">
            <v/>
          </cell>
          <cell r="G4790" t="str">
            <v>PROMOTORA ENERGETICA DEL CENTRO S.A.S. E.S.P.</v>
          </cell>
          <cell r="H4790" t="str">
            <v>IMVE</v>
          </cell>
          <cell r="I4790" t="str">
            <v>IMPUESTO SOBRE LAS VENTAS</v>
          </cell>
          <cell r="J4790" t="str">
            <v>CL 22 20 58</v>
          </cell>
          <cell r="K4790" t="str">
            <v>17001</v>
          </cell>
          <cell r="L4790" t="str">
            <v>MANIZALES</v>
          </cell>
          <cell r="M4790" t="str">
            <v>8806262</v>
          </cell>
        </row>
        <row r="4791">
          <cell r="A4791">
            <v>900221855</v>
          </cell>
          <cell r="B4791" t="str">
            <v>3</v>
          </cell>
          <cell r="C4791" t="str">
            <v/>
          </cell>
          <cell r="D4791" t="str">
            <v>NJ</v>
          </cell>
          <cell r="E4791" t="str">
            <v/>
          </cell>
          <cell r="F4791" t="str">
            <v/>
          </cell>
          <cell r="G4791" t="str">
            <v>LUBRIPLANET SAS</v>
          </cell>
          <cell r="H4791" t="str">
            <v>RECO</v>
          </cell>
          <cell r="I4791" t="str">
            <v>REGIMEN COMUN</v>
          </cell>
          <cell r="J4791" t="str">
            <v xml:space="preserve"> AC 6 25 A 51  LC 1</v>
          </cell>
          <cell r="K4791" t="str">
            <v>11001</v>
          </cell>
          <cell r="L4791" t="str">
            <v>BOGOTA DC</v>
          </cell>
          <cell r="M4791" t="str">
            <v>2773810</v>
          </cell>
        </row>
        <row r="4792">
          <cell r="A4792">
            <v>900222090</v>
          </cell>
          <cell r="B4792" t="str">
            <v>0</v>
          </cell>
          <cell r="C4792" t="str">
            <v/>
          </cell>
          <cell r="D4792" t="str">
            <v>NJ</v>
          </cell>
          <cell r="E4792" t="str">
            <v/>
          </cell>
          <cell r="F4792" t="str">
            <v/>
          </cell>
          <cell r="G4792" t="str">
            <v>PREVENT SALUD LTDA SERVICIOS DE SALUD DEL CAUCA</v>
          </cell>
          <cell r="H4792" t="str">
            <v>RECO</v>
          </cell>
          <cell r="I4792" t="str">
            <v>REGIMEN COMUN</v>
          </cell>
          <cell r="J4792" t="str">
            <v>CR 10   17 A N 32 BRR ANTONIO NARIÑO</v>
          </cell>
          <cell r="K4792" t="str">
            <v>19001</v>
          </cell>
          <cell r="L4792" t="str">
            <v>POPAYÁN</v>
          </cell>
          <cell r="M4792" t="str">
            <v>8201698</v>
          </cell>
        </row>
        <row r="4793">
          <cell r="A4793">
            <v>900222571</v>
          </cell>
          <cell r="B4793" t="str">
            <v>1</v>
          </cell>
          <cell r="C4793" t="str">
            <v/>
          </cell>
          <cell r="D4793" t="str">
            <v>NJ</v>
          </cell>
          <cell r="E4793" t="str">
            <v/>
          </cell>
          <cell r="F4793" t="str">
            <v/>
          </cell>
          <cell r="G4793" t="str">
            <v>PG SISTEMAS S.A</v>
          </cell>
          <cell r="H4793" t="str">
            <v>RECO</v>
          </cell>
          <cell r="I4793" t="str">
            <v>REGIMEN COMUN</v>
          </cell>
          <cell r="J4793" t="str">
            <v>CR 20   17   50</v>
          </cell>
          <cell r="K4793" t="str">
            <v>17001</v>
          </cell>
          <cell r="L4793" t="str">
            <v>MANIZALES</v>
          </cell>
          <cell r="M4793" t="str">
            <v>8808000</v>
          </cell>
        </row>
        <row r="4794">
          <cell r="A4794">
            <v>900224018</v>
          </cell>
          <cell r="B4794" t="str">
            <v>9</v>
          </cell>
          <cell r="C4794" t="str">
            <v/>
          </cell>
          <cell r="D4794" t="str">
            <v>NJ</v>
          </cell>
          <cell r="E4794" t="str">
            <v/>
          </cell>
          <cell r="F4794" t="str">
            <v/>
          </cell>
          <cell r="G4794" t="str">
            <v xml:space="preserve">UNION TEMPORAL PROYELECTRIC                                 </v>
          </cell>
          <cell r="H4794" t="str">
            <v>RECO</v>
          </cell>
          <cell r="I4794" t="str">
            <v>REGIMEN COMUN</v>
          </cell>
          <cell r="J4794" t="str">
            <v xml:space="preserve">CL 11E 16A 40 SANTAMARTA                </v>
          </cell>
          <cell r="K4794" t="str">
            <v>47001</v>
          </cell>
          <cell r="L4794" t="str">
            <v>SANTA MARTA</v>
          </cell>
          <cell r="M4794" t="str">
            <v>54200919</v>
          </cell>
        </row>
        <row r="4795">
          <cell r="A4795">
            <v>900226238</v>
          </cell>
          <cell r="B4795" t="str">
            <v>1</v>
          </cell>
          <cell r="C4795" t="str">
            <v/>
          </cell>
          <cell r="D4795" t="str">
            <v>NJ</v>
          </cell>
          <cell r="E4795" t="str">
            <v/>
          </cell>
          <cell r="F4795" t="str">
            <v/>
          </cell>
          <cell r="G4795" t="str">
            <v>GRUPO XTRA S.A.S</v>
          </cell>
          <cell r="H4795" t="str">
            <v>RECO</v>
          </cell>
          <cell r="I4795" t="str">
            <v>REGIMEN COMUN</v>
          </cell>
          <cell r="J4795" t="str">
            <v>CR 2364 B 33 LC 4</v>
          </cell>
          <cell r="K4795" t="str">
            <v>17001</v>
          </cell>
          <cell r="L4795" t="str">
            <v>MANIZALES</v>
          </cell>
          <cell r="M4795" t="str">
            <v>8904425</v>
          </cell>
        </row>
        <row r="4796">
          <cell r="A4796">
            <v>900226715</v>
          </cell>
          <cell r="B4796" t="str">
            <v>3</v>
          </cell>
          <cell r="C4796" t="str">
            <v/>
          </cell>
          <cell r="D4796" t="str">
            <v>NJ</v>
          </cell>
          <cell r="E4796" t="str">
            <v/>
          </cell>
          <cell r="F4796" t="str">
            <v/>
          </cell>
          <cell r="G4796" t="str">
            <v>COOSALUD ENTIDAD PROMOTORA DE SALUD S.A</v>
          </cell>
          <cell r="H4796" t="str">
            <v>GRCO</v>
          </cell>
          <cell r="I4796" t="str">
            <v>GRAN CONTRIBUYENTE</v>
          </cell>
          <cell r="J4796" t="str">
            <v>AV SAN MARTIN CLL11 ESQ NORTE P 8 ED GRUPO AREA</v>
          </cell>
          <cell r="K4796" t="str">
            <v>13001</v>
          </cell>
          <cell r="L4796" t="str">
            <v>CARTAGENA</v>
          </cell>
          <cell r="M4796" t="str">
            <v>3164544868</v>
          </cell>
        </row>
        <row r="4797">
          <cell r="A4797">
            <v>900228659</v>
          </cell>
          <cell r="B4797" t="str">
            <v>8</v>
          </cell>
          <cell r="C4797" t="str">
            <v/>
          </cell>
          <cell r="D4797" t="str">
            <v>NJ</v>
          </cell>
          <cell r="E4797" t="str">
            <v/>
          </cell>
          <cell r="F4797" t="str">
            <v/>
          </cell>
          <cell r="G4797" t="str">
            <v>EQUIPAMENTOS INDUSTRIALES LTDA</v>
          </cell>
          <cell r="H4797" t="str">
            <v>RECO</v>
          </cell>
          <cell r="I4797" t="str">
            <v>REGIMEN COMUN</v>
          </cell>
          <cell r="J4797" t="str">
            <v>CR 25 A 11 64</v>
          </cell>
          <cell r="K4797" t="str">
            <v>11001</v>
          </cell>
          <cell r="L4797" t="str">
            <v>BOGOTA DC</v>
          </cell>
          <cell r="M4797" t="str">
            <v>2772691</v>
          </cell>
        </row>
        <row r="4798">
          <cell r="A4798">
            <v>900228799</v>
          </cell>
          <cell r="B4798" t="str">
            <v>0</v>
          </cell>
          <cell r="C4798" t="str">
            <v/>
          </cell>
          <cell r="D4798" t="str">
            <v>NJ</v>
          </cell>
          <cell r="E4798" t="str">
            <v/>
          </cell>
          <cell r="F4798" t="str">
            <v/>
          </cell>
          <cell r="G4798" t="str">
            <v>EDITORIAL CONTEXTO JURIDICO LTDA</v>
          </cell>
          <cell r="H4798" t="str">
            <v>IMVE</v>
          </cell>
          <cell r="I4798" t="str">
            <v>IMPUESTO SOBRE LAS VENTAS</v>
          </cell>
          <cell r="J4798" t="str">
            <v xml:space="preserve"> CL 12  7 32 OF 606  D BRR CENTRO</v>
          </cell>
          <cell r="K4798" t="str">
            <v>11001</v>
          </cell>
          <cell r="L4798" t="str">
            <v>BOGOTA DC</v>
          </cell>
          <cell r="M4798" t="str">
            <v>4534051</v>
          </cell>
        </row>
        <row r="4799">
          <cell r="A4799">
            <v>900229503</v>
          </cell>
          <cell r="B4799" t="str">
            <v>2</v>
          </cell>
          <cell r="C4799" t="str">
            <v/>
          </cell>
          <cell r="D4799" t="str">
            <v>NJ</v>
          </cell>
          <cell r="E4799" t="str">
            <v/>
          </cell>
          <cell r="F4799" t="str">
            <v/>
          </cell>
          <cell r="G4799" t="str">
            <v>SERVICIO DE ASEO, CAFETERIA Y MANTENIMIENTO INSTITUCIONAL</v>
          </cell>
          <cell r="H4799" t="str">
            <v>RECO</v>
          </cell>
          <cell r="I4799" t="str">
            <v>REGIMEN COMUN</v>
          </cell>
          <cell r="J4799" t="str">
            <v>CR 21 A 35 94 BRR CAÑAVERAL</v>
          </cell>
          <cell r="K4799" t="str">
            <v>68276</v>
          </cell>
          <cell r="L4799" t="str">
            <v>FLORIDABLANCA</v>
          </cell>
          <cell r="M4799" t="str">
            <v>6387575</v>
          </cell>
        </row>
        <row r="4800">
          <cell r="A4800">
            <v>900230460</v>
          </cell>
          <cell r="B4800" t="str">
            <v>6</v>
          </cell>
          <cell r="C4800" t="str">
            <v/>
          </cell>
          <cell r="D4800" t="str">
            <v>NJ</v>
          </cell>
          <cell r="E4800" t="str">
            <v/>
          </cell>
          <cell r="F4800" t="str">
            <v/>
          </cell>
          <cell r="G4800" t="str">
            <v>BANDAS CIMEXSA S.A.S.</v>
          </cell>
          <cell r="H4800" t="str">
            <v>RECO</v>
          </cell>
          <cell r="I4800" t="str">
            <v>REGIMEN COMUN</v>
          </cell>
          <cell r="J4800" t="str">
            <v>KM 19 VIA BOGOTA - MADRID PAR INDUSTRIAL DE OCCIDENTE BG 104</v>
          </cell>
          <cell r="K4800" t="str">
            <v>25473</v>
          </cell>
          <cell r="L4800" t="str">
            <v>MOSQUERA</v>
          </cell>
          <cell r="M4800" t="str">
            <v>3106290899</v>
          </cell>
        </row>
        <row r="4801">
          <cell r="A4801">
            <v>900231578</v>
          </cell>
          <cell r="B4801" t="str">
            <v>0</v>
          </cell>
          <cell r="C4801" t="str">
            <v/>
          </cell>
          <cell r="D4801" t="str">
            <v>NJ</v>
          </cell>
          <cell r="E4801" t="str">
            <v/>
          </cell>
          <cell r="F4801" t="str">
            <v/>
          </cell>
          <cell r="G4801" t="str">
            <v>EQUIPOS GASTRONOMICOS S.AS.</v>
          </cell>
          <cell r="H4801" t="str">
            <v>RECO</v>
          </cell>
          <cell r="I4801" t="str">
            <v>REGIMEN COMUN</v>
          </cell>
          <cell r="J4801" t="str">
            <v>CL 142 12 50</v>
          </cell>
          <cell r="K4801" t="str">
            <v>11001</v>
          </cell>
          <cell r="L4801" t="str">
            <v>BOGOTA DC</v>
          </cell>
          <cell r="M4801" t="str">
            <v>2584725</v>
          </cell>
        </row>
        <row r="4802">
          <cell r="A4802">
            <v>900231595</v>
          </cell>
          <cell r="B4802" t="str">
            <v>6</v>
          </cell>
          <cell r="C4802" t="str">
            <v/>
          </cell>
          <cell r="D4802" t="str">
            <v>NJ</v>
          </cell>
          <cell r="E4802" t="str">
            <v/>
          </cell>
          <cell r="F4802" t="str">
            <v/>
          </cell>
          <cell r="G4802" t="str">
            <v>PROCESS SOLUTIONS SAS</v>
          </cell>
          <cell r="H4802" t="str">
            <v>IMVE</v>
          </cell>
          <cell r="I4802" t="str">
            <v>IMPUESTO SOBRE LAS VENTAS</v>
          </cell>
          <cell r="J4802" t="str">
            <v xml:space="preserve"> C RA 70 A  108 16</v>
          </cell>
          <cell r="K4802" t="str">
            <v>11001</v>
          </cell>
          <cell r="L4802" t="str">
            <v>BOGOTA DC</v>
          </cell>
          <cell r="M4802" t="str">
            <v>6052116</v>
          </cell>
        </row>
        <row r="4803">
          <cell r="A4803">
            <v>900232417</v>
          </cell>
          <cell r="B4803" t="str">
            <v>8</v>
          </cell>
          <cell r="C4803" t="str">
            <v/>
          </cell>
          <cell r="D4803" t="str">
            <v>NJ</v>
          </cell>
          <cell r="E4803" t="str">
            <v/>
          </cell>
          <cell r="F4803" t="str">
            <v/>
          </cell>
          <cell r="G4803" t="str">
            <v>POLSERMIN &amp; CIA LTDA</v>
          </cell>
          <cell r="H4803" t="str">
            <v>IMVE</v>
          </cell>
          <cell r="I4803" t="str">
            <v>IMPUESTO SOBRE LAS VENTAS</v>
          </cell>
          <cell r="J4803" t="str">
            <v>CL 15 16 A 95</v>
          </cell>
          <cell r="K4803" t="str">
            <v>15759</v>
          </cell>
          <cell r="L4803" t="str">
            <v>SOGAMOSO</v>
          </cell>
          <cell r="M4803" t="str">
            <v>3204944887</v>
          </cell>
        </row>
        <row r="4804">
          <cell r="A4804">
            <v>900233698</v>
          </cell>
          <cell r="B4804" t="str">
            <v>5</v>
          </cell>
          <cell r="C4804" t="str">
            <v/>
          </cell>
          <cell r="D4804" t="str">
            <v>NJ</v>
          </cell>
          <cell r="E4804" t="str">
            <v/>
          </cell>
          <cell r="F4804" t="str">
            <v/>
          </cell>
          <cell r="G4804" t="str">
            <v>LYDCO INGENIERIA S.A.S.</v>
          </cell>
          <cell r="H4804" t="str">
            <v>IMVE</v>
          </cell>
          <cell r="I4804" t="str">
            <v>IMPUESTO SOBRE LAS VENTAS</v>
          </cell>
          <cell r="J4804" t="str">
            <v>CR 49 A 94 76</v>
          </cell>
          <cell r="K4804" t="str">
            <v>11001</v>
          </cell>
          <cell r="L4804" t="str">
            <v>BOGOTA DC</v>
          </cell>
          <cell r="M4804" t="str">
            <v>3004649</v>
          </cell>
        </row>
        <row r="4805">
          <cell r="A4805">
            <v>900234554</v>
          </cell>
          <cell r="B4805" t="str">
            <v>8</v>
          </cell>
          <cell r="C4805" t="str">
            <v/>
          </cell>
          <cell r="D4805" t="str">
            <v>NJ</v>
          </cell>
          <cell r="E4805" t="str">
            <v/>
          </cell>
          <cell r="F4805" t="str">
            <v/>
          </cell>
          <cell r="G4805" t="str">
            <v>SKAPHE TECNOLOGIA SAS</v>
          </cell>
          <cell r="H4805" t="str">
            <v>IMVE</v>
          </cell>
          <cell r="I4805" t="str">
            <v>IMPUESTO SOBRE LAS VENTAS</v>
          </cell>
          <cell r="J4805" t="str">
            <v>CL 64 7 42 OF 206</v>
          </cell>
          <cell r="K4805" t="str">
            <v>17001</v>
          </cell>
          <cell r="L4805" t="str">
            <v>MANIZALES</v>
          </cell>
          <cell r="M4805" t="str">
            <v>9272937</v>
          </cell>
        </row>
        <row r="4806">
          <cell r="A4806">
            <v>900235002</v>
          </cell>
          <cell r="B4806" t="str">
            <v>9</v>
          </cell>
          <cell r="C4806" t="str">
            <v/>
          </cell>
          <cell r="D4806" t="str">
            <v>NJ</v>
          </cell>
          <cell r="E4806" t="str">
            <v/>
          </cell>
          <cell r="F4806" t="str">
            <v/>
          </cell>
          <cell r="G4806" t="str">
            <v>G CONSULTORES EN SEGUROS LTDA.</v>
          </cell>
          <cell r="H4806" t="str">
            <v>IMVE</v>
          </cell>
          <cell r="I4806" t="str">
            <v>IMPUESTO SOBRE LAS VENTAS</v>
          </cell>
          <cell r="J4806" t="str">
            <v>CL  74 1580 IN  2 OF  606</v>
          </cell>
          <cell r="K4806" t="str">
            <v>30</v>
          </cell>
          <cell r="L4806" t="str">
            <v>CUNDINAMARCA</v>
          </cell>
          <cell r="M4806" t="str">
            <v>3104849003</v>
          </cell>
        </row>
        <row r="4807">
          <cell r="A4807">
            <v>900235069</v>
          </cell>
          <cell r="B4807" t="str">
            <v>1</v>
          </cell>
          <cell r="C4807" t="str">
            <v/>
          </cell>
          <cell r="D4807" t="str">
            <v>NJ</v>
          </cell>
          <cell r="E4807" t="str">
            <v/>
          </cell>
          <cell r="F4807" t="str">
            <v/>
          </cell>
          <cell r="G4807" t="str">
            <v>WANBRIDGE SAS</v>
          </cell>
          <cell r="H4807" t="str">
            <v>IMVE</v>
          </cell>
          <cell r="I4807" t="str">
            <v>IMPUESTO SOBRE LAS VENTAS</v>
          </cell>
          <cell r="J4807" t="str">
            <v>CL 9 7 95</v>
          </cell>
          <cell r="K4807" t="str">
            <v>85430</v>
          </cell>
          <cell r="L4807" t="str">
            <v>TRINIDAD</v>
          </cell>
          <cell r="M4807" t="str">
            <v>3107654680</v>
          </cell>
        </row>
        <row r="4808">
          <cell r="A4808">
            <v>900236200</v>
          </cell>
          <cell r="B4808" t="str">
            <v>5</v>
          </cell>
          <cell r="C4808" t="str">
            <v/>
          </cell>
          <cell r="D4808" t="str">
            <v>NJ</v>
          </cell>
          <cell r="E4808" t="str">
            <v/>
          </cell>
          <cell r="F4808" t="str">
            <v/>
          </cell>
          <cell r="G4808" t="str">
            <v>ABSOLUTE ENGINEERING COLOMBIA LTDA</v>
          </cell>
          <cell r="H4808" t="str">
            <v>IMVE</v>
          </cell>
          <cell r="I4808" t="str">
            <v>IMPUESTO SOBRE LAS VENTAS</v>
          </cell>
          <cell r="J4808" t="str">
            <v xml:space="preserve"> C  L 26 19 21 BRR CENTRO</v>
          </cell>
          <cell r="K4808" t="str">
            <v>15516</v>
          </cell>
          <cell r="L4808" t="str">
            <v>PAIPA</v>
          </cell>
          <cell r="M4808" t="str">
            <v>3166206107</v>
          </cell>
        </row>
        <row r="4809">
          <cell r="A4809">
            <v>900236520</v>
          </cell>
          <cell r="B4809" t="str">
            <v>7</v>
          </cell>
          <cell r="C4809" t="str">
            <v/>
          </cell>
          <cell r="D4809" t="str">
            <v>NJ</v>
          </cell>
          <cell r="E4809" t="str">
            <v/>
          </cell>
          <cell r="F4809" t="str">
            <v/>
          </cell>
          <cell r="G4809" t="str">
            <v>CADENA COMERCIAL OXXO COLOMBIA SAS</v>
          </cell>
          <cell r="H4809" t="str">
            <v>RECO</v>
          </cell>
          <cell r="I4809" t="str">
            <v>REGIMEN COMUN</v>
          </cell>
          <cell r="J4809" t="str">
            <v>AV 19 104 37 P 4</v>
          </cell>
          <cell r="K4809" t="str">
            <v>11001</v>
          </cell>
          <cell r="L4809" t="str">
            <v>BOGOTA DC</v>
          </cell>
          <cell r="M4809" t="str">
            <v>7444545</v>
          </cell>
        </row>
        <row r="4810">
          <cell r="A4810">
            <v>900236877</v>
          </cell>
          <cell r="B4810" t="str">
            <v>0</v>
          </cell>
          <cell r="C4810" t="str">
            <v/>
          </cell>
          <cell r="D4810" t="str">
            <v>NJ</v>
          </cell>
          <cell r="E4810" t="str">
            <v/>
          </cell>
          <cell r="F4810" t="str">
            <v/>
          </cell>
          <cell r="G4810" t="str">
            <v>ASOCIACIÓN PARA LA EJECUCIÓN DE PROYECTOS SOSTENIBLES PARA EL DE</v>
          </cell>
          <cell r="H4810" t="str">
            <v>IMVE</v>
          </cell>
          <cell r="I4810" t="str">
            <v>IMPUESTO SOBRE LAS VENTAS</v>
          </cell>
          <cell r="J4810" t="str">
            <v>CR 24 21 52 OF 6 A</v>
          </cell>
          <cell r="K4810" t="str">
            <v>05002</v>
          </cell>
          <cell r="L4810" t="str">
            <v>MEDELLIN</v>
          </cell>
          <cell r="M4810" t="str">
            <v>8820013</v>
          </cell>
        </row>
        <row r="4811">
          <cell r="A4811">
            <v>900236964</v>
          </cell>
          <cell r="B4811" t="str">
            <v>3</v>
          </cell>
          <cell r="C4811" t="str">
            <v/>
          </cell>
          <cell r="D4811" t="str">
            <v>NJ</v>
          </cell>
          <cell r="E4811" t="str">
            <v/>
          </cell>
          <cell r="F4811" t="str">
            <v/>
          </cell>
          <cell r="G4811" t="str">
            <v>INGEA SERVICIOS AMBIENTALES SAS</v>
          </cell>
          <cell r="H4811" t="str">
            <v>RECO</v>
          </cell>
          <cell r="I4811" t="str">
            <v>REGIMEN COMUN</v>
          </cell>
          <cell r="J4811" t="str">
            <v>CR 29 25 54 URB COMCAJA</v>
          </cell>
          <cell r="K4811" t="str">
            <v>85001</v>
          </cell>
          <cell r="L4811" t="str">
            <v>YOPAL</v>
          </cell>
          <cell r="M4811" t="str">
            <v>6334811</v>
          </cell>
        </row>
        <row r="4812">
          <cell r="A4812">
            <v>900237382</v>
          </cell>
          <cell r="B4812" t="str">
            <v>1</v>
          </cell>
          <cell r="C4812" t="str">
            <v/>
          </cell>
          <cell r="D4812" t="str">
            <v>NJ</v>
          </cell>
          <cell r="E4812" t="str">
            <v/>
          </cell>
          <cell r="F4812" t="str">
            <v/>
          </cell>
          <cell r="G4812" t="str">
            <v>THERMODYNAMICS &amp; ENGINEERING SAS</v>
          </cell>
          <cell r="H4812" t="str">
            <v>RECO</v>
          </cell>
          <cell r="I4812" t="str">
            <v>REGIMEN COMUN</v>
          </cell>
          <cell r="J4812" t="str">
            <v>TV 113  66  19</v>
          </cell>
          <cell r="K4812" t="str">
            <v>11001</v>
          </cell>
          <cell r="L4812" t="str">
            <v>BOGOTA DC</v>
          </cell>
          <cell r="M4812" t="str">
            <v>7027253</v>
          </cell>
        </row>
        <row r="4813">
          <cell r="A4813">
            <v>900237472</v>
          </cell>
          <cell r="B4813" t="str">
            <v>6</v>
          </cell>
          <cell r="C4813" t="str">
            <v/>
          </cell>
          <cell r="D4813" t="str">
            <v>NJ</v>
          </cell>
          <cell r="E4813" t="str">
            <v/>
          </cell>
          <cell r="F4813" t="str">
            <v/>
          </cell>
          <cell r="G4813" t="str">
            <v>MUNDIAL DE REJILLAS Y SERVICIOS INDUSTRIALES LTDA</v>
          </cell>
          <cell r="H4813" t="str">
            <v>RECO</v>
          </cell>
          <cell r="I4813" t="str">
            <v>REGIMEN COMUN</v>
          </cell>
          <cell r="J4813" t="str">
            <v xml:space="preserve"> CR 22 20 27</v>
          </cell>
          <cell r="K4813" t="str">
            <v>15238</v>
          </cell>
          <cell r="L4813" t="str">
            <v>DUITAMA</v>
          </cell>
          <cell r="M4813" t="str">
            <v>7615560</v>
          </cell>
        </row>
        <row r="4814">
          <cell r="A4814">
            <v>900237475</v>
          </cell>
          <cell r="B4814" t="str">
            <v>8</v>
          </cell>
          <cell r="C4814" t="str">
            <v/>
          </cell>
          <cell r="D4814" t="str">
            <v>NJ</v>
          </cell>
          <cell r="E4814" t="str">
            <v/>
          </cell>
          <cell r="F4814" t="str">
            <v/>
          </cell>
          <cell r="G4814" t="str">
            <v>FONDO DE EMPLEADOS GENSA TERMOPAIPA</v>
          </cell>
          <cell r="H4814" t="str">
            <v>REIC</v>
          </cell>
          <cell r="I4814" t="str">
            <v>RENTA REGIMEN ESPECIAL</v>
          </cell>
          <cell r="J4814" t="str">
            <v>KM 3 VIA PAIPA A TUNJA TERMOPAIPA</v>
          </cell>
          <cell r="K4814" t="str">
            <v>15516</v>
          </cell>
          <cell r="L4814" t="str">
            <v>PAIPA</v>
          </cell>
          <cell r="M4814" t="str">
            <v>7850018</v>
          </cell>
        </row>
        <row r="4815">
          <cell r="A4815">
            <v>900237546</v>
          </cell>
          <cell r="B4815" t="str">
            <v>2</v>
          </cell>
          <cell r="C4815" t="str">
            <v/>
          </cell>
          <cell r="D4815" t="str">
            <v>NJ</v>
          </cell>
          <cell r="E4815" t="str">
            <v/>
          </cell>
          <cell r="F4815" t="str">
            <v/>
          </cell>
          <cell r="G4815" t="str">
            <v>MANGUERAS Y CORREAS DE ANTIOQUIA S.A.S</v>
          </cell>
          <cell r="H4815" t="str">
            <v>RECO</v>
          </cell>
          <cell r="I4815" t="str">
            <v>REGIMEN COMUN</v>
          </cell>
          <cell r="J4815" t="str">
            <v>cl 35 52 50</v>
          </cell>
          <cell r="K4815" t="str">
            <v>05001</v>
          </cell>
          <cell r="L4815" t="str">
            <v>MEDELLÍN</v>
          </cell>
          <cell r="M4815" t="str">
            <v>4489011</v>
          </cell>
        </row>
        <row r="4816">
          <cell r="A4816">
            <v>900238446</v>
          </cell>
          <cell r="B4816" t="str">
            <v>9</v>
          </cell>
          <cell r="C4816" t="str">
            <v/>
          </cell>
          <cell r="D4816" t="str">
            <v>NJ</v>
          </cell>
          <cell r="E4816" t="str">
            <v/>
          </cell>
          <cell r="F4816" t="str">
            <v/>
          </cell>
          <cell r="G4816" t="str">
            <v>MACROCHIP LTDA.</v>
          </cell>
          <cell r="H4816" t="str">
            <v>IMVE</v>
          </cell>
          <cell r="I4816" t="str">
            <v>IMPUESTO SOBRE LAS VENTAS</v>
          </cell>
          <cell r="J4816" t="str">
            <v>CR 105 F BIS 68 33 O F 2 O O</v>
          </cell>
          <cell r="K4816" t="str">
            <v>11001</v>
          </cell>
          <cell r="L4816" t="str">
            <v>BOGOTA DC</v>
          </cell>
          <cell r="M4816" t="str">
            <v>4609975</v>
          </cell>
        </row>
        <row r="4817">
          <cell r="A4817">
            <v>900239036</v>
          </cell>
          <cell r="B4817" t="str">
            <v>7</v>
          </cell>
          <cell r="C4817" t="str">
            <v/>
          </cell>
          <cell r="D4817" t="str">
            <v>NJ</v>
          </cell>
          <cell r="E4817" t="str">
            <v/>
          </cell>
          <cell r="F4817" t="str">
            <v/>
          </cell>
          <cell r="G4817" t="str">
            <v xml:space="preserve">COMPUTADORES GARIZIN LTDA                                   </v>
          </cell>
          <cell r="H4817" t="str">
            <v>RECO</v>
          </cell>
          <cell r="I4817" t="str">
            <v>REGIMEN COMUN</v>
          </cell>
          <cell r="J4817" t="str">
            <v xml:space="preserve">CR 15 78 33                             </v>
          </cell>
          <cell r="K4817" t="str">
            <v>11001</v>
          </cell>
          <cell r="L4817" t="str">
            <v>BOGOTA DC</v>
          </cell>
          <cell r="M4817" t="str">
            <v>2180836</v>
          </cell>
        </row>
        <row r="4818">
          <cell r="A4818">
            <v>900239744</v>
          </cell>
          <cell r="B4818" t="str">
            <v>3</v>
          </cell>
          <cell r="C4818" t="str">
            <v/>
          </cell>
          <cell r="D4818" t="str">
            <v>NJ</v>
          </cell>
          <cell r="E4818" t="str">
            <v/>
          </cell>
          <cell r="F4818" t="str">
            <v/>
          </cell>
          <cell r="G4818" t="str">
            <v xml:space="preserve">CONSORCIO BARANOA GALAPA                                    </v>
          </cell>
          <cell r="H4818" t="str">
            <v>RECO</v>
          </cell>
          <cell r="I4818" t="str">
            <v>REGIMEN COMUN</v>
          </cell>
          <cell r="J4818" t="str">
            <v>CR 54   74   134 OF 203</v>
          </cell>
          <cell r="K4818" t="str">
            <v>76001</v>
          </cell>
          <cell r="L4818" t="str">
            <v>CALI</v>
          </cell>
          <cell r="M4818" t="str">
            <v>3454753</v>
          </cell>
        </row>
        <row r="4819">
          <cell r="A4819">
            <v>900240324</v>
          </cell>
          <cell r="B4819" t="str">
            <v>5</v>
          </cell>
          <cell r="C4819" t="str">
            <v/>
          </cell>
          <cell r="D4819" t="str">
            <v>NJ</v>
          </cell>
          <cell r="E4819" t="str">
            <v/>
          </cell>
          <cell r="F4819" t="str">
            <v/>
          </cell>
          <cell r="G4819" t="str">
            <v>ATA ELECTRIC SAS</v>
          </cell>
          <cell r="H4819" t="str">
            <v>RECO</v>
          </cell>
          <cell r="I4819" t="str">
            <v>REGIMEN COMUN</v>
          </cell>
          <cell r="J4819" t="str">
            <v>CR 50 79 85 P 3</v>
          </cell>
          <cell r="K4819" t="str">
            <v>03</v>
          </cell>
          <cell r="L4819" t="str">
            <v>BOGOTA</v>
          </cell>
          <cell r="M4819" t="str">
            <v>6565896</v>
          </cell>
        </row>
        <row r="4820">
          <cell r="A4820">
            <v>900240405</v>
          </cell>
          <cell r="B4820" t="str">
            <v>3</v>
          </cell>
          <cell r="C4820" t="str">
            <v/>
          </cell>
          <cell r="D4820" t="str">
            <v>NJ</v>
          </cell>
          <cell r="E4820" t="str">
            <v/>
          </cell>
          <cell r="F4820" t="str">
            <v/>
          </cell>
          <cell r="G4820" t="str">
            <v xml:space="preserve">CONSORCIO ELECTRICO GALAPA                                  </v>
          </cell>
          <cell r="H4820" t="str">
            <v>RECO</v>
          </cell>
          <cell r="I4820" t="str">
            <v>REGIMEN COMUN</v>
          </cell>
          <cell r="J4820" t="str">
            <v>CR 30  5 A  20 OF 121</v>
          </cell>
          <cell r="K4820" t="str">
            <v>76001</v>
          </cell>
          <cell r="L4820" t="str">
            <v>CALI</v>
          </cell>
          <cell r="M4820" t="str">
            <v>5565686</v>
          </cell>
        </row>
        <row r="4821">
          <cell r="A4821">
            <v>900241143</v>
          </cell>
          <cell r="B4821" t="str">
            <v>3</v>
          </cell>
          <cell r="C4821" t="str">
            <v/>
          </cell>
          <cell r="D4821" t="str">
            <v>NJ</v>
          </cell>
          <cell r="E4821" t="str">
            <v/>
          </cell>
          <cell r="F4821" t="str">
            <v/>
          </cell>
          <cell r="G4821" t="str">
            <v xml:space="preserve">CONSORCIO SANTA VERONICA      </v>
          </cell>
          <cell r="H4821" t="str">
            <v>RECO</v>
          </cell>
          <cell r="I4821" t="str">
            <v>REGIMEN COMUN</v>
          </cell>
          <cell r="J4821" t="str">
            <v>CRA 45 85 68</v>
          </cell>
          <cell r="K4821" t="str">
            <v>08001</v>
          </cell>
          <cell r="L4821" t="str">
            <v>BARRANQUILLA</v>
          </cell>
          <cell r="M4821" t="str">
            <v>3454753</v>
          </cell>
        </row>
        <row r="4822">
          <cell r="A4822">
            <v>900241172</v>
          </cell>
          <cell r="B4822" t="str">
            <v>7</v>
          </cell>
          <cell r="C4822" t="str">
            <v/>
          </cell>
          <cell r="D4822" t="str">
            <v>NJ</v>
          </cell>
          <cell r="E4822" t="str">
            <v/>
          </cell>
          <cell r="F4822" t="str">
            <v/>
          </cell>
          <cell r="G4822" t="str">
            <v>HOTELES MS SAS</v>
          </cell>
          <cell r="H4822" t="str">
            <v>RECO</v>
          </cell>
          <cell r="I4822" t="str">
            <v>REGIMEN COMUN</v>
          </cell>
          <cell r="J4822" t="str">
            <v>CL 38  NORTE  AV 4  49</v>
          </cell>
          <cell r="K4822" t="str">
            <v>76001</v>
          </cell>
          <cell r="L4822" t="str">
            <v>CALI</v>
          </cell>
          <cell r="M4822" t="str">
            <v>6656713</v>
          </cell>
        </row>
        <row r="4823">
          <cell r="A4823">
            <v>900241178</v>
          </cell>
          <cell r="B4823" t="str">
            <v>0</v>
          </cell>
          <cell r="C4823" t="str">
            <v/>
          </cell>
          <cell r="D4823" t="str">
            <v>NJ</v>
          </cell>
          <cell r="E4823" t="str">
            <v/>
          </cell>
          <cell r="F4823" t="str">
            <v/>
          </cell>
          <cell r="G4823" t="str">
            <v>INDUSTRIAS HD SAS</v>
          </cell>
          <cell r="H4823" t="str">
            <v>RECO</v>
          </cell>
          <cell r="I4823" t="str">
            <v>REGIMEN COMUN</v>
          </cell>
          <cell r="J4823" t="str">
            <v>CL 15 16 25 OF 304</v>
          </cell>
          <cell r="K4823" t="str">
            <v>15238</v>
          </cell>
          <cell r="L4823" t="str">
            <v>DUITAMA</v>
          </cell>
          <cell r="M4823" t="str">
            <v>7610082</v>
          </cell>
        </row>
        <row r="4824">
          <cell r="A4824">
            <v>900241288</v>
          </cell>
          <cell r="B4824" t="str">
            <v>2</v>
          </cell>
          <cell r="C4824" t="str">
            <v/>
          </cell>
          <cell r="D4824" t="str">
            <v>NJ</v>
          </cell>
          <cell r="E4824" t="str">
            <v/>
          </cell>
          <cell r="F4824" t="str">
            <v/>
          </cell>
          <cell r="G4824" t="str">
            <v>PATI¿O &amp; CIA S.A.S</v>
          </cell>
          <cell r="H4824" t="str">
            <v>RECO</v>
          </cell>
          <cell r="I4824" t="str">
            <v>REGIMEN COMUN</v>
          </cell>
          <cell r="J4824" t="str">
            <v>CR 5 13 18 CEN</v>
          </cell>
          <cell r="K4824" t="str">
            <v>73001</v>
          </cell>
          <cell r="L4824" t="str">
            <v>IBAGUÉ</v>
          </cell>
          <cell r="M4824" t="str">
            <v>2637737</v>
          </cell>
        </row>
        <row r="4825">
          <cell r="A4825">
            <v>900241439</v>
          </cell>
          <cell r="B4825" t="str">
            <v>8</v>
          </cell>
          <cell r="C4825" t="str">
            <v/>
          </cell>
          <cell r="D4825" t="str">
            <v>NJ</v>
          </cell>
          <cell r="E4825" t="str">
            <v/>
          </cell>
          <cell r="F4825" t="str">
            <v/>
          </cell>
          <cell r="G4825" t="str">
            <v>CORPORACIÓN INTEGRAL DEL MEDIO AMBIENTE</v>
          </cell>
          <cell r="H4825" t="str">
            <v>RECO</v>
          </cell>
          <cell r="I4825" t="str">
            <v>REGIMEN COMUN</v>
          </cell>
          <cell r="J4825" t="str">
            <v>CR 32 8 93 SUR BRR CIUDAD MONTES</v>
          </cell>
          <cell r="K4825" t="str">
            <v>11001</v>
          </cell>
          <cell r="L4825" t="str">
            <v>BOGOTA DC</v>
          </cell>
          <cell r="M4825" t="str">
            <v>3000697</v>
          </cell>
        </row>
        <row r="4826">
          <cell r="A4826">
            <v>900241868</v>
          </cell>
          <cell r="B4826" t="str">
            <v>4</v>
          </cell>
          <cell r="C4826" t="str">
            <v/>
          </cell>
          <cell r="D4826" t="str">
            <v>NJ</v>
          </cell>
          <cell r="E4826" t="str">
            <v/>
          </cell>
          <cell r="F4826" t="str">
            <v/>
          </cell>
          <cell r="G4826" t="str">
            <v xml:space="preserve">UNION TEMPORAL DIARCO                                       </v>
          </cell>
          <cell r="H4826" t="str">
            <v>RECO</v>
          </cell>
          <cell r="I4826" t="str">
            <v>REGIMEN COMUN</v>
          </cell>
          <cell r="J4826" t="str">
            <v xml:space="preserve">CR 29 21 11 YOPAL                       </v>
          </cell>
          <cell r="K4826" t="str">
            <v>85001</v>
          </cell>
          <cell r="L4826" t="str">
            <v>YOPAL</v>
          </cell>
          <cell r="M4826" t="str">
            <v>6320755</v>
          </cell>
        </row>
        <row r="4827">
          <cell r="A4827">
            <v>900244455</v>
          </cell>
          <cell r="B4827" t="str">
            <v>1</v>
          </cell>
          <cell r="C4827" t="str">
            <v/>
          </cell>
          <cell r="D4827" t="str">
            <v>NJ</v>
          </cell>
          <cell r="E4827" t="str">
            <v/>
          </cell>
          <cell r="F4827" t="str">
            <v/>
          </cell>
          <cell r="G4827" t="str">
            <v>COFRACO SAS</v>
          </cell>
          <cell r="H4827" t="str">
            <v>RECO</v>
          </cell>
          <cell r="I4827" t="str">
            <v>REGIMEN COMUN</v>
          </cell>
          <cell r="J4827" t="str">
            <v>BRR GETSEMANI CR 8 N 25-100</v>
          </cell>
          <cell r="K4827" t="str">
            <v>17001</v>
          </cell>
          <cell r="L4827" t="str">
            <v>MANIZALES</v>
          </cell>
          <cell r="M4827" t="str">
            <v>6503030</v>
          </cell>
        </row>
        <row r="4828">
          <cell r="A4828">
            <v>900244577</v>
          </cell>
          <cell r="B4828" t="str">
            <v>1</v>
          </cell>
          <cell r="C4828" t="str">
            <v/>
          </cell>
          <cell r="D4828" t="str">
            <v>NJ</v>
          </cell>
          <cell r="E4828" t="str">
            <v/>
          </cell>
          <cell r="F4828" t="str">
            <v/>
          </cell>
          <cell r="G4828" t="str">
            <v>INDUSTRIAS CONSTRUCCIONES CIVILES Y ESTRUCTURAS METALMECANICAS S</v>
          </cell>
          <cell r="H4828" t="str">
            <v>IMVE</v>
          </cell>
          <cell r="I4828" t="str">
            <v>IMPUESTO SOBRE LAS VENTAS</v>
          </cell>
          <cell r="J4828" t="str">
            <v>PAR INDUSTRIAL KM 6 VIA PAIPA DUITAMA</v>
          </cell>
          <cell r="K4828" t="str">
            <v>15516</v>
          </cell>
          <cell r="L4828" t="str">
            <v>PAIPA</v>
          </cell>
          <cell r="M4828" t="str">
            <v>3202752133</v>
          </cell>
        </row>
        <row r="4829">
          <cell r="A4829">
            <v>900244603</v>
          </cell>
          <cell r="B4829" t="str">
            <v>3</v>
          </cell>
          <cell r="C4829" t="str">
            <v/>
          </cell>
          <cell r="D4829" t="str">
            <v>NJ</v>
          </cell>
          <cell r="E4829" t="str">
            <v/>
          </cell>
          <cell r="F4829" t="str">
            <v/>
          </cell>
          <cell r="G4829" t="str">
            <v>CONSUAS Y PERFORACIONES LTDA</v>
          </cell>
          <cell r="H4829" t="str">
            <v>RECO</v>
          </cell>
          <cell r="I4829" t="str">
            <v>REGIMEN COMUN</v>
          </cell>
          <cell r="J4829" t="str">
            <v>CL 46   20   34</v>
          </cell>
          <cell r="K4829" t="str">
            <v>17001</v>
          </cell>
          <cell r="L4829" t="str">
            <v>MANIZALES</v>
          </cell>
          <cell r="M4829" t="str">
            <v>8853226</v>
          </cell>
        </row>
        <row r="4830">
          <cell r="A4830">
            <v>900245350</v>
          </cell>
          <cell r="B4830" t="str">
            <v>1</v>
          </cell>
          <cell r="C4830" t="str">
            <v/>
          </cell>
          <cell r="D4830" t="str">
            <v>NJ</v>
          </cell>
          <cell r="E4830" t="str">
            <v/>
          </cell>
          <cell r="F4830" t="str">
            <v/>
          </cell>
          <cell r="G4830" t="str">
            <v xml:space="preserve">UNION TEMPORAL H.F. GIL                                     </v>
          </cell>
          <cell r="H4830" t="str">
            <v>RECO</v>
          </cell>
          <cell r="I4830" t="str">
            <v>REGIMEN COMUN</v>
          </cell>
          <cell r="J4830" t="str">
            <v xml:space="preserve">CL 11 18 251 YOPAL                      </v>
          </cell>
          <cell r="K4830" t="str">
            <v>85001</v>
          </cell>
          <cell r="L4830" t="str">
            <v>YOPAL</v>
          </cell>
          <cell r="M4830" t="str">
            <v>6323657</v>
          </cell>
        </row>
        <row r="4831">
          <cell r="A4831">
            <v>900245914</v>
          </cell>
          <cell r="B4831" t="str">
            <v>3</v>
          </cell>
          <cell r="C4831" t="str">
            <v/>
          </cell>
          <cell r="D4831" t="str">
            <v>NJ</v>
          </cell>
          <cell r="E4831" t="str">
            <v/>
          </cell>
          <cell r="F4831" t="str">
            <v/>
          </cell>
          <cell r="G4831" t="str">
            <v xml:space="preserve">UNION TEMPORAL MURATINGA                                    </v>
          </cell>
          <cell r="H4831" t="str">
            <v>RECO</v>
          </cell>
          <cell r="I4831" t="str">
            <v>REGIMEN COMUN</v>
          </cell>
          <cell r="J4831" t="str">
            <v xml:space="preserve">CL 19 27A 42 OF 102 YOPAL               </v>
          </cell>
          <cell r="K4831" t="str">
            <v>85001</v>
          </cell>
          <cell r="L4831" t="str">
            <v>YOPAL</v>
          </cell>
          <cell r="M4831" t="str">
            <v>6341394</v>
          </cell>
        </row>
        <row r="4832">
          <cell r="A4832">
            <v>900245918</v>
          </cell>
          <cell r="B4832" t="str">
            <v>2</v>
          </cell>
          <cell r="C4832" t="str">
            <v/>
          </cell>
          <cell r="D4832" t="str">
            <v>NJ</v>
          </cell>
          <cell r="E4832" t="str">
            <v/>
          </cell>
          <cell r="F4832" t="str">
            <v/>
          </cell>
          <cell r="G4832" t="str">
            <v xml:space="preserve">UNION TEMPORAL CONSTRUCTIVA   </v>
          </cell>
          <cell r="H4832" t="str">
            <v>RECO</v>
          </cell>
          <cell r="I4832" t="str">
            <v>REGIMEN COMUN</v>
          </cell>
          <cell r="J4832" t="str">
            <v xml:space="preserve">CR 23   17   40  </v>
          </cell>
          <cell r="K4832" t="str">
            <v>85001</v>
          </cell>
          <cell r="L4832" t="str">
            <v>YOPAL</v>
          </cell>
          <cell r="M4832" t="str">
            <v>3214492846</v>
          </cell>
        </row>
        <row r="4833">
          <cell r="A4833">
            <v>900247262</v>
          </cell>
          <cell r="B4833" t="str">
            <v>9</v>
          </cell>
          <cell r="C4833" t="str">
            <v/>
          </cell>
          <cell r="D4833" t="str">
            <v>NJ</v>
          </cell>
          <cell r="E4833" t="str">
            <v/>
          </cell>
          <cell r="F4833" t="str">
            <v/>
          </cell>
          <cell r="G4833" t="str">
            <v>GITAI GROUP SAS</v>
          </cell>
          <cell r="H4833" t="str">
            <v>IMVE</v>
          </cell>
          <cell r="I4833" t="str">
            <v>IMPUESTO SOBRE LAS VENTAS</v>
          </cell>
          <cell r="J4833" t="str">
            <v>AC 26 57 83 TO 8 P 15</v>
          </cell>
          <cell r="K4833" t="str">
            <v>11001</v>
          </cell>
          <cell r="L4833" t="str">
            <v>BOGOTA DC</v>
          </cell>
          <cell r="M4833" t="str">
            <v>3012942145</v>
          </cell>
        </row>
        <row r="4834">
          <cell r="A4834">
            <v>900247475</v>
          </cell>
          <cell r="B4834" t="str">
            <v>0</v>
          </cell>
          <cell r="C4834" t="str">
            <v/>
          </cell>
          <cell r="D4834" t="str">
            <v>NJ</v>
          </cell>
          <cell r="E4834" t="str">
            <v/>
          </cell>
          <cell r="F4834" t="str">
            <v/>
          </cell>
          <cell r="G4834" t="str">
            <v>OIKOS SIG</v>
          </cell>
          <cell r="H4834" t="str">
            <v>RECO</v>
          </cell>
          <cell r="I4834" t="str">
            <v>REGIMEN COMUN</v>
          </cell>
          <cell r="J4834" t="str">
            <v>CL 23 G BIS 96 F 99</v>
          </cell>
          <cell r="K4834" t="str">
            <v>11001</v>
          </cell>
          <cell r="L4834" t="str">
            <v>BOGOTA DC</v>
          </cell>
          <cell r="M4834" t="str">
            <v>2677260</v>
          </cell>
        </row>
        <row r="4835">
          <cell r="A4835">
            <v>900247770</v>
          </cell>
          <cell r="B4835" t="str">
            <v>9</v>
          </cell>
          <cell r="C4835" t="str">
            <v/>
          </cell>
          <cell r="D4835" t="str">
            <v>NJ</v>
          </cell>
          <cell r="E4835" t="str">
            <v/>
          </cell>
          <cell r="F4835" t="str">
            <v/>
          </cell>
          <cell r="G4835" t="str">
            <v>DIGIMOVIL S.A.S</v>
          </cell>
          <cell r="H4835" t="str">
            <v>RECO</v>
          </cell>
          <cell r="I4835" t="str">
            <v>REGIMEN COMUN</v>
          </cell>
          <cell r="J4835" t="str">
            <v>CR 23 N 17-24</v>
          </cell>
          <cell r="K4835" t="str">
            <v>17001</v>
          </cell>
          <cell r="L4835" t="str">
            <v>MANIZALES</v>
          </cell>
          <cell r="M4835" t="str">
            <v>8720999</v>
          </cell>
        </row>
        <row r="4836">
          <cell r="A4836">
            <v>900248193</v>
          </cell>
          <cell r="B4836" t="str">
            <v>3</v>
          </cell>
          <cell r="C4836" t="str">
            <v/>
          </cell>
          <cell r="D4836" t="str">
            <v>NJ</v>
          </cell>
          <cell r="E4836" t="str">
            <v/>
          </cell>
          <cell r="F4836" t="str">
            <v/>
          </cell>
          <cell r="G4836" t="str">
            <v>INDUSTRIAS TERRIGENO S.A</v>
          </cell>
          <cell r="H4836" t="str">
            <v>RECO</v>
          </cell>
          <cell r="I4836" t="str">
            <v>REGIMEN COMUN</v>
          </cell>
          <cell r="J4836" t="str">
            <v>CR 51  B 12 SUR 55</v>
          </cell>
          <cell r="K4836" t="str">
            <v>05001</v>
          </cell>
          <cell r="L4836" t="str">
            <v>MEDELLÍN</v>
          </cell>
          <cell r="M4836" t="str">
            <v>4484209</v>
          </cell>
        </row>
        <row r="4837">
          <cell r="A4837">
            <v>900249042</v>
          </cell>
          <cell r="B4837" t="str">
            <v>4</v>
          </cell>
          <cell r="C4837" t="str">
            <v/>
          </cell>
          <cell r="D4837" t="str">
            <v>NJ</v>
          </cell>
          <cell r="E4837" t="str">
            <v/>
          </cell>
          <cell r="F4837" t="str">
            <v/>
          </cell>
          <cell r="G4837" t="str">
            <v>TREETEK SAS</v>
          </cell>
          <cell r="H4837" t="str">
            <v>RECO</v>
          </cell>
          <cell r="I4837" t="str">
            <v>REGIMEN COMUN</v>
          </cell>
          <cell r="J4837" t="str">
            <v>CL 4 D 34 20</v>
          </cell>
          <cell r="K4837" t="str">
            <v>76001</v>
          </cell>
          <cell r="L4837" t="str">
            <v>CALI</v>
          </cell>
          <cell r="M4837" t="str">
            <v>3168337522</v>
          </cell>
        </row>
        <row r="4838">
          <cell r="A4838">
            <v>900249043</v>
          </cell>
          <cell r="B4838" t="str">
            <v>1</v>
          </cell>
          <cell r="C4838" t="str">
            <v/>
          </cell>
          <cell r="D4838" t="str">
            <v>NJ</v>
          </cell>
          <cell r="E4838" t="str">
            <v/>
          </cell>
          <cell r="F4838" t="str">
            <v/>
          </cell>
          <cell r="G4838" t="str">
            <v>OPEN GROUP SAS</v>
          </cell>
          <cell r="H4838" t="str">
            <v>IMVE</v>
          </cell>
          <cell r="I4838" t="str">
            <v>IMPUESTO SOBRE LAS VENTAS</v>
          </cell>
          <cell r="J4838" t="str">
            <v>AV 8 NORTE 23 89 BRR SANTA MONICA</v>
          </cell>
          <cell r="K4838" t="str">
            <v>76001</v>
          </cell>
          <cell r="L4838" t="str">
            <v>CALI</v>
          </cell>
          <cell r="M4838" t="str">
            <v>4868080</v>
          </cell>
        </row>
        <row r="4839">
          <cell r="A4839">
            <v>900249841</v>
          </cell>
          <cell r="B4839" t="str">
            <v>2</v>
          </cell>
          <cell r="C4839" t="str">
            <v/>
          </cell>
          <cell r="D4839" t="str">
            <v>NJ</v>
          </cell>
          <cell r="E4839" t="str">
            <v/>
          </cell>
          <cell r="F4839" t="str">
            <v/>
          </cell>
          <cell r="G4839" t="str">
            <v xml:space="preserve">CONSORCIO A.G. INGENIERIA     </v>
          </cell>
          <cell r="H4839" t="str">
            <v>RECO</v>
          </cell>
          <cell r="I4839" t="str">
            <v>REGIMEN COMUN</v>
          </cell>
          <cell r="J4839" t="str">
            <v>CR 99 64 G 65 INT 34</v>
          </cell>
          <cell r="K4839" t="str">
            <v>11001</v>
          </cell>
          <cell r="L4839" t="str">
            <v>BOGOTA DC</v>
          </cell>
          <cell r="M4839" t="str">
            <v>4365978</v>
          </cell>
        </row>
        <row r="4840">
          <cell r="A4840">
            <v>900250232</v>
          </cell>
          <cell r="B4840" t="str">
            <v>9</v>
          </cell>
          <cell r="C4840" t="str">
            <v/>
          </cell>
          <cell r="D4840" t="str">
            <v>NJ</v>
          </cell>
          <cell r="E4840" t="str">
            <v/>
          </cell>
          <cell r="F4840" t="str">
            <v/>
          </cell>
          <cell r="G4840" t="str">
            <v>GESTION Y SOPORTES SAS</v>
          </cell>
          <cell r="H4840" t="str">
            <v>RECO</v>
          </cell>
          <cell r="I4840" t="str">
            <v>REGIMEN COMUN</v>
          </cell>
          <cell r="J4840" t="str">
            <v>CL 77 A   70   43</v>
          </cell>
          <cell r="K4840" t="str">
            <v>08001</v>
          </cell>
          <cell r="L4840" t="str">
            <v>BARRANQUILLA</v>
          </cell>
          <cell r="M4840" t="str">
            <v>3775437</v>
          </cell>
        </row>
        <row r="4841">
          <cell r="A4841">
            <v>900251060</v>
          </cell>
          <cell r="B4841" t="str">
            <v>3</v>
          </cell>
          <cell r="C4841" t="str">
            <v/>
          </cell>
          <cell r="D4841" t="str">
            <v>NJ</v>
          </cell>
          <cell r="E4841" t="str">
            <v/>
          </cell>
          <cell r="F4841" t="str">
            <v/>
          </cell>
          <cell r="G4841" t="str">
            <v xml:space="preserve"> RURAL EXPRESS S.A.S.</v>
          </cell>
          <cell r="H4841" t="str">
            <v>IMVE</v>
          </cell>
          <cell r="I4841" t="str">
            <v>IMPUESTO SOBRE LAS VENTAS</v>
          </cell>
          <cell r="J4841" t="str">
            <v>TV 70 D 63 45</v>
          </cell>
          <cell r="K4841" t="str">
            <v>03</v>
          </cell>
          <cell r="L4841" t="str">
            <v>BOGOTA</v>
          </cell>
          <cell r="M4841" t="str">
            <v>7470220</v>
          </cell>
        </row>
        <row r="4842">
          <cell r="A4842">
            <v>900251503</v>
          </cell>
          <cell r="B4842" t="str">
            <v>4</v>
          </cell>
          <cell r="C4842" t="str">
            <v>923271676</v>
          </cell>
          <cell r="D4842" t="str">
            <v>NJ</v>
          </cell>
          <cell r="E4842" t="str">
            <v/>
          </cell>
          <cell r="F4842" t="str">
            <v/>
          </cell>
          <cell r="G4842" t="str">
            <v>CORPORACION IPS UNIVERSITARIA DE CALDAS</v>
          </cell>
          <cell r="H4842" t="str">
            <v>REIC</v>
          </cell>
          <cell r="I4842" t="str">
            <v>RENTA REGIMEN ESPECIAL</v>
          </cell>
          <cell r="J4842" t="str">
            <v>CR 25 A 62 06</v>
          </cell>
          <cell r="K4842" t="str">
            <v>17001</v>
          </cell>
          <cell r="L4842" t="str">
            <v>MANIZALES</v>
          </cell>
          <cell r="M4842" t="str">
            <v>8859978</v>
          </cell>
        </row>
        <row r="4843">
          <cell r="A4843">
            <v>900251864</v>
          </cell>
          <cell r="B4843" t="str">
            <v>8</v>
          </cell>
          <cell r="C4843" t="str">
            <v/>
          </cell>
          <cell r="D4843" t="str">
            <v>NJ</v>
          </cell>
          <cell r="E4843" t="str">
            <v/>
          </cell>
          <cell r="F4843" t="str">
            <v/>
          </cell>
          <cell r="G4843" t="str">
            <v>FONDO DE INVERSIÓN COLECTIVA ABIERTO DE ALTA LIQUIDEZ</v>
          </cell>
          <cell r="H4843" t="str">
            <v>NORE</v>
          </cell>
          <cell r="I4843" t="str">
            <v>NO RESPONSABLE DE IVA</v>
          </cell>
          <cell r="J4843" t="str">
            <v>CL 72 10 03 P 4</v>
          </cell>
          <cell r="K4843" t="str">
            <v>17001</v>
          </cell>
          <cell r="L4843" t="str">
            <v>MANIZALES</v>
          </cell>
          <cell r="M4843" t="str">
            <v>5945111</v>
          </cell>
        </row>
        <row r="4844">
          <cell r="A4844">
            <v>900252129</v>
          </cell>
          <cell r="B4844" t="str">
            <v>7</v>
          </cell>
          <cell r="C4844" t="str">
            <v/>
          </cell>
          <cell r="D4844" t="str">
            <v>NJ</v>
          </cell>
          <cell r="E4844" t="str">
            <v/>
          </cell>
          <cell r="F4844" t="str">
            <v/>
          </cell>
          <cell r="G4844" t="str">
            <v>HENRIROS LTDA</v>
          </cell>
          <cell r="H4844" t="str">
            <v>RECO</v>
          </cell>
          <cell r="I4844" t="str">
            <v>REGIMEN COMUN</v>
          </cell>
          <cell r="J4844" t="str">
            <v>CL 13   15   09 BRR JOSE A GALAN</v>
          </cell>
          <cell r="K4844" t="str">
            <v>44001</v>
          </cell>
          <cell r="L4844" t="str">
            <v>RIOHACHA</v>
          </cell>
          <cell r="M4844" t="str">
            <v>7280767</v>
          </cell>
        </row>
        <row r="4845">
          <cell r="A4845">
            <v>900253112</v>
          </cell>
          <cell r="B4845" t="str">
            <v>7</v>
          </cell>
          <cell r="C4845" t="str">
            <v/>
          </cell>
          <cell r="D4845" t="str">
            <v>NJ</v>
          </cell>
          <cell r="E4845" t="str">
            <v/>
          </cell>
          <cell r="F4845" t="str">
            <v/>
          </cell>
          <cell r="G4845" t="str">
            <v>INVERSIONES WAIRA DEL AMAZONAS S.A</v>
          </cell>
          <cell r="H4845" t="str">
            <v>REOR</v>
          </cell>
          <cell r="I4845" t="str">
            <v>RENTA REGIMEN ORDINARIO</v>
          </cell>
          <cell r="J4845" t="str">
            <v>CR 10 N 7-36</v>
          </cell>
          <cell r="K4845" t="str">
            <v>94001</v>
          </cell>
          <cell r="L4845" t="str">
            <v>INÍRIDA</v>
          </cell>
          <cell r="M4845" t="str">
            <v>5924791</v>
          </cell>
        </row>
        <row r="4846">
          <cell r="A4846">
            <v>900254111</v>
          </cell>
          <cell r="B4846" t="str">
            <v>4</v>
          </cell>
          <cell r="C4846" t="str">
            <v/>
          </cell>
          <cell r="D4846" t="str">
            <v>NJ</v>
          </cell>
          <cell r="E4846" t="str">
            <v/>
          </cell>
          <cell r="F4846" t="str">
            <v/>
          </cell>
          <cell r="G4846" t="str">
            <v>HOTEL ESTACIÓN SABANA LTDA</v>
          </cell>
          <cell r="H4846" t="str">
            <v>IMVE</v>
          </cell>
          <cell r="I4846" t="str">
            <v>IMPUESTO SOBRE LAS VENTAS</v>
          </cell>
          <cell r="J4846" t="str">
            <v>CR 4 N 10 14</v>
          </cell>
          <cell r="K4846" t="str">
            <v>25899</v>
          </cell>
          <cell r="L4846" t="str">
            <v>ZIPAQUIRÁ</v>
          </cell>
          <cell r="M4846" t="str">
            <v>3143722256</v>
          </cell>
        </row>
        <row r="4847">
          <cell r="A4847">
            <v>900255871</v>
          </cell>
          <cell r="B4847" t="str">
            <v>8</v>
          </cell>
          <cell r="C4847" t="str">
            <v/>
          </cell>
          <cell r="D4847" t="str">
            <v>NJ</v>
          </cell>
          <cell r="E4847" t="str">
            <v/>
          </cell>
          <cell r="F4847" t="str">
            <v/>
          </cell>
          <cell r="G4847" t="str">
            <v>CIEL POTENCIA FLUIDA Y MECANICA  SAS</v>
          </cell>
          <cell r="H4847" t="str">
            <v>IMVE</v>
          </cell>
          <cell r="I4847" t="str">
            <v>IMPUESTO SOBRE LAS VENTAS</v>
          </cell>
          <cell r="J4847" t="str">
            <v>CR 7 156 80 P 12 OF 1203</v>
          </cell>
          <cell r="K4847" t="str">
            <v>11001</v>
          </cell>
          <cell r="L4847" t="str">
            <v>BOGOTA DC</v>
          </cell>
          <cell r="M4847" t="str">
            <v>8055460</v>
          </cell>
        </row>
        <row r="4848">
          <cell r="A4848">
            <v>900255873</v>
          </cell>
          <cell r="B4848" t="str">
            <v>2</v>
          </cell>
          <cell r="C4848" t="str">
            <v/>
          </cell>
          <cell r="D4848" t="str">
            <v>NJ</v>
          </cell>
          <cell r="E4848" t="str">
            <v/>
          </cell>
          <cell r="F4848" t="str">
            <v/>
          </cell>
          <cell r="G4848" t="str">
            <v>O4IT COLOMBIA SAS</v>
          </cell>
          <cell r="H4848" t="str">
            <v>IMVE</v>
          </cell>
          <cell r="I4848" t="str">
            <v>IMPUESTO SOBRE LAS VENTAS</v>
          </cell>
          <cell r="J4848" t="str">
            <v xml:space="preserve"> CR 7 74 B 56 64 OF 202</v>
          </cell>
          <cell r="K4848" t="str">
            <v>11001</v>
          </cell>
          <cell r="L4848" t="str">
            <v>BOGOTA DC</v>
          </cell>
          <cell r="M4848" t="str">
            <v>4235460</v>
          </cell>
        </row>
        <row r="4849">
          <cell r="A4849">
            <v>900256279</v>
          </cell>
          <cell r="B4849" t="str">
            <v>1</v>
          </cell>
          <cell r="C4849" t="str">
            <v/>
          </cell>
          <cell r="D4849" t="str">
            <v>NJ</v>
          </cell>
          <cell r="E4849" t="str">
            <v/>
          </cell>
          <cell r="F4849" t="str">
            <v/>
          </cell>
          <cell r="G4849" t="str">
            <v>SCHWEITZER ENGINEERING LABORATORIES COLOMBIA SAS</v>
          </cell>
          <cell r="H4849" t="str">
            <v>IMVE</v>
          </cell>
          <cell r="I4849" t="str">
            <v>IMPUESTO SOBRE LAS VENTAS</v>
          </cell>
          <cell r="J4849" t="str">
            <v>AV CL 24 95 12 BG 32</v>
          </cell>
          <cell r="K4849" t="str">
            <v>25214</v>
          </cell>
          <cell r="L4849" t="str">
            <v>COTA</v>
          </cell>
          <cell r="M4849" t="str">
            <v>8237561</v>
          </cell>
        </row>
        <row r="4850">
          <cell r="A4850">
            <v>900257266</v>
          </cell>
          <cell r="B4850" t="str">
            <v>0</v>
          </cell>
          <cell r="C4850" t="str">
            <v/>
          </cell>
          <cell r="D4850" t="str">
            <v>NJ</v>
          </cell>
          <cell r="E4850" t="str">
            <v/>
          </cell>
          <cell r="F4850" t="str">
            <v/>
          </cell>
          <cell r="G4850" t="str">
            <v>LABORATORIO CLÍNICO DECALDAS IPS LTDA</v>
          </cell>
          <cell r="H4850" t="str">
            <v>IMVE</v>
          </cell>
          <cell r="I4850" t="str">
            <v>IMPUESTO SOBRE LAS VENTAS</v>
          </cell>
          <cell r="J4850" t="str">
            <v>CL 21 23 22 C S 203 ED ATLAS</v>
          </cell>
          <cell r="K4850" t="str">
            <v>17001</v>
          </cell>
          <cell r="L4850" t="str">
            <v>MANIZALES</v>
          </cell>
          <cell r="M4850" t="str">
            <v>8975286</v>
          </cell>
        </row>
        <row r="4851">
          <cell r="A4851">
            <v>900257965</v>
          </cell>
          <cell r="B4851" t="str">
            <v>0</v>
          </cell>
          <cell r="C4851" t="str">
            <v/>
          </cell>
          <cell r="D4851" t="str">
            <v>NJ</v>
          </cell>
          <cell r="E4851" t="str">
            <v/>
          </cell>
          <cell r="F4851" t="str">
            <v/>
          </cell>
          <cell r="G4851" t="str">
            <v>CONSORCIO INGECAL</v>
          </cell>
          <cell r="H4851" t="str">
            <v>RECO</v>
          </cell>
          <cell r="I4851" t="str">
            <v>REGIMEN COMUN</v>
          </cell>
          <cell r="J4851" t="str">
            <v>CR 10   11   88</v>
          </cell>
          <cell r="K4851" t="str">
            <v>15001</v>
          </cell>
          <cell r="L4851" t="str">
            <v>TUNJA</v>
          </cell>
          <cell r="M4851" t="str">
            <v>7433512</v>
          </cell>
        </row>
        <row r="4852">
          <cell r="A4852">
            <v>900259348</v>
          </cell>
          <cell r="B4852" t="str">
            <v>5</v>
          </cell>
          <cell r="C4852" t="str">
            <v>923271642</v>
          </cell>
          <cell r="D4852" t="str">
            <v>NJ</v>
          </cell>
          <cell r="E4852" t="str">
            <v/>
          </cell>
          <cell r="F4852" t="str">
            <v/>
          </cell>
          <cell r="G4852" t="str">
            <v>RED VITAL PAIPA S.A E.S.P</v>
          </cell>
          <cell r="H4852" t="str">
            <v>IMVE</v>
          </cell>
          <cell r="I4852" t="str">
            <v>IMPUESTO SOBRE LAS VENTAS</v>
          </cell>
          <cell r="J4852" t="str">
            <v>CR 22 25 14</v>
          </cell>
          <cell r="K4852" t="str">
            <v>15516</v>
          </cell>
          <cell r="L4852" t="str">
            <v>PAIPA</v>
          </cell>
          <cell r="M4852" t="str">
            <v>7850131</v>
          </cell>
        </row>
        <row r="4853">
          <cell r="A4853">
            <v>900260126</v>
          </cell>
          <cell r="B4853" t="str">
            <v>9</v>
          </cell>
          <cell r="C4853" t="str">
            <v/>
          </cell>
          <cell r="D4853" t="str">
            <v>NJ</v>
          </cell>
          <cell r="E4853" t="str">
            <v/>
          </cell>
          <cell r="F4853" t="str">
            <v/>
          </cell>
          <cell r="G4853" t="str">
            <v>DEWAR S.A.S.</v>
          </cell>
          <cell r="H4853" t="str">
            <v>IMVE</v>
          </cell>
          <cell r="I4853" t="str">
            <v>IMPUESTO SOBRE LAS VENTAS</v>
          </cell>
          <cell r="J4853" t="str">
            <v>CL 96 A   61   22 OF 203</v>
          </cell>
          <cell r="K4853" t="str">
            <v>11001</v>
          </cell>
          <cell r="L4853" t="str">
            <v>BOGOTA DC</v>
          </cell>
          <cell r="M4853" t="str">
            <v>3163701077</v>
          </cell>
        </row>
        <row r="4854">
          <cell r="A4854">
            <v>900260264</v>
          </cell>
          <cell r="B4854" t="str">
            <v>7</v>
          </cell>
          <cell r="C4854" t="str">
            <v/>
          </cell>
          <cell r="D4854" t="str">
            <v>NJ</v>
          </cell>
          <cell r="E4854" t="str">
            <v/>
          </cell>
          <cell r="F4854" t="str">
            <v/>
          </cell>
          <cell r="G4854" t="str">
            <v>CONTROL SERVICE LTDA</v>
          </cell>
          <cell r="H4854" t="str">
            <v>RECO</v>
          </cell>
          <cell r="I4854" t="str">
            <v>REGIMEN COMUN</v>
          </cell>
          <cell r="J4854" t="str">
            <v>CR 15  79  70 OF 401</v>
          </cell>
          <cell r="K4854" t="str">
            <v>11001</v>
          </cell>
          <cell r="L4854" t="str">
            <v>BOGOTA DC</v>
          </cell>
          <cell r="M4854" t="str">
            <v>6913665</v>
          </cell>
        </row>
        <row r="4855">
          <cell r="A4855">
            <v>900261209</v>
          </cell>
          <cell r="B4855" t="str">
            <v>6</v>
          </cell>
          <cell r="C4855" t="str">
            <v/>
          </cell>
          <cell r="D4855" t="str">
            <v>NJ</v>
          </cell>
          <cell r="E4855" t="str">
            <v/>
          </cell>
          <cell r="F4855" t="str">
            <v/>
          </cell>
          <cell r="G4855" t="str">
            <v>SUMINISTROS OBRAS Y SISTEMAS SAS</v>
          </cell>
          <cell r="H4855" t="str">
            <v>RECO</v>
          </cell>
          <cell r="I4855" t="str">
            <v>REGIMEN COMUN</v>
          </cell>
          <cell r="J4855" t="str">
            <v>CR 16 A 79 05 OF 411</v>
          </cell>
          <cell r="K4855" t="str">
            <v>11001</v>
          </cell>
          <cell r="L4855" t="str">
            <v>BOGOTA DC</v>
          </cell>
          <cell r="M4855" t="str">
            <v>3006587255</v>
          </cell>
        </row>
        <row r="4856">
          <cell r="A4856">
            <v>900262189</v>
          </cell>
          <cell r="B4856" t="str">
            <v>1</v>
          </cell>
          <cell r="C4856" t="str">
            <v/>
          </cell>
          <cell r="D4856" t="str">
            <v>NJ</v>
          </cell>
          <cell r="E4856" t="str">
            <v/>
          </cell>
          <cell r="F4856" t="str">
            <v/>
          </cell>
          <cell r="G4856" t="str">
            <v>CASTELLAR S.A</v>
          </cell>
          <cell r="H4856" t="str">
            <v>RECO</v>
          </cell>
          <cell r="I4856" t="str">
            <v>REGIMEN COMUN</v>
          </cell>
          <cell r="J4856" t="str">
            <v>CL 55 45 58</v>
          </cell>
          <cell r="K4856" t="str">
            <v>05001</v>
          </cell>
          <cell r="L4856" t="str">
            <v>MEDELLÍN</v>
          </cell>
          <cell r="M4856" t="str">
            <v>4302030</v>
          </cell>
        </row>
        <row r="4857">
          <cell r="A4857">
            <v>900262290</v>
          </cell>
          <cell r="B4857" t="str">
            <v>8</v>
          </cell>
          <cell r="C4857" t="str">
            <v/>
          </cell>
          <cell r="D4857" t="str">
            <v>NJ</v>
          </cell>
          <cell r="E4857" t="str">
            <v/>
          </cell>
          <cell r="F4857" t="str">
            <v/>
          </cell>
          <cell r="G4857" t="str">
            <v>ALIENERGY S.A</v>
          </cell>
          <cell r="H4857" t="str">
            <v>RECO</v>
          </cell>
          <cell r="I4857" t="str">
            <v>REGIMEN COMUN</v>
          </cell>
          <cell r="J4857" t="str">
            <v>CR 10  97 A  13 P 4  TO B</v>
          </cell>
          <cell r="K4857" t="str">
            <v>11001</v>
          </cell>
          <cell r="L4857" t="str">
            <v>BOGOTA DC</v>
          </cell>
          <cell r="M4857" t="str">
            <v>6428500</v>
          </cell>
        </row>
        <row r="4858">
          <cell r="A4858">
            <v>900264754</v>
          </cell>
          <cell r="B4858" t="str">
            <v>2</v>
          </cell>
          <cell r="C4858" t="str">
            <v/>
          </cell>
          <cell r="D4858" t="str">
            <v>NJ</v>
          </cell>
          <cell r="E4858" t="str">
            <v/>
          </cell>
          <cell r="F4858" t="str">
            <v/>
          </cell>
          <cell r="G4858" t="str">
            <v>RODAMIENTOS Y SERVICIOS SAS</v>
          </cell>
          <cell r="H4858" t="str">
            <v>RECO</v>
          </cell>
          <cell r="I4858" t="str">
            <v>REGIMEN COMUN</v>
          </cell>
          <cell r="J4858" t="str">
            <v>CL 21 11 62</v>
          </cell>
          <cell r="K4858" t="str">
            <v>17001</v>
          </cell>
          <cell r="L4858" t="str">
            <v>MANIZALES</v>
          </cell>
          <cell r="M4858" t="str">
            <v>8824422</v>
          </cell>
        </row>
        <row r="4859">
          <cell r="A4859">
            <v>900265575</v>
          </cell>
          <cell r="B4859" t="str">
            <v>5</v>
          </cell>
          <cell r="C4859" t="str">
            <v/>
          </cell>
          <cell r="D4859" t="str">
            <v>NJ</v>
          </cell>
          <cell r="E4859" t="str">
            <v/>
          </cell>
          <cell r="F4859" t="str">
            <v/>
          </cell>
          <cell r="G4859" t="str">
            <v>SERVICIOS SIN LIMITES DEL VICHADA EU</v>
          </cell>
          <cell r="H4859" t="str">
            <v>RECO</v>
          </cell>
          <cell r="I4859" t="str">
            <v>REGIMEN COMUN</v>
          </cell>
          <cell r="J4859" t="str">
            <v>CL PRINCIPAL LA PRIMAVERA</v>
          </cell>
          <cell r="K4859" t="str">
            <v>99524</v>
          </cell>
          <cell r="L4859" t="str">
            <v>LA PRIMAVERA</v>
          </cell>
          <cell r="M4859" t="str">
            <v>3132202735</v>
          </cell>
        </row>
        <row r="4860">
          <cell r="A4860">
            <v>900266467</v>
          </cell>
          <cell r="B4860" t="str">
            <v>2</v>
          </cell>
          <cell r="C4860" t="str">
            <v/>
          </cell>
          <cell r="D4860" t="str">
            <v>NJ</v>
          </cell>
          <cell r="E4860" t="str">
            <v/>
          </cell>
          <cell r="F4860" t="str">
            <v/>
          </cell>
          <cell r="G4860" t="str">
            <v>MARTHA LILIANA GONZALEZ LOPEZ / INGENIERIA LTDA</v>
          </cell>
          <cell r="H4860" t="str">
            <v>RECO</v>
          </cell>
          <cell r="I4860" t="str">
            <v>REGIMEN COMUN</v>
          </cell>
          <cell r="J4860" t="str">
            <v>CR 29  45 94  OF 302</v>
          </cell>
          <cell r="K4860" t="str">
            <v>17001</v>
          </cell>
          <cell r="L4860" t="str">
            <v>MANIZALES</v>
          </cell>
          <cell r="M4860" t="str">
            <v>6991978</v>
          </cell>
        </row>
        <row r="4861">
          <cell r="A4861">
            <v>900267567</v>
          </cell>
          <cell r="B4861" t="str">
            <v>5</v>
          </cell>
          <cell r="C4861" t="str">
            <v/>
          </cell>
          <cell r="D4861" t="str">
            <v>NJ</v>
          </cell>
          <cell r="E4861" t="str">
            <v/>
          </cell>
          <cell r="F4861" t="str">
            <v/>
          </cell>
          <cell r="G4861" t="str">
            <v>TECNIBALANCEO LTDA</v>
          </cell>
          <cell r="H4861" t="str">
            <v>RECO</v>
          </cell>
          <cell r="I4861" t="str">
            <v>REGIMEN COMUN</v>
          </cell>
          <cell r="J4861" t="str">
            <v>CR 31 7 96</v>
          </cell>
          <cell r="K4861" t="str">
            <v>11001</v>
          </cell>
          <cell r="L4861" t="str">
            <v>BOGOTA DC</v>
          </cell>
          <cell r="M4861" t="str">
            <v>2374476</v>
          </cell>
        </row>
        <row r="4862">
          <cell r="A4862">
            <v>900268808</v>
          </cell>
          <cell r="B4862" t="str">
            <v>1</v>
          </cell>
          <cell r="C4862" t="str">
            <v/>
          </cell>
          <cell r="D4862" t="str">
            <v>NJ</v>
          </cell>
          <cell r="E4862" t="str">
            <v/>
          </cell>
          <cell r="F4862" t="str">
            <v/>
          </cell>
          <cell r="G4862" t="str">
            <v>INGENIERIA Y LABORATORIO DE SUELOS, CONCRETOS Y PAVIMENTO LTDA</v>
          </cell>
          <cell r="H4862" t="str">
            <v>RECO</v>
          </cell>
          <cell r="I4862" t="str">
            <v>REGIMEN COMUN</v>
          </cell>
          <cell r="J4862" t="str">
            <v>CL 91   95 A   62</v>
          </cell>
          <cell r="K4862" t="str">
            <v>05045</v>
          </cell>
          <cell r="L4862" t="str">
            <v>APARTADÓ</v>
          </cell>
          <cell r="M4862" t="str">
            <v>8283650</v>
          </cell>
        </row>
        <row r="4863">
          <cell r="A4863">
            <v>900268896</v>
          </cell>
          <cell r="B4863" t="str">
            <v>8</v>
          </cell>
          <cell r="C4863" t="str">
            <v/>
          </cell>
          <cell r="D4863" t="str">
            <v>NJ</v>
          </cell>
          <cell r="E4863" t="str">
            <v/>
          </cell>
          <cell r="F4863" t="str">
            <v/>
          </cell>
          <cell r="G4863" t="str">
            <v>AXON GROUP LTDA</v>
          </cell>
          <cell r="H4863" t="str">
            <v>RECO</v>
          </cell>
          <cell r="I4863" t="str">
            <v>REGIMEN COMUN</v>
          </cell>
          <cell r="J4863" t="str">
            <v>CR 16 D 155 A 06</v>
          </cell>
          <cell r="K4863" t="str">
            <v>11001</v>
          </cell>
          <cell r="L4863" t="str">
            <v>BOGOTA DC</v>
          </cell>
          <cell r="M4863" t="str">
            <v>7559900</v>
          </cell>
        </row>
        <row r="4864">
          <cell r="A4864">
            <v>900269840</v>
          </cell>
          <cell r="B4864" t="str">
            <v>0</v>
          </cell>
          <cell r="C4864" t="str">
            <v/>
          </cell>
          <cell r="D4864" t="str">
            <v>NJ</v>
          </cell>
          <cell r="E4864" t="str">
            <v/>
          </cell>
          <cell r="F4864" t="str">
            <v/>
          </cell>
          <cell r="G4864" t="str">
            <v>BBG COLOMBIA SAS</v>
          </cell>
          <cell r="H4864" t="str">
            <v>RCAU</v>
          </cell>
          <cell r="I4864" t="str">
            <v>RESPONSABLE IVA - AUTORETENEDOR</v>
          </cell>
          <cell r="J4864" t="str">
            <v>CR 23 12 B 58</v>
          </cell>
          <cell r="K4864" t="str">
            <v>11001</v>
          </cell>
          <cell r="L4864" t="str">
            <v>BOGOTA DC</v>
          </cell>
          <cell r="M4864" t="str">
            <v>2014166</v>
          </cell>
        </row>
        <row r="4865">
          <cell r="A4865">
            <v>900269874</v>
          </cell>
          <cell r="B4865" t="str">
            <v>0</v>
          </cell>
          <cell r="C4865" t="str">
            <v/>
          </cell>
          <cell r="D4865" t="str">
            <v>NJ</v>
          </cell>
          <cell r="E4865" t="str">
            <v/>
          </cell>
          <cell r="F4865" t="str">
            <v/>
          </cell>
          <cell r="G4865" t="str">
            <v>ASOCIACION JOVENES EMPRENDEDORES DEL GUINIA</v>
          </cell>
          <cell r="H4865" t="str">
            <v>REIC</v>
          </cell>
          <cell r="I4865" t="str">
            <v>RENTA REGIMEN ESPECIAL</v>
          </cell>
          <cell r="J4865" t="str">
            <v>CL 17  N  0  113 BRR COMUNEROS</v>
          </cell>
          <cell r="K4865" t="str">
            <v>94001</v>
          </cell>
          <cell r="L4865" t="str">
            <v>INÍRIDA</v>
          </cell>
          <cell r="M4865" t="str">
            <v>3102413209</v>
          </cell>
        </row>
        <row r="4866">
          <cell r="A4866">
            <v>900270177</v>
          </cell>
          <cell r="B4866" t="str">
            <v>7</v>
          </cell>
          <cell r="C4866" t="str">
            <v/>
          </cell>
          <cell r="D4866" t="str">
            <v>NJ</v>
          </cell>
          <cell r="E4866" t="str">
            <v/>
          </cell>
          <cell r="F4866" t="str">
            <v/>
          </cell>
          <cell r="G4866" t="str">
            <v>CALZADO TERRANO SAS</v>
          </cell>
          <cell r="H4866" t="str">
            <v>IMVE</v>
          </cell>
          <cell r="I4866" t="str">
            <v>IMPUESTO SOBRE LAS VENTAS</v>
          </cell>
          <cell r="J4866" t="str">
            <v>CR 8 A 15 62 ZN INDUSTRIAL LA MACARENA</v>
          </cell>
          <cell r="K4866" t="str">
            <v>66170</v>
          </cell>
          <cell r="L4866" t="str">
            <v>DOSQUEBRADAS</v>
          </cell>
          <cell r="M4866" t="str">
            <v>3117647722</v>
          </cell>
        </row>
        <row r="4867">
          <cell r="A4867">
            <v>900270225</v>
          </cell>
          <cell r="B4867" t="str">
            <v>2</v>
          </cell>
          <cell r="C4867" t="str">
            <v/>
          </cell>
          <cell r="D4867" t="str">
            <v>NJ</v>
          </cell>
          <cell r="E4867" t="str">
            <v/>
          </cell>
          <cell r="F4867" t="str">
            <v/>
          </cell>
          <cell r="G4867" t="str">
            <v xml:space="preserve">FAMEC INGENIERIA S.A.S.                                     </v>
          </cell>
          <cell r="H4867" t="str">
            <v>RECO</v>
          </cell>
          <cell r="I4867" t="str">
            <v>REGIMEN COMUN</v>
          </cell>
          <cell r="J4867" t="str">
            <v xml:space="preserve">CL 10 BIS 67A 69 CALI                </v>
          </cell>
          <cell r="K4867" t="str">
            <v>76001</v>
          </cell>
          <cell r="L4867" t="str">
            <v>CALI</v>
          </cell>
          <cell r="M4867" t="str">
            <v>5241434</v>
          </cell>
        </row>
        <row r="4868">
          <cell r="A4868">
            <v>900270279</v>
          </cell>
          <cell r="B4868" t="str">
            <v>1</v>
          </cell>
          <cell r="C4868" t="str">
            <v/>
          </cell>
          <cell r="D4868" t="str">
            <v>NJ</v>
          </cell>
          <cell r="E4868" t="str">
            <v/>
          </cell>
          <cell r="F4868" t="str">
            <v/>
          </cell>
          <cell r="G4868" t="str">
            <v>E-TECH GROUP SAS</v>
          </cell>
          <cell r="H4868" t="str">
            <v>RECO</v>
          </cell>
          <cell r="I4868" t="str">
            <v>REGIMEN COMUN</v>
          </cell>
          <cell r="J4868" t="str">
            <v xml:space="preserve"> CR 31 B  42 25</v>
          </cell>
          <cell r="K4868" t="str">
            <v>17001</v>
          </cell>
          <cell r="L4868" t="str">
            <v>MANIZALES</v>
          </cell>
          <cell r="M4868" t="str">
            <v>3164447562</v>
          </cell>
        </row>
        <row r="4869">
          <cell r="A4869">
            <v>900271449</v>
          </cell>
          <cell r="B4869" t="str">
            <v>1</v>
          </cell>
          <cell r="C4869" t="str">
            <v/>
          </cell>
          <cell r="D4869" t="str">
            <v>NJ</v>
          </cell>
          <cell r="E4869" t="str">
            <v/>
          </cell>
          <cell r="F4869" t="str">
            <v/>
          </cell>
          <cell r="G4869" t="str">
            <v>CENTRO DE DIAGNÓSTICO AUTOMOTOR CONVERRY S.A.S.</v>
          </cell>
          <cell r="H4869" t="str">
            <v>IMVE</v>
          </cell>
          <cell r="I4869" t="str">
            <v>IMPUESTO SOBRE LAS VENTAS</v>
          </cell>
          <cell r="J4869" t="str">
            <v>CL 64 A 20 A 50</v>
          </cell>
          <cell r="K4869" t="str">
            <v>17001</v>
          </cell>
          <cell r="L4869" t="str">
            <v>MANIZALES</v>
          </cell>
          <cell r="M4869" t="str">
            <v>8811250</v>
          </cell>
        </row>
        <row r="4870">
          <cell r="A4870">
            <v>900271647</v>
          </cell>
          <cell r="B4870" t="str">
            <v>1</v>
          </cell>
          <cell r="C4870" t="str">
            <v/>
          </cell>
          <cell r="D4870" t="str">
            <v>NJ</v>
          </cell>
          <cell r="E4870" t="str">
            <v/>
          </cell>
          <cell r="F4870" t="str">
            <v/>
          </cell>
          <cell r="G4870" t="str">
            <v>FUMIGAR BOYACA S.A.S.</v>
          </cell>
          <cell r="H4870" t="str">
            <v>RECO</v>
          </cell>
          <cell r="I4870" t="str">
            <v>REGIMEN COMUN</v>
          </cell>
          <cell r="J4870" t="str">
            <v>CL 12 17 07 OF 201 20 D</v>
          </cell>
          <cell r="K4870" t="str">
            <v>15759</v>
          </cell>
          <cell r="L4870" t="str">
            <v>SOGAMOSO</v>
          </cell>
          <cell r="M4870" t="str">
            <v>3214386244</v>
          </cell>
        </row>
        <row r="4871">
          <cell r="A4871">
            <v>900272201</v>
          </cell>
          <cell r="B4871" t="str">
            <v>5</v>
          </cell>
          <cell r="C4871" t="str">
            <v/>
          </cell>
          <cell r="D4871" t="str">
            <v>NJ</v>
          </cell>
          <cell r="E4871" t="str">
            <v/>
          </cell>
          <cell r="F4871" t="str">
            <v/>
          </cell>
          <cell r="G4871" t="str">
            <v>ASOCIACION DE ARBITROS DE FUTBOL SALA CALDAS "AAFSACA"</v>
          </cell>
          <cell r="H4871" t="str">
            <v>RERE</v>
          </cell>
          <cell r="I4871" t="str">
            <v>RENTA REGIMEN ESPECIAL NO IVA</v>
          </cell>
          <cell r="J4871" t="str">
            <v>CR 12 27 43</v>
          </cell>
          <cell r="K4871" t="str">
            <v>17001</v>
          </cell>
          <cell r="L4871" t="str">
            <v>MANIZALES</v>
          </cell>
          <cell r="M4871" t="str">
            <v>8838303</v>
          </cell>
        </row>
        <row r="4872">
          <cell r="A4872">
            <v>900272652</v>
          </cell>
          <cell r="B4872" t="str">
            <v>3</v>
          </cell>
          <cell r="C4872" t="str">
            <v/>
          </cell>
          <cell r="D4872" t="str">
            <v>NJ</v>
          </cell>
          <cell r="E4872" t="str">
            <v/>
          </cell>
          <cell r="F4872" t="str">
            <v/>
          </cell>
          <cell r="G4872" t="str">
            <v>IME INGENIERIA &amp; MONTAJES ELECTRONICOS SAS</v>
          </cell>
          <cell r="H4872" t="str">
            <v>RECO</v>
          </cell>
          <cell r="I4872" t="str">
            <v>REGIMEN COMUN</v>
          </cell>
          <cell r="J4872" t="str">
            <v>CL 104 48 09</v>
          </cell>
          <cell r="K4872" t="str">
            <v>11001</v>
          </cell>
          <cell r="L4872" t="str">
            <v>BOGOTA DC</v>
          </cell>
          <cell r="M4872" t="str">
            <v>7435966</v>
          </cell>
        </row>
        <row r="4873">
          <cell r="A4873">
            <v>900273467</v>
          </cell>
          <cell r="B4873" t="str">
            <v>1</v>
          </cell>
          <cell r="C4873" t="str">
            <v/>
          </cell>
          <cell r="D4873" t="str">
            <v>NJ</v>
          </cell>
          <cell r="E4873" t="str">
            <v/>
          </cell>
          <cell r="F4873" t="str">
            <v/>
          </cell>
          <cell r="G4873" t="str">
            <v>SOLUCIONES AMBIENTALES - INGENIERIA &amp; LABORATORIO AMBIENTAL SAS</v>
          </cell>
          <cell r="H4873" t="str">
            <v>IMVE</v>
          </cell>
          <cell r="I4873" t="str">
            <v>IMPUESTO SOBRE LAS VENTAS</v>
          </cell>
          <cell r="J4873" t="str">
            <v>CR 23 A 37 129 BRR VILLA DE SAN JUAN</v>
          </cell>
          <cell r="K4873" t="str">
            <v>85001</v>
          </cell>
          <cell r="L4873" t="str">
            <v>YOPAL</v>
          </cell>
          <cell r="M4873" t="str">
            <v>3112040019</v>
          </cell>
        </row>
        <row r="4874">
          <cell r="A4874">
            <v>900273686</v>
          </cell>
          <cell r="B4874" t="str">
            <v>8</v>
          </cell>
          <cell r="C4874" t="str">
            <v/>
          </cell>
          <cell r="D4874" t="str">
            <v>NJ</v>
          </cell>
          <cell r="E4874" t="str">
            <v/>
          </cell>
          <cell r="F4874" t="str">
            <v/>
          </cell>
          <cell r="G4874" t="str">
            <v>COMERCIALIZADORA MERCALDAS S.A</v>
          </cell>
          <cell r="H4874" t="str">
            <v>GRAU</v>
          </cell>
          <cell r="I4874" t="str">
            <v>GRAN CONTRIBUYENTE AUTORRETENEDO</v>
          </cell>
          <cell r="J4874" t="str">
            <v>CR 22  17 11</v>
          </cell>
          <cell r="K4874" t="str">
            <v>17001</v>
          </cell>
          <cell r="L4874" t="str">
            <v>MANIZALES</v>
          </cell>
          <cell r="M4874" t="str">
            <v>3146312165</v>
          </cell>
        </row>
        <row r="4875">
          <cell r="A4875">
            <v>900273896</v>
          </cell>
          <cell r="B4875" t="str">
            <v>8</v>
          </cell>
          <cell r="C4875" t="str">
            <v/>
          </cell>
          <cell r="D4875" t="str">
            <v>NJ</v>
          </cell>
          <cell r="E4875" t="str">
            <v/>
          </cell>
          <cell r="F4875" t="str">
            <v/>
          </cell>
          <cell r="G4875" t="str">
            <v>INVERSIONES PUIN SAS</v>
          </cell>
          <cell r="H4875" t="str">
            <v>RECO</v>
          </cell>
          <cell r="I4875" t="str">
            <v>REGIMEN COMUN</v>
          </cell>
          <cell r="J4875" t="str">
            <v>CR 33 25 A 04  BRR GRAN AMERICA</v>
          </cell>
          <cell r="K4875" t="str">
            <v>17001</v>
          </cell>
          <cell r="L4875" t="str">
            <v>MANIZALES</v>
          </cell>
          <cell r="M4875" t="str">
            <v>2680235</v>
          </cell>
        </row>
        <row r="4876">
          <cell r="A4876">
            <v>900276463</v>
          </cell>
          <cell r="B4876" t="str">
            <v>6</v>
          </cell>
          <cell r="C4876" t="str">
            <v/>
          </cell>
          <cell r="D4876" t="str">
            <v>NJ</v>
          </cell>
          <cell r="E4876" t="str">
            <v/>
          </cell>
          <cell r="F4876" t="str">
            <v/>
          </cell>
          <cell r="G4876" t="str">
            <v>HOTELES INNOVA SAS</v>
          </cell>
          <cell r="H4876" t="str">
            <v>RECO</v>
          </cell>
          <cell r="I4876" t="str">
            <v>REGIMEN COMUN</v>
          </cell>
          <cell r="J4876" t="str">
            <v>CALLE 68 nO 15-48</v>
          </cell>
          <cell r="K4876" t="str">
            <v>17001</v>
          </cell>
          <cell r="L4876" t="str">
            <v>MANIZALES</v>
          </cell>
          <cell r="M4876" t="str">
            <v>7440909</v>
          </cell>
        </row>
        <row r="4877">
          <cell r="A4877">
            <v>900276572</v>
          </cell>
          <cell r="B4877" t="str">
            <v>0</v>
          </cell>
          <cell r="C4877" t="str">
            <v/>
          </cell>
          <cell r="D4877" t="str">
            <v>NJ</v>
          </cell>
          <cell r="E4877" t="str">
            <v/>
          </cell>
          <cell r="F4877" t="str">
            <v/>
          </cell>
          <cell r="G4877" t="str">
            <v>MCB SOLUCIONES INDUSTRIALES S.A.S</v>
          </cell>
          <cell r="H4877" t="str">
            <v>RECO</v>
          </cell>
          <cell r="I4877" t="str">
            <v>REGIMEN COMUN</v>
          </cell>
          <cell r="J4877" t="str">
            <v>VDA CHAMEZA MAYOR SECTOR LA BOMBA</v>
          </cell>
          <cell r="K4877" t="str">
            <v>15491</v>
          </cell>
          <cell r="L4877" t="str">
            <v>NOBSA</v>
          </cell>
          <cell r="M4877" t="str">
            <v>3125900476</v>
          </cell>
        </row>
        <row r="4878">
          <cell r="A4878">
            <v>900276962</v>
          </cell>
          <cell r="B4878" t="str">
            <v>1</v>
          </cell>
          <cell r="C4878" t="str">
            <v/>
          </cell>
          <cell r="D4878" t="str">
            <v>NJ</v>
          </cell>
          <cell r="E4878" t="str">
            <v/>
          </cell>
          <cell r="F4878" t="str">
            <v/>
          </cell>
          <cell r="G4878" t="str">
            <v>KOBA COLOMBIA S.A.S</v>
          </cell>
          <cell r="H4878" t="str">
            <v>GRCO</v>
          </cell>
          <cell r="I4878" t="str">
            <v>GRAN CONTRIBUYENTE</v>
          </cell>
          <cell r="J4878" t="str">
            <v>AV CANAVITA PARQUE INDUSTRIAL</v>
          </cell>
          <cell r="K4878" t="str">
            <v>17001</v>
          </cell>
          <cell r="L4878" t="str">
            <v>MANIZALES</v>
          </cell>
          <cell r="M4878" t="str">
            <v>2541050</v>
          </cell>
        </row>
        <row r="4879">
          <cell r="A4879">
            <v>900277215</v>
          </cell>
          <cell r="B4879" t="str">
            <v>0</v>
          </cell>
          <cell r="C4879" t="str">
            <v/>
          </cell>
          <cell r="D4879" t="str">
            <v>NJ</v>
          </cell>
          <cell r="E4879" t="str">
            <v/>
          </cell>
          <cell r="F4879" t="str">
            <v/>
          </cell>
          <cell r="G4879" t="str">
            <v>HOTELES DE UPAR SOCIEDAD POR ACCIONES SIMPLIFICADA S.A.S</v>
          </cell>
          <cell r="H4879" t="str">
            <v>RECO</v>
          </cell>
          <cell r="I4879" t="str">
            <v>REGIMEN COMUN</v>
          </cell>
          <cell r="J4879" t="str">
            <v>DG 10 6   15 BRR VILLALBA</v>
          </cell>
          <cell r="K4879" t="str">
            <v>20001</v>
          </cell>
          <cell r="L4879" t="str">
            <v>VALLEDUPAR</v>
          </cell>
          <cell r="M4879" t="str">
            <v>5748686</v>
          </cell>
        </row>
        <row r="4880">
          <cell r="A4880">
            <v>900277763</v>
          </cell>
          <cell r="B4880" t="str">
            <v>5</v>
          </cell>
          <cell r="C4880" t="str">
            <v/>
          </cell>
          <cell r="D4880" t="str">
            <v>NJ</v>
          </cell>
          <cell r="E4880" t="str">
            <v/>
          </cell>
          <cell r="F4880" t="str">
            <v/>
          </cell>
          <cell r="G4880" t="str">
            <v>TMT &amp; CIA. S.A.S.</v>
          </cell>
          <cell r="H4880" t="str">
            <v>RECO</v>
          </cell>
          <cell r="I4880" t="str">
            <v>REGIMEN COMUN</v>
          </cell>
          <cell r="J4880" t="str">
            <v>CC CABLE PLAZA LC 122 A</v>
          </cell>
          <cell r="K4880" t="str">
            <v>17001</v>
          </cell>
          <cell r="L4880" t="str">
            <v>MANIZALES</v>
          </cell>
          <cell r="M4880" t="str">
            <v>8756560</v>
          </cell>
        </row>
        <row r="4881">
          <cell r="A4881">
            <v>900280041</v>
          </cell>
          <cell r="B4881" t="str">
            <v>7</v>
          </cell>
          <cell r="C4881" t="str">
            <v/>
          </cell>
          <cell r="D4881" t="str">
            <v>NJ</v>
          </cell>
          <cell r="E4881" t="str">
            <v/>
          </cell>
          <cell r="F4881" t="str">
            <v/>
          </cell>
          <cell r="G4881" t="str">
            <v>CARBONERAS CALIFORNIA  DOS S.A</v>
          </cell>
          <cell r="H4881" t="str">
            <v>RECO</v>
          </cell>
          <cell r="I4881" t="str">
            <v>REGIMEN COMUN</v>
          </cell>
          <cell r="J4881" t="str">
            <v>CR 10  15 77</v>
          </cell>
          <cell r="K4881" t="str">
            <v>15759</v>
          </cell>
          <cell r="L4881" t="str">
            <v>SOGAMOSO</v>
          </cell>
          <cell r="M4881" t="str">
            <v>7702168</v>
          </cell>
        </row>
        <row r="4882">
          <cell r="A4882">
            <v>900280206</v>
          </cell>
          <cell r="B4882" t="str">
            <v>5</v>
          </cell>
          <cell r="C4882" t="str">
            <v/>
          </cell>
          <cell r="D4882" t="str">
            <v>NJ</v>
          </cell>
          <cell r="E4882" t="str">
            <v/>
          </cell>
          <cell r="F4882" t="str">
            <v/>
          </cell>
          <cell r="G4882" t="str">
            <v>FUNDACIÓN PARA LA GESTIÓN DE LA SALUD COLOMBIANA</v>
          </cell>
          <cell r="H4882" t="str">
            <v>IMVE</v>
          </cell>
          <cell r="I4882" t="str">
            <v>IMPUESTO SOBRE LAS VENTAS</v>
          </cell>
          <cell r="J4882" t="str">
            <v>CL 39 43 123 P 4 OF C</v>
          </cell>
          <cell r="K4882" t="str">
            <v>02</v>
          </cell>
          <cell r="L4882" t="str">
            <v>BARRANQUILLA</v>
          </cell>
          <cell r="M4882" t="str">
            <v>3517983</v>
          </cell>
        </row>
        <row r="4883">
          <cell r="A4883">
            <v>900280890</v>
          </cell>
          <cell r="B4883" t="str">
            <v>3</v>
          </cell>
          <cell r="C4883" t="str">
            <v/>
          </cell>
          <cell r="D4883" t="str">
            <v>NJ</v>
          </cell>
          <cell r="E4883" t="str">
            <v/>
          </cell>
          <cell r="F4883" t="str">
            <v/>
          </cell>
          <cell r="G4883" t="str">
            <v>EMOTION COLLECTIVE DESIGN S.A</v>
          </cell>
          <cell r="H4883" t="str">
            <v>RECO</v>
          </cell>
          <cell r="I4883" t="str">
            <v>REGIMEN COMUN</v>
          </cell>
          <cell r="J4883" t="str">
            <v>CR 24 26 55</v>
          </cell>
          <cell r="K4883" t="str">
            <v>17001</v>
          </cell>
          <cell r="L4883" t="str">
            <v>MANIZALES</v>
          </cell>
          <cell r="M4883" t="str">
            <v>8900344</v>
          </cell>
        </row>
        <row r="4884">
          <cell r="A4884">
            <v>900281187</v>
          </cell>
          <cell r="B4884" t="str">
            <v>8</v>
          </cell>
          <cell r="C4884" t="str">
            <v/>
          </cell>
          <cell r="D4884" t="str">
            <v>NJ</v>
          </cell>
          <cell r="E4884" t="str">
            <v/>
          </cell>
          <cell r="F4884" t="str">
            <v/>
          </cell>
          <cell r="G4884" t="str">
            <v>PROSOLPA SAS</v>
          </cell>
          <cell r="H4884" t="str">
            <v>RECO</v>
          </cell>
          <cell r="I4884" t="str">
            <v>REGIMEN COMUN</v>
          </cell>
          <cell r="J4884" t="str">
            <v>CL 25 21 18 OF 601</v>
          </cell>
          <cell r="K4884" t="str">
            <v>15516</v>
          </cell>
          <cell r="L4884" t="str">
            <v>PAIPA</v>
          </cell>
          <cell r="M4884" t="str">
            <v>7851280</v>
          </cell>
        </row>
        <row r="4885">
          <cell r="A4885">
            <v>900281689</v>
          </cell>
          <cell r="B4885" t="str">
            <v>3</v>
          </cell>
          <cell r="C4885" t="str">
            <v/>
          </cell>
          <cell r="D4885" t="str">
            <v>NJ</v>
          </cell>
          <cell r="E4885" t="str">
            <v/>
          </cell>
          <cell r="F4885" t="str">
            <v/>
          </cell>
          <cell r="G4885" t="str">
            <v>NBA ASESORES SA</v>
          </cell>
          <cell r="H4885" t="str">
            <v>RECO</v>
          </cell>
          <cell r="I4885" t="str">
            <v>REGIMEN COMUN</v>
          </cell>
          <cell r="J4885" t="str">
            <v>CL 57  24 A  39</v>
          </cell>
          <cell r="K4885" t="str">
            <v>17001</v>
          </cell>
          <cell r="L4885" t="str">
            <v>MANIZALES</v>
          </cell>
          <cell r="M4885" t="str">
            <v>3206985540</v>
          </cell>
        </row>
        <row r="4886">
          <cell r="A4886">
            <v>900281740</v>
          </cell>
          <cell r="B4886" t="str">
            <v>1</v>
          </cell>
          <cell r="C4886" t="str">
            <v/>
          </cell>
          <cell r="D4886" t="str">
            <v>NJ</v>
          </cell>
          <cell r="E4886" t="str">
            <v/>
          </cell>
          <cell r="F4886" t="str">
            <v/>
          </cell>
          <cell r="G4886" t="str">
            <v>JD SUMINISTROS MEDICOS - IPS (INSTITUCION PRESTADORA DE SERVICIO</v>
          </cell>
          <cell r="H4886" t="str">
            <v>REOR</v>
          </cell>
          <cell r="I4886" t="str">
            <v>RENTA REGIMEN ORDINARIO</v>
          </cell>
          <cell r="J4886" t="str">
            <v>TV 27 53 B 47 AP 504</v>
          </cell>
          <cell r="K4886" t="str">
            <v>11001</v>
          </cell>
          <cell r="L4886" t="str">
            <v>BOGOTA DC</v>
          </cell>
          <cell r="M4886" t="str">
            <v>2793574</v>
          </cell>
        </row>
        <row r="4887">
          <cell r="A4887">
            <v>900284572</v>
          </cell>
          <cell r="B4887" t="str">
            <v>4</v>
          </cell>
          <cell r="C4887" t="str">
            <v/>
          </cell>
          <cell r="D4887" t="str">
            <v>NJ</v>
          </cell>
          <cell r="E4887" t="str">
            <v/>
          </cell>
          <cell r="F4887" t="str">
            <v/>
          </cell>
          <cell r="G4887" t="str">
            <v>TEST &amp; ENGINEERING SERVICE SAS</v>
          </cell>
          <cell r="H4887" t="str">
            <v>RECO</v>
          </cell>
          <cell r="I4887" t="str">
            <v>REGIMEN COMUN</v>
          </cell>
          <cell r="J4887" t="str">
            <v>CR 73   75 A 89</v>
          </cell>
          <cell r="K4887" t="str">
            <v>11001</v>
          </cell>
          <cell r="L4887" t="str">
            <v>BOGOTA DC</v>
          </cell>
          <cell r="M4887" t="str">
            <v>5405571</v>
          </cell>
        </row>
        <row r="4888">
          <cell r="A4888">
            <v>900285582</v>
          </cell>
          <cell r="B4888" t="str">
            <v>2</v>
          </cell>
          <cell r="C4888" t="str">
            <v/>
          </cell>
          <cell r="D4888" t="str">
            <v>NJ</v>
          </cell>
          <cell r="E4888" t="str">
            <v/>
          </cell>
          <cell r="F4888" t="str">
            <v/>
          </cell>
          <cell r="G4888" t="str">
            <v>LA MAMONA S.A.S</v>
          </cell>
          <cell r="H4888" t="str">
            <v>RECO</v>
          </cell>
          <cell r="I4888" t="str">
            <v>REGIMEN COMUN</v>
          </cell>
          <cell r="J4888" t="str">
            <v>CL 11   18   44</v>
          </cell>
          <cell r="K4888" t="str">
            <v>85001</v>
          </cell>
          <cell r="L4888" t="str">
            <v>YOPAL</v>
          </cell>
          <cell r="M4888" t="str">
            <v>3142513510</v>
          </cell>
        </row>
        <row r="4889">
          <cell r="A4889">
            <v>900292143</v>
          </cell>
          <cell r="B4889" t="str">
            <v>1</v>
          </cell>
          <cell r="C4889" t="str">
            <v/>
          </cell>
          <cell r="D4889" t="str">
            <v>NJ</v>
          </cell>
          <cell r="E4889" t="str">
            <v/>
          </cell>
          <cell r="F4889" t="str">
            <v/>
          </cell>
          <cell r="G4889" t="str">
            <v>UNIR DESTINOS VIAJES Y TURISMO UNITOUR D S A S</v>
          </cell>
          <cell r="H4889" t="str">
            <v>RECO</v>
          </cell>
          <cell r="I4889" t="str">
            <v>REGIMEN COMUN</v>
          </cell>
          <cell r="J4889" t="str">
            <v>CR 22 7 39 LC 2 BRR CENTRO</v>
          </cell>
          <cell r="K4889" t="str">
            <v>85001</v>
          </cell>
          <cell r="L4889" t="str">
            <v>YOPAL</v>
          </cell>
          <cell r="M4889" t="str">
            <v>6347694</v>
          </cell>
        </row>
        <row r="4890">
          <cell r="A4890">
            <v>900292291</v>
          </cell>
          <cell r="B4890" t="str">
            <v>3</v>
          </cell>
          <cell r="C4890" t="str">
            <v/>
          </cell>
          <cell r="D4890" t="str">
            <v>NJ</v>
          </cell>
          <cell r="E4890" t="str">
            <v/>
          </cell>
          <cell r="F4890" t="str">
            <v/>
          </cell>
          <cell r="G4890" t="str">
            <v>NEOGLOBAL S.A.S</v>
          </cell>
          <cell r="H4890" t="str">
            <v>RECO</v>
          </cell>
          <cell r="I4890" t="str">
            <v>REGIMEN COMUN</v>
          </cell>
          <cell r="J4890" t="str">
            <v>CR 19 57 18</v>
          </cell>
          <cell r="K4890" t="str">
            <v>11001</v>
          </cell>
          <cell r="L4890" t="str">
            <v>BOGOTA DC</v>
          </cell>
          <cell r="M4890" t="str">
            <v>7581537</v>
          </cell>
        </row>
        <row r="4891">
          <cell r="A4891">
            <v>900293052</v>
          </cell>
          <cell r="B4891" t="str">
            <v>4</v>
          </cell>
          <cell r="C4891" t="str">
            <v/>
          </cell>
          <cell r="D4891" t="str">
            <v>NJ</v>
          </cell>
          <cell r="E4891" t="str">
            <v/>
          </cell>
          <cell r="F4891" t="str">
            <v/>
          </cell>
          <cell r="G4891" t="str">
            <v>INVERSIONES QUINTERO AVELLA LTDA</v>
          </cell>
          <cell r="H4891" t="str">
            <v>RECO</v>
          </cell>
          <cell r="I4891" t="str">
            <v>REGIMEN COMUN</v>
          </cell>
          <cell r="J4891" t="str">
            <v>CR 16   10   49</v>
          </cell>
          <cell r="K4891" t="str">
            <v>85010</v>
          </cell>
          <cell r="L4891" t="str">
            <v>AGUAZUL</v>
          </cell>
          <cell r="M4891" t="str">
            <v>3214918913</v>
          </cell>
        </row>
        <row r="4892">
          <cell r="A4892">
            <v>900293707</v>
          </cell>
          <cell r="B4892" t="str">
            <v>1</v>
          </cell>
          <cell r="C4892" t="str">
            <v/>
          </cell>
          <cell r="D4892" t="str">
            <v>NJ</v>
          </cell>
          <cell r="E4892" t="str">
            <v/>
          </cell>
          <cell r="F4892" t="str">
            <v/>
          </cell>
          <cell r="G4892" t="str">
            <v>INVERSIONES Y REPRESENTACIONES DINAMIX LTDA</v>
          </cell>
          <cell r="H4892" t="str">
            <v>RECO</v>
          </cell>
          <cell r="I4892" t="str">
            <v>REGIMEN COMUN</v>
          </cell>
          <cell r="J4892" t="str">
            <v>CR 54  84  35</v>
          </cell>
          <cell r="K4892" t="str">
            <v>05360</v>
          </cell>
          <cell r="L4892" t="str">
            <v>ITAGUI</v>
          </cell>
          <cell r="M4892" t="str">
            <v>3118092464</v>
          </cell>
        </row>
        <row r="4893">
          <cell r="A4893">
            <v>900294335</v>
          </cell>
          <cell r="B4893" t="str">
            <v>8</v>
          </cell>
          <cell r="C4893" t="str">
            <v/>
          </cell>
          <cell r="D4893" t="str">
            <v>NJ</v>
          </cell>
          <cell r="E4893" t="str">
            <v/>
          </cell>
          <cell r="F4893" t="str">
            <v/>
          </cell>
          <cell r="G4893" t="str">
            <v>SENTRONIC S.A.S</v>
          </cell>
          <cell r="H4893" t="str">
            <v>IMVE</v>
          </cell>
          <cell r="I4893" t="str">
            <v>IMPUESTO SOBRE LAS VENTAS</v>
          </cell>
          <cell r="J4893" t="str">
            <v>CL 112 70 B 18</v>
          </cell>
          <cell r="K4893" t="str">
            <v>11001</v>
          </cell>
          <cell r="L4893" t="str">
            <v>BOGOTA DC</v>
          </cell>
          <cell r="M4893" t="str">
            <v>5334323</v>
          </cell>
        </row>
        <row r="4894">
          <cell r="A4894">
            <v>900294484</v>
          </cell>
          <cell r="B4894" t="str">
            <v>7</v>
          </cell>
          <cell r="C4894" t="str">
            <v/>
          </cell>
          <cell r="D4894" t="str">
            <v>NJ</v>
          </cell>
          <cell r="E4894" t="str">
            <v/>
          </cell>
          <cell r="F4894" t="str">
            <v/>
          </cell>
          <cell r="G4894" t="str">
            <v>BES SOLUCIONES DE INGENIERIA SAS</v>
          </cell>
          <cell r="H4894" t="str">
            <v>RECO</v>
          </cell>
          <cell r="I4894" t="str">
            <v>REGIMEN COMUN</v>
          </cell>
          <cell r="J4894" t="str">
            <v>CL 69 23 B 36 OF 402</v>
          </cell>
          <cell r="K4894" t="str">
            <v>17001</v>
          </cell>
          <cell r="L4894" t="str">
            <v>MANIZALES</v>
          </cell>
          <cell r="M4894" t="str">
            <v>8903999</v>
          </cell>
        </row>
        <row r="4895">
          <cell r="A4895">
            <v>900295201</v>
          </cell>
          <cell r="B4895" t="str">
            <v>4</v>
          </cell>
          <cell r="C4895" t="str">
            <v/>
          </cell>
          <cell r="D4895" t="str">
            <v>NJ</v>
          </cell>
          <cell r="E4895" t="str">
            <v/>
          </cell>
          <cell r="F4895" t="str">
            <v/>
          </cell>
          <cell r="G4895" t="str">
            <v>FENIX IMPRESION DIGITAL SAS</v>
          </cell>
          <cell r="H4895" t="str">
            <v>RECO</v>
          </cell>
          <cell r="I4895" t="str">
            <v>REGIMEN COMUN</v>
          </cell>
          <cell r="J4895" t="str">
            <v xml:space="preserve"> AV  CENTRO 15 46</v>
          </cell>
          <cell r="K4895" t="str">
            <v>17001</v>
          </cell>
          <cell r="L4895" t="str">
            <v>MANIZALES</v>
          </cell>
          <cell r="M4895" t="str">
            <v>8731373</v>
          </cell>
        </row>
        <row r="4896">
          <cell r="A4896">
            <v>900295736</v>
          </cell>
          <cell r="B4896" t="str">
            <v>2</v>
          </cell>
          <cell r="C4896" t="str">
            <v/>
          </cell>
          <cell r="D4896" t="str">
            <v>NJ</v>
          </cell>
          <cell r="E4896" t="str">
            <v/>
          </cell>
          <cell r="F4896" t="str">
            <v/>
          </cell>
          <cell r="G4896" t="str">
            <v>F &amp; C CONSULTORES SAS</v>
          </cell>
          <cell r="H4896" t="str">
            <v>IMVE</v>
          </cell>
          <cell r="I4896" t="str">
            <v>IMPUESTO SOBRE LAS VENTAS</v>
          </cell>
          <cell r="J4896" t="str">
            <v xml:space="preserve"> CR  46 22 B 20 OF 602</v>
          </cell>
          <cell r="K4896" t="str">
            <v>11001</v>
          </cell>
          <cell r="L4896" t="str">
            <v>BOGOTA DC</v>
          </cell>
          <cell r="M4896" t="str">
            <v>3211800</v>
          </cell>
        </row>
        <row r="4897">
          <cell r="A4897">
            <v>900296172</v>
          </cell>
          <cell r="B4897" t="str">
            <v>3</v>
          </cell>
          <cell r="C4897" t="str">
            <v/>
          </cell>
          <cell r="D4897" t="str">
            <v>NJ</v>
          </cell>
          <cell r="E4897" t="str">
            <v/>
          </cell>
          <cell r="F4897" t="str">
            <v/>
          </cell>
          <cell r="G4897" t="str">
            <v>ACCIONA S.A.S</v>
          </cell>
          <cell r="H4897" t="str">
            <v>REOR</v>
          </cell>
          <cell r="I4897" t="str">
            <v>RENTA REGIMEN ORDINARIO</v>
          </cell>
          <cell r="J4897" t="str">
            <v>CR 100 5 169 CC UNICENTRO OASIS OF 607 B</v>
          </cell>
          <cell r="K4897" t="str">
            <v>76001</v>
          </cell>
          <cell r="L4897" t="str">
            <v>CALI</v>
          </cell>
          <cell r="M4897" t="str">
            <v>3120808</v>
          </cell>
        </row>
        <row r="4898">
          <cell r="A4898">
            <v>900297528</v>
          </cell>
          <cell r="B4898" t="str">
            <v>6</v>
          </cell>
          <cell r="C4898" t="str">
            <v/>
          </cell>
          <cell r="D4898" t="str">
            <v>NJ</v>
          </cell>
          <cell r="E4898" t="str">
            <v/>
          </cell>
          <cell r="F4898" t="str">
            <v/>
          </cell>
          <cell r="G4898" t="str">
            <v>AGENCIA DE VIAJES NORTE Y SUR SAS</v>
          </cell>
          <cell r="H4898" t="str">
            <v>RECO</v>
          </cell>
          <cell r="I4898" t="str">
            <v>REGIMEN COMUN</v>
          </cell>
          <cell r="J4898" t="str">
            <v>CR 23 74 55</v>
          </cell>
          <cell r="K4898" t="str">
            <v>17001</v>
          </cell>
          <cell r="L4898" t="str">
            <v>MANIZALES</v>
          </cell>
          <cell r="M4898" t="str">
            <v>3122968129</v>
          </cell>
        </row>
        <row r="4899">
          <cell r="A4899">
            <v>900297772</v>
          </cell>
          <cell r="B4899" t="str">
            <v>7</v>
          </cell>
          <cell r="C4899" t="str">
            <v/>
          </cell>
          <cell r="D4899" t="str">
            <v>NJ</v>
          </cell>
          <cell r="E4899" t="str">
            <v/>
          </cell>
          <cell r="F4899" t="str">
            <v/>
          </cell>
          <cell r="G4899" t="str">
            <v>INVERSIONES TECNOLOGICAS DE AMERICA SA</v>
          </cell>
          <cell r="H4899" t="str">
            <v>IMVE</v>
          </cell>
          <cell r="I4899" t="str">
            <v>IMPUESTO SOBRE LAS VENTAS</v>
          </cell>
          <cell r="J4899" t="str">
            <v>CL 93 12 14 OF 704</v>
          </cell>
          <cell r="K4899" t="str">
            <v>11001</v>
          </cell>
          <cell r="L4899" t="str">
            <v>BOGOTA DC</v>
          </cell>
          <cell r="M4899" t="str">
            <v>3004140</v>
          </cell>
        </row>
        <row r="4900">
          <cell r="A4900">
            <v>900297857</v>
          </cell>
          <cell r="B4900" t="str">
            <v>4</v>
          </cell>
          <cell r="C4900" t="str">
            <v/>
          </cell>
          <cell r="D4900" t="str">
            <v>NJ</v>
          </cell>
          <cell r="E4900" t="str">
            <v/>
          </cell>
          <cell r="F4900" t="str">
            <v/>
          </cell>
          <cell r="G4900" t="str">
            <v>SERVICARIBE EXPRESS S.A.</v>
          </cell>
          <cell r="H4900" t="str">
            <v>IMVE</v>
          </cell>
          <cell r="I4900" t="str">
            <v>IMPUESTO SOBRE LAS VENTAS</v>
          </cell>
          <cell r="J4900" t="str">
            <v>AV EL DORADO 1 I N 187</v>
          </cell>
          <cell r="K4900" t="str">
            <v>11001</v>
          </cell>
          <cell r="L4900" t="str">
            <v>BOGOTA DC</v>
          </cell>
          <cell r="M4900" t="str">
            <v>4138211</v>
          </cell>
        </row>
        <row r="4901">
          <cell r="A4901">
            <v>900298527</v>
          </cell>
          <cell r="B4901" t="str">
            <v>3</v>
          </cell>
          <cell r="C4901" t="str">
            <v/>
          </cell>
          <cell r="D4901" t="str">
            <v>NJ</v>
          </cell>
          <cell r="E4901" t="str">
            <v/>
          </cell>
          <cell r="F4901" t="str">
            <v/>
          </cell>
          <cell r="G4901" t="str">
            <v>CORPORACIÓN EMA</v>
          </cell>
          <cell r="H4901" t="str">
            <v>IMVE</v>
          </cell>
          <cell r="I4901" t="str">
            <v>IMPUESTO SOBRE LAS VENTAS</v>
          </cell>
          <cell r="J4901" t="str">
            <v xml:space="preserve"> CR 24  36 63 OF 203</v>
          </cell>
          <cell r="K4901" t="str">
            <v>11001</v>
          </cell>
          <cell r="L4901" t="str">
            <v>BOGOTA DC</v>
          </cell>
          <cell r="M4901" t="str">
            <v>3682827</v>
          </cell>
        </row>
        <row r="4902">
          <cell r="A4902">
            <v>900298807</v>
          </cell>
          <cell r="B4902" t="str">
            <v>0</v>
          </cell>
          <cell r="C4902" t="str">
            <v/>
          </cell>
          <cell r="D4902" t="str">
            <v>NJ</v>
          </cell>
          <cell r="E4902" t="str">
            <v/>
          </cell>
          <cell r="F4902" t="str">
            <v/>
          </cell>
          <cell r="G4902" t="str">
            <v>FONDO DE INVERSION COLECTIVA RENTALIQUIDA</v>
          </cell>
          <cell r="H4902" t="str">
            <v>GRAU</v>
          </cell>
          <cell r="I4902" t="str">
            <v>GRAN CONTRIBUYENTE AUTORRETENEDO</v>
          </cell>
          <cell r="J4902" t="str">
            <v>AV EL DORADO 68 B 85 P 2</v>
          </cell>
          <cell r="K4902" t="str">
            <v>11001</v>
          </cell>
          <cell r="L4902" t="str">
            <v>BOGOTA DC</v>
          </cell>
          <cell r="M4902" t="str">
            <v>3300000</v>
          </cell>
        </row>
        <row r="4903">
          <cell r="A4903">
            <v>900298831</v>
          </cell>
          <cell r="B4903" t="str">
            <v>8</v>
          </cell>
          <cell r="C4903" t="str">
            <v/>
          </cell>
          <cell r="D4903" t="str">
            <v>NJ</v>
          </cell>
          <cell r="E4903" t="str">
            <v/>
          </cell>
          <cell r="F4903" t="str">
            <v/>
          </cell>
          <cell r="G4903" t="str">
            <v>FABRICA DE TORNILLOS TUERCAS Y PERNOS MANTORNILLOS S.A.S</v>
          </cell>
          <cell r="H4903" t="str">
            <v>RECO</v>
          </cell>
          <cell r="I4903" t="str">
            <v>REGIMEN COMUN</v>
          </cell>
          <cell r="J4903" t="str">
            <v>CL 18 28 21</v>
          </cell>
          <cell r="K4903" t="str">
            <v>11001</v>
          </cell>
          <cell r="L4903" t="str">
            <v>BOGOTA DC</v>
          </cell>
          <cell r="M4903" t="str">
            <v>2020944</v>
          </cell>
        </row>
        <row r="4904">
          <cell r="A4904">
            <v>900299795</v>
          </cell>
          <cell r="B4904" t="str">
            <v>5</v>
          </cell>
          <cell r="C4904" t="str">
            <v/>
          </cell>
          <cell r="D4904" t="str">
            <v>NJ</v>
          </cell>
          <cell r="E4904" t="str">
            <v/>
          </cell>
          <cell r="F4904" t="str">
            <v/>
          </cell>
          <cell r="G4904" t="str">
            <v>CICAFER LTDA</v>
          </cell>
          <cell r="H4904" t="str">
            <v>RECO</v>
          </cell>
          <cell r="I4904" t="str">
            <v>REGIMEN COMUN</v>
          </cell>
          <cell r="J4904" t="str">
            <v>CR 26 N 12 A 18</v>
          </cell>
          <cell r="K4904" t="str">
            <v>11001</v>
          </cell>
          <cell r="L4904" t="str">
            <v>BOGOTA DC</v>
          </cell>
          <cell r="M4904" t="str">
            <v>3753993</v>
          </cell>
        </row>
        <row r="4905">
          <cell r="A4905">
            <v>900299841</v>
          </cell>
          <cell r="B4905" t="str">
            <v>6</v>
          </cell>
          <cell r="C4905" t="str">
            <v/>
          </cell>
          <cell r="D4905" t="str">
            <v>NJ</v>
          </cell>
          <cell r="E4905" t="str">
            <v/>
          </cell>
          <cell r="F4905" t="str">
            <v/>
          </cell>
          <cell r="G4905" t="str">
            <v>GLOBAL INSTRUMENTS APPLIANCE SCIENCE SOCIEDAD POR ACCIONES SIMPL</v>
          </cell>
          <cell r="H4905" t="str">
            <v>IMVE</v>
          </cell>
          <cell r="I4905" t="str">
            <v>IMPUESTO SOBRE LAS VENTAS</v>
          </cell>
          <cell r="J4905" t="str">
            <v>CR 9A # 3 A-18 SUR</v>
          </cell>
          <cell r="K4905" t="str">
            <v>11001</v>
          </cell>
          <cell r="L4905" t="str">
            <v>BOGOTA DC</v>
          </cell>
          <cell r="M4905" t="str">
            <v>3005535244</v>
          </cell>
        </row>
        <row r="4906">
          <cell r="A4906">
            <v>900299947</v>
          </cell>
          <cell r="B4906" t="str">
            <v>8</v>
          </cell>
          <cell r="C4906" t="str">
            <v/>
          </cell>
          <cell r="D4906" t="str">
            <v>NJ</v>
          </cell>
          <cell r="E4906" t="str">
            <v/>
          </cell>
          <cell r="F4906" t="str">
            <v/>
          </cell>
          <cell r="G4906" t="str">
            <v>DUCTOS Y CABINAS SONOAMORTIGUADAS SILVHER LTDA</v>
          </cell>
          <cell r="H4906" t="str">
            <v>RECO</v>
          </cell>
          <cell r="I4906" t="str">
            <v>REGIMEN COMUN</v>
          </cell>
          <cell r="J4906" t="str">
            <v>CL 53 58 19 BRR LA ESMERALDA</v>
          </cell>
          <cell r="K4906" t="str">
            <v>11001</v>
          </cell>
          <cell r="L4906" t="str">
            <v>BOGOTA DC</v>
          </cell>
          <cell r="M4906" t="str">
            <v>7568617</v>
          </cell>
        </row>
        <row r="4907">
          <cell r="A4907">
            <v>900300047</v>
          </cell>
          <cell r="B4907" t="str">
            <v>8</v>
          </cell>
          <cell r="C4907" t="str">
            <v/>
          </cell>
          <cell r="D4907" t="str">
            <v>NJ</v>
          </cell>
          <cell r="E4907" t="str">
            <v/>
          </cell>
          <cell r="F4907" t="str">
            <v/>
          </cell>
          <cell r="G4907" t="str">
            <v>ROWELL SAS</v>
          </cell>
          <cell r="H4907" t="str">
            <v>RECO</v>
          </cell>
          <cell r="I4907" t="str">
            <v>REGIMEN COMUN</v>
          </cell>
          <cell r="J4907" t="str">
            <v>CR 24 A 59 67</v>
          </cell>
          <cell r="K4907" t="str">
            <v>17001</v>
          </cell>
          <cell r="L4907" t="str">
            <v>MANIZALES</v>
          </cell>
          <cell r="M4907" t="str">
            <v>3104670304</v>
          </cell>
        </row>
        <row r="4908">
          <cell r="A4908">
            <v>900302142</v>
          </cell>
          <cell r="B4908" t="str">
            <v>9</v>
          </cell>
          <cell r="C4908" t="str">
            <v/>
          </cell>
          <cell r="D4908" t="str">
            <v>NJ</v>
          </cell>
          <cell r="E4908" t="str">
            <v/>
          </cell>
          <cell r="F4908" t="str">
            <v/>
          </cell>
          <cell r="G4908" t="str">
            <v>DISTRIBUCIONES GLOBAL MARKET S.A.S</v>
          </cell>
          <cell r="H4908" t="str">
            <v>RECO</v>
          </cell>
          <cell r="I4908" t="str">
            <v>REGIMEN COMUN</v>
          </cell>
          <cell r="J4908" t="str">
            <v>CL 9   20   69</v>
          </cell>
          <cell r="K4908" t="str">
            <v>85001</v>
          </cell>
          <cell r="L4908" t="str">
            <v>YOPAL</v>
          </cell>
          <cell r="M4908" t="str">
            <v>6349911</v>
          </cell>
        </row>
        <row r="4909">
          <cell r="A4909">
            <v>900302940</v>
          </cell>
          <cell r="B4909" t="str">
            <v>1</v>
          </cell>
          <cell r="C4909" t="str">
            <v/>
          </cell>
          <cell r="D4909" t="str">
            <v>NJ</v>
          </cell>
          <cell r="E4909" t="str">
            <v/>
          </cell>
          <cell r="F4909" t="str">
            <v/>
          </cell>
          <cell r="G4909" t="str">
            <v>DICOMO SERVICIOS INTEGRALES DE INGENIERÍA S.A.S.</v>
          </cell>
          <cell r="H4909" t="str">
            <v>RECO</v>
          </cell>
          <cell r="I4909" t="str">
            <v>REGIMEN COMUN</v>
          </cell>
          <cell r="J4909" t="str">
            <v xml:space="preserve"> CR 23 CL 75 25 AP 201 A</v>
          </cell>
          <cell r="K4909" t="str">
            <v>17001</v>
          </cell>
          <cell r="L4909" t="str">
            <v>MANIZALES</v>
          </cell>
          <cell r="M4909" t="str">
            <v>8875002</v>
          </cell>
        </row>
        <row r="4910">
          <cell r="A4910">
            <v>900305472</v>
          </cell>
          <cell r="B4910" t="str">
            <v>8</v>
          </cell>
          <cell r="C4910" t="str">
            <v/>
          </cell>
          <cell r="D4910" t="str">
            <v>NJ</v>
          </cell>
          <cell r="E4910" t="str">
            <v/>
          </cell>
          <cell r="F4910" t="str">
            <v/>
          </cell>
          <cell r="G4910" t="str">
            <v>HYB INGENIERIA S.A.S</v>
          </cell>
          <cell r="H4910" t="str">
            <v>RECO</v>
          </cell>
          <cell r="I4910" t="str">
            <v>REGIMEN COMUN</v>
          </cell>
          <cell r="J4910" t="str">
            <v>CR 52  70   113 OF 2 C</v>
          </cell>
          <cell r="K4910" t="str">
            <v>08001</v>
          </cell>
          <cell r="L4910" t="str">
            <v>BARRANQUILLA</v>
          </cell>
          <cell r="M4910" t="str">
            <v>3029696</v>
          </cell>
        </row>
        <row r="4911">
          <cell r="A4911">
            <v>900305507</v>
          </cell>
          <cell r="B4911" t="str">
            <v>7</v>
          </cell>
          <cell r="C4911" t="str">
            <v/>
          </cell>
          <cell r="D4911" t="str">
            <v>NJ</v>
          </cell>
          <cell r="E4911" t="str">
            <v/>
          </cell>
          <cell r="F4911" t="str">
            <v/>
          </cell>
          <cell r="G4911" t="str">
            <v>LA COLINA SERVICIOS INTEGRALES S.EN C.S.</v>
          </cell>
          <cell r="H4911" t="str">
            <v>RECO</v>
          </cell>
          <cell r="I4911" t="str">
            <v>REGIMEN COMUN</v>
          </cell>
          <cell r="J4911" t="str">
            <v>CR 42 N 9-120</v>
          </cell>
          <cell r="K4911" t="str">
            <v>15238</v>
          </cell>
          <cell r="L4911" t="str">
            <v>DUITAMA</v>
          </cell>
          <cell r="M4911" t="str">
            <v>7606873</v>
          </cell>
        </row>
        <row r="4912">
          <cell r="A4912">
            <v>900305902</v>
          </cell>
          <cell r="B4912" t="str">
            <v>3</v>
          </cell>
          <cell r="C4912" t="str">
            <v/>
          </cell>
          <cell r="D4912" t="str">
            <v>NJ</v>
          </cell>
          <cell r="E4912" t="str">
            <v/>
          </cell>
          <cell r="F4912" t="str">
            <v/>
          </cell>
          <cell r="G4912" t="str">
            <v xml:space="preserve">GRUPO ALCE SAS                                              </v>
          </cell>
          <cell r="H4912" t="str">
            <v>RECO</v>
          </cell>
          <cell r="I4912" t="str">
            <v>REGIMEN COMUN</v>
          </cell>
          <cell r="J4912" t="str">
            <v>CL 33 A A CR 80 B  38</v>
          </cell>
          <cell r="K4912" t="str">
            <v>05001</v>
          </cell>
          <cell r="L4912" t="str">
            <v>MEDELLÍN</v>
          </cell>
          <cell r="M4912" t="str">
            <v>4144023</v>
          </cell>
        </row>
        <row r="4913">
          <cell r="A4913">
            <v>900306635</v>
          </cell>
          <cell r="B4913" t="str">
            <v>6</v>
          </cell>
          <cell r="C4913" t="str">
            <v/>
          </cell>
          <cell r="D4913" t="str">
            <v>NJ</v>
          </cell>
          <cell r="E4913" t="str">
            <v/>
          </cell>
          <cell r="F4913" t="str">
            <v/>
          </cell>
          <cell r="G4913" t="str">
            <v>GESTION Y CONTROL  INTEGRAL DEL RIESGO</v>
          </cell>
          <cell r="H4913" t="str">
            <v>RECO</v>
          </cell>
          <cell r="I4913" t="str">
            <v>REGIMEN COMUN</v>
          </cell>
          <cell r="J4913" t="str">
            <v>CR 65 5 A 56</v>
          </cell>
          <cell r="K4913" t="str">
            <v>11001</v>
          </cell>
          <cell r="L4913" t="str">
            <v>BOGOTA DC</v>
          </cell>
          <cell r="M4913" t="str">
            <v>7049201</v>
          </cell>
        </row>
        <row r="4914">
          <cell r="A4914">
            <v>900307212</v>
          </cell>
          <cell r="B4914" t="str">
            <v>9</v>
          </cell>
          <cell r="C4914" t="str">
            <v/>
          </cell>
          <cell r="D4914" t="str">
            <v>NJ</v>
          </cell>
          <cell r="E4914" t="str">
            <v/>
          </cell>
          <cell r="F4914" t="str">
            <v/>
          </cell>
          <cell r="G4914" t="str">
            <v>COMPAÑIA CONTINENTAL BLUE DOORS SAS</v>
          </cell>
          <cell r="H4914" t="str">
            <v>RECO</v>
          </cell>
          <cell r="I4914" t="str">
            <v>REGIMEN COMUN</v>
          </cell>
          <cell r="J4914" t="str">
            <v>AV JIMENEZ   4   16</v>
          </cell>
          <cell r="K4914" t="str">
            <v>11001</v>
          </cell>
          <cell r="L4914" t="str">
            <v>BOGOTA DC</v>
          </cell>
          <cell r="M4914" t="str">
            <v>6063000</v>
          </cell>
        </row>
        <row r="4915">
          <cell r="A4915">
            <v>900307400</v>
          </cell>
          <cell r="B4915" t="str">
            <v>7</v>
          </cell>
          <cell r="C4915" t="str">
            <v/>
          </cell>
          <cell r="D4915" t="str">
            <v>NJ</v>
          </cell>
          <cell r="E4915" t="str">
            <v/>
          </cell>
          <cell r="F4915" t="str">
            <v/>
          </cell>
          <cell r="G4915" t="str">
            <v>CORPORACION ALTA MONTAÑA ANDINA</v>
          </cell>
          <cell r="H4915" t="str">
            <v>REIC</v>
          </cell>
          <cell r="I4915" t="str">
            <v>RENTA REGIMEN ESPECIAL</v>
          </cell>
          <cell r="J4915" t="str">
            <v>CL 43 4 104 TO 2 LT 11</v>
          </cell>
          <cell r="K4915" t="str">
            <v>15001</v>
          </cell>
          <cell r="L4915" t="str">
            <v>TUNJA</v>
          </cell>
          <cell r="M4915" t="str">
            <v>3203935284</v>
          </cell>
        </row>
        <row r="4916">
          <cell r="A4916">
            <v>900307572</v>
          </cell>
          <cell r="B4916" t="str">
            <v>5</v>
          </cell>
          <cell r="C4916" t="str">
            <v/>
          </cell>
          <cell r="D4916" t="str">
            <v>NJ</v>
          </cell>
          <cell r="E4916" t="str">
            <v/>
          </cell>
          <cell r="F4916" t="str">
            <v/>
          </cell>
          <cell r="G4916" t="str">
            <v>ENERGIA DE GAS SAS</v>
          </cell>
          <cell r="H4916" t="str">
            <v>RECO</v>
          </cell>
          <cell r="I4916" t="str">
            <v>REGIMEN COMUN</v>
          </cell>
          <cell r="J4916" t="str">
            <v>CR 10  5  84</v>
          </cell>
          <cell r="K4916" t="str">
            <v>25899</v>
          </cell>
          <cell r="L4916" t="str">
            <v>ZIPAQUIRÁ</v>
          </cell>
          <cell r="M4916" t="str">
            <v>7968268</v>
          </cell>
        </row>
        <row r="4917">
          <cell r="A4917">
            <v>900309238</v>
          </cell>
          <cell r="B4917" t="str">
            <v>9</v>
          </cell>
          <cell r="C4917" t="str">
            <v/>
          </cell>
          <cell r="D4917" t="str">
            <v>NJ</v>
          </cell>
          <cell r="E4917" t="str">
            <v/>
          </cell>
          <cell r="F4917" t="str">
            <v/>
          </cell>
          <cell r="G4917" t="str">
            <v>CJS CANECAS Y CIA LTDA</v>
          </cell>
          <cell r="H4917" t="str">
            <v>IMVE</v>
          </cell>
          <cell r="I4917" t="str">
            <v>IMPUESTO SOBRE LAS VENTAS</v>
          </cell>
          <cell r="J4917" t="str">
            <v>AV CR 86 68 A 03 BRR LA FLORIDA</v>
          </cell>
          <cell r="K4917" t="str">
            <v>11001</v>
          </cell>
          <cell r="L4917" t="str">
            <v>BOGOTA DC</v>
          </cell>
          <cell r="M4917" t="str">
            <v>4910100</v>
          </cell>
        </row>
        <row r="4918">
          <cell r="A4918">
            <v>900310298</v>
          </cell>
          <cell r="B4918" t="str">
            <v>2</v>
          </cell>
          <cell r="C4918" t="str">
            <v/>
          </cell>
          <cell r="D4918" t="str">
            <v>NJ</v>
          </cell>
          <cell r="E4918" t="str">
            <v/>
          </cell>
          <cell r="F4918" t="str">
            <v/>
          </cell>
          <cell r="G4918" t="str">
            <v>FUSION COMUNICACION GRAFICA S. A. S.</v>
          </cell>
          <cell r="H4918" t="str">
            <v>IMVE</v>
          </cell>
          <cell r="I4918" t="str">
            <v>IMPUESTO SOBRE LAS VENTAS</v>
          </cell>
          <cell r="J4918" t="str">
            <v>C R 22 2447</v>
          </cell>
          <cell r="K4918" t="str">
            <v>17001</v>
          </cell>
          <cell r="L4918" t="str">
            <v>MANIZALES</v>
          </cell>
          <cell r="M4918" t="str">
            <v>3154744830</v>
          </cell>
        </row>
        <row r="4919">
          <cell r="A4919">
            <v>900310986</v>
          </cell>
          <cell r="B4919" t="str">
            <v>1</v>
          </cell>
          <cell r="C4919" t="str">
            <v/>
          </cell>
          <cell r="D4919" t="str">
            <v>NJ</v>
          </cell>
          <cell r="E4919" t="str">
            <v/>
          </cell>
          <cell r="F4919" t="str">
            <v/>
          </cell>
          <cell r="G4919" t="str">
            <v>AR HOTELES S.A.S</v>
          </cell>
          <cell r="H4919" t="str">
            <v>RECO</v>
          </cell>
          <cell r="I4919" t="str">
            <v>REGIMEN COMUN</v>
          </cell>
          <cell r="J4919" t="str">
            <v>AV CR 60 22 99</v>
          </cell>
          <cell r="K4919" t="str">
            <v>11001</v>
          </cell>
          <cell r="L4919" t="str">
            <v>BOGOTA DC</v>
          </cell>
          <cell r="M4919" t="str">
            <v>7436690</v>
          </cell>
        </row>
        <row r="4920">
          <cell r="A4920">
            <v>900311609</v>
          </cell>
          <cell r="B4920" t="str">
            <v>4</v>
          </cell>
          <cell r="C4920" t="str">
            <v/>
          </cell>
          <cell r="D4920" t="str">
            <v>NJ</v>
          </cell>
          <cell r="E4920" t="str">
            <v/>
          </cell>
          <cell r="F4920" t="str">
            <v/>
          </cell>
          <cell r="G4920" t="str">
            <v>COLFLO EQUIPOS S.A.S.</v>
          </cell>
          <cell r="H4920" t="str">
            <v>IMVE</v>
          </cell>
          <cell r="I4920" t="str">
            <v>IMPUESTO SOBRE LAS VENTAS</v>
          </cell>
          <cell r="J4920" t="str">
            <v>CL 6 SUR 72 A 03</v>
          </cell>
          <cell r="K4920" t="str">
            <v>03</v>
          </cell>
          <cell r="L4920" t="str">
            <v>BOGOTA</v>
          </cell>
          <cell r="M4920" t="str">
            <v>4506680</v>
          </cell>
        </row>
        <row r="4921">
          <cell r="A4921">
            <v>900312056</v>
          </cell>
          <cell r="B4921" t="str">
            <v>6</v>
          </cell>
          <cell r="C4921" t="str">
            <v/>
          </cell>
          <cell r="D4921" t="str">
            <v>NJ</v>
          </cell>
          <cell r="E4921" t="str">
            <v/>
          </cell>
          <cell r="F4921" t="str">
            <v/>
          </cell>
          <cell r="G4921" t="str">
            <v>HOTEL CHICO 93 A 69 SAS</v>
          </cell>
          <cell r="H4921" t="str">
            <v>IMVE</v>
          </cell>
          <cell r="I4921" t="str">
            <v>IMPUESTO SOBRE LAS VENTAS</v>
          </cell>
          <cell r="J4921" t="str">
            <v>CR 14 93 A 69 BRR CHICO</v>
          </cell>
          <cell r="K4921" t="str">
            <v>11001</v>
          </cell>
          <cell r="L4921" t="str">
            <v>BOGOTA DC</v>
          </cell>
          <cell r="M4921" t="str">
            <v>7432820</v>
          </cell>
        </row>
        <row r="4922">
          <cell r="A4922">
            <v>900312669</v>
          </cell>
          <cell r="B4922" t="str">
            <v>0</v>
          </cell>
          <cell r="C4922" t="str">
            <v/>
          </cell>
          <cell r="D4922" t="str">
            <v>NJ</v>
          </cell>
          <cell r="E4922" t="str">
            <v/>
          </cell>
          <cell r="F4922" t="str">
            <v/>
          </cell>
          <cell r="G4922" t="str">
            <v>A.C. COLOMBIAN LAWYERS - CIRCULO EMPRESARIAL - EDITORES S.A.S.</v>
          </cell>
          <cell r="H4922" t="str">
            <v>IMVE</v>
          </cell>
          <cell r="I4922" t="str">
            <v>IMPUESTO SOBRE LAS VENTAS</v>
          </cell>
          <cell r="J4922" t="str">
            <v xml:space="preserve"> CR 24 28 21</v>
          </cell>
          <cell r="K4922" t="str">
            <v>11001</v>
          </cell>
          <cell r="L4922" t="str">
            <v>BOGOTA DC</v>
          </cell>
          <cell r="M4922" t="str">
            <v>5663190</v>
          </cell>
        </row>
        <row r="4923">
          <cell r="A4923">
            <v>900313028</v>
          </cell>
          <cell r="B4923" t="str">
            <v>4</v>
          </cell>
          <cell r="C4923" t="str">
            <v/>
          </cell>
          <cell r="D4923" t="str">
            <v>NJ</v>
          </cell>
          <cell r="E4923" t="str">
            <v/>
          </cell>
          <cell r="F4923" t="str">
            <v/>
          </cell>
          <cell r="G4923" t="str">
            <v>VAMPI SAS</v>
          </cell>
          <cell r="H4923" t="str">
            <v>RECO</v>
          </cell>
          <cell r="I4923" t="str">
            <v>REGIMEN COMUN</v>
          </cell>
          <cell r="J4923" t="str">
            <v>CL 3 24 B 80</v>
          </cell>
          <cell r="K4923" t="str">
            <v>15238</v>
          </cell>
          <cell r="L4923" t="str">
            <v>DUITAMA</v>
          </cell>
          <cell r="M4923" t="str">
            <v>3103340395</v>
          </cell>
        </row>
        <row r="4924">
          <cell r="A4924">
            <v>900313349</v>
          </cell>
          <cell r="B4924" t="str">
            <v>3</v>
          </cell>
          <cell r="C4924" t="str">
            <v/>
          </cell>
          <cell r="D4924" t="str">
            <v>NJ</v>
          </cell>
          <cell r="E4924" t="str">
            <v/>
          </cell>
          <cell r="F4924" t="str">
            <v/>
          </cell>
          <cell r="G4924" t="str">
            <v>FAST COLOMBIA S.A.S</v>
          </cell>
          <cell r="H4924" t="str">
            <v>GRCO</v>
          </cell>
          <cell r="I4924" t="str">
            <v>GRAN CONTRIBUYENTE</v>
          </cell>
          <cell r="J4924" t="str">
            <v>PAR EMPRESARIAL MULTICENTRO BG 15</v>
          </cell>
          <cell r="K4924" t="str">
            <v>05615</v>
          </cell>
          <cell r="L4924" t="str">
            <v>RIONEGRO</v>
          </cell>
          <cell r="M4924" t="str">
            <v>4449489</v>
          </cell>
        </row>
        <row r="4925">
          <cell r="A4925">
            <v>900313606</v>
          </cell>
          <cell r="B4925" t="str">
            <v>1</v>
          </cell>
          <cell r="C4925" t="str">
            <v/>
          </cell>
          <cell r="D4925" t="str">
            <v>NJ</v>
          </cell>
          <cell r="E4925" t="str">
            <v/>
          </cell>
          <cell r="F4925" t="str">
            <v/>
          </cell>
          <cell r="G4925" t="str">
            <v>PROYECTOS ELECTRICOS E INGENIERIA</v>
          </cell>
          <cell r="H4925" t="str">
            <v>RECO</v>
          </cell>
          <cell r="I4925" t="str">
            <v>REGIMEN COMUN</v>
          </cell>
          <cell r="J4925" t="str">
            <v>BRR TULCAN II BL 5 APTDO 504</v>
          </cell>
          <cell r="K4925" t="str">
            <v>66001</v>
          </cell>
          <cell r="L4925" t="str">
            <v>PEREIRA</v>
          </cell>
          <cell r="M4925" t="str">
            <v>3298008</v>
          </cell>
        </row>
        <row r="4926">
          <cell r="A4926">
            <v>900315138</v>
          </cell>
          <cell r="B4926" t="str">
            <v>5</v>
          </cell>
          <cell r="C4926" t="str">
            <v/>
          </cell>
          <cell r="D4926" t="str">
            <v>NJ</v>
          </cell>
          <cell r="E4926" t="str">
            <v/>
          </cell>
          <cell r="F4926" t="str">
            <v/>
          </cell>
          <cell r="G4926" t="str">
            <v>PAVILLON HOTELS GROUP SAS</v>
          </cell>
          <cell r="H4926" t="str">
            <v>RECO</v>
          </cell>
          <cell r="I4926" t="str">
            <v>REGIMEN COMUN</v>
          </cell>
          <cell r="J4926" t="str">
            <v>CR 38  50 46</v>
          </cell>
          <cell r="K4926" t="str">
            <v>17001</v>
          </cell>
          <cell r="L4926" t="str">
            <v>MANIZALES</v>
          </cell>
          <cell r="M4926" t="str">
            <v>3182645610</v>
          </cell>
        </row>
        <row r="4927">
          <cell r="A4927">
            <v>900315506</v>
          </cell>
          <cell r="B4927" t="str">
            <v>2</v>
          </cell>
          <cell r="C4927" t="str">
            <v>923272141</v>
          </cell>
          <cell r="D4927" t="str">
            <v>NJ</v>
          </cell>
          <cell r="E4927" t="str">
            <v/>
          </cell>
          <cell r="F4927" t="str">
            <v/>
          </cell>
          <cell r="G4927" t="str">
            <v>ASOCIACION CABLE AEREO MANIZALES</v>
          </cell>
          <cell r="H4927" t="str">
            <v>RECO</v>
          </cell>
          <cell r="I4927" t="str">
            <v>REGIMEN COMUN</v>
          </cell>
          <cell r="J4927" t="str">
            <v>VIA PANAMERICANA ESTACION CAMBULOS - TERMINAL DE TRANSPORTE</v>
          </cell>
          <cell r="K4927" t="str">
            <v>17001</v>
          </cell>
          <cell r="L4927" t="str">
            <v>MANIZALES</v>
          </cell>
          <cell r="M4927" t="str">
            <v>8752200</v>
          </cell>
        </row>
        <row r="4928">
          <cell r="A4928">
            <v>900316001</v>
          </cell>
          <cell r="B4928" t="str">
            <v>1</v>
          </cell>
          <cell r="C4928" t="str">
            <v/>
          </cell>
          <cell r="D4928" t="str">
            <v>NJ</v>
          </cell>
          <cell r="E4928" t="str">
            <v/>
          </cell>
          <cell r="F4928" t="str">
            <v/>
          </cell>
          <cell r="G4928" t="str">
            <v>INVERSIONES CAJAMAR S.A.S</v>
          </cell>
          <cell r="H4928" t="str">
            <v>RECO</v>
          </cell>
          <cell r="I4928" t="str">
            <v>REGIMEN COMUN</v>
          </cell>
          <cell r="J4928" t="str">
            <v>CR 44   74   85</v>
          </cell>
          <cell r="K4928" t="str">
            <v>08001</v>
          </cell>
          <cell r="L4928" t="str">
            <v>BARRANQUILLA</v>
          </cell>
          <cell r="M4928" t="str">
            <v>3681999</v>
          </cell>
        </row>
        <row r="4929">
          <cell r="A4929">
            <v>900316621</v>
          </cell>
          <cell r="B4929" t="str">
            <v>6</v>
          </cell>
          <cell r="C4929" t="str">
            <v/>
          </cell>
          <cell r="D4929" t="str">
            <v>NJ</v>
          </cell>
          <cell r="E4929" t="str">
            <v/>
          </cell>
          <cell r="F4929" t="str">
            <v/>
          </cell>
          <cell r="G4929" t="str">
            <v>INGENIERIA DE MANTENIMIENTO TECNIFICADO S.A.S. - INMANTE S.A.S</v>
          </cell>
          <cell r="H4929" t="str">
            <v>RECO</v>
          </cell>
          <cell r="I4929" t="str">
            <v>REGIMEN COMUN</v>
          </cell>
          <cell r="J4929" t="str">
            <v>CL 5 17 76</v>
          </cell>
          <cell r="K4929" t="str">
            <v>63001</v>
          </cell>
          <cell r="L4929" t="str">
            <v>ARMENIA</v>
          </cell>
          <cell r="M4929" t="str">
            <v>7312486</v>
          </cell>
        </row>
        <row r="4930">
          <cell r="A4930">
            <v>900316825</v>
          </cell>
          <cell r="B4930" t="str">
            <v>1</v>
          </cell>
          <cell r="C4930" t="str">
            <v/>
          </cell>
          <cell r="D4930" t="str">
            <v>NJ</v>
          </cell>
          <cell r="E4930" t="str">
            <v/>
          </cell>
          <cell r="F4930" t="str">
            <v/>
          </cell>
          <cell r="G4930" t="str">
            <v>PORTAL DE SANTA MONICA LTDA</v>
          </cell>
          <cell r="H4930" t="str">
            <v>RECO</v>
          </cell>
          <cell r="I4930" t="str">
            <v>REGIMEN COMUN</v>
          </cell>
          <cell r="J4930" t="str">
            <v>AV 6 BN 28 N 28</v>
          </cell>
          <cell r="K4930" t="str">
            <v>76001</v>
          </cell>
          <cell r="L4930" t="str">
            <v>CALI</v>
          </cell>
          <cell r="M4930" t="str">
            <v>6603393</v>
          </cell>
        </row>
        <row r="4931">
          <cell r="A4931">
            <v>900317089</v>
          </cell>
          <cell r="B4931" t="str">
            <v>1</v>
          </cell>
          <cell r="C4931" t="str">
            <v/>
          </cell>
          <cell r="D4931" t="str">
            <v>NJ</v>
          </cell>
          <cell r="E4931" t="str">
            <v/>
          </cell>
          <cell r="F4931" t="str">
            <v/>
          </cell>
          <cell r="G4931" t="str">
            <v>VIOTEC SAS</v>
          </cell>
          <cell r="H4931" t="str">
            <v>IMVE</v>
          </cell>
          <cell r="I4931" t="str">
            <v>IMPUESTO SOBRE LAS VENTAS</v>
          </cell>
          <cell r="J4931" t="str">
            <v>CR 22  81  95</v>
          </cell>
          <cell r="K4931" t="str">
            <v>11001</v>
          </cell>
          <cell r="L4931" t="str">
            <v>BOGOTA DC</v>
          </cell>
          <cell r="M4931" t="str">
            <v>3168416950</v>
          </cell>
        </row>
        <row r="4932">
          <cell r="A4932">
            <v>900318860</v>
          </cell>
          <cell r="B4932" t="str">
            <v>9</v>
          </cell>
          <cell r="C4932" t="str">
            <v/>
          </cell>
          <cell r="D4932" t="str">
            <v>NJ</v>
          </cell>
          <cell r="E4932" t="str">
            <v/>
          </cell>
          <cell r="F4932" t="str">
            <v/>
          </cell>
          <cell r="G4932" t="str">
            <v>INTUAL SAS</v>
          </cell>
          <cell r="H4932" t="str">
            <v>RST</v>
          </cell>
          <cell r="I4932" t="str">
            <v>REGIMEN SIMPLE DE TRIBUTACION</v>
          </cell>
          <cell r="J4932" t="str">
            <v>CL 66 A 9 A 95</v>
          </cell>
          <cell r="K4932" t="str">
            <v>17001</v>
          </cell>
          <cell r="L4932" t="str">
            <v>MANIZALES</v>
          </cell>
          <cell r="M4932" t="str">
            <v>3173756214</v>
          </cell>
        </row>
        <row r="4933">
          <cell r="A4933">
            <v>900318911</v>
          </cell>
          <cell r="B4933" t="str">
            <v>6</v>
          </cell>
          <cell r="C4933" t="str">
            <v/>
          </cell>
          <cell r="D4933" t="str">
            <v>NJ</v>
          </cell>
          <cell r="E4933" t="str">
            <v/>
          </cell>
          <cell r="F4933" t="str">
            <v/>
          </cell>
          <cell r="G4933" t="str">
            <v>ZONA FRANCA ANDINA S.A.S.</v>
          </cell>
          <cell r="H4933" t="str">
            <v>GRCO</v>
          </cell>
          <cell r="I4933" t="str">
            <v>GRAN CONTRIBUYENTE</v>
          </cell>
          <cell r="J4933" t="str">
            <v>CL 64 A   21 50 ED PORTAL DEL CABLE</v>
          </cell>
          <cell r="K4933" t="str">
            <v>17001</v>
          </cell>
          <cell r="L4933" t="str">
            <v>MANIZALES</v>
          </cell>
          <cell r="M4933" t="str">
            <v>8855256</v>
          </cell>
        </row>
        <row r="4934">
          <cell r="A4934">
            <v>900319774</v>
          </cell>
          <cell r="B4934" t="str">
            <v>8</v>
          </cell>
          <cell r="C4934" t="str">
            <v/>
          </cell>
          <cell r="D4934" t="str">
            <v>NJ</v>
          </cell>
          <cell r="E4934" t="str">
            <v/>
          </cell>
          <cell r="F4934" t="str">
            <v/>
          </cell>
          <cell r="G4934" t="str">
            <v>HDC FERRETERIA Y SUMINISTROS SAS</v>
          </cell>
          <cell r="H4934" t="str">
            <v>RECO</v>
          </cell>
          <cell r="I4934" t="str">
            <v>REGIMEN COMUN</v>
          </cell>
          <cell r="J4934" t="str">
            <v>KM 10  VIA AL MAGDALENA  104 154 FENTE MADEAL</v>
          </cell>
          <cell r="K4934" t="str">
            <v>17001</v>
          </cell>
          <cell r="L4934" t="str">
            <v>MANIZALES</v>
          </cell>
          <cell r="M4934" t="str">
            <v>8742470</v>
          </cell>
        </row>
        <row r="4935">
          <cell r="A4935">
            <v>900320000</v>
          </cell>
          <cell r="B4935" t="str">
            <v>8</v>
          </cell>
          <cell r="C4935" t="str">
            <v/>
          </cell>
          <cell r="D4935" t="str">
            <v>NJ</v>
          </cell>
          <cell r="E4935" t="str">
            <v/>
          </cell>
          <cell r="F4935" t="str">
            <v/>
          </cell>
          <cell r="G4935" t="str">
            <v>INGENIERIA Y EQUIPOS INGEQUIPOS S.A.S</v>
          </cell>
          <cell r="H4935" t="str">
            <v>IMVE</v>
          </cell>
          <cell r="I4935" t="str">
            <v>IMPUESTO SOBRE LAS VENTAS</v>
          </cell>
          <cell r="J4935" t="str">
            <v xml:space="preserve"> KM 2 VÍA PANAMERICANA DIAGONAL BOMBA DE TEXACO</v>
          </cell>
          <cell r="K4935" t="str">
            <v>17001</v>
          </cell>
          <cell r="L4935" t="str">
            <v>MANIZALES</v>
          </cell>
          <cell r="M4935" t="str">
            <v>8787676</v>
          </cell>
        </row>
        <row r="4936">
          <cell r="A4936">
            <v>900320056</v>
          </cell>
          <cell r="B4936" t="str">
            <v>1</v>
          </cell>
          <cell r="C4936" t="str">
            <v/>
          </cell>
          <cell r="D4936" t="str">
            <v>NJ</v>
          </cell>
          <cell r="E4936" t="str">
            <v/>
          </cell>
          <cell r="F4936" t="str">
            <v/>
          </cell>
          <cell r="G4936" t="str">
            <v xml:space="preserve">PAMACOL TECHNOLOGIES S A S                                  </v>
          </cell>
          <cell r="H4936" t="str">
            <v>RECO</v>
          </cell>
          <cell r="I4936" t="str">
            <v>REGIMEN COMUN</v>
          </cell>
          <cell r="J4936" t="str">
            <v>CL 127   13 A   64 LC</v>
          </cell>
          <cell r="K4936" t="str">
            <v>11001</v>
          </cell>
          <cell r="L4936" t="str">
            <v>BOGOTA DC</v>
          </cell>
          <cell r="M4936" t="str">
            <v>6140060</v>
          </cell>
        </row>
        <row r="4937">
          <cell r="A4937">
            <v>900323361</v>
          </cell>
          <cell r="B4937" t="str">
            <v>5</v>
          </cell>
          <cell r="C4937" t="str">
            <v/>
          </cell>
          <cell r="D4937" t="str">
            <v>NJ</v>
          </cell>
          <cell r="E4937" t="str">
            <v/>
          </cell>
          <cell r="F4937" t="str">
            <v/>
          </cell>
          <cell r="G4937" t="str">
            <v>CUERPO DE BOMBEROS VOLUNTARIOS DE MITÚ</v>
          </cell>
          <cell r="H4937" t="str">
            <v>NORE</v>
          </cell>
          <cell r="I4937" t="str">
            <v>NO RESPONSABLE DE IVA</v>
          </cell>
          <cell r="J4937" t="str">
            <v>BRR CR 12 15 142</v>
          </cell>
          <cell r="K4937" t="str">
            <v>97001</v>
          </cell>
          <cell r="L4937" t="str">
            <v>MITÚ</v>
          </cell>
          <cell r="M4937" t="str">
            <v>3218612847</v>
          </cell>
        </row>
        <row r="4938">
          <cell r="A4938">
            <v>900324021</v>
          </cell>
          <cell r="B4938" t="str">
            <v>0</v>
          </cell>
          <cell r="C4938" t="str">
            <v/>
          </cell>
          <cell r="D4938" t="str">
            <v>NJ</v>
          </cell>
          <cell r="E4938" t="str">
            <v/>
          </cell>
          <cell r="F4938" t="str">
            <v/>
          </cell>
          <cell r="G4938" t="str">
            <v>ECOSERVICIOS DE OCCIDENTE SAS ESP</v>
          </cell>
          <cell r="H4938" t="str">
            <v>IMVE</v>
          </cell>
          <cell r="I4938" t="str">
            <v>IMPUESTO SOBRE LAS VENTAS</v>
          </cell>
          <cell r="J4938" t="str">
            <v>AUT MEDELLIN KM 19</v>
          </cell>
          <cell r="K4938" t="str">
            <v>25260</v>
          </cell>
          <cell r="L4938" t="str">
            <v>EL ROSAL</v>
          </cell>
          <cell r="M4938" t="str">
            <v>5466607</v>
          </cell>
        </row>
        <row r="4939">
          <cell r="A4939">
            <v>900325161</v>
          </cell>
          <cell r="B4939" t="str">
            <v>8</v>
          </cell>
          <cell r="C4939" t="str">
            <v/>
          </cell>
          <cell r="D4939" t="str">
            <v>NJ</v>
          </cell>
          <cell r="E4939" t="str">
            <v/>
          </cell>
          <cell r="F4939" t="str">
            <v/>
          </cell>
          <cell r="G4939" t="str">
            <v>ALIANZA PROVALOR S. A. S.</v>
          </cell>
          <cell r="H4939" t="str">
            <v>RECO</v>
          </cell>
          <cell r="I4939" t="str">
            <v>REGIMEN COMUN</v>
          </cell>
          <cell r="J4939" t="str">
            <v xml:space="preserve"> CR 25  65 140 AP 301</v>
          </cell>
          <cell r="K4939" t="str">
            <v>17001</v>
          </cell>
          <cell r="L4939" t="str">
            <v>MANIZALES</v>
          </cell>
          <cell r="M4939" t="str">
            <v>3113109777</v>
          </cell>
        </row>
        <row r="4940">
          <cell r="A4940">
            <v>900325227</v>
          </cell>
          <cell r="B4940" t="str">
            <v>5</v>
          </cell>
          <cell r="C4940" t="str">
            <v/>
          </cell>
          <cell r="D4940" t="str">
            <v>NJ</v>
          </cell>
          <cell r="E4940" t="str">
            <v/>
          </cell>
          <cell r="F4940" t="str">
            <v/>
          </cell>
          <cell r="G4940" t="str">
            <v>SUNDANCER SAS</v>
          </cell>
          <cell r="H4940" t="str">
            <v>RECO</v>
          </cell>
          <cell r="I4940" t="str">
            <v>REGIMEN COMUN</v>
          </cell>
          <cell r="J4940" t="str">
            <v>CORR LA BOQUILLA CR 9 A 34 166 SEC ANILLO VIAL</v>
          </cell>
          <cell r="K4940" t="str">
            <v>13001</v>
          </cell>
          <cell r="L4940" t="str">
            <v>CARTAGENA</v>
          </cell>
          <cell r="M4940" t="str">
            <v>6931000</v>
          </cell>
        </row>
        <row r="4941">
          <cell r="A4941">
            <v>900325595</v>
          </cell>
          <cell r="B4941" t="str">
            <v>0</v>
          </cell>
          <cell r="C4941" t="str">
            <v/>
          </cell>
          <cell r="D4941" t="str">
            <v>NJ</v>
          </cell>
          <cell r="E4941" t="str">
            <v/>
          </cell>
          <cell r="F4941" t="str">
            <v/>
          </cell>
          <cell r="G4941" t="str">
            <v>METRO BIKES BOGOTA SAS</v>
          </cell>
          <cell r="H4941" t="str">
            <v>RECO</v>
          </cell>
          <cell r="I4941" t="str">
            <v>REGIMEN COMUN</v>
          </cell>
          <cell r="J4941" t="str">
            <v>TV 89  80 15</v>
          </cell>
          <cell r="K4941" t="str">
            <v>11001</v>
          </cell>
          <cell r="L4941" t="str">
            <v>BOGOTA DC</v>
          </cell>
          <cell r="M4941" t="str">
            <v>2236818</v>
          </cell>
        </row>
        <row r="4942">
          <cell r="A4942">
            <v>900325920</v>
          </cell>
          <cell r="B4942" t="str">
            <v>1</v>
          </cell>
          <cell r="C4942" t="str">
            <v/>
          </cell>
          <cell r="D4942" t="str">
            <v>NJ</v>
          </cell>
          <cell r="E4942" t="str">
            <v/>
          </cell>
          <cell r="F4942" t="str">
            <v/>
          </cell>
          <cell r="G4942" t="str">
            <v>AGENTE EXPERTO EN SERVICIOS PUBLICOS S.A.S. E.S.P.</v>
          </cell>
          <cell r="H4942" t="str">
            <v>IMVE</v>
          </cell>
          <cell r="I4942" t="str">
            <v>IMPUESTO SOBRE LAS VENTAS</v>
          </cell>
          <cell r="J4942" t="str">
            <v>CR 27 37 33 ED. CENTRO EMPRESARIAL GREEN GOLD OF. 1007</v>
          </cell>
          <cell r="K4942" t="str">
            <v>68001</v>
          </cell>
          <cell r="L4942" t="str">
            <v>BUCARAMANGA</v>
          </cell>
          <cell r="M4942" t="str">
            <v>6076837920</v>
          </cell>
        </row>
        <row r="4943">
          <cell r="A4943">
            <v>900326219</v>
          </cell>
          <cell r="B4943" t="str">
            <v>0</v>
          </cell>
          <cell r="C4943" t="str">
            <v/>
          </cell>
          <cell r="D4943" t="str">
            <v>NJ</v>
          </cell>
          <cell r="E4943" t="str">
            <v/>
          </cell>
          <cell r="F4943" t="str">
            <v/>
          </cell>
          <cell r="G4943" t="str">
            <v>ENERGIA PROACTIVA SAS</v>
          </cell>
          <cell r="H4943" t="str">
            <v>RECO</v>
          </cell>
          <cell r="I4943" t="str">
            <v>REGIMEN COMUN</v>
          </cell>
          <cell r="J4943" t="str">
            <v>CR 29 A BIS 22 C 35  45</v>
          </cell>
          <cell r="K4943" t="str">
            <v>11001</v>
          </cell>
          <cell r="L4943" t="str">
            <v>BOGOTA DC</v>
          </cell>
          <cell r="M4943" t="str">
            <v>3157933336</v>
          </cell>
        </row>
        <row r="4944">
          <cell r="A4944">
            <v>900327192</v>
          </cell>
          <cell r="B4944" t="str">
            <v>5</v>
          </cell>
          <cell r="C4944" t="str">
            <v/>
          </cell>
          <cell r="D4944" t="str">
            <v>NJ</v>
          </cell>
          <cell r="E4944" t="str">
            <v/>
          </cell>
          <cell r="F4944" t="str">
            <v/>
          </cell>
          <cell r="G4944" t="str">
            <v>CORPORACION RED LOCAL DEL PACTO GLOBAL EN COLOMBIA</v>
          </cell>
          <cell r="H4944" t="str">
            <v>IMVE</v>
          </cell>
          <cell r="I4944" t="str">
            <v>IMPUESTO SOBRE LAS VENTAS</v>
          </cell>
          <cell r="J4944" t="str">
            <v>CL 93   13   24 P 3 OF 204</v>
          </cell>
          <cell r="K4944" t="str">
            <v>11001</v>
          </cell>
          <cell r="L4944" t="str">
            <v>BOGOTA DC</v>
          </cell>
          <cell r="M4944" t="str">
            <v>6161427</v>
          </cell>
        </row>
        <row r="4945">
          <cell r="A4945">
            <v>900327256</v>
          </cell>
          <cell r="B4945" t="str">
            <v>8</v>
          </cell>
          <cell r="C4945" t="str">
            <v/>
          </cell>
          <cell r="D4945" t="str">
            <v>NJ</v>
          </cell>
          <cell r="E4945" t="str">
            <v/>
          </cell>
          <cell r="F4945" t="str">
            <v/>
          </cell>
          <cell r="G4945" t="str">
            <v>MATRIX GIROS Y SERVICIOS SAS</v>
          </cell>
          <cell r="H4945" t="str">
            <v>RECO</v>
          </cell>
          <cell r="I4945" t="str">
            <v>REGIMEN COMUN</v>
          </cell>
          <cell r="J4945" t="str">
            <v>AV CL 26   69 D 91 TO 1 OF 603 CENTRO EMPRESARIAL ARRECIFE</v>
          </cell>
          <cell r="K4945" t="str">
            <v>11001</v>
          </cell>
          <cell r="L4945" t="str">
            <v>BOGOTA DC</v>
          </cell>
          <cell r="M4945" t="str">
            <v>5966999</v>
          </cell>
        </row>
        <row r="4946">
          <cell r="A4946">
            <v>900329160</v>
          </cell>
          <cell r="B4946" t="str">
            <v>9</v>
          </cell>
          <cell r="C4946" t="str">
            <v/>
          </cell>
          <cell r="D4946" t="str">
            <v>NJ</v>
          </cell>
          <cell r="E4946" t="str">
            <v/>
          </cell>
          <cell r="F4946" t="str">
            <v/>
          </cell>
          <cell r="G4946" t="str">
            <v>CHEMICAL LABORATORY SAS</v>
          </cell>
          <cell r="H4946" t="str">
            <v>IMVE</v>
          </cell>
          <cell r="I4946" t="str">
            <v>IMPUESTO SOBRE LAS VENTAS</v>
          </cell>
          <cell r="J4946" t="str">
            <v>CR 21 195 50 BG 3 4 5 6 Y 7</v>
          </cell>
          <cell r="K4946" t="str">
            <v>11001</v>
          </cell>
          <cell r="L4946" t="str">
            <v>BOGOTA DC</v>
          </cell>
          <cell r="M4946" t="str">
            <v>6702853</v>
          </cell>
        </row>
        <row r="4947">
          <cell r="A4947">
            <v>900329222</v>
          </cell>
          <cell r="B4947" t="str">
            <v>7</v>
          </cell>
          <cell r="C4947" t="str">
            <v/>
          </cell>
          <cell r="D4947" t="str">
            <v>NJ</v>
          </cell>
          <cell r="E4947" t="str">
            <v/>
          </cell>
          <cell r="F4947" t="str">
            <v/>
          </cell>
          <cell r="G4947" t="str">
            <v>URIBE TORRES CONSULTORES S.A.S</v>
          </cell>
          <cell r="H4947" t="str">
            <v>RECO</v>
          </cell>
          <cell r="I4947" t="str">
            <v>REGIMEN COMUN</v>
          </cell>
          <cell r="J4947" t="str">
            <v>CL 56 14 80 OF 201 BRR CHAPINERO</v>
          </cell>
          <cell r="K4947" t="str">
            <v>11001</v>
          </cell>
          <cell r="L4947" t="str">
            <v>BOGOTA DC</v>
          </cell>
          <cell r="M4947" t="str">
            <v>2494174</v>
          </cell>
        </row>
        <row r="4948">
          <cell r="A4948">
            <v>900331152</v>
          </cell>
          <cell r="B4948" t="str">
            <v>6</v>
          </cell>
          <cell r="C4948" t="str">
            <v/>
          </cell>
          <cell r="D4948" t="str">
            <v>NJ</v>
          </cell>
          <cell r="E4948" t="str">
            <v/>
          </cell>
          <cell r="F4948" t="str">
            <v/>
          </cell>
          <cell r="G4948" t="str">
            <v>COINGSAR S.A.S.</v>
          </cell>
          <cell r="H4948" t="str">
            <v>RECO</v>
          </cell>
          <cell r="I4948" t="str">
            <v>REGIMEN COMUN</v>
          </cell>
          <cell r="J4948" t="str">
            <v>BRR CEBALLOS CR 55 D 18 206 P 1 AP 04 CC MAMONAL PLAZA</v>
          </cell>
          <cell r="K4948" t="str">
            <v>13001</v>
          </cell>
          <cell r="L4948" t="str">
            <v>CARTAGENA</v>
          </cell>
          <cell r="M4948" t="str">
            <v>3016706932</v>
          </cell>
        </row>
        <row r="4949">
          <cell r="A4949">
            <v>900332077</v>
          </cell>
          <cell r="B4949" t="str">
            <v>6</v>
          </cell>
          <cell r="C4949" t="str">
            <v/>
          </cell>
          <cell r="D4949" t="str">
            <v>NJ</v>
          </cell>
          <cell r="E4949" t="str">
            <v/>
          </cell>
          <cell r="F4949" t="str">
            <v/>
          </cell>
          <cell r="G4949" t="str">
            <v>GEO OIL ENERGY SOCIEDAD POR ACCIONES SIMPLIFICADA</v>
          </cell>
          <cell r="H4949" t="str">
            <v>IMVE</v>
          </cell>
          <cell r="I4949" t="str">
            <v>IMPUESTO SOBRE LAS VENTAS</v>
          </cell>
          <cell r="J4949" t="str">
            <v>CR 13 A  101 12 OF 301</v>
          </cell>
          <cell r="K4949" t="str">
            <v>11001</v>
          </cell>
          <cell r="L4949" t="str">
            <v>BOGOTA DC</v>
          </cell>
          <cell r="M4949" t="str">
            <v>6753555</v>
          </cell>
        </row>
        <row r="4950">
          <cell r="A4950">
            <v>900332396</v>
          </cell>
          <cell r="B4950" t="str">
            <v>0</v>
          </cell>
          <cell r="C4950" t="str">
            <v/>
          </cell>
          <cell r="D4950" t="str">
            <v>NJ</v>
          </cell>
          <cell r="E4950" t="str">
            <v/>
          </cell>
          <cell r="F4950" t="str">
            <v/>
          </cell>
          <cell r="G4950" t="str">
            <v>SAMM COLOMBIA S.A.S.</v>
          </cell>
          <cell r="H4950" t="str">
            <v>RCAU</v>
          </cell>
          <cell r="I4950" t="str">
            <v>RESPONSABLE IVA - AUTORETENEDOR</v>
          </cell>
          <cell r="J4950" t="str">
            <v>CL 21 69  B  35  ZN  INDUSTRIAL MONTEVIDEO</v>
          </cell>
          <cell r="K4950" t="str">
            <v>11001</v>
          </cell>
          <cell r="L4950" t="str">
            <v>BOGOTA DC</v>
          </cell>
          <cell r="M4950" t="str">
            <v>4143010</v>
          </cell>
        </row>
        <row r="4951">
          <cell r="A4951">
            <v>900332479</v>
          </cell>
          <cell r="B4951" t="str">
            <v>3</v>
          </cell>
          <cell r="C4951" t="str">
            <v/>
          </cell>
          <cell r="D4951" t="str">
            <v>NJ</v>
          </cell>
          <cell r="E4951" t="str">
            <v/>
          </cell>
          <cell r="F4951" t="str">
            <v/>
          </cell>
          <cell r="G4951" t="str">
            <v>TANIMBOCA S.A.S</v>
          </cell>
          <cell r="H4951" t="str">
            <v>REOR</v>
          </cell>
          <cell r="I4951" t="str">
            <v>RENTA REGIMEN ORDINARIO</v>
          </cell>
          <cell r="J4951" t="str">
            <v>KM 11 NOMBRE VIA LETICIA TARAPACA</v>
          </cell>
          <cell r="K4951" t="str">
            <v>91001</v>
          </cell>
          <cell r="L4951" t="str">
            <v>LETICIA</v>
          </cell>
          <cell r="M4951" t="str">
            <v>5927679</v>
          </cell>
        </row>
        <row r="4952">
          <cell r="A4952">
            <v>900333885</v>
          </cell>
          <cell r="B4952" t="str">
            <v>5</v>
          </cell>
          <cell r="C4952" t="str">
            <v/>
          </cell>
          <cell r="D4952" t="str">
            <v>NJ</v>
          </cell>
          <cell r="E4952" t="str">
            <v/>
          </cell>
          <cell r="F4952" t="str">
            <v/>
          </cell>
          <cell r="G4952" t="str">
            <v>CONSTRUCTORA MATIZ S.A.S</v>
          </cell>
          <cell r="H4952" t="str">
            <v>REOR</v>
          </cell>
          <cell r="I4952" t="str">
            <v>RENTA REGIMEN ORDINARIO</v>
          </cell>
          <cell r="J4952" t="str">
            <v xml:space="preserve"> AV  5 E 26 36 BRR CHAPARRAL</v>
          </cell>
          <cell r="K4952" t="str">
            <v>54405</v>
          </cell>
          <cell r="L4952" t="str">
            <v>LOS PATIOS</v>
          </cell>
          <cell r="M4952" t="str">
            <v>5761664</v>
          </cell>
        </row>
        <row r="4953">
          <cell r="A4953">
            <v>900334110</v>
          </cell>
          <cell r="B4953" t="str">
            <v>0</v>
          </cell>
          <cell r="C4953" t="str">
            <v/>
          </cell>
          <cell r="D4953" t="str">
            <v>NJ</v>
          </cell>
          <cell r="E4953" t="str">
            <v/>
          </cell>
          <cell r="F4953" t="str">
            <v/>
          </cell>
          <cell r="G4953" t="str">
            <v>DAYPARKING SAS</v>
          </cell>
          <cell r="H4953" t="str">
            <v>RECO</v>
          </cell>
          <cell r="I4953" t="str">
            <v>REGIMEN COMUN</v>
          </cell>
          <cell r="J4953" t="str">
            <v>CL 114 A 45 32 CC ALHAMBRA PLAZA OF 227</v>
          </cell>
          <cell r="K4953" t="str">
            <v>11001</v>
          </cell>
          <cell r="L4953" t="str">
            <v>BOGOTA DC</v>
          </cell>
          <cell r="M4953" t="str">
            <v>7022047</v>
          </cell>
        </row>
        <row r="4954">
          <cell r="A4954">
            <v>900334518</v>
          </cell>
          <cell r="B4954" t="str">
            <v>1</v>
          </cell>
          <cell r="C4954" t="str">
            <v/>
          </cell>
          <cell r="D4954" t="str">
            <v>NJ</v>
          </cell>
          <cell r="E4954" t="str">
            <v/>
          </cell>
          <cell r="F4954" t="str">
            <v/>
          </cell>
          <cell r="G4954" t="str">
            <v>GRUPO INGENIERÍA INTELIGENTE SOLUCIONES LTDA.</v>
          </cell>
          <cell r="H4954" t="str">
            <v>RECO</v>
          </cell>
          <cell r="I4954" t="str">
            <v>REGIMEN COMUN</v>
          </cell>
          <cell r="J4954" t="str">
            <v>CR  35 16 01</v>
          </cell>
          <cell r="K4954" t="str">
            <v>15238</v>
          </cell>
          <cell r="L4954" t="str">
            <v>DUITAMA</v>
          </cell>
          <cell r="M4954" t="str">
            <v>7620779</v>
          </cell>
        </row>
        <row r="4955">
          <cell r="A4955">
            <v>900334596</v>
          </cell>
          <cell r="B4955" t="str">
            <v>6</v>
          </cell>
          <cell r="C4955" t="str">
            <v/>
          </cell>
          <cell r="D4955" t="str">
            <v>NJ</v>
          </cell>
          <cell r="E4955" t="str">
            <v/>
          </cell>
          <cell r="F4955" t="str">
            <v/>
          </cell>
          <cell r="G4955" t="str">
            <v>COINTERPRO SAS</v>
          </cell>
          <cell r="H4955" t="str">
            <v>RESI</v>
          </cell>
          <cell r="I4955" t="str">
            <v>REGIMEN SIMPLIFICADO</v>
          </cell>
          <cell r="J4955" t="str">
            <v>CR 10 24 60 BRR LAS NIEVES</v>
          </cell>
          <cell r="K4955" t="str">
            <v>15001</v>
          </cell>
          <cell r="L4955" t="str">
            <v>TUNJA</v>
          </cell>
          <cell r="M4955" t="str">
            <v>3133792158</v>
          </cell>
        </row>
        <row r="4956">
          <cell r="A4956">
            <v>900334950</v>
          </cell>
          <cell r="B4956" t="str">
            <v>0</v>
          </cell>
          <cell r="C4956" t="str">
            <v/>
          </cell>
          <cell r="D4956" t="str">
            <v>NJ</v>
          </cell>
          <cell r="E4956" t="str">
            <v/>
          </cell>
          <cell r="F4956" t="str">
            <v/>
          </cell>
          <cell r="G4956" t="str">
            <v>TEXCONFORT RL S.A.S</v>
          </cell>
          <cell r="H4956" t="str">
            <v>RECO</v>
          </cell>
          <cell r="I4956" t="str">
            <v>REGIMEN COMUN</v>
          </cell>
          <cell r="J4956" t="str">
            <v>CR 54   48   22</v>
          </cell>
          <cell r="K4956" t="str">
            <v>05001</v>
          </cell>
          <cell r="L4956" t="str">
            <v>MEDELLÍN</v>
          </cell>
          <cell r="M4956" t="str">
            <v>2512515</v>
          </cell>
        </row>
        <row r="4957">
          <cell r="A4957">
            <v>900335241</v>
          </cell>
          <cell r="B4957" t="str">
            <v>1</v>
          </cell>
          <cell r="C4957" t="str">
            <v/>
          </cell>
          <cell r="D4957" t="str">
            <v>NJ</v>
          </cell>
          <cell r="E4957" t="str">
            <v/>
          </cell>
          <cell r="F4957" t="str">
            <v/>
          </cell>
          <cell r="G4957" t="str">
            <v>MIS CARNES SALITRE GRUPO MIS S.A.S</v>
          </cell>
          <cell r="H4957" t="str">
            <v>RECO</v>
          </cell>
          <cell r="I4957" t="str">
            <v>REGIMEN COMUN</v>
          </cell>
          <cell r="J4957" t="str">
            <v>CL 25 B 68 B   18</v>
          </cell>
          <cell r="K4957" t="str">
            <v>11001</v>
          </cell>
          <cell r="L4957" t="str">
            <v>BOGOTA DC</v>
          </cell>
          <cell r="M4957" t="str">
            <v>4276681</v>
          </cell>
        </row>
        <row r="4958">
          <cell r="A4958">
            <v>900335279</v>
          </cell>
          <cell r="B4958" t="str">
            <v>0</v>
          </cell>
          <cell r="C4958" t="str">
            <v/>
          </cell>
          <cell r="D4958" t="str">
            <v>NJ</v>
          </cell>
          <cell r="E4958" t="str">
            <v/>
          </cell>
          <cell r="F4958" t="str">
            <v/>
          </cell>
          <cell r="G4958" t="str">
            <v>INVERSIONES GLP SAS ESP</v>
          </cell>
          <cell r="H4958" t="str">
            <v>GRCO</v>
          </cell>
          <cell r="I4958" t="str">
            <v>GRAN CONTRIBUYENTE</v>
          </cell>
          <cell r="J4958" t="str">
            <v xml:space="preserve"> CL 110 9 25 OF 1712 P 17</v>
          </cell>
          <cell r="K4958" t="str">
            <v>11001</v>
          </cell>
          <cell r="L4958" t="str">
            <v>BOGOTA DC</v>
          </cell>
          <cell r="M4958" t="str">
            <v>5873400</v>
          </cell>
        </row>
        <row r="4959">
          <cell r="A4959">
            <v>900336004</v>
          </cell>
          <cell r="B4959" t="str">
            <v>7</v>
          </cell>
          <cell r="C4959" t="str">
            <v>923272105</v>
          </cell>
          <cell r="D4959" t="str">
            <v>NJ</v>
          </cell>
          <cell r="E4959" t="str">
            <v/>
          </cell>
          <cell r="F4959" t="str">
            <v/>
          </cell>
          <cell r="G4959" t="str">
            <v>COLPENSIONES</v>
          </cell>
          <cell r="H4959" t="str">
            <v>GRCO</v>
          </cell>
          <cell r="I4959" t="str">
            <v>GRAN CONTRIBUYENTE</v>
          </cell>
          <cell r="J4959" t="str">
            <v>calle 45 20</v>
          </cell>
          <cell r="K4959" t="str">
            <v>17001</v>
          </cell>
          <cell r="L4959" t="str">
            <v>MANIZALES</v>
          </cell>
          <cell r="M4959" t="str">
            <v>8856262</v>
          </cell>
        </row>
        <row r="4960">
          <cell r="A4960">
            <v>900336013</v>
          </cell>
          <cell r="B4960" t="str">
            <v>3</v>
          </cell>
          <cell r="C4960" t="str">
            <v/>
          </cell>
          <cell r="D4960" t="str">
            <v>NJ</v>
          </cell>
          <cell r="E4960" t="str">
            <v/>
          </cell>
          <cell r="F4960" t="str">
            <v/>
          </cell>
          <cell r="G4960" t="str">
            <v>INVERSIONES Y SOLUCIONES INTEGRALES DE CONSTRUCCIÓN SAS</v>
          </cell>
          <cell r="H4960" t="str">
            <v>IMVE</v>
          </cell>
          <cell r="I4960" t="str">
            <v>IMPUESTO SOBRE LAS VENTAS</v>
          </cell>
          <cell r="J4960" t="str">
            <v>CR 22 G 119 34</v>
          </cell>
          <cell r="K4960" t="str">
            <v>11001</v>
          </cell>
          <cell r="L4960" t="str">
            <v>BOGOTA DC</v>
          </cell>
          <cell r="M4960" t="str">
            <v>3164825892</v>
          </cell>
        </row>
        <row r="4961">
          <cell r="A4961">
            <v>900336520</v>
          </cell>
          <cell r="B4961" t="str">
            <v>6</v>
          </cell>
          <cell r="C4961" t="str">
            <v/>
          </cell>
          <cell r="D4961" t="str">
            <v>NJ</v>
          </cell>
          <cell r="E4961" t="str">
            <v/>
          </cell>
          <cell r="F4961" t="str">
            <v/>
          </cell>
          <cell r="G4961" t="str">
            <v>INVERSIONES E INMOBILIARIA TOTAL SA</v>
          </cell>
          <cell r="H4961" t="str">
            <v>RECO</v>
          </cell>
          <cell r="I4961" t="str">
            <v>REGIMEN COMUN</v>
          </cell>
          <cell r="J4961" t="str">
            <v>CR 38   10   36</v>
          </cell>
          <cell r="K4961" t="str">
            <v>05001</v>
          </cell>
          <cell r="L4961" t="str">
            <v>MEDELLÍN</v>
          </cell>
          <cell r="M4961" t="str">
            <v>2689806</v>
          </cell>
        </row>
        <row r="4962">
          <cell r="A4962">
            <v>900337517</v>
          </cell>
          <cell r="B4962" t="str">
            <v>8</v>
          </cell>
          <cell r="C4962" t="str">
            <v/>
          </cell>
          <cell r="D4962" t="str">
            <v>NJ</v>
          </cell>
          <cell r="E4962" t="str">
            <v/>
          </cell>
          <cell r="F4962" t="str">
            <v/>
          </cell>
          <cell r="G4962" t="str">
            <v>MARES GROUP S.A.S.</v>
          </cell>
          <cell r="H4962" t="str">
            <v>RECO</v>
          </cell>
          <cell r="I4962" t="str">
            <v>REGIMEN COMUN</v>
          </cell>
          <cell r="J4962" t="str">
            <v xml:space="preserve"> CL 19 NORTE  2 N  29 OF 25 02 TORRE DE CALI</v>
          </cell>
          <cell r="K4962" t="str">
            <v>76001</v>
          </cell>
          <cell r="L4962" t="str">
            <v>CALI</v>
          </cell>
          <cell r="M4962" t="str">
            <v>6609260</v>
          </cell>
        </row>
        <row r="4963">
          <cell r="A4963">
            <v>900338813</v>
          </cell>
          <cell r="B4963" t="str">
            <v>8</v>
          </cell>
          <cell r="C4963" t="str">
            <v/>
          </cell>
          <cell r="D4963" t="str">
            <v>NJ</v>
          </cell>
          <cell r="E4963" t="str">
            <v/>
          </cell>
          <cell r="F4963" t="str">
            <v/>
          </cell>
          <cell r="G4963" t="str">
            <v>CALIMA SIGLO XXI SAS</v>
          </cell>
          <cell r="H4963" t="str">
            <v>RESI</v>
          </cell>
          <cell r="I4963" t="str">
            <v>REGIMEN SIMPLIFICADO</v>
          </cell>
          <cell r="J4963" t="str">
            <v>CL 56 N 4-18</v>
          </cell>
          <cell r="K4963" t="str">
            <v>17001</v>
          </cell>
          <cell r="L4963" t="str">
            <v>MANIZALES</v>
          </cell>
          <cell r="M4963" t="str">
            <v>(2)4466646</v>
          </cell>
        </row>
        <row r="4964">
          <cell r="A4964">
            <v>900338825</v>
          </cell>
          <cell r="B4964" t="str">
            <v>6</v>
          </cell>
          <cell r="C4964" t="str">
            <v/>
          </cell>
          <cell r="D4964" t="str">
            <v>NJ</v>
          </cell>
          <cell r="E4964" t="str">
            <v/>
          </cell>
          <cell r="F4964" t="str">
            <v/>
          </cell>
          <cell r="G4964" t="str">
            <v>DOBLADORA INDUSTRIAL LIMITADA</v>
          </cell>
          <cell r="H4964" t="str">
            <v>RECO</v>
          </cell>
          <cell r="I4964" t="str">
            <v>REGIMEN COMUN</v>
          </cell>
          <cell r="J4964" t="str">
            <v>CR 19  A 12 23</v>
          </cell>
          <cell r="K4964" t="str">
            <v>15238</v>
          </cell>
          <cell r="L4964" t="str">
            <v>DUITAMA</v>
          </cell>
          <cell r="M4964" t="str">
            <v>7604403</v>
          </cell>
        </row>
        <row r="4965">
          <cell r="A4965">
            <v>900339518</v>
          </cell>
          <cell r="B4965" t="str">
            <v>4</v>
          </cell>
          <cell r="C4965" t="str">
            <v/>
          </cell>
          <cell r="D4965" t="str">
            <v>NJ</v>
          </cell>
          <cell r="E4965" t="str">
            <v/>
          </cell>
          <cell r="F4965" t="str">
            <v/>
          </cell>
          <cell r="G4965" t="str">
            <v>ACCEPETROL SAS</v>
          </cell>
          <cell r="H4965" t="str">
            <v>IMVE</v>
          </cell>
          <cell r="I4965" t="str">
            <v>IMPUESTO SOBRE LAS VENTAS</v>
          </cell>
          <cell r="J4965" t="str">
            <v>CL 34 8 39</v>
          </cell>
          <cell r="K4965" t="str">
            <v>11001</v>
          </cell>
          <cell r="L4965" t="str">
            <v>BOGOTA DC</v>
          </cell>
          <cell r="M4965" t="str">
            <v>2771910</v>
          </cell>
        </row>
        <row r="4966">
          <cell r="A4966">
            <v>900340338</v>
          </cell>
          <cell r="B4966" t="str">
            <v>7</v>
          </cell>
          <cell r="C4966" t="str">
            <v/>
          </cell>
          <cell r="D4966" t="str">
            <v>NJ</v>
          </cell>
          <cell r="E4966" t="str">
            <v/>
          </cell>
          <cell r="F4966" t="str">
            <v/>
          </cell>
          <cell r="G4966" t="str">
            <v>TRANSCURAMA SAS</v>
          </cell>
          <cell r="H4966" t="str">
            <v>RECO</v>
          </cell>
          <cell r="I4966" t="str">
            <v>REGIMEN COMUN</v>
          </cell>
          <cell r="J4966" t="str">
            <v>CL 4 19 22</v>
          </cell>
          <cell r="K4966" t="str">
            <v>85263</v>
          </cell>
          <cell r="L4966" t="str">
            <v>PORE</v>
          </cell>
          <cell r="M4966" t="str">
            <v>6374444</v>
          </cell>
        </row>
        <row r="4967">
          <cell r="A4967">
            <v>900340610</v>
          </cell>
          <cell r="B4967" t="str">
            <v>6</v>
          </cell>
          <cell r="C4967" t="str">
            <v/>
          </cell>
          <cell r="D4967" t="str">
            <v>NJ</v>
          </cell>
          <cell r="E4967" t="str">
            <v/>
          </cell>
          <cell r="F4967" t="str">
            <v/>
          </cell>
          <cell r="G4967" t="str">
            <v>WB INGENIERIA DE PROYECTOS SAS</v>
          </cell>
          <cell r="H4967" t="str">
            <v>IMVE</v>
          </cell>
          <cell r="I4967" t="str">
            <v>IMPUESTO SOBRE LAS VENTAS</v>
          </cell>
          <cell r="J4967" t="str">
            <v>CR 53 46 49</v>
          </cell>
          <cell r="K4967" t="str">
            <v>02</v>
          </cell>
          <cell r="L4967" t="str">
            <v>BARRANQUILLA</v>
          </cell>
          <cell r="M4967" t="str">
            <v>3443512</v>
          </cell>
        </row>
        <row r="4968">
          <cell r="A4968">
            <v>900340669</v>
          </cell>
          <cell r="B4968" t="str">
            <v>1</v>
          </cell>
          <cell r="C4968" t="str">
            <v/>
          </cell>
          <cell r="D4968" t="str">
            <v>NJ</v>
          </cell>
          <cell r="E4968" t="str">
            <v/>
          </cell>
          <cell r="F4968" t="str">
            <v/>
          </cell>
          <cell r="G4968" t="str">
            <v>SOIMET LTDA</v>
          </cell>
          <cell r="H4968" t="str">
            <v>RECO</v>
          </cell>
          <cell r="I4968" t="str">
            <v>REGIMEN COMUN</v>
          </cell>
          <cell r="J4968" t="str">
            <v>CL 13 CR 3 Y 4</v>
          </cell>
          <cell r="K4968" t="str">
            <v>15238</v>
          </cell>
          <cell r="L4968" t="str">
            <v>DUITAMA</v>
          </cell>
          <cell r="M4968" t="str">
            <v>7638858</v>
          </cell>
        </row>
        <row r="4969">
          <cell r="A4969">
            <v>900340832</v>
          </cell>
          <cell r="B4969" t="str">
            <v>4</v>
          </cell>
          <cell r="C4969" t="str">
            <v/>
          </cell>
          <cell r="D4969" t="str">
            <v>NJ</v>
          </cell>
          <cell r="E4969" t="str">
            <v/>
          </cell>
          <cell r="F4969" t="str">
            <v/>
          </cell>
          <cell r="G4969" t="str">
            <v>SERVICIOS Y ASESORIAS INTEGRALES EN SALUD OCUPACIONAL S.A.S</v>
          </cell>
          <cell r="H4969" t="str">
            <v>REOR</v>
          </cell>
          <cell r="I4969" t="str">
            <v>RENTA REGIMEN ORDINARIO</v>
          </cell>
          <cell r="J4969" t="str">
            <v xml:space="preserve"> CR 24 51 45 ED CLARABET DE VERSALLES</v>
          </cell>
          <cell r="K4969" t="str">
            <v>17001</v>
          </cell>
          <cell r="L4969" t="str">
            <v>MANIZALES</v>
          </cell>
          <cell r="M4969" t="str">
            <v>8813741</v>
          </cell>
        </row>
        <row r="4970">
          <cell r="A4970">
            <v>900341052</v>
          </cell>
          <cell r="B4970" t="str">
            <v>0</v>
          </cell>
          <cell r="C4970" t="str">
            <v/>
          </cell>
          <cell r="D4970" t="str">
            <v>NJ</v>
          </cell>
          <cell r="E4970" t="str">
            <v/>
          </cell>
          <cell r="F4970" t="str">
            <v/>
          </cell>
          <cell r="G4970" t="str">
            <v>SERTHIM LTDA</v>
          </cell>
          <cell r="H4970" t="str">
            <v>RECO</v>
          </cell>
          <cell r="I4970" t="str">
            <v>REGIMEN COMUN</v>
          </cell>
          <cell r="J4970" t="str">
            <v>CL 3  17 A  60</v>
          </cell>
          <cell r="K4970" t="str">
            <v>15238</v>
          </cell>
          <cell r="L4970" t="str">
            <v>DUITAMA</v>
          </cell>
          <cell r="M4970" t="str">
            <v>3123363480</v>
          </cell>
        </row>
        <row r="4971">
          <cell r="A4971">
            <v>900341296</v>
          </cell>
          <cell r="B4971" t="str">
            <v>0</v>
          </cell>
          <cell r="C4971" t="str">
            <v/>
          </cell>
          <cell r="D4971" t="str">
            <v>NJ</v>
          </cell>
          <cell r="E4971" t="str">
            <v/>
          </cell>
          <cell r="F4971" t="str">
            <v/>
          </cell>
          <cell r="G4971" t="str">
            <v>SERVICIOS AMBIENTALES DE CALDAS</v>
          </cell>
          <cell r="H4971" t="str">
            <v>IMVE</v>
          </cell>
          <cell r="I4971" t="str">
            <v>IMPUESTO SOBRE LAS VENTAS</v>
          </cell>
          <cell r="J4971" t="str">
            <v>CR 24 19 17 P 2 OF 6</v>
          </cell>
          <cell r="K4971" t="str">
            <v>17001</v>
          </cell>
          <cell r="L4971" t="str">
            <v>MANIZALES</v>
          </cell>
          <cell r="M4971" t="str">
            <v>3104716419</v>
          </cell>
        </row>
        <row r="4972">
          <cell r="A4972">
            <v>900341322</v>
          </cell>
          <cell r="B4972" t="str">
            <v>4</v>
          </cell>
          <cell r="C4972" t="str">
            <v/>
          </cell>
          <cell r="D4972" t="str">
            <v>NJ</v>
          </cell>
          <cell r="E4972" t="str">
            <v/>
          </cell>
          <cell r="F4972" t="str">
            <v/>
          </cell>
          <cell r="G4972" t="str">
            <v>METRO OPERACIÓN INMOBILIARIA S.A.S</v>
          </cell>
          <cell r="H4972" t="str">
            <v>IMVE</v>
          </cell>
          <cell r="I4972" t="str">
            <v>IMPUESTO SOBRE LAS VENTAS</v>
          </cell>
          <cell r="J4972" t="str">
            <v>CL 119 6 A 47 I N 2</v>
          </cell>
          <cell r="K4972" t="str">
            <v>11001</v>
          </cell>
          <cell r="L4972" t="str">
            <v>BOGOTA DC</v>
          </cell>
          <cell r="M4972" t="str">
            <v>6194509</v>
          </cell>
        </row>
        <row r="4973">
          <cell r="A4973">
            <v>900341483</v>
          </cell>
          <cell r="B4973" t="str">
            <v>1</v>
          </cell>
          <cell r="C4973" t="str">
            <v/>
          </cell>
          <cell r="D4973" t="str">
            <v>NJ</v>
          </cell>
          <cell r="E4973" t="str">
            <v/>
          </cell>
          <cell r="F4973" t="str">
            <v/>
          </cell>
          <cell r="G4973" t="str">
            <v>PROFESIONALES EN ENERGIA S.A ESP PEESA</v>
          </cell>
          <cell r="H4973" t="str">
            <v>RECO</v>
          </cell>
          <cell r="I4973" t="str">
            <v>REGIMEN COMUN</v>
          </cell>
          <cell r="J4973" t="str">
            <v>TV 23 N°94-33 OF 801</v>
          </cell>
          <cell r="K4973" t="str">
            <v>11001</v>
          </cell>
          <cell r="L4973" t="str">
            <v>BOGOTA DC</v>
          </cell>
          <cell r="M4973" t="str">
            <v>6012452185</v>
          </cell>
        </row>
        <row r="4974">
          <cell r="A4974">
            <v>900341686</v>
          </cell>
          <cell r="B4974" t="str">
            <v>1</v>
          </cell>
          <cell r="C4974" t="str">
            <v/>
          </cell>
          <cell r="D4974" t="str">
            <v>NJ</v>
          </cell>
          <cell r="E4974" t="str">
            <v/>
          </cell>
          <cell r="F4974" t="str">
            <v/>
          </cell>
          <cell r="G4974" t="str">
            <v>INGENIERIA Y SOLUCIONES INTEGRALES, PROYECTOS DE INGENIERÍA SAS</v>
          </cell>
          <cell r="H4974" t="str">
            <v>RECO</v>
          </cell>
          <cell r="I4974" t="str">
            <v>REGIMEN COMUN</v>
          </cell>
          <cell r="J4974" t="str">
            <v>CL 53 C 11 E 09</v>
          </cell>
          <cell r="K4974" t="str">
            <v>15759</v>
          </cell>
          <cell r="L4974" t="str">
            <v>SOGAMOSO</v>
          </cell>
          <cell r="M4974" t="str">
            <v>7732203</v>
          </cell>
        </row>
        <row r="4975">
          <cell r="A4975">
            <v>900341810</v>
          </cell>
          <cell r="B4975" t="str">
            <v>7</v>
          </cell>
          <cell r="C4975" t="str">
            <v/>
          </cell>
          <cell r="D4975" t="str">
            <v>NJ</v>
          </cell>
          <cell r="E4975" t="str">
            <v/>
          </cell>
          <cell r="F4975" t="str">
            <v/>
          </cell>
          <cell r="G4975" t="str">
            <v>HOTELES DE VILLASANTOS SOCIEDAD POR ACCIONES SIMPLIFICADA S.A.S.</v>
          </cell>
          <cell r="H4975" t="str">
            <v>RECO</v>
          </cell>
          <cell r="I4975" t="str">
            <v>REGIMEN COMUN</v>
          </cell>
          <cell r="J4975" t="str">
            <v>CL 106 50 11</v>
          </cell>
          <cell r="K4975" t="str">
            <v>08001</v>
          </cell>
          <cell r="L4975" t="str">
            <v>BARRANQUILLA</v>
          </cell>
          <cell r="M4975" t="str">
            <v>3856060</v>
          </cell>
        </row>
        <row r="4976">
          <cell r="A4976">
            <v>900341830</v>
          </cell>
          <cell r="B4976" t="str">
            <v>4</v>
          </cell>
          <cell r="C4976" t="str">
            <v/>
          </cell>
          <cell r="D4976" t="str">
            <v>NJ</v>
          </cell>
          <cell r="E4976" t="str">
            <v/>
          </cell>
          <cell r="F4976" t="str">
            <v/>
          </cell>
          <cell r="G4976" t="str">
            <v>CONTROL DE DERRAMES Y CONSULTORIA AMBIENTAL S.A.S</v>
          </cell>
          <cell r="H4976" t="str">
            <v>IMVE</v>
          </cell>
          <cell r="I4976" t="str">
            <v>IMPUESTO SOBRE LAS VENTAS</v>
          </cell>
          <cell r="J4976" t="str">
            <v xml:space="preserve"> C35 10 94</v>
          </cell>
          <cell r="K4976" t="str">
            <v>11001</v>
          </cell>
          <cell r="L4976" t="str">
            <v>BOGOTA DC</v>
          </cell>
          <cell r="M4976" t="str">
            <v>3513852</v>
          </cell>
        </row>
        <row r="4977">
          <cell r="A4977">
            <v>900342435</v>
          </cell>
          <cell r="B4977" t="str">
            <v>2</v>
          </cell>
          <cell r="C4977" t="str">
            <v/>
          </cell>
          <cell r="D4977" t="str">
            <v>NJ</v>
          </cell>
          <cell r="E4977" t="str">
            <v/>
          </cell>
          <cell r="F4977" t="str">
            <v/>
          </cell>
          <cell r="G4977" t="str">
            <v>TOBON INGENIERIA SAS</v>
          </cell>
          <cell r="H4977" t="str">
            <v>IMVE</v>
          </cell>
          <cell r="I4977" t="str">
            <v>IMPUESTO SOBRE LAS VENTAS</v>
          </cell>
          <cell r="J4977" t="str">
            <v>CR 36 A 5 B 1 67</v>
          </cell>
          <cell r="K4977" t="str">
            <v>76001</v>
          </cell>
          <cell r="L4977" t="str">
            <v>CALI</v>
          </cell>
          <cell r="M4977" t="str">
            <v>4874759</v>
          </cell>
        </row>
        <row r="4978">
          <cell r="A4978">
            <v>900342847</v>
          </cell>
          <cell r="B4978" t="str">
            <v>3</v>
          </cell>
          <cell r="C4978" t="str">
            <v/>
          </cell>
          <cell r="D4978" t="str">
            <v>NJ</v>
          </cell>
          <cell r="E4978" t="str">
            <v/>
          </cell>
          <cell r="F4978" t="str">
            <v/>
          </cell>
          <cell r="G4978" t="str">
            <v>MAKRON ELECTRONICA INDUSTRIAL S.A.S.</v>
          </cell>
          <cell r="H4978" t="str">
            <v>RECO</v>
          </cell>
          <cell r="I4978" t="str">
            <v>REGIMEN COMUN</v>
          </cell>
          <cell r="J4978" t="str">
            <v>CR 10 20 65 SEC PLAZA DE BOLIVAR</v>
          </cell>
          <cell r="K4978" t="str">
            <v>66001</v>
          </cell>
          <cell r="L4978" t="str">
            <v>PEREIRA</v>
          </cell>
          <cell r="M4978" t="str">
            <v>3342406</v>
          </cell>
        </row>
        <row r="4979">
          <cell r="A4979">
            <v>900344208</v>
          </cell>
          <cell r="B4979" t="str">
            <v>6</v>
          </cell>
          <cell r="C4979" t="str">
            <v/>
          </cell>
          <cell r="D4979" t="str">
            <v>NJ</v>
          </cell>
          <cell r="E4979" t="str">
            <v/>
          </cell>
          <cell r="F4979" t="str">
            <v/>
          </cell>
          <cell r="G4979" t="str">
            <v>IA ENERGIA Y GESTIÓN S.A.S. E.S.P.</v>
          </cell>
          <cell r="H4979" t="str">
            <v>IMVE</v>
          </cell>
          <cell r="I4979" t="str">
            <v>IMPUESTO SOBRE LAS VENTAS</v>
          </cell>
          <cell r="J4979" t="str">
            <v>CLLE 5 3 58</v>
          </cell>
          <cell r="K4979" t="str">
            <v>25873</v>
          </cell>
          <cell r="L4979" t="str">
            <v>VILLAPINZÓN</v>
          </cell>
          <cell r="M4979" t="str">
            <v>3043361001</v>
          </cell>
        </row>
        <row r="4980">
          <cell r="A4980">
            <v>900344389</v>
          </cell>
          <cell r="B4980" t="str">
            <v>0</v>
          </cell>
          <cell r="C4980" t="str">
            <v/>
          </cell>
          <cell r="D4980" t="str">
            <v>NJ</v>
          </cell>
          <cell r="E4980" t="str">
            <v/>
          </cell>
          <cell r="F4980" t="str">
            <v/>
          </cell>
          <cell r="G4980" t="str">
            <v>HOTELES DE CONVENIENCIA SAS</v>
          </cell>
          <cell r="H4980" t="str">
            <v>RECO</v>
          </cell>
          <cell r="I4980" t="str">
            <v>REGIMEN COMUN</v>
          </cell>
          <cell r="J4980" t="str">
            <v>AUT MEDELLIN KM 3</v>
          </cell>
          <cell r="K4980" t="str">
            <v>25214</v>
          </cell>
          <cell r="L4980" t="str">
            <v>COTA</v>
          </cell>
          <cell r="M4980" t="str">
            <v>6000902</v>
          </cell>
        </row>
        <row r="4981">
          <cell r="A4981">
            <v>900344751</v>
          </cell>
          <cell r="B4981" t="str">
            <v>4</v>
          </cell>
          <cell r="C4981" t="str">
            <v/>
          </cell>
          <cell r="D4981" t="str">
            <v>NJ</v>
          </cell>
          <cell r="E4981" t="str">
            <v/>
          </cell>
          <cell r="F4981" t="str">
            <v/>
          </cell>
          <cell r="G4981" t="str">
            <v>SERVICIOS Y SUMINISTROS PARA LA INDUSTRIA INGENIERÍA S.A.S</v>
          </cell>
          <cell r="H4981" t="str">
            <v>RECO</v>
          </cell>
          <cell r="I4981" t="str">
            <v>REGIMEN COMUN</v>
          </cell>
          <cell r="J4981" t="str">
            <v>CL 75 C 71 A 37</v>
          </cell>
          <cell r="K4981" t="str">
            <v>11001</v>
          </cell>
          <cell r="L4981" t="str">
            <v>BOGOTA DC</v>
          </cell>
          <cell r="M4981" t="str">
            <v>3108981</v>
          </cell>
        </row>
        <row r="4982">
          <cell r="A4982">
            <v>900344843</v>
          </cell>
          <cell r="B4982" t="str">
            <v>3</v>
          </cell>
          <cell r="C4982" t="str">
            <v/>
          </cell>
          <cell r="D4982" t="str">
            <v>NJ</v>
          </cell>
          <cell r="E4982" t="str">
            <v/>
          </cell>
          <cell r="F4982" t="str">
            <v/>
          </cell>
          <cell r="G4982" t="str">
            <v>KAVANTIC SAS</v>
          </cell>
          <cell r="H4982" t="str">
            <v>IMVE</v>
          </cell>
          <cell r="I4982" t="str">
            <v>IMPUESTO SOBRE LAS VENTAS</v>
          </cell>
          <cell r="J4982" t="str">
            <v>CR 24 22 02 OF 603</v>
          </cell>
          <cell r="K4982" t="str">
            <v>17001</v>
          </cell>
          <cell r="L4982" t="str">
            <v>MANIZALES</v>
          </cell>
          <cell r="M4982" t="str">
            <v>6068847890</v>
          </cell>
        </row>
        <row r="4983">
          <cell r="A4983">
            <v>900344848</v>
          </cell>
          <cell r="B4983" t="str">
            <v>1</v>
          </cell>
          <cell r="C4983" t="str">
            <v/>
          </cell>
          <cell r="D4983" t="str">
            <v>NJ</v>
          </cell>
          <cell r="E4983" t="str">
            <v/>
          </cell>
          <cell r="F4983" t="str">
            <v/>
          </cell>
          <cell r="G4983" t="str">
            <v>BUHOS EDITORES LTDA</v>
          </cell>
          <cell r="H4983" t="str">
            <v>IMVE</v>
          </cell>
          <cell r="I4983" t="str">
            <v>IMPUESTO SOBRE LAS VENTAS</v>
          </cell>
          <cell r="J4983" t="str">
            <v>CL 57 9 36 BRR SANTA RITA</v>
          </cell>
          <cell r="K4983" t="str">
            <v>15001</v>
          </cell>
          <cell r="L4983" t="str">
            <v>TUNJA</v>
          </cell>
          <cell r="M4983" t="str">
            <v>7442264</v>
          </cell>
        </row>
        <row r="4984">
          <cell r="A4984">
            <v>900346779</v>
          </cell>
          <cell r="B4984" t="str">
            <v>9</v>
          </cell>
          <cell r="C4984" t="str">
            <v/>
          </cell>
          <cell r="D4984" t="str">
            <v>NJ</v>
          </cell>
          <cell r="E4984" t="str">
            <v/>
          </cell>
          <cell r="F4984" t="str">
            <v/>
          </cell>
          <cell r="G4984" t="str">
            <v>A CONSULTORIA E INGENIERIA S.A.S</v>
          </cell>
          <cell r="H4984" t="str">
            <v>IMVE</v>
          </cell>
          <cell r="I4984" t="str">
            <v>IMPUESTO SOBRE LAS VENTAS</v>
          </cell>
          <cell r="J4984" t="str">
            <v xml:space="preserve"> CR 12 84 A 12 OF 301</v>
          </cell>
          <cell r="K4984" t="str">
            <v>11001</v>
          </cell>
          <cell r="L4984" t="str">
            <v>BOGOTA DC</v>
          </cell>
          <cell r="M4984" t="str">
            <v>2572232</v>
          </cell>
        </row>
        <row r="4985">
          <cell r="A4985">
            <v>900347900</v>
          </cell>
          <cell r="B4985" t="str">
            <v>9</v>
          </cell>
          <cell r="C4985" t="str">
            <v/>
          </cell>
          <cell r="D4985" t="str">
            <v>NJ</v>
          </cell>
          <cell r="E4985" t="str">
            <v/>
          </cell>
          <cell r="F4985" t="str">
            <v/>
          </cell>
          <cell r="G4985" t="str">
            <v>DIESELECTROS CARIBE S.A.S</v>
          </cell>
          <cell r="H4985" t="str">
            <v>IMVE</v>
          </cell>
          <cell r="I4985" t="str">
            <v>IMPUESTO SOBRE LAS VENTAS</v>
          </cell>
          <cell r="J4985" t="str">
            <v>VIA 40 85 560 BG 21</v>
          </cell>
          <cell r="K4985" t="str">
            <v>08001</v>
          </cell>
          <cell r="L4985" t="str">
            <v>BARRANQUILLA</v>
          </cell>
          <cell r="M4985" t="str">
            <v>3118952393</v>
          </cell>
        </row>
        <row r="4986">
          <cell r="A4986">
            <v>900347973</v>
          </cell>
          <cell r="B4986" t="str">
            <v>6</v>
          </cell>
          <cell r="C4986" t="str">
            <v/>
          </cell>
          <cell r="D4986" t="str">
            <v>NJ</v>
          </cell>
          <cell r="E4986" t="str">
            <v/>
          </cell>
          <cell r="F4986" t="str">
            <v/>
          </cell>
          <cell r="G4986" t="str">
            <v>ASOCIACION CAGUAMA</v>
          </cell>
          <cell r="H4986" t="str">
            <v>RECO</v>
          </cell>
          <cell r="I4986" t="str">
            <v>REGIMEN COMUN</v>
          </cell>
          <cell r="J4986" t="str">
            <v>CORR EL VALLE</v>
          </cell>
          <cell r="K4986" t="str">
            <v>27075</v>
          </cell>
          <cell r="L4986" t="str">
            <v>BAHÍA SOLANO</v>
          </cell>
          <cell r="M4986" t="str">
            <v>3146772488</v>
          </cell>
        </row>
        <row r="4987">
          <cell r="A4987">
            <v>900348172</v>
          </cell>
          <cell r="B4987" t="str">
            <v>8</v>
          </cell>
          <cell r="C4987" t="str">
            <v/>
          </cell>
          <cell r="D4987" t="str">
            <v>NJ</v>
          </cell>
          <cell r="E4987" t="str">
            <v/>
          </cell>
          <cell r="F4987" t="str">
            <v/>
          </cell>
          <cell r="G4987" t="str">
            <v>ESLINGAS DE COLOMBIA SAS</v>
          </cell>
          <cell r="H4987" t="str">
            <v>IMVE</v>
          </cell>
          <cell r="I4987" t="str">
            <v>IMPUESTO SOBRE LAS VENTAS</v>
          </cell>
          <cell r="J4987" t="str">
            <v xml:space="preserve"> CL 3  25 A  71 OF 101  BG 1</v>
          </cell>
          <cell r="K4987" t="str">
            <v>11001</v>
          </cell>
          <cell r="L4987" t="str">
            <v>BOGOTA DC</v>
          </cell>
          <cell r="M4987" t="str">
            <v>1085070</v>
          </cell>
        </row>
        <row r="4988">
          <cell r="A4988">
            <v>900348346</v>
          </cell>
          <cell r="B4988" t="str">
            <v>2</v>
          </cell>
          <cell r="C4988" t="str">
            <v/>
          </cell>
          <cell r="D4988" t="str">
            <v>NJ</v>
          </cell>
          <cell r="E4988" t="str">
            <v/>
          </cell>
          <cell r="F4988" t="str">
            <v/>
          </cell>
          <cell r="G4988" t="str">
            <v>INVERSIONES GUIAR LTDA</v>
          </cell>
          <cell r="H4988" t="str">
            <v>RECO</v>
          </cell>
          <cell r="I4988" t="str">
            <v>REGIMEN COMUN</v>
          </cell>
          <cell r="J4988" t="str">
            <v>CL 22 A 40 13</v>
          </cell>
          <cell r="K4988" t="str">
            <v>11001</v>
          </cell>
          <cell r="L4988" t="str">
            <v>BOGOTA DC</v>
          </cell>
          <cell r="M4988" t="str">
            <v>2687519</v>
          </cell>
        </row>
        <row r="4989">
          <cell r="A4989">
            <v>900348368</v>
          </cell>
          <cell r="B4989" t="str">
            <v>4</v>
          </cell>
          <cell r="C4989" t="str">
            <v/>
          </cell>
          <cell r="D4989" t="str">
            <v>NJ</v>
          </cell>
          <cell r="E4989" t="str">
            <v/>
          </cell>
          <cell r="F4989" t="str">
            <v/>
          </cell>
          <cell r="G4989" t="str">
            <v>FUNDACIÓN COLOMBIA EXCELENTE</v>
          </cell>
          <cell r="H4989" t="str">
            <v>IMVE</v>
          </cell>
          <cell r="I4989" t="str">
            <v>IMPUESTO SOBRE LAS VENTAS</v>
          </cell>
          <cell r="J4989" t="str">
            <v>CR 6 115 65 ZN F OF 304 A</v>
          </cell>
          <cell r="K4989" t="str">
            <v>11001</v>
          </cell>
          <cell r="L4989" t="str">
            <v>BOGOTA DC</v>
          </cell>
          <cell r="M4989" t="str">
            <v>7038130</v>
          </cell>
        </row>
        <row r="4990">
          <cell r="A4990">
            <v>900348651</v>
          </cell>
          <cell r="B4990" t="str">
            <v>4</v>
          </cell>
          <cell r="C4990" t="str">
            <v/>
          </cell>
          <cell r="D4990" t="str">
            <v>NJ</v>
          </cell>
          <cell r="E4990" t="str">
            <v/>
          </cell>
          <cell r="F4990" t="str">
            <v/>
          </cell>
          <cell r="G4990" t="str">
            <v>FGH DISTRIBUIDORA SAS</v>
          </cell>
          <cell r="H4990" t="str">
            <v>RECO</v>
          </cell>
          <cell r="I4990" t="str">
            <v>REGIMEN COMUN</v>
          </cell>
          <cell r="J4990" t="str">
            <v>CR 4 10 02</v>
          </cell>
          <cell r="K4990" t="str">
            <v>76147</v>
          </cell>
          <cell r="L4990" t="str">
            <v>CARTAGO</v>
          </cell>
          <cell r="M4990" t="str">
            <v>2113818</v>
          </cell>
        </row>
        <row r="4991">
          <cell r="A4991">
            <v>900349300</v>
          </cell>
          <cell r="B4991" t="str">
            <v>9</v>
          </cell>
          <cell r="C4991" t="str">
            <v/>
          </cell>
          <cell r="D4991" t="str">
            <v>NJ</v>
          </cell>
          <cell r="E4991" t="str">
            <v/>
          </cell>
          <cell r="F4991" t="str">
            <v/>
          </cell>
          <cell r="G4991" t="str">
            <v>IMPORTADORA SOLO HERRAMIENTAS SAS</v>
          </cell>
          <cell r="H4991" t="str">
            <v>RECO</v>
          </cell>
          <cell r="I4991" t="str">
            <v>REGIMEN COMUN</v>
          </cell>
          <cell r="J4991" t="str">
            <v>DG 23 28 20 IN 3 507</v>
          </cell>
          <cell r="K4991" t="str">
            <v>11001</v>
          </cell>
          <cell r="L4991" t="str">
            <v>BOGOTA DC</v>
          </cell>
          <cell r="M4991" t="str">
            <v>7528230</v>
          </cell>
        </row>
        <row r="4992">
          <cell r="A4992">
            <v>900349564</v>
          </cell>
          <cell r="B4992" t="str">
            <v>6</v>
          </cell>
          <cell r="C4992" t="str">
            <v/>
          </cell>
          <cell r="D4992" t="str">
            <v>NJ</v>
          </cell>
          <cell r="E4992" t="str">
            <v/>
          </cell>
          <cell r="F4992" t="str">
            <v/>
          </cell>
          <cell r="G4992" t="str">
            <v>CERTEZA FUNDACION</v>
          </cell>
          <cell r="H4992" t="str">
            <v>IMVE</v>
          </cell>
          <cell r="I4992" t="str">
            <v>IMPUESTO SOBRE LAS VENTAS</v>
          </cell>
          <cell r="J4992" t="str">
            <v>AV 4 NORTE 35 14</v>
          </cell>
          <cell r="K4992" t="str">
            <v>76001</v>
          </cell>
          <cell r="L4992" t="str">
            <v>CALI</v>
          </cell>
          <cell r="M4992" t="str">
            <v>3703336</v>
          </cell>
        </row>
        <row r="4993">
          <cell r="A4993">
            <v>900350138</v>
          </cell>
          <cell r="B4993" t="str">
            <v>3</v>
          </cell>
          <cell r="C4993" t="str">
            <v/>
          </cell>
          <cell r="D4993" t="str">
            <v>NJ</v>
          </cell>
          <cell r="E4993" t="str">
            <v/>
          </cell>
          <cell r="F4993" t="str">
            <v/>
          </cell>
          <cell r="G4993" t="str">
            <v>DECIMO DOTACIONES SAS</v>
          </cell>
          <cell r="H4993" t="str">
            <v>IMVE</v>
          </cell>
          <cell r="I4993" t="str">
            <v>IMPUESTO SOBRE LAS VENTAS</v>
          </cell>
          <cell r="J4993" t="str">
            <v>CR 26 68 92</v>
          </cell>
          <cell r="K4993" t="str">
            <v>11001</v>
          </cell>
          <cell r="L4993" t="str">
            <v>BOGOTA DC</v>
          </cell>
          <cell r="M4993" t="str">
            <v>2256252</v>
          </cell>
        </row>
        <row r="4994">
          <cell r="A4994">
            <v>900350331</v>
          </cell>
          <cell r="B4994" t="str">
            <v>9</v>
          </cell>
          <cell r="C4994" t="str">
            <v/>
          </cell>
          <cell r="D4994" t="str">
            <v>NJ</v>
          </cell>
          <cell r="E4994" t="str">
            <v/>
          </cell>
          <cell r="F4994" t="str">
            <v/>
          </cell>
          <cell r="G4994" t="str">
            <v>R Y M CAPACITACIONES EMPRESARIALES LTDA</v>
          </cell>
          <cell r="H4994" t="str">
            <v>RECO</v>
          </cell>
          <cell r="I4994" t="str">
            <v>REGIMEN COMUN</v>
          </cell>
          <cell r="J4994" t="str">
            <v>CR 35 53 38</v>
          </cell>
          <cell r="K4994" t="str">
            <v>11001</v>
          </cell>
          <cell r="L4994" t="str">
            <v>BOGOTA DC</v>
          </cell>
          <cell r="M4994" t="str">
            <v>3158064</v>
          </cell>
        </row>
        <row r="4995">
          <cell r="A4995">
            <v>900352786</v>
          </cell>
          <cell r="B4995" t="str">
            <v>5</v>
          </cell>
          <cell r="C4995" t="str">
            <v/>
          </cell>
          <cell r="D4995" t="str">
            <v>NJ</v>
          </cell>
          <cell r="E4995" t="str">
            <v/>
          </cell>
          <cell r="F4995" t="str">
            <v/>
          </cell>
          <cell r="G4995" t="str">
            <v>RISKS INTERNATIONAL S.A.S.</v>
          </cell>
          <cell r="H4995" t="str">
            <v>IMVE</v>
          </cell>
          <cell r="I4995" t="str">
            <v>IMPUESTO SOBRE LAS VENTAS</v>
          </cell>
          <cell r="J4995" t="str">
            <v>CL 25 B 39 A 30</v>
          </cell>
          <cell r="K4995" t="str">
            <v>11001</v>
          </cell>
          <cell r="L4995" t="str">
            <v>BOGOTA DC</v>
          </cell>
          <cell r="M4995" t="str">
            <v>7941834</v>
          </cell>
        </row>
        <row r="4996">
          <cell r="A4996">
            <v>900352815</v>
          </cell>
          <cell r="B4996" t="str">
            <v>0</v>
          </cell>
          <cell r="C4996" t="str">
            <v/>
          </cell>
          <cell r="D4996" t="str">
            <v>NJ</v>
          </cell>
          <cell r="E4996" t="str">
            <v/>
          </cell>
          <cell r="F4996" t="str">
            <v/>
          </cell>
          <cell r="G4996" t="str">
            <v>CORPORACION EL FARO</v>
          </cell>
          <cell r="H4996" t="str">
            <v>IMVE</v>
          </cell>
          <cell r="I4996" t="str">
            <v>IMPUESTO SOBRE LAS VENTAS</v>
          </cell>
          <cell r="J4996" t="str">
            <v>CR 13 A 16 21 BRR CAMPO HERMOSO</v>
          </cell>
          <cell r="K4996" t="str">
            <v>17001</v>
          </cell>
          <cell r="L4996" t="str">
            <v>MANIZALES</v>
          </cell>
          <cell r="M4996" t="str">
            <v>3147992568</v>
          </cell>
        </row>
        <row r="4997">
          <cell r="A4997">
            <v>900354306</v>
          </cell>
          <cell r="B4997" t="str">
            <v>2</v>
          </cell>
          <cell r="C4997" t="str">
            <v/>
          </cell>
          <cell r="D4997" t="str">
            <v>NJ</v>
          </cell>
          <cell r="E4997" t="str">
            <v/>
          </cell>
          <cell r="F4997" t="str">
            <v/>
          </cell>
          <cell r="G4997" t="str">
            <v>PROSEGUIR SOLUCIONES DE LIQUIDEZ S.A.S</v>
          </cell>
          <cell r="H4997" t="str">
            <v>IMVE</v>
          </cell>
          <cell r="I4997" t="str">
            <v>IMPUESTO SOBRE LAS VENTAS</v>
          </cell>
          <cell r="J4997" t="str">
            <v>CR 23 C 62 06 LC 2</v>
          </cell>
          <cell r="K4997" t="str">
            <v>17001</v>
          </cell>
          <cell r="L4997" t="str">
            <v>MANIZALES</v>
          </cell>
          <cell r="M4997" t="str">
            <v>8862116</v>
          </cell>
        </row>
        <row r="4998">
          <cell r="A4998">
            <v>900354728</v>
          </cell>
          <cell r="B4998" t="str">
            <v>7</v>
          </cell>
          <cell r="C4998" t="str">
            <v/>
          </cell>
          <cell r="D4998" t="str">
            <v>NJ</v>
          </cell>
          <cell r="E4998" t="str">
            <v/>
          </cell>
          <cell r="F4998" t="str">
            <v/>
          </cell>
          <cell r="G4998" t="str">
            <v>CORPORACION NUEVO MUNDO</v>
          </cell>
          <cell r="H4998" t="str">
            <v>RECO</v>
          </cell>
          <cell r="I4998" t="str">
            <v>REGIMEN COMUN</v>
          </cell>
          <cell r="J4998" t="str">
            <v>CR 27 13 33 OF 204 27</v>
          </cell>
          <cell r="K4998" t="str">
            <v>68001</v>
          </cell>
          <cell r="L4998" t="str">
            <v>BUCARAMANGA</v>
          </cell>
          <cell r="M4998" t="str">
            <v>6700747</v>
          </cell>
        </row>
        <row r="4999">
          <cell r="A4999">
            <v>900355101</v>
          </cell>
          <cell r="B4999" t="str">
            <v>4</v>
          </cell>
          <cell r="C4999" t="str">
            <v/>
          </cell>
          <cell r="D4999" t="str">
            <v>NJ</v>
          </cell>
          <cell r="E4999" t="str">
            <v/>
          </cell>
          <cell r="F4999" t="str">
            <v/>
          </cell>
          <cell r="G4999" t="str">
            <v>GRAINGER COLOMBIA S.A.S</v>
          </cell>
          <cell r="H4999" t="str">
            <v>GRAU</v>
          </cell>
          <cell r="I4999" t="str">
            <v>GRAN CONTRIBUYENTE AUTORRETENEDO</v>
          </cell>
          <cell r="J4999" t="str">
            <v>VIA 40  73 50</v>
          </cell>
          <cell r="K4999" t="str">
            <v>08001</v>
          </cell>
          <cell r="L4999" t="str">
            <v>BARRANQUILLA</v>
          </cell>
          <cell r="M4999" t="str">
            <v>3126480234</v>
          </cell>
        </row>
        <row r="5000">
          <cell r="A5000">
            <v>900355110</v>
          </cell>
          <cell r="B5000" t="str">
            <v>0</v>
          </cell>
          <cell r="C5000" t="str">
            <v/>
          </cell>
          <cell r="D5000" t="str">
            <v>NJ</v>
          </cell>
          <cell r="E5000" t="str">
            <v/>
          </cell>
          <cell r="F5000" t="str">
            <v/>
          </cell>
          <cell r="G5000" t="str">
            <v>COMERCIALIZADORA GENERAL POSADA HERMANOS S.A.S</v>
          </cell>
          <cell r="H5000" t="str">
            <v>IMVE</v>
          </cell>
          <cell r="I5000" t="str">
            <v>IMPUESTO SOBRE LAS VENTAS</v>
          </cell>
          <cell r="J5000" t="str">
            <v>CR 51 41 104</v>
          </cell>
          <cell r="K5000" t="str">
            <v>05001</v>
          </cell>
          <cell r="L5000" t="str">
            <v>MEDELLÍN</v>
          </cell>
          <cell r="M5000" t="str">
            <v>4486769</v>
          </cell>
        </row>
        <row r="5001">
          <cell r="A5001">
            <v>900356500</v>
          </cell>
          <cell r="B5001" t="str">
            <v>4</v>
          </cell>
          <cell r="C5001" t="str">
            <v/>
          </cell>
          <cell r="D5001" t="str">
            <v>NJ</v>
          </cell>
          <cell r="E5001" t="str">
            <v/>
          </cell>
          <cell r="F5001" t="str">
            <v/>
          </cell>
          <cell r="G5001" t="str">
            <v>PINTUMEZCLAS BOYACA SAS</v>
          </cell>
          <cell r="H5001" t="str">
            <v>RECO</v>
          </cell>
          <cell r="I5001" t="str">
            <v>REGIMEN COMUN</v>
          </cell>
          <cell r="J5001" t="str">
            <v>AV LAS  AMERICAS  24 80</v>
          </cell>
          <cell r="K5001" t="str">
            <v>15238</v>
          </cell>
          <cell r="L5001" t="str">
            <v>DUITAMA</v>
          </cell>
          <cell r="M5001" t="str">
            <v>7614280</v>
          </cell>
        </row>
        <row r="5002">
          <cell r="A5002">
            <v>900356728</v>
          </cell>
          <cell r="B5002" t="str">
            <v>6</v>
          </cell>
          <cell r="C5002" t="str">
            <v/>
          </cell>
          <cell r="D5002" t="str">
            <v>NJ</v>
          </cell>
          <cell r="E5002" t="str">
            <v/>
          </cell>
          <cell r="F5002" t="str">
            <v/>
          </cell>
          <cell r="G5002" t="str">
            <v>G TRADE SAS</v>
          </cell>
          <cell r="H5002" t="str">
            <v>RECO</v>
          </cell>
          <cell r="I5002" t="str">
            <v>REGIMEN COMUN</v>
          </cell>
          <cell r="J5002" t="str">
            <v>AV CR 30 75-49 CR</v>
          </cell>
          <cell r="K5002" t="str">
            <v>11001</v>
          </cell>
          <cell r="L5002" t="str">
            <v>BOGOTA DC</v>
          </cell>
          <cell r="M5002" t="str">
            <v>5524300</v>
          </cell>
        </row>
        <row r="5003">
          <cell r="A5003">
            <v>900357504</v>
          </cell>
          <cell r="B5003" t="str">
            <v>8</v>
          </cell>
          <cell r="C5003" t="str">
            <v/>
          </cell>
          <cell r="D5003" t="str">
            <v>NJ</v>
          </cell>
          <cell r="E5003" t="str">
            <v/>
          </cell>
          <cell r="F5003" t="str">
            <v/>
          </cell>
          <cell r="G5003" t="str">
            <v>FUNDACIÓN REDESPIRAL</v>
          </cell>
          <cell r="H5003" t="str">
            <v>RECO</v>
          </cell>
          <cell r="I5003" t="str">
            <v>REGIMEN COMUN</v>
          </cell>
          <cell r="J5003" t="str">
            <v>CR 23 75 200</v>
          </cell>
          <cell r="K5003" t="str">
            <v>17001</v>
          </cell>
          <cell r="L5003" t="str">
            <v>MANIZALES</v>
          </cell>
          <cell r="M5003" t="str">
            <v>8868015</v>
          </cell>
        </row>
        <row r="5004">
          <cell r="A5004">
            <v>900357617</v>
          </cell>
          <cell r="B5004" t="str">
            <v>1</v>
          </cell>
          <cell r="C5004" t="str">
            <v/>
          </cell>
          <cell r="D5004" t="str">
            <v>NJ</v>
          </cell>
          <cell r="E5004" t="str">
            <v/>
          </cell>
          <cell r="F5004" t="str">
            <v/>
          </cell>
          <cell r="G5004" t="str">
            <v>NASA INDUSTRIAL Y COMERCIAL SAS</v>
          </cell>
          <cell r="H5004" t="str">
            <v>RECO</v>
          </cell>
          <cell r="I5004" t="str">
            <v>REGIMEN COMUN</v>
          </cell>
          <cell r="J5004" t="str">
            <v>CR 40   40 D SUR 46</v>
          </cell>
          <cell r="K5004" t="str">
            <v>05266</v>
          </cell>
          <cell r="L5004" t="str">
            <v>ENVIGADO</v>
          </cell>
          <cell r="M5004" t="str">
            <v>2704711</v>
          </cell>
        </row>
        <row r="5005">
          <cell r="A5005">
            <v>900359232</v>
          </cell>
          <cell r="B5005" t="str">
            <v>9</v>
          </cell>
          <cell r="C5005" t="str">
            <v/>
          </cell>
          <cell r="D5005" t="str">
            <v>NJ</v>
          </cell>
          <cell r="E5005" t="str">
            <v/>
          </cell>
          <cell r="F5005" t="str">
            <v/>
          </cell>
          <cell r="G5005" t="str">
            <v>CARBHID SAS</v>
          </cell>
          <cell r="H5005" t="str">
            <v>RECO</v>
          </cell>
          <cell r="I5005" t="str">
            <v>REGIMEN COMUN</v>
          </cell>
          <cell r="J5005" t="str">
            <v xml:space="preserve"> TV 60  115 58 TO A  OF 707  BRR ILARCO</v>
          </cell>
          <cell r="K5005" t="str">
            <v>11001</v>
          </cell>
          <cell r="L5005" t="str">
            <v>BOGOTA DC</v>
          </cell>
          <cell r="M5005" t="str">
            <v>3134312552</v>
          </cell>
        </row>
        <row r="5006">
          <cell r="A5006">
            <v>900359518</v>
          </cell>
          <cell r="B5006" t="str">
            <v>1</v>
          </cell>
          <cell r="C5006" t="str">
            <v/>
          </cell>
          <cell r="D5006" t="str">
            <v>NJ</v>
          </cell>
          <cell r="E5006" t="str">
            <v/>
          </cell>
          <cell r="F5006" t="str">
            <v/>
          </cell>
          <cell r="G5006" t="str">
            <v>INDUSTRIAS FATELARES S.A.S</v>
          </cell>
          <cell r="H5006" t="str">
            <v>RECO</v>
          </cell>
          <cell r="I5006" t="str">
            <v>REGIMEN COMUN</v>
          </cell>
          <cell r="J5006" t="str">
            <v>CL 60   45 A 240</v>
          </cell>
          <cell r="K5006" t="str">
            <v>05360</v>
          </cell>
          <cell r="L5006" t="str">
            <v>ITAGUI</v>
          </cell>
          <cell r="M5006" t="str">
            <v>4440025</v>
          </cell>
        </row>
        <row r="5007">
          <cell r="A5007">
            <v>900359696</v>
          </cell>
          <cell r="B5007" t="str">
            <v>2</v>
          </cell>
          <cell r="C5007" t="str">
            <v/>
          </cell>
          <cell r="D5007" t="str">
            <v>NJ</v>
          </cell>
          <cell r="E5007" t="str">
            <v/>
          </cell>
          <cell r="F5007" t="str">
            <v/>
          </cell>
          <cell r="G5007" t="str">
            <v>RESIDENCIAS JMCH SAS</v>
          </cell>
          <cell r="H5007" t="str">
            <v>RECO</v>
          </cell>
          <cell r="I5007" t="str">
            <v>REGIMEN COMUN</v>
          </cell>
          <cell r="J5007" t="str">
            <v>CL 44 20 20</v>
          </cell>
          <cell r="K5007" t="str">
            <v>17001</v>
          </cell>
          <cell r="L5007" t="str">
            <v>MANIZALES</v>
          </cell>
          <cell r="M5007" t="str">
            <v>8905040</v>
          </cell>
        </row>
        <row r="5008">
          <cell r="A5008">
            <v>900360039</v>
          </cell>
          <cell r="B5008" t="str">
            <v>5</v>
          </cell>
          <cell r="C5008" t="str">
            <v/>
          </cell>
          <cell r="D5008" t="str">
            <v>NJ</v>
          </cell>
          <cell r="E5008" t="str">
            <v/>
          </cell>
          <cell r="F5008" t="str">
            <v/>
          </cell>
          <cell r="G5008" t="str">
            <v>VILANCIZAR S.A.S/ECOSTAR HOTEL</v>
          </cell>
          <cell r="H5008" t="str">
            <v>RECO</v>
          </cell>
          <cell r="I5008" t="str">
            <v>REGIMEN COMUN</v>
          </cell>
          <cell r="J5008" t="str">
            <v>CL 60 7 96 BRR RINCO PIEDRA PINTADA</v>
          </cell>
          <cell r="K5008" t="str">
            <v>73001</v>
          </cell>
          <cell r="L5008" t="str">
            <v>IBAGUÉ</v>
          </cell>
          <cell r="M5008" t="str">
            <v>2741212</v>
          </cell>
        </row>
        <row r="5009">
          <cell r="A5009">
            <v>900360382</v>
          </cell>
          <cell r="B5009" t="str">
            <v>7</v>
          </cell>
          <cell r="C5009" t="str">
            <v/>
          </cell>
          <cell r="D5009" t="str">
            <v>NJ</v>
          </cell>
          <cell r="E5009" t="str">
            <v/>
          </cell>
          <cell r="F5009" t="str">
            <v/>
          </cell>
          <cell r="G5009" t="str">
            <v>GRUPO S&amp;E S.A.S</v>
          </cell>
          <cell r="H5009" t="str">
            <v>RECO</v>
          </cell>
          <cell r="I5009" t="str">
            <v>REGIMEN COMUN</v>
          </cell>
          <cell r="J5009" t="str">
            <v xml:space="preserve"> CL 70  25 35</v>
          </cell>
          <cell r="K5009" t="str">
            <v>17001</v>
          </cell>
          <cell r="L5009" t="str">
            <v>MANIZALES</v>
          </cell>
          <cell r="M5009" t="str">
            <v>8870022</v>
          </cell>
        </row>
        <row r="5010">
          <cell r="A5010">
            <v>900361573</v>
          </cell>
          <cell r="B5010" t="str">
            <v>1</v>
          </cell>
          <cell r="C5010" t="str">
            <v/>
          </cell>
          <cell r="D5010" t="str">
            <v>NJ</v>
          </cell>
          <cell r="E5010" t="str">
            <v/>
          </cell>
          <cell r="F5010" t="str">
            <v/>
          </cell>
          <cell r="G5010" t="str">
            <v>MIGUEL RAMIREZ TECNOLOGIAS SAS</v>
          </cell>
          <cell r="H5010" t="str">
            <v>RECO</v>
          </cell>
          <cell r="I5010" t="str">
            <v>REGIMEN COMUN</v>
          </cell>
          <cell r="J5010" t="str">
            <v>CL 8 SUR 31 D  13  OF  302</v>
          </cell>
          <cell r="K5010" t="str">
            <v>11001</v>
          </cell>
          <cell r="L5010" t="str">
            <v>BOGOTA DC</v>
          </cell>
          <cell r="M5010" t="str">
            <v>7389950</v>
          </cell>
        </row>
        <row r="5011">
          <cell r="A5011">
            <v>900362633</v>
          </cell>
          <cell r="B5011" t="str">
            <v>1</v>
          </cell>
          <cell r="C5011" t="str">
            <v/>
          </cell>
          <cell r="D5011" t="str">
            <v>NJ</v>
          </cell>
          <cell r="E5011" t="str">
            <v/>
          </cell>
          <cell r="F5011" t="str">
            <v/>
          </cell>
          <cell r="G5011" t="str">
            <v>COORDINAR SEGURIDAD Y COMPAÑIA LTDA</v>
          </cell>
          <cell r="H5011" t="str">
            <v>IMVE</v>
          </cell>
          <cell r="I5011" t="str">
            <v>IMPUESTO SOBRE LAS VENTAS</v>
          </cell>
          <cell r="J5011" t="str">
            <v>CR 11 40 87 SEC JARDIN DE VELEZ</v>
          </cell>
          <cell r="K5011" t="str">
            <v>66001</v>
          </cell>
          <cell r="L5011" t="str">
            <v>PEREIRA</v>
          </cell>
          <cell r="M5011" t="str">
            <v>3163895358</v>
          </cell>
        </row>
        <row r="5012">
          <cell r="A5012">
            <v>900363032</v>
          </cell>
          <cell r="B5012" t="str">
            <v>8</v>
          </cell>
          <cell r="C5012" t="str">
            <v/>
          </cell>
          <cell r="D5012" t="str">
            <v>NJ</v>
          </cell>
          <cell r="E5012" t="str">
            <v/>
          </cell>
          <cell r="F5012" t="str">
            <v/>
          </cell>
          <cell r="G5012" t="str">
            <v>MUNDO LUX SAS</v>
          </cell>
          <cell r="H5012" t="str">
            <v>IMVE</v>
          </cell>
          <cell r="I5012" t="str">
            <v>IMPUESTO SOBRE LAS VENTAS</v>
          </cell>
          <cell r="J5012" t="str">
            <v>CR 68 A  43  43</v>
          </cell>
          <cell r="K5012" t="str">
            <v>05002</v>
          </cell>
          <cell r="L5012" t="str">
            <v>MEDELLIN</v>
          </cell>
          <cell r="M5012" t="str">
            <v>3167932817</v>
          </cell>
        </row>
        <row r="5013">
          <cell r="A5013">
            <v>900363279</v>
          </cell>
          <cell r="B5013" t="str">
            <v>1</v>
          </cell>
          <cell r="C5013" t="str">
            <v/>
          </cell>
          <cell r="D5013" t="str">
            <v>NJ</v>
          </cell>
          <cell r="E5013" t="str">
            <v/>
          </cell>
          <cell r="F5013" t="str">
            <v/>
          </cell>
          <cell r="G5013" t="str">
            <v>L.A.P. TECHNOLOGIES S.A. - LAP TECHNOLOGIES S.A</v>
          </cell>
          <cell r="H5013" t="str">
            <v>IMVE</v>
          </cell>
          <cell r="I5013" t="str">
            <v>IMPUESTO SOBRE LAS VENTAS</v>
          </cell>
          <cell r="J5013" t="str">
            <v xml:space="preserve"> AV TRONCAL DE OCCIDENTE 29 88 ESTE KM 2 5 VIA BOGOTA MOSQUERA</v>
          </cell>
          <cell r="K5013" t="str">
            <v>30</v>
          </cell>
          <cell r="L5013" t="str">
            <v>CUNDINAMARCA</v>
          </cell>
          <cell r="M5013" t="str">
            <v>2572668</v>
          </cell>
        </row>
        <row r="5014">
          <cell r="A5014">
            <v>900363507</v>
          </cell>
          <cell r="B5014" t="str">
            <v>4</v>
          </cell>
          <cell r="C5014" t="str">
            <v/>
          </cell>
          <cell r="D5014" t="str">
            <v>NJ</v>
          </cell>
          <cell r="E5014" t="str">
            <v/>
          </cell>
          <cell r="F5014" t="str">
            <v/>
          </cell>
          <cell r="G5014" t="str">
            <v>JUAN BERNARDO BOTERO INGENIERIA S.A.S.</v>
          </cell>
          <cell r="H5014" t="str">
            <v>RECO</v>
          </cell>
          <cell r="I5014" t="str">
            <v>REGIMEN COMUN</v>
          </cell>
          <cell r="J5014" t="str">
            <v>CR  20 24 55 P 2</v>
          </cell>
          <cell r="K5014" t="str">
            <v>17001</v>
          </cell>
          <cell r="L5014" t="str">
            <v>MANIZALES</v>
          </cell>
          <cell r="M5014" t="str">
            <v>8846517</v>
          </cell>
        </row>
        <row r="5015">
          <cell r="A5015">
            <v>900363819</v>
          </cell>
          <cell r="B5015" t="str">
            <v>7</v>
          </cell>
          <cell r="C5015" t="str">
            <v/>
          </cell>
          <cell r="D5015" t="str">
            <v>NJ</v>
          </cell>
          <cell r="E5015" t="str">
            <v/>
          </cell>
          <cell r="F5015" t="str">
            <v/>
          </cell>
          <cell r="G5015" t="str">
            <v>MCS COLOMBIA SAS</v>
          </cell>
          <cell r="H5015" t="str">
            <v>IMVE</v>
          </cell>
          <cell r="I5015" t="str">
            <v>IMPUESTO SOBRE LAS VENTAS</v>
          </cell>
          <cell r="J5015" t="str">
            <v>CL 19 50 13 BRR PUENTE ARANDA</v>
          </cell>
          <cell r="K5015" t="str">
            <v>11001</v>
          </cell>
          <cell r="L5015" t="str">
            <v>BOGOTA DC</v>
          </cell>
          <cell r="M5015" t="str">
            <v>5505000</v>
          </cell>
        </row>
        <row r="5016">
          <cell r="A5016">
            <v>900365050</v>
          </cell>
          <cell r="B5016" t="str">
            <v>1</v>
          </cell>
          <cell r="C5016" t="str">
            <v/>
          </cell>
          <cell r="D5016" t="str">
            <v>NJ</v>
          </cell>
          <cell r="E5016" t="str">
            <v/>
          </cell>
          <cell r="F5016" t="str">
            <v/>
          </cell>
          <cell r="G5016" t="str">
            <v>IT-XPRESS SAS</v>
          </cell>
          <cell r="H5016" t="str">
            <v>IMVE</v>
          </cell>
          <cell r="I5016" t="str">
            <v>IMPUESTO SOBRE LAS VENTAS</v>
          </cell>
          <cell r="J5016" t="str">
            <v>CR 10 11 A 34</v>
          </cell>
          <cell r="K5016" t="str">
            <v>25754</v>
          </cell>
          <cell r="L5016" t="str">
            <v>SOACHA</v>
          </cell>
          <cell r="M5016" t="str">
            <v>3187709904</v>
          </cell>
        </row>
        <row r="5017">
          <cell r="A5017">
            <v>900365225</v>
          </cell>
          <cell r="B5017" t="str">
            <v>1</v>
          </cell>
          <cell r="C5017" t="str">
            <v/>
          </cell>
          <cell r="D5017" t="str">
            <v>NJ</v>
          </cell>
          <cell r="E5017" t="str">
            <v/>
          </cell>
          <cell r="F5017" t="str">
            <v/>
          </cell>
          <cell r="G5017" t="str">
            <v>AISLAR J.M S.A.S</v>
          </cell>
          <cell r="H5017" t="str">
            <v>RECO</v>
          </cell>
          <cell r="I5017" t="str">
            <v>REGIMEN COMUN</v>
          </cell>
          <cell r="J5017" t="str">
            <v>CR 23 A 6 73</v>
          </cell>
          <cell r="K5017" t="str">
            <v>11001</v>
          </cell>
          <cell r="L5017" t="str">
            <v>BOGOTA DC</v>
          </cell>
          <cell r="M5017" t="str">
            <v>3704232</v>
          </cell>
        </row>
        <row r="5018">
          <cell r="A5018">
            <v>900365406</v>
          </cell>
          <cell r="B5018" t="str">
            <v>8</v>
          </cell>
          <cell r="C5018" t="str">
            <v/>
          </cell>
          <cell r="D5018" t="str">
            <v>NJ</v>
          </cell>
          <cell r="E5018" t="str">
            <v/>
          </cell>
          <cell r="F5018" t="str">
            <v/>
          </cell>
          <cell r="G5018" t="str">
            <v>SUBWAY</v>
          </cell>
          <cell r="H5018" t="str">
            <v>RECO</v>
          </cell>
          <cell r="I5018" t="str">
            <v>REGIMEN COMUN</v>
          </cell>
          <cell r="J5018" t="str">
            <v>AV DORADO 113 85 LC F</v>
          </cell>
          <cell r="K5018" t="str">
            <v>11001</v>
          </cell>
          <cell r="L5018" t="str">
            <v>BOGOTA DC</v>
          </cell>
          <cell r="M5018" t="str">
            <v>4714189</v>
          </cell>
        </row>
        <row r="5019">
          <cell r="A5019">
            <v>900365860</v>
          </cell>
          <cell r="B5019" t="str">
            <v>9</v>
          </cell>
          <cell r="C5019" t="str">
            <v/>
          </cell>
          <cell r="D5019" t="str">
            <v>NJ</v>
          </cell>
          <cell r="E5019" t="str">
            <v/>
          </cell>
          <cell r="F5019" t="str">
            <v/>
          </cell>
          <cell r="G5019" t="str">
            <v>TIENDA HIDRAULICA SAS</v>
          </cell>
          <cell r="H5019" t="str">
            <v>RECO</v>
          </cell>
          <cell r="I5019" t="str">
            <v>REGIMEN COMUN</v>
          </cell>
          <cell r="J5019" t="str">
            <v>CL 15 27 74</v>
          </cell>
          <cell r="K5019" t="str">
            <v>11001</v>
          </cell>
          <cell r="L5019" t="str">
            <v>BOGOTA DC</v>
          </cell>
          <cell r="M5019" t="str">
            <v>2772403</v>
          </cell>
        </row>
        <row r="5020">
          <cell r="A5020">
            <v>900366010</v>
          </cell>
          <cell r="B5020" t="str">
            <v>1</v>
          </cell>
          <cell r="C5020" t="str">
            <v/>
          </cell>
          <cell r="D5020" t="str">
            <v>NJ</v>
          </cell>
          <cell r="E5020" t="str">
            <v/>
          </cell>
          <cell r="F5020" t="str">
            <v/>
          </cell>
          <cell r="G5020" t="str">
            <v xml:space="preserve">COMPAÑIA ENERGETICA DE OCCIDENTE                            </v>
          </cell>
          <cell r="H5020" t="str">
            <v>GRAU</v>
          </cell>
          <cell r="I5020" t="str">
            <v>GRAN CONTRIBUYENTE AUTORRETENEDO</v>
          </cell>
          <cell r="J5020" t="str">
            <v>CR 7 1 N 28 ED NEGRET P 4 BRR CENTRO</v>
          </cell>
          <cell r="K5020" t="str">
            <v>19001</v>
          </cell>
          <cell r="L5020" t="str">
            <v>POPAYÁN</v>
          </cell>
          <cell r="M5020" t="str">
            <v>8301000</v>
          </cell>
        </row>
        <row r="5021">
          <cell r="A5021">
            <v>900366368</v>
          </cell>
          <cell r="B5021" t="str">
            <v>0</v>
          </cell>
          <cell r="C5021" t="str">
            <v/>
          </cell>
          <cell r="D5021" t="str">
            <v>NJ</v>
          </cell>
          <cell r="E5021" t="str">
            <v/>
          </cell>
          <cell r="F5021" t="str">
            <v/>
          </cell>
          <cell r="G5021" t="str">
            <v>WP MANGUERAS Y CORREAS S.A.S</v>
          </cell>
          <cell r="H5021" t="str">
            <v>RECO</v>
          </cell>
          <cell r="I5021" t="str">
            <v>REGIMEN COMUN</v>
          </cell>
          <cell r="J5021" t="str">
            <v>CL 15 25 63</v>
          </cell>
          <cell r="K5021" t="str">
            <v>11001</v>
          </cell>
          <cell r="L5021" t="str">
            <v>BOGOTA DC</v>
          </cell>
          <cell r="M5021" t="str">
            <v>2773679</v>
          </cell>
        </row>
        <row r="5022">
          <cell r="A5022">
            <v>900366711</v>
          </cell>
          <cell r="B5022" t="str">
            <v>4</v>
          </cell>
          <cell r="C5022" t="str">
            <v/>
          </cell>
          <cell r="D5022" t="str">
            <v>NJ</v>
          </cell>
          <cell r="E5022" t="str">
            <v/>
          </cell>
          <cell r="F5022" t="str">
            <v/>
          </cell>
          <cell r="G5022" t="str">
            <v>ANODAMINE COLOMBIA S.A.S.</v>
          </cell>
          <cell r="H5022" t="str">
            <v>IMVE</v>
          </cell>
          <cell r="I5022" t="str">
            <v>IMPUESTO SOBRE LAS VENTAS</v>
          </cell>
          <cell r="J5022" t="str">
            <v>CR 24 1 A 24 OF 1701 ED B EMPRESARIAL</v>
          </cell>
          <cell r="K5022" t="str">
            <v>08573</v>
          </cell>
          <cell r="L5022" t="str">
            <v>PUERTO COLOMBIA</v>
          </cell>
          <cell r="M5022" t="str">
            <v>3853980</v>
          </cell>
        </row>
        <row r="5023">
          <cell r="A5023">
            <v>900366919</v>
          </cell>
          <cell r="B5023" t="str">
            <v>9</v>
          </cell>
          <cell r="C5023" t="str">
            <v/>
          </cell>
          <cell r="D5023" t="str">
            <v>NJ</v>
          </cell>
          <cell r="E5023" t="str">
            <v/>
          </cell>
          <cell r="F5023" t="str">
            <v/>
          </cell>
          <cell r="G5023" t="str">
            <v>SOLUCIONES ENERGETICAS FORESTALES INTEGRALES SAS</v>
          </cell>
          <cell r="H5023" t="str">
            <v>IMVE</v>
          </cell>
          <cell r="I5023" t="str">
            <v>IMPUESTO SOBRE LAS VENTAS</v>
          </cell>
          <cell r="J5023" t="str">
            <v>CR 7 1 N 28 ED NEGRET OF 511</v>
          </cell>
          <cell r="K5023" t="str">
            <v>19001</v>
          </cell>
          <cell r="L5023" t="str">
            <v>POPAYÁN</v>
          </cell>
          <cell r="M5023" t="str">
            <v>3206094104</v>
          </cell>
        </row>
        <row r="5024">
          <cell r="A5024">
            <v>900367678</v>
          </cell>
          <cell r="B5024" t="str">
            <v>3</v>
          </cell>
          <cell r="C5024" t="str">
            <v/>
          </cell>
          <cell r="D5024" t="str">
            <v>NJ</v>
          </cell>
          <cell r="E5024" t="str">
            <v/>
          </cell>
          <cell r="F5024" t="str">
            <v/>
          </cell>
          <cell r="G5024" t="str">
            <v>PERDOMO BUSINESS GROUP SAS</v>
          </cell>
          <cell r="H5024" t="str">
            <v>RECO</v>
          </cell>
          <cell r="I5024" t="str">
            <v>REGIMEN COMUN</v>
          </cell>
          <cell r="J5024" t="str">
            <v xml:space="preserve"> CL 74 57 A 16</v>
          </cell>
          <cell r="K5024" t="str">
            <v>11001</v>
          </cell>
          <cell r="L5024" t="str">
            <v>BOGOTA DC</v>
          </cell>
          <cell r="M5024" t="str">
            <v>5802543</v>
          </cell>
        </row>
        <row r="5025">
          <cell r="A5025">
            <v>900367849</v>
          </cell>
          <cell r="B5025" t="str">
            <v>6</v>
          </cell>
          <cell r="C5025" t="str">
            <v/>
          </cell>
          <cell r="D5025" t="str">
            <v>NJ</v>
          </cell>
          <cell r="E5025" t="str">
            <v/>
          </cell>
          <cell r="F5025" t="str">
            <v/>
          </cell>
          <cell r="G5025" t="str">
            <v xml:space="preserve"> HOTEL SALOMA SAS.</v>
          </cell>
          <cell r="H5025" t="str">
            <v>RECO</v>
          </cell>
          <cell r="I5025" t="str">
            <v>REGIMEN COMUN</v>
          </cell>
          <cell r="J5025" t="str">
            <v>CL 26 N 38-69 B</v>
          </cell>
          <cell r="K5025" t="str">
            <v>50001</v>
          </cell>
          <cell r="L5025" t="str">
            <v>VILLAVICENCIO</v>
          </cell>
          <cell r="M5025" t="str">
            <v>3132879729</v>
          </cell>
        </row>
        <row r="5026">
          <cell r="A5026">
            <v>900368141</v>
          </cell>
          <cell r="B5026" t="str">
            <v>5</v>
          </cell>
          <cell r="C5026" t="str">
            <v/>
          </cell>
          <cell r="D5026" t="str">
            <v>NJ</v>
          </cell>
          <cell r="E5026" t="str">
            <v/>
          </cell>
          <cell r="F5026" t="str">
            <v/>
          </cell>
          <cell r="G5026" t="str">
            <v>JEMEIWAA  KA  I SAS  ESP</v>
          </cell>
          <cell r="H5026" t="str">
            <v>IMVE</v>
          </cell>
          <cell r="I5026" t="str">
            <v>IMPUESTO SOBRE LAS VENTAS</v>
          </cell>
          <cell r="J5026" t="str">
            <v xml:space="preserve"> AC 100 19 54</v>
          </cell>
          <cell r="K5026" t="str">
            <v>11001</v>
          </cell>
          <cell r="L5026" t="str">
            <v>BOGOTA DC</v>
          </cell>
          <cell r="M5026" t="str">
            <v>3103223454</v>
          </cell>
        </row>
        <row r="5027">
          <cell r="A5027">
            <v>900368761</v>
          </cell>
          <cell r="B5027" t="str">
            <v>1</v>
          </cell>
          <cell r="C5027" t="str">
            <v/>
          </cell>
          <cell r="D5027" t="str">
            <v>NJ</v>
          </cell>
          <cell r="E5027" t="str">
            <v/>
          </cell>
          <cell r="F5027" t="str">
            <v/>
          </cell>
          <cell r="G5027" t="str">
            <v>SIMA TECNOLOGIA S.A.S</v>
          </cell>
          <cell r="H5027" t="str">
            <v>RECO</v>
          </cell>
          <cell r="I5027" t="str">
            <v>REGIMEN COMUN</v>
          </cell>
          <cell r="J5027" t="str">
            <v>CALLE 33 A  A 80 A BRR LAURELES</v>
          </cell>
          <cell r="K5027" t="str">
            <v>05001</v>
          </cell>
          <cell r="L5027" t="str">
            <v>MEDELLÍN</v>
          </cell>
          <cell r="M5027" t="str">
            <v>4444588</v>
          </cell>
        </row>
        <row r="5028">
          <cell r="A5028">
            <v>900369116</v>
          </cell>
          <cell r="B5028" t="str">
            <v>5</v>
          </cell>
          <cell r="C5028" t="str">
            <v/>
          </cell>
          <cell r="D5028" t="str">
            <v>NJ</v>
          </cell>
          <cell r="E5028" t="str">
            <v/>
          </cell>
          <cell r="F5028" t="str">
            <v/>
          </cell>
          <cell r="G5028" t="str">
            <v>STANZIA CHAPINERO S.A.S</v>
          </cell>
          <cell r="H5028" t="str">
            <v>RECO</v>
          </cell>
          <cell r="I5028" t="str">
            <v>REGIMEN COMUN</v>
          </cell>
          <cell r="J5028" t="str">
            <v>CL 56 7 79 BRR CHAPINERO</v>
          </cell>
          <cell r="K5028" t="str">
            <v>11001</v>
          </cell>
          <cell r="L5028" t="str">
            <v>BOGOTA DC</v>
          </cell>
          <cell r="M5028" t="str">
            <v>2480600</v>
          </cell>
        </row>
        <row r="5029">
          <cell r="A5029">
            <v>900369119</v>
          </cell>
          <cell r="B5029" t="str">
            <v>7</v>
          </cell>
          <cell r="C5029" t="str">
            <v/>
          </cell>
          <cell r="D5029" t="str">
            <v>NJ</v>
          </cell>
          <cell r="E5029" t="str">
            <v/>
          </cell>
          <cell r="F5029" t="str">
            <v/>
          </cell>
          <cell r="G5029" t="str">
            <v>DIGISOC SAS</v>
          </cell>
          <cell r="H5029" t="str">
            <v>IMVE</v>
          </cell>
          <cell r="I5029" t="str">
            <v>IMPUESTO SOBRE LAS VENTAS</v>
          </cell>
          <cell r="J5029" t="str">
            <v>CR 106   15   A    25  ED ZONA FRANCA</v>
          </cell>
          <cell r="K5029" t="str">
            <v>11001</v>
          </cell>
          <cell r="L5029" t="str">
            <v>BOGOTA DC</v>
          </cell>
          <cell r="M5029" t="str">
            <v>3045598411</v>
          </cell>
        </row>
        <row r="5030">
          <cell r="A5030">
            <v>900370342</v>
          </cell>
          <cell r="B5030" t="str">
            <v>5</v>
          </cell>
          <cell r="C5030" t="str">
            <v/>
          </cell>
          <cell r="D5030" t="str">
            <v>NJ</v>
          </cell>
          <cell r="E5030" t="str">
            <v/>
          </cell>
          <cell r="F5030" t="str">
            <v/>
          </cell>
          <cell r="G5030" t="str">
            <v>COAXICON S.A.S</v>
          </cell>
          <cell r="H5030" t="str">
            <v>RECO</v>
          </cell>
          <cell r="I5030" t="str">
            <v>REGIMEN COMUN</v>
          </cell>
          <cell r="J5030" t="str">
            <v>CR 12 21 40</v>
          </cell>
          <cell r="K5030" t="str">
            <v>11001</v>
          </cell>
          <cell r="L5030" t="str">
            <v>BOGOTA DC</v>
          </cell>
          <cell r="M5030" t="str">
            <v>3202732073</v>
          </cell>
        </row>
        <row r="5031">
          <cell r="A5031">
            <v>900370766</v>
          </cell>
          <cell r="B5031" t="str">
            <v>4</v>
          </cell>
          <cell r="C5031" t="str">
            <v/>
          </cell>
          <cell r="D5031" t="str">
            <v>NJ</v>
          </cell>
          <cell r="E5031" t="str">
            <v/>
          </cell>
          <cell r="F5031" t="str">
            <v/>
          </cell>
          <cell r="G5031" t="str">
            <v>MAQUINAS &amp; MAQUINAS SAS</v>
          </cell>
          <cell r="H5031" t="str">
            <v>IMVE</v>
          </cell>
          <cell r="I5031" t="str">
            <v>IMPUESTO SOBRE LAS VENTAS</v>
          </cell>
          <cell r="J5031" t="str">
            <v>CR 20 27 05 BRR VILLA ANDREA</v>
          </cell>
          <cell r="K5031" t="str">
            <v>95001</v>
          </cell>
          <cell r="L5031" t="str">
            <v>SAN JOSÉ DEL GUAVIARE</v>
          </cell>
          <cell r="M5031" t="str">
            <v>3214662860</v>
          </cell>
        </row>
        <row r="5032">
          <cell r="A5032">
            <v>900371493</v>
          </cell>
          <cell r="B5032" t="str">
            <v>3</v>
          </cell>
          <cell r="C5032" t="str">
            <v/>
          </cell>
          <cell r="D5032" t="str">
            <v>NJ</v>
          </cell>
          <cell r="E5032" t="str">
            <v/>
          </cell>
          <cell r="F5032" t="str">
            <v/>
          </cell>
          <cell r="G5032" t="str">
            <v>CALIDAD IPS SAS</v>
          </cell>
          <cell r="H5032" t="str">
            <v>RECO</v>
          </cell>
          <cell r="I5032" t="str">
            <v>REGIMEN COMUN</v>
          </cell>
          <cell r="J5032" t="str">
            <v>CR 19 N 7 C 23</v>
          </cell>
          <cell r="K5032" t="str">
            <v>17001</v>
          </cell>
          <cell r="L5032" t="str">
            <v>MANIZALES</v>
          </cell>
          <cell r="M5032" t="str">
            <v>3157417574</v>
          </cell>
        </row>
        <row r="5033">
          <cell r="A5033">
            <v>900372991</v>
          </cell>
          <cell r="B5033" t="str">
            <v>4</v>
          </cell>
          <cell r="C5033" t="str">
            <v/>
          </cell>
          <cell r="D5033" t="str">
            <v>NJ</v>
          </cell>
          <cell r="E5033" t="str">
            <v/>
          </cell>
          <cell r="F5033" t="str">
            <v/>
          </cell>
          <cell r="G5033" t="str">
            <v>PARQUEADEROS RICAME SAS</v>
          </cell>
          <cell r="H5033" t="str">
            <v>RECO</v>
          </cell>
          <cell r="I5033" t="str">
            <v>REGIMEN COMUN</v>
          </cell>
          <cell r="J5033" t="str">
            <v>Carrera 31 6-48</v>
          </cell>
          <cell r="K5033" t="str">
            <v>05001</v>
          </cell>
          <cell r="L5033" t="str">
            <v>MEDELLÍN</v>
          </cell>
          <cell r="M5033" t="str">
            <v>2662457</v>
          </cell>
        </row>
        <row r="5034">
          <cell r="A5034">
            <v>900373710</v>
          </cell>
          <cell r="B5034" t="str">
            <v>6</v>
          </cell>
          <cell r="C5034" t="str">
            <v/>
          </cell>
          <cell r="D5034" t="str">
            <v>NJ</v>
          </cell>
          <cell r="E5034" t="str">
            <v/>
          </cell>
          <cell r="F5034" t="str">
            <v/>
          </cell>
          <cell r="G5034" t="str">
            <v>N &amp; S CONSTRUCCIONES S.A.S.</v>
          </cell>
          <cell r="H5034" t="str">
            <v>RECO</v>
          </cell>
          <cell r="I5034" t="str">
            <v>REGIMEN COMUN</v>
          </cell>
          <cell r="J5034" t="str">
            <v>CL 40  9 A  04</v>
          </cell>
          <cell r="K5034" t="str">
            <v>23001</v>
          </cell>
          <cell r="L5034" t="str">
            <v>MONTERÍA</v>
          </cell>
          <cell r="M5034" t="str">
            <v>7815717</v>
          </cell>
        </row>
        <row r="5035">
          <cell r="A5035">
            <v>900373913</v>
          </cell>
          <cell r="B5035" t="str">
            <v>4</v>
          </cell>
          <cell r="C5035" t="str">
            <v>923272193</v>
          </cell>
          <cell r="D5035" t="str">
            <v>NJ</v>
          </cell>
          <cell r="E5035" t="str">
            <v/>
          </cell>
          <cell r="F5035" t="str">
            <v/>
          </cell>
          <cell r="G5035" t="str">
            <v>UNIDAD DE GESTIÓN DE PENSIONES Y PARAFISCALES UGPP</v>
          </cell>
          <cell r="H5035" t="str">
            <v>COIM</v>
          </cell>
          <cell r="I5035" t="str">
            <v>CONTROL DE IMPUESTOS</v>
          </cell>
          <cell r="J5035" t="str">
            <v>CL 19 68 A</v>
          </cell>
          <cell r="K5035" t="str">
            <v>11001</v>
          </cell>
          <cell r="L5035" t="str">
            <v>BOGOTA DC</v>
          </cell>
          <cell r="M5035" t="str">
            <v>4926090</v>
          </cell>
        </row>
        <row r="5036">
          <cell r="A5036">
            <v>900374351</v>
          </cell>
          <cell r="B5036" t="str">
            <v>1</v>
          </cell>
          <cell r="C5036" t="str">
            <v/>
          </cell>
          <cell r="D5036" t="str">
            <v>NJ</v>
          </cell>
          <cell r="E5036" t="str">
            <v/>
          </cell>
          <cell r="F5036" t="str">
            <v/>
          </cell>
          <cell r="G5036" t="str">
            <v>GOTTA INGENIERÍA S.A.S</v>
          </cell>
          <cell r="H5036" t="str">
            <v>RECO</v>
          </cell>
          <cell r="I5036" t="str">
            <v>REGIMEN COMUN</v>
          </cell>
          <cell r="J5036" t="str">
            <v>CR 69 CL 48 D5</v>
          </cell>
          <cell r="K5036" t="str">
            <v>05001</v>
          </cell>
          <cell r="L5036" t="str">
            <v>MEDELLÍN</v>
          </cell>
          <cell r="M5036" t="str">
            <v>4482502</v>
          </cell>
        </row>
        <row r="5037">
          <cell r="A5037">
            <v>900374736</v>
          </cell>
          <cell r="B5037" t="str">
            <v>1</v>
          </cell>
          <cell r="C5037" t="str">
            <v/>
          </cell>
          <cell r="D5037" t="str">
            <v>NJ</v>
          </cell>
          <cell r="E5037" t="str">
            <v/>
          </cell>
          <cell r="F5037" t="str">
            <v/>
          </cell>
          <cell r="G5037" t="str">
            <v>SOLUCIONES INDUSTRIALES TECNICAS Y EQUIPOS S.A.S.</v>
          </cell>
          <cell r="H5037" t="str">
            <v>RECO</v>
          </cell>
          <cell r="I5037" t="str">
            <v>REGIMEN COMUN</v>
          </cell>
          <cell r="J5037" t="str">
            <v>CL 155  14  10  CA  40</v>
          </cell>
          <cell r="K5037" t="str">
            <v>11001</v>
          </cell>
          <cell r="L5037" t="str">
            <v>BOGOTA DC</v>
          </cell>
          <cell r="M5037" t="str">
            <v>8061591</v>
          </cell>
        </row>
        <row r="5038">
          <cell r="A5038">
            <v>900374783</v>
          </cell>
          <cell r="B5038" t="str">
            <v>8</v>
          </cell>
          <cell r="C5038" t="str">
            <v/>
          </cell>
          <cell r="D5038" t="str">
            <v>NJ</v>
          </cell>
          <cell r="E5038" t="str">
            <v/>
          </cell>
          <cell r="F5038" t="str">
            <v/>
          </cell>
          <cell r="G5038" t="str">
            <v>EDITORES HACHE SAS</v>
          </cell>
          <cell r="H5038" t="str">
            <v>RECO</v>
          </cell>
          <cell r="I5038" t="str">
            <v>REGIMEN COMUN</v>
          </cell>
          <cell r="J5038" t="str">
            <v>CL 106 57-46 P 4</v>
          </cell>
          <cell r="K5038" t="str">
            <v>11001</v>
          </cell>
          <cell r="L5038" t="str">
            <v>BOGOTA DC</v>
          </cell>
          <cell r="M5038" t="str">
            <v>7569919</v>
          </cell>
        </row>
        <row r="5039">
          <cell r="A5039">
            <v>900375492</v>
          </cell>
          <cell r="B5039" t="str">
            <v>4</v>
          </cell>
          <cell r="C5039" t="str">
            <v/>
          </cell>
          <cell r="D5039" t="str">
            <v>NJ</v>
          </cell>
          <cell r="E5039" t="str">
            <v/>
          </cell>
          <cell r="F5039" t="str">
            <v/>
          </cell>
          <cell r="G5039" t="str">
            <v>THERMOCOL INGENIERIA SAS</v>
          </cell>
          <cell r="H5039" t="str">
            <v>RECO</v>
          </cell>
          <cell r="I5039" t="str">
            <v>REGIMEN COMUN</v>
          </cell>
          <cell r="J5039" t="str">
            <v>CL 5 A 6 57 LC 26</v>
          </cell>
          <cell r="K5039" t="str">
            <v>25126</v>
          </cell>
          <cell r="L5039" t="str">
            <v>CAJICÁ</v>
          </cell>
          <cell r="M5039" t="str">
            <v>8661177</v>
          </cell>
        </row>
        <row r="5040">
          <cell r="A5040">
            <v>900375963</v>
          </cell>
          <cell r="B5040" t="str">
            <v>1</v>
          </cell>
          <cell r="C5040" t="str">
            <v/>
          </cell>
          <cell r="D5040" t="str">
            <v>NJ</v>
          </cell>
          <cell r="E5040" t="str">
            <v/>
          </cell>
          <cell r="F5040" t="str">
            <v/>
          </cell>
          <cell r="G5040" t="str">
            <v>VENEZOLANA DE PROYECTOS INTEGRADOS VEPICA C A SUCURSAL COLOMBIA</v>
          </cell>
          <cell r="H5040" t="str">
            <v>IMVE</v>
          </cell>
          <cell r="I5040" t="str">
            <v>IMPUESTO SOBRE LAS VENTAS</v>
          </cell>
          <cell r="J5040" t="str">
            <v>CR 11 A 97 A 19 OF 203</v>
          </cell>
          <cell r="K5040" t="str">
            <v>11001</v>
          </cell>
          <cell r="L5040" t="str">
            <v>BOGOTA DC</v>
          </cell>
          <cell r="M5040" t="str">
            <v>5208442</v>
          </cell>
        </row>
        <row r="5041">
          <cell r="A5041">
            <v>900376674</v>
          </cell>
          <cell r="B5041" t="str">
            <v>2</v>
          </cell>
          <cell r="C5041" t="str">
            <v/>
          </cell>
          <cell r="D5041" t="str">
            <v>NJ</v>
          </cell>
          <cell r="E5041" t="str">
            <v/>
          </cell>
          <cell r="F5041" t="str">
            <v/>
          </cell>
          <cell r="G5041" t="str">
            <v>ALIMSO CATERING SERVICES S A - EN REORGANIZACION</v>
          </cell>
          <cell r="H5041" t="str">
            <v>RECO</v>
          </cell>
          <cell r="I5041" t="str">
            <v>REGIMEN COMUN</v>
          </cell>
          <cell r="J5041" t="str">
            <v>CL 22 J 105 28</v>
          </cell>
          <cell r="K5041" t="str">
            <v>11001</v>
          </cell>
          <cell r="L5041" t="str">
            <v>BOGOTA DC</v>
          </cell>
          <cell r="M5041" t="str">
            <v>3204772221</v>
          </cell>
        </row>
        <row r="5042">
          <cell r="A5042">
            <v>900377177</v>
          </cell>
          <cell r="B5042" t="str">
            <v>8</v>
          </cell>
          <cell r="C5042" t="str">
            <v/>
          </cell>
          <cell r="D5042" t="str">
            <v>NJ</v>
          </cell>
          <cell r="E5042" t="str">
            <v/>
          </cell>
          <cell r="F5042" t="str">
            <v/>
          </cell>
          <cell r="G5042" t="str">
            <v>ADMINISTRADORA ZUHE SAS</v>
          </cell>
          <cell r="H5042" t="str">
            <v>RECO</v>
          </cell>
          <cell r="I5042" t="str">
            <v>REGIMEN COMUN</v>
          </cell>
          <cell r="J5042" t="str">
            <v>CL 25 18 32</v>
          </cell>
          <cell r="K5042" t="str">
            <v>15516</v>
          </cell>
          <cell r="L5042" t="str">
            <v>PAIPA</v>
          </cell>
          <cell r="M5042" t="str">
            <v>7850604</v>
          </cell>
        </row>
        <row r="5043">
          <cell r="A5043">
            <v>900378403</v>
          </cell>
          <cell r="B5043" t="str">
            <v>2</v>
          </cell>
          <cell r="C5043" t="str">
            <v/>
          </cell>
          <cell r="D5043" t="str">
            <v>NJ</v>
          </cell>
          <cell r="E5043" t="str">
            <v/>
          </cell>
          <cell r="F5043" t="str">
            <v/>
          </cell>
          <cell r="G5043" t="str">
            <v>MAQUINARIA Y LOGISTICA SAS</v>
          </cell>
          <cell r="H5043" t="str">
            <v>IMVE</v>
          </cell>
          <cell r="I5043" t="str">
            <v>IMPUESTO SOBRE LAS VENTAS</v>
          </cell>
          <cell r="J5043" t="str">
            <v>CL 68 28 29 BRR PALERMO</v>
          </cell>
          <cell r="K5043" t="str">
            <v>17001</v>
          </cell>
          <cell r="L5043" t="str">
            <v>MANIZALES</v>
          </cell>
          <cell r="M5043" t="str">
            <v>8877111</v>
          </cell>
        </row>
        <row r="5044">
          <cell r="A5044">
            <v>900379712</v>
          </cell>
          <cell r="B5044" t="str">
            <v>8</v>
          </cell>
          <cell r="C5044" t="str">
            <v/>
          </cell>
          <cell r="D5044" t="str">
            <v>NJ</v>
          </cell>
          <cell r="E5044" t="str">
            <v/>
          </cell>
          <cell r="F5044" t="str">
            <v/>
          </cell>
          <cell r="G5044" t="str">
            <v>FIORELLA INTIMO C.I S.A.S</v>
          </cell>
          <cell r="H5044" t="str">
            <v>IMVE</v>
          </cell>
          <cell r="I5044" t="str">
            <v>IMPUESTO SOBRE LAS VENTAS</v>
          </cell>
          <cell r="J5044" t="str">
            <v>CR 23 72 05 BR MILAN</v>
          </cell>
          <cell r="K5044" t="str">
            <v>17001</v>
          </cell>
          <cell r="L5044" t="str">
            <v>MANIZALES</v>
          </cell>
          <cell r="M5044" t="str">
            <v>3108927275</v>
          </cell>
        </row>
        <row r="5045">
          <cell r="A5045">
            <v>900379850</v>
          </cell>
          <cell r="B5045" t="str">
            <v>6</v>
          </cell>
          <cell r="C5045" t="str">
            <v/>
          </cell>
          <cell r="D5045" t="str">
            <v>NJ</v>
          </cell>
          <cell r="E5045" t="str">
            <v/>
          </cell>
          <cell r="F5045" t="str">
            <v/>
          </cell>
          <cell r="G5045" t="str">
            <v>ALPHA &amp; OMEGA INGENIERIA SAS</v>
          </cell>
          <cell r="H5045" t="str">
            <v>RECO</v>
          </cell>
          <cell r="I5045" t="str">
            <v>REGIMEN COMUN</v>
          </cell>
          <cell r="J5045" t="str">
            <v>CR 3   1  04</v>
          </cell>
          <cell r="K5045" t="str">
            <v>25200</v>
          </cell>
          <cell r="L5045" t="str">
            <v>COGUA</v>
          </cell>
          <cell r="M5045" t="str">
            <v>3103419315</v>
          </cell>
        </row>
        <row r="5046">
          <cell r="A5046">
            <v>900380713</v>
          </cell>
          <cell r="B5046" t="str">
            <v>7</v>
          </cell>
          <cell r="C5046" t="str">
            <v/>
          </cell>
          <cell r="D5046" t="str">
            <v>NJ</v>
          </cell>
          <cell r="E5046" t="str">
            <v/>
          </cell>
          <cell r="F5046" t="str">
            <v/>
          </cell>
          <cell r="G5046" t="str">
            <v>HERRAMIENTAS Y EMPAQUETADURAS S.A.S</v>
          </cell>
          <cell r="H5046" t="str">
            <v>RECO</v>
          </cell>
          <cell r="I5046" t="str">
            <v>REGIMEN COMUN</v>
          </cell>
          <cell r="J5046" t="str">
            <v>CL 15 25 80 BRR CN PALOQUEMAO</v>
          </cell>
          <cell r="K5046" t="str">
            <v>03</v>
          </cell>
          <cell r="L5046" t="str">
            <v>BOGOTA</v>
          </cell>
          <cell r="M5046" t="str">
            <v>2475344</v>
          </cell>
        </row>
        <row r="5047">
          <cell r="A5047">
            <v>900382991</v>
          </cell>
          <cell r="B5047" t="str">
            <v>7</v>
          </cell>
          <cell r="C5047" t="str">
            <v/>
          </cell>
          <cell r="D5047" t="str">
            <v>NJ</v>
          </cell>
          <cell r="E5047" t="str">
            <v/>
          </cell>
          <cell r="F5047" t="str">
            <v/>
          </cell>
          <cell r="G5047" t="str">
            <v>ENGIVALVE &amp; SUPPLY LTDA</v>
          </cell>
          <cell r="H5047" t="str">
            <v>IMVE</v>
          </cell>
          <cell r="I5047" t="str">
            <v>IMPUESTO SOBRE LAS VENTAS</v>
          </cell>
          <cell r="J5047" t="str">
            <v>CL  93 16 46 OF 202</v>
          </cell>
          <cell r="K5047" t="str">
            <v>11001</v>
          </cell>
          <cell r="L5047" t="str">
            <v>BOGOTA DC</v>
          </cell>
          <cell r="M5047" t="str">
            <v>3004932</v>
          </cell>
        </row>
        <row r="5048">
          <cell r="A5048">
            <v>900383504</v>
          </cell>
          <cell r="B5048" t="str">
            <v>8</v>
          </cell>
          <cell r="C5048" t="str">
            <v/>
          </cell>
          <cell r="D5048" t="str">
            <v>NJ</v>
          </cell>
          <cell r="E5048" t="str">
            <v/>
          </cell>
          <cell r="F5048" t="str">
            <v/>
          </cell>
          <cell r="G5048" t="str">
            <v>LABORATORIO DE TECNOLOGIA Y MEDIO AMBIENTE SAS</v>
          </cell>
          <cell r="H5048" t="str">
            <v>RECO</v>
          </cell>
          <cell r="I5048" t="str">
            <v>REGIMEN COMUN</v>
          </cell>
          <cell r="J5048" t="str">
            <v>AC 100  19 A  10 OF 402</v>
          </cell>
          <cell r="K5048" t="str">
            <v>11001</v>
          </cell>
          <cell r="L5048" t="str">
            <v>BOGOTA DC</v>
          </cell>
          <cell r="M5048" t="str">
            <v>7428944</v>
          </cell>
        </row>
        <row r="5049">
          <cell r="A5049">
            <v>900383951</v>
          </cell>
          <cell r="B5049" t="str">
            <v>7</v>
          </cell>
          <cell r="C5049" t="str">
            <v/>
          </cell>
          <cell r="D5049" t="str">
            <v>NJ</v>
          </cell>
          <cell r="E5049" t="str">
            <v/>
          </cell>
          <cell r="F5049" t="str">
            <v/>
          </cell>
          <cell r="G5049" t="str">
            <v>AGROFORESTAL LA PRADERA S.A.S</v>
          </cell>
          <cell r="H5049" t="str">
            <v>GRCO</v>
          </cell>
          <cell r="I5049" t="str">
            <v>GRAN CONTRIBUYENTE</v>
          </cell>
          <cell r="J5049" t="str">
            <v>KM 30 VIA CALI-FLORIDA</v>
          </cell>
          <cell r="K5049" t="str">
            <v>76563</v>
          </cell>
          <cell r="L5049" t="str">
            <v>PRADERA</v>
          </cell>
          <cell r="M5049" t="str">
            <v>3920300</v>
          </cell>
        </row>
        <row r="5050">
          <cell r="A5050">
            <v>900385971</v>
          </cell>
          <cell r="B5050" t="str">
            <v>3</v>
          </cell>
          <cell r="C5050" t="str">
            <v/>
          </cell>
          <cell r="D5050" t="str">
            <v>NJ</v>
          </cell>
          <cell r="E5050" t="str">
            <v/>
          </cell>
          <cell r="F5050" t="str">
            <v/>
          </cell>
          <cell r="G5050" t="str">
            <v>UNION TEMPORAL VIA GALAPA</v>
          </cell>
          <cell r="H5050" t="str">
            <v>RECO</v>
          </cell>
          <cell r="I5050" t="str">
            <v>REGIMEN COMUN</v>
          </cell>
          <cell r="J5050" t="str">
            <v>CR 44 A   98   90</v>
          </cell>
          <cell r="K5050" t="str">
            <v>17001</v>
          </cell>
          <cell r="L5050" t="str">
            <v>MANIZALES</v>
          </cell>
          <cell r="M5050" t="str">
            <v>3735881</v>
          </cell>
        </row>
        <row r="5051">
          <cell r="A5051">
            <v>900385987</v>
          </cell>
          <cell r="B5051" t="str">
            <v>0</v>
          </cell>
          <cell r="C5051" t="str">
            <v/>
          </cell>
          <cell r="D5051" t="str">
            <v>NJ</v>
          </cell>
          <cell r="E5051" t="str">
            <v/>
          </cell>
          <cell r="F5051" t="str">
            <v/>
          </cell>
          <cell r="G5051" t="str">
            <v>UNION TEMPORAL VIA PONEDERA</v>
          </cell>
          <cell r="H5051" t="str">
            <v>RECO</v>
          </cell>
          <cell r="I5051" t="str">
            <v>REGIMEN COMUN</v>
          </cell>
          <cell r="J5051" t="str">
            <v>CR 44 A   98   90</v>
          </cell>
          <cell r="K5051" t="str">
            <v>08001</v>
          </cell>
          <cell r="L5051" t="str">
            <v>BARRANQUILLA</v>
          </cell>
          <cell r="M5051" t="str">
            <v>3735881</v>
          </cell>
        </row>
        <row r="5052">
          <cell r="A5052">
            <v>900386675</v>
          </cell>
          <cell r="B5052" t="str">
            <v>2</v>
          </cell>
          <cell r="C5052" t="str">
            <v/>
          </cell>
          <cell r="D5052" t="str">
            <v>NJ</v>
          </cell>
          <cell r="E5052" t="str">
            <v/>
          </cell>
          <cell r="F5052" t="str">
            <v/>
          </cell>
          <cell r="G5052" t="str">
            <v>MEGA TRANSPOR PROJECTS LOGISTICS S.A.S</v>
          </cell>
          <cell r="H5052" t="str">
            <v>IMVE</v>
          </cell>
          <cell r="I5052" t="str">
            <v>IMPUESTO SOBRE LAS VENTAS</v>
          </cell>
          <cell r="J5052" t="str">
            <v>TV 58 104 B 23 AP 501</v>
          </cell>
          <cell r="K5052" t="str">
            <v>11001</v>
          </cell>
          <cell r="L5052" t="str">
            <v>BOGOTA DC</v>
          </cell>
          <cell r="M5052" t="str">
            <v>6560865</v>
          </cell>
        </row>
        <row r="5053">
          <cell r="A5053">
            <v>900386756</v>
          </cell>
          <cell r="B5053" t="str">
            <v>0</v>
          </cell>
          <cell r="C5053" t="str">
            <v/>
          </cell>
          <cell r="D5053" t="str">
            <v>NJ</v>
          </cell>
          <cell r="E5053" t="str">
            <v/>
          </cell>
          <cell r="F5053" t="str">
            <v/>
          </cell>
          <cell r="G5053" t="str">
            <v>REVICOL S.A.S</v>
          </cell>
          <cell r="H5053" t="str">
            <v>IMVE</v>
          </cell>
          <cell r="I5053" t="str">
            <v>IMPUESTO SOBRE LAS VENTAS</v>
          </cell>
          <cell r="J5053" t="str">
            <v xml:space="preserve"> CL 129 54 20 LC 133</v>
          </cell>
          <cell r="K5053" t="str">
            <v>11001</v>
          </cell>
          <cell r="L5053" t="str">
            <v>BOGOTA DC</v>
          </cell>
          <cell r="M5053" t="str">
            <v>7443493</v>
          </cell>
        </row>
        <row r="5054">
          <cell r="A5054">
            <v>900386896</v>
          </cell>
          <cell r="B5054" t="str">
            <v>3</v>
          </cell>
          <cell r="C5054" t="str">
            <v/>
          </cell>
          <cell r="D5054" t="str">
            <v>NJ</v>
          </cell>
          <cell r="E5054" t="str">
            <v/>
          </cell>
          <cell r="F5054" t="str">
            <v/>
          </cell>
          <cell r="G5054" t="str">
            <v>VALVUENA PUENTES INVERSIONES S.A.S</v>
          </cell>
          <cell r="H5054" t="str">
            <v>RECO</v>
          </cell>
          <cell r="I5054" t="str">
            <v>REGIMEN COMUN</v>
          </cell>
          <cell r="J5054" t="str">
            <v>CL 16   28   29</v>
          </cell>
          <cell r="K5054" t="str">
            <v>85001</v>
          </cell>
          <cell r="L5054" t="str">
            <v>YOPAL</v>
          </cell>
          <cell r="M5054" t="str">
            <v>3106780211</v>
          </cell>
        </row>
        <row r="5055">
          <cell r="A5055">
            <v>900387450</v>
          </cell>
          <cell r="B5055" t="str">
            <v>7</v>
          </cell>
          <cell r="C5055" t="str">
            <v/>
          </cell>
          <cell r="D5055" t="str">
            <v>NJ</v>
          </cell>
          <cell r="E5055" t="str">
            <v/>
          </cell>
          <cell r="F5055" t="str">
            <v/>
          </cell>
          <cell r="G5055" t="str">
            <v>ESPECIALISTAS EN MANTENIMIENTO Y AUTOMATIZACION EMA INGENIERIA S</v>
          </cell>
          <cell r="H5055" t="str">
            <v>IMVE</v>
          </cell>
          <cell r="I5055" t="str">
            <v>IMPUESTO SOBRE LAS VENTAS</v>
          </cell>
          <cell r="J5055" t="str">
            <v>CR 7 57 D 1  17</v>
          </cell>
          <cell r="K5055" t="str">
            <v>17001</v>
          </cell>
          <cell r="L5055" t="str">
            <v>MANIZALES</v>
          </cell>
          <cell r="M5055" t="str">
            <v>8864771</v>
          </cell>
        </row>
        <row r="5056">
          <cell r="A5056">
            <v>900387475</v>
          </cell>
          <cell r="B5056" t="str">
            <v>0</v>
          </cell>
          <cell r="C5056" t="str">
            <v/>
          </cell>
          <cell r="D5056" t="str">
            <v>NJ</v>
          </cell>
          <cell r="E5056" t="str">
            <v/>
          </cell>
          <cell r="F5056" t="str">
            <v/>
          </cell>
          <cell r="G5056" t="str">
            <v>LUBRICANTES EL SOL SOCIEDAD POR ACCIONES SIMPLIFICADA</v>
          </cell>
          <cell r="H5056" t="str">
            <v>IMVE</v>
          </cell>
          <cell r="I5056" t="str">
            <v>IMPUESTO SOBRE LAS VENTAS</v>
          </cell>
          <cell r="J5056" t="str">
            <v>MZ J LT J 5 ET SEGUNDA CD INDUSTRIAL</v>
          </cell>
          <cell r="K5056" t="str">
            <v>15238</v>
          </cell>
          <cell r="L5056" t="str">
            <v>DUITAMA</v>
          </cell>
          <cell r="M5056" t="str">
            <v>31580092</v>
          </cell>
        </row>
        <row r="5057">
          <cell r="A5057">
            <v>900388176</v>
          </cell>
          <cell r="B5057" t="str">
            <v>8</v>
          </cell>
          <cell r="C5057" t="str">
            <v/>
          </cell>
          <cell r="D5057" t="str">
            <v>NJ</v>
          </cell>
          <cell r="E5057" t="str">
            <v/>
          </cell>
          <cell r="F5057" t="str">
            <v/>
          </cell>
          <cell r="G5057" t="str">
            <v>CLYDE BERGEMANN COLOMBIA S.A.S</v>
          </cell>
          <cell r="H5057" t="str">
            <v>RECO</v>
          </cell>
          <cell r="I5057" t="str">
            <v>REGIMEN COMUN</v>
          </cell>
          <cell r="J5057" t="str">
            <v>CR 13  94 A  25 45 OF 401</v>
          </cell>
          <cell r="K5057" t="str">
            <v>11001</v>
          </cell>
          <cell r="L5057" t="str">
            <v>BOGOTA DC</v>
          </cell>
          <cell r="M5057" t="str">
            <v>6224428</v>
          </cell>
        </row>
        <row r="5058">
          <cell r="A5058">
            <v>900390406</v>
          </cell>
          <cell r="B5058" t="str">
            <v>3</v>
          </cell>
          <cell r="C5058" t="str">
            <v/>
          </cell>
          <cell r="D5058" t="str">
            <v>NJ</v>
          </cell>
          <cell r="E5058" t="str">
            <v/>
          </cell>
          <cell r="F5058" t="str">
            <v/>
          </cell>
          <cell r="G5058" t="str">
            <v>LYANSA ELECTRICA LTDA</v>
          </cell>
          <cell r="H5058" t="str">
            <v>RECO</v>
          </cell>
          <cell r="I5058" t="str">
            <v>REGIMEN COMUN</v>
          </cell>
          <cell r="J5058" t="str">
            <v>CR 33 A 40 50 OF 302 BRR CENTRO</v>
          </cell>
          <cell r="K5058" t="str">
            <v>50001</v>
          </cell>
          <cell r="L5058" t="str">
            <v>VILLAVICENCIO</v>
          </cell>
          <cell r="M5058" t="str">
            <v>6715500</v>
          </cell>
        </row>
        <row r="5059">
          <cell r="A5059">
            <v>900395610</v>
          </cell>
          <cell r="B5059" t="str">
            <v>2</v>
          </cell>
          <cell r="C5059" t="str">
            <v/>
          </cell>
          <cell r="D5059" t="str">
            <v>NJ</v>
          </cell>
          <cell r="E5059" t="str">
            <v/>
          </cell>
          <cell r="F5059" t="str">
            <v/>
          </cell>
          <cell r="G5059" t="str">
            <v>UNIÓN TEMPORAL GENSA MOMIL</v>
          </cell>
          <cell r="H5059" t="str">
            <v>RECO</v>
          </cell>
          <cell r="I5059" t="str">
            <v>REGIMEN COMUN</v>
          </cell>
          <cell r="J5059" t="str">
            <v>CR 44 A   98   90</v>
          </cell>
          <cell r="K5059" t="str">
            <v>08001</v>
          </cell>
          <cell r="L5059" t="str">
            <v>BARRANQUILLA</v>
          </cell>
          <cell r="M5059" t="str">
            <v>3735881</v>
          </cell>
        </row>
        <row r="5060">
          <cell r="A5060">
            <v>900396556</v>
          </cell>
          <cell r="B5060" t="str">
            <v>7</v>
          </cell>
          <cell r="C5060" t="str">
            <v/>
          </cell>
          <cell r="D5060" t="str">
            <v>NJ</v>
          </cell>
          <cell r="E5060" t="str">
            <v/>
          </cell>
          <cell r="F5060" t="str">
            <v/>
          </cell>
          <cell r="G5060" t="str">
            <v>COMERCIALIZADORA INTERNACIONAL OLIVAN COAL S.A.S</v>
          </cell>
          <cell r="H5060" t="str">
            <v>RECO</v>
          </cell>
          <cell r="I5060" t="str">
            <v>REGIMEN COMUN</v>
          </cell>
          <cell r="J5060" t="str">
            <v xml:space="preserve"> TV 27 A  53 B 16 OF 202</v>
          </cell>
          <cell r="K5060" t="str">
            <v>11001</v>
          </cell>
          <cell r="L5060" t="str">
            <v>BOGOTA DC</v>
          </cell>
          <cell r="M5060" t="str">
            <v>3134951511</v>
          </cell>
        </row>
        <row r="5061">
          <cell r="A5061">
            <v>900396825</v>
          </cell>
          <cell r="B5061" t="str">
            <v>3</v>
          </cell>
          <cell r="C5061" t="str">
            <v/>
          </cell>
          <cell r="D5061" t="str">
            <v>NJ</v>
          </cell>
          <cell r="E5061" t="str">
            <v/>
          </cell>
          <cell r="F5061" t="str">
            <v/>
          </cell>
          <cell r="G5061" t="str">
            <v>BARRERA PALACIO ABOGADOS S.A.S</v>
          </cell>
          <cell r="H5061" t="str">
            <v>IMVE</v>
          </cell>
          <cell r="I5061" t="str">
            <v>IMPUESTO SOBRE LAS VENTAS</v>
          </cell>
          <cell r="J5061" t="str">
            <v xml:space="preserve"> T  V6 27 10</v>
          </cell>
          <cell r="K5061" t="str">
            <v>11001</v>
          </cell>
          <cell r="L5061" t="str">
            <v>BOGOTA DC</v>
          </cell>
          <cell r="M5061" t="str">
            <v>7426212</v>
          </cell>
        </row>
        <row r="5062">
          <cell r="A5062">
            <v>900397317</v>
          </cell>
          <cell r="B5062" t="str">
            <v>8</v>
          </cell>
          <cell r="C5062" t="str">
            <v/>
          </cell>
          <cell r="D5062" t="str">
            <v>NJ</v>
          </cell>
          <cell r="E5062" t="str">
            <v/>
          </cell>
          <cell r="F5062" t="str">
            <v/>
          </cell>
          <cell r="G5062" t="str">
            <v>COLOMBIANA  DE CRUDOS S.A.S-COLCRUDOS</v>
          </cell>
          <cell r="H5062" t="str">
            <v>RECO</v>
          </cell>
          <cell r="I5062" t="str">
            <v>REGIMEN COMUN</v>
          </cell>
          <cell r="J5062" t="str">
            <v xml:space="preserve"> CR 113 15 C 06</v>
          </cell>
          <cell r="K5062" t="str">
            <v>11001</v>
          </cell>
          <cell r="L5062" t="str">
            <v>BOGOTA DC</v>
          </cell>
          <cell r="M5062" t="str">
            <v>4157911</v>
          </cell>
        </row>
        <row r="5063">
          <cell r="A5063">
            <v>900397484</v>
          </cell>
          <cell r="B5063" t="str">
            <v>1</v>
          </cell>
          <cell r="C5063" t="str">
            <v/>
          </cell>
          <cell r="D5063" t="str">
            <v>NJ</v>
          </cell>
          <cell r="E5063" t="str">
            <v/>
          </cell>
          <cell r="F5063" t="str">
            <v/>
          </cell>
          <cell r="G5063" t="str">
            <v>AGROPECUARIA SANTA CLARA DEL ORIENTE S.A.S.</v>
          </cell>
          <cell r="H5063" t="str">
            <v>IMVE</v>
          </cell>
          <cell r="I5063" t="str">
            <v>IMPUESTO SOBRE LAS VENTAS</v>
          </cell>
          <cell r="J5063" t="str">
            <v>BRR SANTA CLARA FCA VILLA CRISTINA</v>
          </cell>
          <cell r="K5063" t="str">
            <v>17433</v>
          </cell>
          <cell r="L5063" t="str">
            <v>MANZANARES</v>
          </cell>
          <cell r="M5063" t="str">
            <v>3122396564</v>
          </cell>
        </row>
        <row r="5064">
          <cell r="A5064">
            <v>900398733</v>
          </cell>
          <cell r="B5064" t="str">
            <v>3</v>
          </cell>
          <cell r="C5064" t="str">
            <v/>
          </cell>
          <cell r="D5064" t="str">
            <v>NJ</v>
          </cell>
          <cell r="E5064" t="str">
            <v/>
          </cell>
          <cell r="F5064" t="str">
            <v/>
          </cell>
          <cell r="G5064" t="str">
            <v>COMERCIALIZADORA DISTRILLANTAS SAS</v>
          </cell>
          <cell r="H5064" t="str">
            <v>IMVE</v>
          </cell>
          <cell r="I5064" t="str">
            <v>IMPUESTO SOBRE LAS VENTAS</v>
          </cell>
          <cell r="J5064" t="str">
            <v>CL 16 19 A 38</v>
          </cell>
          <cell r="K5064" t="str">
            <v>15238</v>
          </cell>
          <cell r="L5064" t="str">
            <v>DUITAMA</v>
          </cell>
          <cell r="M5064" t="str">
            <v>7601183</v>
          </cell>
        </row>
        <row r="5065">
          <cell r="A5065">
            <v>900398897</v>
          </cell>
          <cell r="B5065" t="str">
            <v>2</v>
          </cell>
          <cell r="C5065" t="str">
            <v/>
          </cell>
          <cell r="D5065" t="str">
            <v>NJ</v>
          </cell>
          <cell r="E5065" t="str">
            <v/>
          </cell>
          <cell r="F5065" t="str">
            <v/>
          </cell>
          <cell r="G5065" t="str">
            <v>ASOCIACION NACIONAL DE EMPRESAS GENERADORAS/ ANDEG</v>
          </cell>
          <cell r="H5065" t="str">
            <v>IMVE</v>
          </cell>
          <cell r="I5065" t="str">
            <v>IMPUESTO SOBRE LAS VENTAS</v>
          </cell>
          <cell r="J5065" t="str">
            <v>CL 100 8 A 49 TO B OF 603</v>
          </cell>
          <cell r="K5065" t="str">
            <v>11001</v>
          </cell>
          <cell r="L5065" t="str">
            <v>BOGOTA DC</v>
          </cell>
          <cell r="M5065" t="str">
            <v>8055283</v>
          </cell>
        </row>
        <row r="5066">
          <cell r="A5066">
            <v>900398983</v>
          </cell>
          <cell r="B5066" t="str">
            <v>8</v>
          </cell>
          <cell r="C5066" t="str">
            <v/>
          </cell>
          <cell r="D5066" t="str">
            <v>NJ</v>
          </cell>
          <cell r="E5066" t="str">
            <v/>
          </cell>
          <cell r="F5066" t="str">
            <v/>
          </cell>
          <cell r="G5066" t="str">
            <v>CODINTCOL SAS</v>
          </cell>
          <cell r="H5066" t="str">
            <v>RECO</v>
          </cell>
          <cell r="I5066" t="str">
            <v>REGIMEN COMUN</v>
          </cell>
          <cell r="J5066" t="str">
            <v>CL 35 17  77  OF  1308 ED BANCOQUIA</v>
          </cell>
          <cell r="K5066" t="str">
            <v>68001</v>
          </cell>
          <cell r="L5066" t="str">
            <v>BUCARAMANGA</v>
          </cell>
          <cell r="M5066" t="str">
            <v>3178609360</v>
          </cell>
        </row>
        <row r="5067">
          <cell r="A5067">
            <v>900399380</v>
          </cell>
          <cell r="B5067" t="str">
            <v>1</v>
          </cell>
          <cell r="C5067" t="str">
            <v/>
          </cell>
          <cell r="D5067" t="str">
            <v>NJ</v>
          </cell>
          <cell r="E5067" t="str">
            <v/>
          </cell>
          <cell r="F5067" t="str">
            <v/>
          </cell>
          <cell r="G5067" t="str">
            <v>NVS AUTOMATIZACIÓN COLOMBIA S.A.S.</v>
          </cell>
          <cell r="H5067" t="str">
            <v>IMVE</v>
          </cell>
          <cell r="I5067" t="str">
            <v>IMPUESTO SOBRE LAS VENTAS</v>
          </cell>
          <cell r="J5067" t="str">
            <v>CL 79 14 33 OF 501</v>
          </cell>
          <cell r="K5067" t="str">
            <v>03</v>
          </cell>
          <cell r="L5067" t="str">
            <v>BOGOTA</v>
          </cell>
          <cell r="M5067" t="str">
            <v>3118095532</v>
          </cell>
        </row>
        <row r="5068">
          <cell r="A5068">
            <v>900399523</v>
          </cell>
          <cell r="B5068" t="str">
            <v>8</v>
          </cell>
          <cell r="C5068" t="str">
            <v/>
          </cell>
          <cell r="D5068" t="str">
            <v>NJ</v>
          </cell>
          <cell r="E5068" t="str">
            <v/>
          </cell>
          <cell r="F5068" t="str">
            <v/>
          </cell>
          <cell r="G5068" t="str">
            <v>BANDAS Y CORREAS MEDELLIN S.A.S</v>
          </cell>
          <cell r="H5068" t="str">
            <v>IMVE</v>
          </cell>
          <cell r="I5068" t="str">
            <v>IMPUESTO SOBRE LAS VENTAS</v>
          </cell>
          <cell r="J5068" t="str">
            <v xml:space="preserve"> CR 58 CL 27 37</v>
          </cell>
          <cell r="K5068" t="str">
            <v>11</v>
          </cell>
          <cell r="L5068" t="str">
            <v>ANTIOQUIA</v>
          </cell>
          <cell r="M5068" t="str">
            <v>3122867566</v>
          </cell>
        </row>
        <row r="5069">
          <cell r="A5069">
            <v>900399752</v>
          </cell>
          <cell r="B5069" t="str">
            <v>8</v>
          </cell>
          <cell r="C5069" t="str">
            <v/>
          </cell>
          <cell r="D5069" t="str">
            <v>NJ</v>
          </cell>
          <cell r="E5069" t="str">
            <v/>
          </cell>
          <cell r="F5069" t="str">
            <v/>
          </cell>
          <cell r="G5069" t="str">
            <v>INVERSIONES EXECUTIVE MANAGMENT S.A.S</v>
          </cell>
          <cell r="H5069" t="str">
            <v>RECO</v>
          </cell>
          <cell r="I5069" t="str">
            <v>REGIMEN COMUN</v>
          </cell>
          <cell r="J5069" t="str">
            <v>CR 41   9   31</v>
          </cell>
          <cell r="K5069" t="str">
            <v>05001</v>
          </cell>
          <cell r="L5069" t="str">
            <v>MEDELLÍN</v>
          </cell>
          <cell r="M5069" t="str">
            <v>3697900</v>
          </cell>
        </row>
        <row r="5070">
          <cell r="A5070">
            <v>900399903</v>
          </cell>
          <cell r="B5070" t="str">
            <v>3</v>
          </cell>
          <cell r="C5070" t="str">
            <v/>
          </cell>
          <cell r="D5070" t="str">
            <v>NJ</v>
          </cell>
          <cell r="E5070" t="str">
            <v/>
          </cell>
          <cell r="F5070" t="str">
            <v/>
          </cell>
          <cell r="G5070" t="str">
            <v>SOCIEDAD OPERADORA URBAN ROYAL CALLE 26 SAS</v>
          </cell>
          <cell r="H5070" t="str">
            <v>RECO</v>
          </cell>
          <cell r="I5070" t="str">
            <v>REGIMEN COMUN</v>
          </cell>
          <cell r="J5070" t="str">
            <v>CR 33  25  F 18</v>
          </cell>
          <cell r="K5070" t="str">
            <v>11001</v>
          </cell>
          <cell r="L5070" t="str">
            <v>BOGOTA DC</v>
          </cell>
          <cell r="M5070" t="str">
            <v>7953300</v>
          </cell>
        </row>
        <row r="5071">
          <cell r="A5071">
            <v>900400374</v>
          </cell>
          <cell r="B5071" t="str">
            <v>0</v>
          </cell>
          <cell r="C5071" t="str">
            <v/>
          </cell>
          <cell r="D5071" t="str">
            <v>NJ</v>
          </cell>
          <cell r="E5071" t="str">
            <v/>
          </cell>
          <cell r="F5071" t="str">
            <v/>
          </cell>
          <cell r="G5071" t="str">
            <v>SCF LTDA  SOLUCIONES PARA CONTROL DE FLUIDOS LTDA</v>
          </cell>
          <cell r="H5071" t="str">
            <v>IMVE</v>
          </cell>
          <cell r="I5071" t="str">
            <v>IMPUESTO SOBRE LAS VENTAS</v>
          </cell>
          <cell r="J5071" t="str">
            <v>CR 20  165  19</v>
          </cell>
          <cell r="K5071" t="str">
            <v>11001</v>
          </cell>
          <cell r="L5071" t="str">
            <v>BOGOTA DC</v>
          </cell>
          <cell r="M5071" t="str">
            <v>2588092</v>
          </cell>
        </row>
        <row r="5072">
          <cell r="A5072">
            <v>900400648</v>
          </cell>
          <cell r="B5072" t="str">
            <v>3</v>
          </cell>
          <cell r="C5072" t="str">
            <v/>
          </cell>
          <cell r="D5072" t="str">
            <v>NJ</v>
          </cell>
          <cell r="E5072" t="str">
            <v/>
          </cell>
          <cell r="F5072" t="str">
            <v/>
          </cell>
          <cell r="G5072" t="str">
            <v xml:space="preserve">CONSORCIO ENERGIA ALTO BAUDO                                </v>
          </cell>
          <cell r="H5072" t="str">
            <v>RECO</v>
          </cell>
          <cell r="I5072" t="str">
            <v>REGIMEN COMUN</v>
          </cell>
          <cell r="J5072" t="str">
            <v xml:space="preserve">CR 53 74 86 OF 308                 </v>
          </cell>
          <cell r="K5072" t="str">
            <v>08001</v>
          </cell>
          <cell r="L5072" t="str">
            <v>BARRANQUILLA</v>
          </cell>
          <cell r="M5072" t="str">
            <v>3003939</v>
          </cell>
        </row>
        <row r="5073">
          <cell r="A5073">
            <v>900401053</v>
          </cell>
          <cell r="B5073" t="str">
            <v>6</v>
          </cell>
          <cell r="C5073" t="str">
            <v/>
          </cell>
          <cell r="D5073" t="str">
            <v>NJ</v>
          </cell>
          <cell r="E5073" t="str">
            <v/>
          </cell>
          <cell r="F5073" t="str">
            <v/>
          </cell>
          <cell r="G5073" t="str">
            <v>INVERSIONES  FURTINO SAS</v>
          </cell>
          <cell r="H5073" t="str">
            <v>IMVE</v>
          </cell>
          <cell r="I5073" t="str">
            <v>IMPUESTO SOBRE LAS VENTAS</v>
          </cell>
          <cell r="J5073" t="str">
            <v>CR 22  24   49</v>
          </cell>
          <cell r="K5073" t="str">
            <v>17001</v>
          </cell>
          <cell r="L5073" t="str">
            <v>MANIZALES</v>
          </cell>
          <cell r="M5073" t="str">
            <v>3148892340</v>
          </cell>
        </row>
        <row r="5074">
          <cell r="A5074">
            <v>900401117</v>
          </cell>
          <cell r="B5074" t="str">
            <v>9</v>
          </cell>
          <cell r="C5074" t="str">
            <v/>
          </cell>
          <cell r="D5074" t="str">
            <v>NJ</v>
          </cell>
          <cell r="E5074" t="str">
            <v/>
          </cell>
          <cell r="F5074" t="str">
            <v/>
          </cell>
          <cell r="G5074" t="str">
            <v>AGROPECUARIA GARZON LOPEZ SAS</v>
          </cell>
          <cell r="H5074" t="str">
            <v>RECO</v>
          </cell>
          <cell r="I5074" t="str">
            <v>REGIMEN COMUN</v>
          </cell>
          <cell r="J5074" t="str">
            <v>CL 8   22   25</v>
          </cell>
          <cell r="K5074" t="str">
            <v>85001</v>
          </cell>
          <cell r="L5074" t="str">
            <v>YOPAL</v>
          </cell>
          <cell r="M5074" t="str">
            <v>3123216404</v>
          </cell>
        </row>
        <row r="5075">
          <cell r="A5075">
            <v>900401889</v>
          </cell>
          <cell r="B5075" t="str">
            <v>6</v>
          </cell>
          <cell r="C5075" t="str">
            <v/>
          </cell>
          <cell r="D5075" t="str">
            <v>NJ</v>
          </cell>
          <cell r="E5075" t="str">
            <v/>
          </cell>
          <cell r="F5075" t="str">
            <v/>
          </cell>
          <cell r="G5075" t="str">
            <v>UNION TEMPORAL VIAS COTORRA</v>
          </cell>
          <cell r="H5075" t="str">
            <v>RECO</v>
          </cell>
          <cell r="I5075" t="str">
            <v>REGIMEN COMUN</v>
          </cell>
          <cell r="J5075" t="str">
            <v>CL 11   05   73</v>
          </cell>
          <cell r="K5075" t="str">
            <v>47001</v>
          </cell>
          <cell r="L5075" t="str">
            <v>SANTA MARTA</v>
          </cell>
          <cell r="M5075" t="str">
            <v>4313848</v>
          </cell>
        </row>
        <row r="5076">
          <cell r="A5076">
            <v>900402128</v>
          </cell>
          <cell r="B5076" t="str">
            <v>4</v>
          </cell>
          <cell r="C5076" t="str">
            <v/>
          </cell>
          <cell r="D5076" t="str">
            <v>NJ</v>
          </cell>
          <cell r="E5076" t="str">
            <v/>
          </cell>
          <cell r="F5076" t="str">
            <v/>
          </cell>
          <cell r="G5076" t="str">
            <v>NPO SPECIAL TECHNOLOGIES IN COLOMBIA S.A.S</v>
          </cell>
          <cell r="H5076" t="str">
            <v>RECO</v>
          </cell>
          <cell r="I5076" t="str">
            <v>REGIMEN COMUN</v>
          </cell>
          <cell r="J5076" t="str">
            <v xml:space="preserve"> CR 23  55 04 OF 7</v>
          </cell>
          <cell r="K5076" t="str">
            <v>17001</v>
          </cell>
          <cell r="L5076" t="str">
            <v>MANIZALES</v>
          </cell>
          <cell r="M5076" t="str">
            <v>8901717</v>
          </cell>
        </row>
        <row r="5077">
          <cell r="A5077">
            <v>900402412</v>
          </cell>
          <cell r="B5077" t="str">
            <v>1</v>
          </cell>
          <cell r="C5077" t="str">
            <v/>
          </cell>
          <cell r="D5077" t="str">
            <v>NJ</v>
          </cell>
          <cell r="E5077" t="str">
            <v/>
          </cell>
          <cell r="F5077" t="str">
            <v/>
          </cell>
          <cell r="G5077" t="str">
            <v>CONSORCIO PAVIMENTOS SALAMINA</v>
          </cell>
          <cell r="H5077" t="str">
            <v>RECO</v>
          </cell>
          <cell r="I5077" t="str">
            <v>REGIMEN COMUN</v>
          </cell>
          <cell r="J5077" t="str">
            <v>CL 14 N 8 11</v>
          </cell>
          <cell r="K5077" t="str">
            <v>23182</v>
          </cell>
          <cell r="L5077" t="str">
            <v>CHINÚ</v>
          </cell>
          <cell r="M5077" t="str">
            <v>3017895103</v>
          </cell>
        </row>
        <row r="5078">
          <cell r="A5078">
            <v>900403266</v>
          </cell>
          <cell r="B5078" t="str">
            <v>7</v>
          </cell>
          <cell r="C5078" t="str">
            <v/>
          </cell>
          <cell r="D5078" t="str">
            <v>NJ</v>
          </cell>
          <cell r="E5078" t="str">
            <v/>
          </cell>
          <cell r="F5078" t="str">
            <v/>
          </cell>
          <cell r="G5078" t="str">
            <v>ARES HERMANOS S.A.S</v>
          </cell>
          <cell r="H5078" t="str">
            <v>RECO</v>
          </cell>
          <cell r="I5078" t="str">
            <v>REGIMEN COMUN</v>
          </cell>
          <cell r="J5078" t="str">
            <v>CL 110   34 A 75  LA ENEA</v>
          </cell>
          <cell r="K5078" t="str">
            <v>17001</v>
          </cell>
          <cell r="L5078" t="str">
            <v>MANIZALES</v>
          </cell>
          <cell r="M5078" t="str">
            <v>8740101</v>
          </cell>
        </row>
        <row r="5079">
          <cell r="A5079">
            <v>900404176</v>
          </cell>
          <cell r="B5079" t="str">
            <v>7</v>
          </cell>
          <cell r="C5079" t="str">
            <v/>
          </cell>
          <cell r="D5079" t="str">
            <v>NJ</v>
          </cell>
          <cell r="E5079" t="str">
            <v/>
          </cell>
          <cell r="F5079" t="str">
            <v/>
          </cell>
          <cell r="G5079" t="str">
            <v>TRAINING GLA SAS</v>
          </cell>
          <cell r="H5079" t="str">
            <v>IMVE</v>
          </cell>
          <cell r="I5079" t="str">
            <v>IMPUESTO SOBRE LAS VENTAS</v>
          </cell>
          <cell r="J5079" t="str">
            <v xml:space="preserve"> CL  20 S 29 A 48</v>
          </cell>
          <cell r="K5079" t="str">
            <v>11001</v>
          </cell>
          <cell r="L5079" t="str">
            <v>BOGOTA DC</v>
          </cell>
          <cell r="M5079" t="str">
            <v>3214737242</v>
          </cell>
        </row>
        <row r="5080">
          <cell r="A5080">
            <v>900404715</v>
          </cell>
          <cell r="B5080" t="str">
            <v>7</v>
          </cell>
          <cell r="C5080" t="str">
            <v/>
          </cell>
          <cell r="D5080" t="str">
            <v>NJ</v>
          </cell>
          <cell r="E5080" t="str">
            <v/>
          </cell>
          <cell r="F5080" t="str">
            <v/>
          </cell>
          <cell r="G5080" t="str">
            <v>AP INGENIEROS SAS</v>
          </cell>
          <cell r="H5080" t="str">
            <v>IMVE</v>
          </cell>
          <cell r="I5080" t="str">
            <v>IMPUESTO SOBRE LAS VENTAS</v>
          </cell>
          <cell r="J5080" t="str">
            <v>CL 56 7 85 OF 202</v>
          </cell>
          <cell r="K5080" t="str">
            <v>11001</v>
          </cell>
          <cell r="L5080" t="str">
            <v>BOGOTA DC</v>
          </cell>
          <cell r="M5080" t="str">
            <v>3144713499</v>
          </cell>
        </row>
        <row r="5081">
          <cell r="A5081">
            <v>900407304</v>
          </cell>
          <cell r="B5081" t="str">
            <v>7</v>
          </cell>
          <cell r="C5081" t="str">
            <v/>
          </cell>
          <cell r="D5081" t="str">
            <v>NJ</v>
          </cell>
          <cell r="E5081" t="str">
            <v/>
          </cell>
          <cell r="F5081" t="str">
            <v/>
          </cell>
          <cell r="G5081" t="str">
            <v>HYDROCHEM SAS</v>
          </cell>
          <cell r="H5081" t="str">
            <v>IMVE</v>
          </cell>
          <cell r="I5081" t="str">
            <v>IMPUESTO SOBRE LAS VENTAS</v>
          </cell>
          <cell r="J5081" t="str">
            <v>CL 25 B 85 B 86</v>
          </cell>
          <cell r="K5081" t="str">
            <v>11001</v>
          </cell>
          <cell r="L5081" t="str">
            <v>BOGOTA DC</v>
          </cell>
          <cell r="M5081" t="str">
            <v>8059252</v>
          </cell>
        </row>
        <row r="5082">
          <cell r="A5082">
            <v>900407432</v>
          </cell>
          <cell r="B5082" t="str">
            <v>1</v>
          </cell>
          <cell r="C5082" t="str">
            <v/>
          </cell>
          <cell r="D5082" t="str">
            <v>NJ</v>
          </cell>
          <cell r="E5082" t="str">
            <v/>
          </cell>
          <cell r="F5082" t="str">
            <v/>
          </cell>
          <cell r="G5082" t="str">
            <v>L&amp;C SAS</v>
          </cell>
          <cell r="H5082" t="str">
            <v>GRCO</v>
          </cell>
          <cell r="I5082" t="str">
            <v>GRAN CONTRIBUYENTE</v>
          </cell>
          <cell r="J5082" t="str">
            <v>A K 45 232 35 LC 4 113</v>
          </cell>
          <cell r="K5082" t="str">
            <v>11001</v>
          </cell>
          <cell r="L5082" t="str">
            <v>BOGOTA DC</v>
          </cell>
          <cell r="M5082" t="str">
            <v>6720161</v>
          </cell>
        </row>
        <row r="5083">
          <cell r="A5083">
            <v>900407999</v>
          </cell>
          <cell r="B5083" t="str">
            <v>5</v>
          </cell>
          <cell r="C5083" t="str">
            <v/>
          </cell>
          <cell r="D5083" t="str">
            <v>NJ</v>
          </cell>
          <cell r="E5083" t="str">
            <v/>
          </cell>
          <cell r="F5083" t="str">
            <v/>
          </cell>
          <cell r="G5083" t="str">
            <v>SUPERMERCADOS DEL CENTRO S.A.S</v>
          </cell>
          <cell r="H5083" t="str">
            <v>RECO</v>
          </cell>
          <cell r="I5083" t="str">
            <v>REGIMEN COMUN</v>
          </cell>
          <cell r="J5083" t="str">
            <v>CRA 22 NO 28-30</v>
          </cell>
          <cell r="K5083" t="str">
            <v>17001</v>
          </cell>
          <cell r="L5083" t="str">
            <v>MANIZALES</v>
          </cell>
          <cell r="M5083" t="str">
            <v>8847346</v>
          </cell>
        </row>
        <row r="5084">
          <cell r="A5084">
            <v>900408111</v>
          </cell>
          <cell r="B5084" t="str">
            <v>7</v>
          </cell>
          <cell r="C5084" t="str">
            <v/>
          </cell>
          <cell r="D5084" t="str">
            <v>NJ</v>
          </cell>
          <cell r="E5084" t="str">
            <v/>
          </cell>
          <cell r="F5084" t="str">
            <v/>
          </cell>
          <cell r="G5084" t="str">
            <v>AERORIENTE DEL GUAVIARE SAS</v>
          </cell>
          <cell r="H5084" t="str">
            <v>REOR</v>
          </cell>
          <cell r="I5084" t="str">
            <v>RENTA REGIMEN ORDINARIO</v>
          </cell>
          <cell r="J5084" t="str">
            <v>CR 44 A 16 14 MZ 1 CA 2 URB EL BOSQUE</v>
          </cell>
          <cell r="K5084" t="str">
            <v>50001</v>
          </cell>
          <cell r="L5084" t="str">
            <v>VILLAVICENCIO</v>
          </cell>
          <cell r="M5084" t="str">
            <v>3153725183</v>
          </cell>
        </row>
        <row r="5085">
          <cell r="A5085">
            <v>900408295</v>
          </cell>
          <cell r="B5085" t="str">
            <v>3</v>
          </cell>
          <cell r="C5085" t="str">
            <v/>
          </cell>
          <cell r="D5085" t="str">
            <v>NJ</v>
          </cell>
          <cell r="E5085" t="str">
            <v/>
          </cell>
          <cell r="F5085" t="str">
            <v/>
          </cell>
          <cell r="G5085" t="str">
            <v>IPS CENTRO MEDICO SAN GREGORIO HERNANDEZ LIMITADA</v>
          </cell>
          <cell r="H5085" t="str">
            <v>REOR</v>
          </cell>
          <cell r="I5085" t="str">
            <v>RENTA REGIMEN ORDINARIO</v>
          </cell>
          <cell r="J5085" t="str">
            <v xml:space="preserve"> CL 18  9 96 BRR COMUNEROS</v>
          </cell>
          <cell r="K5085" t="str">
            <v>94001</v>
          </cell>
          <cell r="L5085" t="str">
            <v>INÍRIDA</v>
          </cell>
          <cell r="M5085" t="str">
            <v>5656006</v>
          </cell>
        </row>
        <row r="5086">
          <cell r="A5086">
            <v>900408529</v>
          </cell>
          <cell r="B5086" t="str">
            <v>1</v>
          </cell>
          <cell r="C5086" t="str">
            <v/>
          </cell>
          <cell r="D5086" t="str">
            <v>NJ</v>
          </cell>
          <cell r="E5086" t="str">
            <v/>
          </cell>
          <cell r="F5086" t="str">
            <v/>
          </cell>
          <cell r="G5086" t="str">
            <v>CONSORCIO CIVILES</v>
          </cell>
          <cell r="H5086" t="str">
            <v>RECO</v>
          </cell>
          <cell r="I5086" t="str">
            <v>REGIMEN COMUN</v>
          </cell>
          <cell r="J5086" t="str">
            <v>CL 35  17  77</v>
          </cell>
          <cell r="K5086" t="str">
            <v>68001</v>
          </cell>
          <cell r="L5086" t="str">
            <v>BUCARAMANGA</v>
          </cell>
          <cell r="M5086" t="str">
            <v>6424730</v>
          </cell>
        </row>
        <row r="5087">
          <cell r="A5087">
            <v>900408686</v>
          </cell>
          <cell r="B5087" t="str">
            <v>1</v>
          </cell>
          <cell r="C5087" t="str">
            <v/>
          </cell>
          <cell r="D5087" t="str">
            <v>NJ</v>
          </cell>
          <cell r="E5087" t="str">
            <v/>
          </cell>
          <cell r="F5087" t="str">
            <v/>
          </cell>
          <cell r="G5087" t="str">
            <v>ELECTRIC MACHINES TESTS  LTDA</v>
          </cell>
          <cell r="H5087" t="str">
            <v>IMVE</v>
          </cell>
          <cell r="I5087" t="str">
            <v>IMPUESTO SOBRE LAS VENTAS</v>
          </cell>
          <cell r="J5087" t="str">
            <v>CL 191 A 11 A 25 AP 1312</v>
          </cell>
          <cell r="K5087" t="str">
            <v>11001</v>
          </cell>
          <cell r="L5087" t="str">
            <v>BOGOTA DC</v>
          </cell>
          <cell r="M5087" t="str">
            <v>3137466103</v>
          </cell>
        </row>
        <row r="5088">
          <cell r="A5088">
            <v>900408815</v>
          </cell>
          <cell r="B5088" t="str">
            <v>3</v>
          </cell>
          <cell r="C5088" t="str">
            <v/>
          </cell>
          <cell r="D5088" t="str">
            <v>NJ</v>
          </cell>
          <cell r="E5088" t="str">
            <v/>
          </cell>
          <cell r="F5088" t="str">
            <v/>
          </cell>
          <cell r="G5088" t="str">
            <v>ENLACES INALAMBRICOS DIGITALES S.A.S.</v>
          </cell>
          <cell r="H5088" t="str">
            <v>RECO</v>
          </cell>
          <cell r="I5088" t="str">
            <v>REGIMEN COMUN</v>
          </cell>
          <cell r="J5088" t="str">
            <v xml:space="preserve"> CL 10 43 A 40</v>
          </cell>
          <cell r="K5088" t="str">
            <v>05001</v>
          </cell>
          <cell r="L5088" t="str">
            <v>MEDELLÍN</v>
          </cell>
          <cell r="M5088" t="str">
            <v>3142429566</v>
          </cell>
        </row>
        <row r="5089">
          <cell r="A5089">
            <v>900409882</v>
          </cell>
          <cell r="B5089" t="str">
            <v>1</v>
          </cell>
          <cell r="C5089" t="str">
            <v/>
          </cell>
          <cell r="D5089" t="str">
            <v>NJ</v>
          </cell>
          <cell r="E5089" t="str">
            <v/>
          </cell>
          <cell r="F5089" t="str">
            <v/>
          </cell>
          <cell r="G5089" t="str">
            <v>INDUSTRIAS EXPLORER INGENIERIA S.A.S.</v>
          </cell>
          <cell r="H5089" t="str">
            <v>RECO</v>
          </cell>
          <cell r="I5089" t="str">
            <v>REGIMEN COMUN</v>
          </cell>
          <cell r="J5089" t="str">
            <v>AV CR 7 114 60 CC HACIENDA SANTA BARBARA ZN D OF D 401 B</v>
          </cell>
          <cell r="K5089" t="str">
            <v>15238</v>
          </cell>
          <cell r="L5089" t="str">
            <v>DUITAMA</v>
          </cell>
          <cell r="M5089" t="str">
            <v>7631253</v>
          </cell>
        </row>
        <row r="5090">
          <cell r="A5090">
            <v>900410187</v>
          </cell>
          <cell r="B5090" t="str">
            <v>2</v>
          </cell>
          <cell r="C5090" t="str">
            <v/>
          </cell>
          <cell r="D5090" t="str">
            <v>NJ</v>
          </cell>
          <cell r="E5090" t="str">
            <v/>
          </cell>
          <cell r="F5090" t="str">
            <v/>
          </cell>
          <cell r="G5090" t="str">
            <v>SOCIEDAD SMI PROYECTOS SAS</v>
          </cell>
          <cell r="H5090" t="str">
            <v>IMVE</v>
          </cell>
          <cell r="I5090" t="str">
            <v>IMPUESTO SOBRE LAS VENTAS</v>
          </cell>
          <cell r="J5090" t="str">
            <v xml:space="preserve"> CL 34 N 2 N  BIS 21</v>
          </cell>
          <cell r="K5090" t="str">
            <v>76001</v>
          </cell>
          <cell r="L5090" t="str">
            <v>CALI</v>
          </cell>
          <cell r="M5090" t="str">
            <v>6685919</v>
          </cell>
        </row>
        <row r="5091">
          <cell r="A5091">
            <v>900410401</v>
          </cell>
          <cell r="B5091" t="str">
            <v>4</v>
          </cell>
          <cell r="C5091" t="str">
            <v/>
          </cell>
          <cell r="D5091" t="str">
            <v>NJ</v>
          </cell>
          <cell r="E5091" t="str">
            <v/>
          </cell>
          <cell r="F5091" t="str">
            <v/>
          </cell>
          <cell r="G5091" t="str">
            <v>COMPAÑIA DE MONTAJES DISEÑOS Y CONSTRUCCION CMD SAS</v>
          </cell>
          <cell r="H5091" t="str">
            <v>RECO</v>
          </cell>
          <cell r="I5091" t="str">
            <v>REGIMEN COMUN</v>
          </cell>
          <cell r="J5091" t="str">
            <v>CL 54 N 11  B  05</v>
          </cell>
          <cell r="K5091" t="str">
            <v>15759</v>
          </cell>
          <cell r="L5091" t="str">
            <v>SOGAMOSO</v>
          </cell>
          <cell r="M5091" t="str">
            <v>3132108906</v>
          </cell>
        </row>
        <row r="5092">
          <cell r="A5092">
            <v>900410830</v>
          </cell>
          <cell r="B5092" t="str">
            <v>0</v>
          </cell>
          <cell r="C5092" t="str">
            <v/>
          </cell>
          <cell r="D5092" t="str">
            <v>NJ</v>
          </cell>
          <cell r="E5092" t="str">
            <v/>
          </cell>
          <cell r="F5092" t="str">
            <v/>
          </cell>
          <cell r="G5092" t="str">
            <v>DUE CAPITAL AND SERVICES S.A.S</v>
          </cell>
          <cell r="H5092" t="str">
            <v>RECO</v>
          </cell>
          <cell r="I5092" t="str">
            <v>REGIMEN COMUN</v>
          </cell>
          <cell r="J5092" t="str">
            <v>CR 7 72 28 OF 302</v>
          </cell>
          <cell r="K5092" t="str">
            <v>11001</v>
          </cell>
          <cell r="L5092" t="str">
            <v>BOGOTA DC</v>
          </cell>
          <cell r="M5092" t="str">
            <v>7452143</v>
          </cell>
        </row>
        <row r="5093">
          <cell r="A5093">
            <v>900411046</v>
          </cell>
          <cell r="B5093" t="str">
            <v>7</v>
          </cell>
          <cell r="C5093" t="str">
            <v/>
          </cell>
          <cell r="D5093" t="str">
            <v>NJ</v>
          </cell>
          <cell r="E5093" t="str">
            <v/>
          </cell>
          <cell r="F5093" t="str">
            <v/>
          </cell>
          <cell r="G5093" t="str">
            <v>KGV SERVICIOS S.A.S</v>
          </cell>
          <cell r="H5093" t="str">
            <v>RECO</v>
          </cell>
          <cell r="I5093" t="str">
            <v>REGIMEN COMUN</v>
          </cell>
          <cell r="J5093" t="str">
            <v>CR 27 A 42 51 AP 10  03</v>
          </cell>
          <cell r="K5093" t="str">
            <v>68001</v>
          </cell>
          <cell r="L5093" t="str">
            <v>BUCARAMANGA</v>
          </cell>
          <cell r="M5093" t="str">
            <v>6905154</v>
          </cell>
        </row>
        <row r="5094">
          <cell r="A5094">
            <v>900411071</v>
          </cell>
          <cell r="B5094" t="str">
            <v>1</v>
          </cell>
          <cell r="C5094" t="str">
            <v/>
          </cell>
          <cell r="D5094" t="str">
            <v>NJ</v>
          </cell>
          <cell r="E5094" t="str">
            <v/>
          </cell>
          <cell r="F5094" t="str">
            <v/>
          </cell>
          <cell r="G5094" t="str">
            <v>INVERSIONES NAN S.A.S</v>
          </cell>
          <cell r="H5094" t="str">
            <v>RECO</v>
          </cell>
          <cell r="I5094" t="str">
            <v>REGIMEN COMUN</v>
          </cell>
          <cell r="J5094" t="str">
            <v>AV 28   39 B 67</v>
          </cell>
          <cell r="K5094" t="str">
            <v>11001</v>
          </cell>
          <cell r="L5094" t="str">
            <v>BOGOTA DC</v>
          </cell>
          <cell r="M5094" t="str">
            <v>2442290</v>
          </cell>
        </row>
        <row r="5095">
          <cell r="A5095">
            <v>900411288</v>
          </cell>
          <cell r="B5095" t="str">
            <v>2</v>
          </cell>
          <cell r="C5095" t="str">
            <v/>
          </cell>
          <cell r="D5095" t="str">
            <v>NJ</v>
          </cell>
          <cell r="E5095" t="str">
            <v/>
          </cell>
          <cell r="F5095" t="str">
            <v/>
          </cell>
          <cell r="G5095" t="str">
            <v>CONSORCIO DIVINO NIÑO</v>
          </cell>
          <cell r="H5095" t="str">
            <v>RECO</v>
          </cell>
          <cell r="I5095" t="str">
            <v>REGIMEN COMUN</v>
          </cell>
          <cell r="J5095" t="str">
            <v>CR 25   17 A 43</v>
          </cell>
          <cell r="K5095" t="str">
            <v>76001</v>
          </cell>
          <cell r="L5095" t="str">
            <v>CALI</v>
          </cell>
          <cell r="M5095" t="str">
            <v>3369022</v>
          </cell>
        </row>
        <row r="5096">
          <cell r="A5096">
            <v>900411336</v>
          </cell>
          <cell r="B5096" t="str">
            <v>8</v>
          </cell>
          <cell r="C5096" t="str">
            <v/>
          </cell>
          <cell r="D5096" t="str">
            <v>NJ</v>
          </cell>
          <cell r="E5096" t="str">
            <v/>
          </cell>
          <cell r="F5096" t="str">
            <v/>
          </cell>
          <cell r="G5096" t="str">
            <v>M CONSULTORES SAS</v>
          </cell>
          <cell r="H5096" t="str">
            <v>IMVE</v>
          </cell>
          <cell r="I5096" t="str">
            <v>IMPUESTO SOBRE LAS VENTAS</v>
          </cell>
          <cell r="J5096" t="str">
            <v>CR 6 11 18 CA  4</v>
          </cell>
          <cell r="K5096" t="str">
            <v>17174</v>
          </cell>
          <cell r="L5096" t="str">
            <v>CHINCHINÁ</v>
          </cell>
          <cell r="M5096" t="str">
            <v>3113725424</v>
          </cell>
        </row>
        <row r="5097">
          <cell r="A5097">
            <v>900411816</v>
          </cell>
          <cell r="B5097" t="str">
            <v>1</v>
          </cell>
          <cell r="C5097" t="str">
            <v/>
          </cell>
          <cell r="D5097" t="str">
            <v>NJ</v>
          </cell>
          <cell r="E5097" t="str">
            <v/>
          </cell>
          <cell r="F5097" t="str">
            <v/>
          </cell>
          <cell r="G5097" t="str">
            <v>CENTRO DE CIENCIA Y SENSIBILIZACIÓN AMBIENTAL S.A.S.</v>
          </cell>
          <cell r="H5097" t="str">
            <v>RECO</v>
          </cell>
          <cell r="I5097" t="str">
            <v>REGIMEN COMUN</v>
          </cell>
          <cell r="J5097" t="str">
            <v xml:space="preserve"> CR 73 CIR 3 27</v>
          </cell>
          <cell r="K5097" t="str">
            <v>05001</v>
          </cell>
          <cell r="L5097" t="str">
            <v>MEDELLÍN</v>
          </cell>
          <cell r="M5097" t="str">
            <v>3005707850</v>
          </cell>
        </row>
        <row r="5098">
          <cell r="A5098">
            <v>900412098</v>
          </cell>
          <cell r="B5098" t="str">
            <v>4</v>
          </cell>
          <cell r="C5098" t="str">
            <v/>
          </cell>
          <cell r="D5098" t="str">
            <v>NJ</v>
          </cell>
          <cell r="E5098" t="str">
            <v/>
          </cell>
          <cell r="F5098" t="str">
            <v/>
          </cell>
          <cell r="G5098" t="str">
            <v>ORGANIZACIÓN DE AGENCIAS, TRANSPORTES Y EVENTOS SAS</v>
          </cell>
          <cell r="H5098" t="str">
            <v>IMVE</v>
          </cell>
          <cell r="I5098" t="str">
            <v>IMPUESTO SOBRE LAS VENTAS</v>
          </cell>
          <cell r="J5098" t="str">
            <v>DG 2  1  40</v>
          </cell>
          <cell r="K5098" t="str">
            <v>15806</v>
          </cell>
          <cell r="L5098" t="str">
            <v>TIBASOSA</v>
          </cell>
          <cell r="M5098" t="str">
            <v>7605434</v>
          </cell>
        </row>
        <row r="5099">
          <cell r="A5099">
            <v>900412705</v>
          </cell>
          <cell r="B5099" t="str">
            <v>7</v>
          </cell>
          <cell r="C5099" t="str">
            <v/>
          </cell>
          <cell r="D5099" t="str">
            <v>NJ</v>
          </cell>
          <cell r="E5099" t="str">
            <v/>
          </cell>
          <cell r="F5099" t="str">
            <v/>
          </cell>
          <cell r="G5099" t="str">
            <v>SOLUCIONES GLOBALES CALDERON LTDA</v>
          </cell>
          <cell r="H5099" t="str">
            <v>IMVE</v>
          </cell>
          <cell r="I5099" t="str">
            <v>IMPUESTO SOBRE LAS VENTAS</v>
          </cell>
          <cell r="J5099" t="str">
            <v>CR 18 CL 23 05</v>
          </cell>
          <cell r="K5099" t="str">
            <v>85001</v>
          </cell>
          <cell r="L5099" t="str">
            <v>YOPAL</v>
          </cell>
          <cell r="M5099" t="str">
            <v>3167051520</v>
          </cell>
        </row>
        <row r="5100">
          <cell r="A5100">
            <v>900413235</v>
          </cell>
          <cell r="B5100" t="str">
            <v>1</v>
          </cell>
          <cell r="C5100" t="str">
            <v/>
          </cell>
          <cell r="D5100" t="str">
            <v>NJ</v>
          </cell>
          <cell r="E5100" t="str">
            <v/>
          </cell>
          <cell r="F5100" t="str">
            <v/>
          </cell>
          <cell r="G5100" t="str">
            <v>EPYCO S.A.S</v>
          </cell>
          <cell r="H5100" t="str">
            <v>RECO</v>
          </cell>
          <cell r="I5100" t="str">
            <v>REGIMEN COMUN</v>
          </cell>
          <cell r="J5100" t="str">
            <v>CR 87  CL 44  B  51</v>
          </cell>
          <cell r="K5100" t="str">
            <v>05001</v>
          </cell>
          <cell r="L5100" t="str">
            <v>MEDELLÍN</v>
          </cell>
          <cell r="M5100" t="str">
            <v>4967232</v>
          </cell>
        </row>
        <row r="5101">
          <cell r="A5101">
            <v>900413420</v>
          </cell>
          <cell r="B5101" t="str">
            <v>8</v>
          </cell>
          <cell r="C5101" t="str">
            <v/>
          </cell>
          <cell r="D5101" t="str">
            <v>NJ</v>
          </cell>
          <cell r="E5101" t="str">
            <v/>
          </cell>
          <cell r="F5101" t="str">
            <v/>
          </cell>
          <cell r="G5101" t="str">
            <v>PCSHEK T &amp; S S.A.S</v>
          </cell>
          <cell r="H5101" t="str">
            <v>RECO</v>
          </cell>
          <cell r="I5101" t="str">
            <v>REGIMEN COMUN</v>
          </cell>
          <cell r="J5101" t="str">
            <v>CR 56 14 51</v>
          </cell>
          <cell r="K5101" t="str">
            <v>11001</v>
          </cell>
          <cell r="L5101" t="str">
            <v>BOGOTA DC</v>
          </cell>
          <cell r="M5101" t="str">
            <v>4660706</v>
          </cell>
        </row>
        <row r="5102">
          <cell r="A5102">
            <v>900413588</v>
          </cell>
          <cell r="B5102" t="str">
            <v>6</v>
          </cell>
          <cell r="C5102" t="str">
            <v/>
          </cell>
          <cell r="D5102" t="str">
            <v>NJ</v>
          </cell>
          <cell r="E5102" t="str">
            <v/>
          </cell>
          <cell r="F5102" t="str">
            <v/>
          </cell>
          <cell r="G5102" t="str">
            <v>INGENIERIA Y SOLUCIONES ESPECIALIZADAS S.A.S.</v>
          </cell>
          <cell r="H5102" t="str">
            <v>RECO</v>
          </cell>
          <cell r="I5102" t="str">
            <v>REGIMEN COMUN</v>
          </cell>
          <cell r="J5102" t="str">
            <v>CR 57  72 25 P 10 ED FINCAR</v>
          </cell>
          <cell r="K5102" t="str">
            <v>08001</v>
          </cell>
          <cell r="L5102" t="str">
            <v>BARRANQUILLA</v>
          </cell>
          <cell r="M5102" t="str">
            <v>3603213</v>
          </cell>
        </row>
        <row r="5103">
          <cell r="A5103">
            <v>900415155</v>
          </cell>
          <cell r="B5103" t="str">
            <v>1</v>
          </cell>
          <cell r="C5103" t="str">
            <v/>
          </cell>
          <cell r="D5103" t="str">
            <v>NJ</v>
          </cell>
          <cell r="E5103" t="str">
            <v/>
          </cell>
          <cell r="F5103" t="str">
            <v/>
          </cell>
          <cell r="G5103" t="str">
            <v>CM MARKETING PROMOCIONAL S.A.S</v>
          </cell>
          <cell r="H5103" t="str">
            <v>IMVE</v>
          </cell>
          <cell r="I5103" t="str">
            <v>IMPUESTO SOBRE LAS VENTAS</v>
          </cell>
          <cell r="J5103" t="str">
            <v xml:space="preserve"> CR 23 68 40 AP 202 ED CASA BLANCA BRR PALERMO</v>
          </cell>
          <cell r="K5103" t="str">
            <v>17001</v>
          </cell>
          <cell r="L5103" t="str">
            <v>MANIZALES</v>
          </cell>
          <cell r="M5103" t="str">
            <v>3155410155</v>
          </cell>
        </row>
        <row r="5104">
          <cell r="A5104">
            <v>900416129</v>
          </cell>
          <cell r="B5104" t="str">
            <v>2</v>
          </cell>
          <cell r="C5104" t="str">
            <v/>
          </cell>
          <cell r="D5104" t="str">
            <v>NJ</v>
          </cell>
          <cell r="E5104" t="str">
            <v/>
          </cell>
          <cell r="F5104" t="str">
            <v/>
          </cell>
          <cell r="G5104" t="str">
            <v>SICON INGENIERIA S.A.S.</v>
          </cell>
          <cell r="H5104" t="str">
            <v>IMVE</v>
          </cell>
          <cell r="I5104" t="str">
            <v>IMPUESTO SOBRE LAS VENTAS</v>
          </cell>
          <cell r="J5104" t="str">
            <v>CR 24 22 36 OF 204</v>
          </cell>
          <cell r="K5104" t="str">
            <v>17001</v>
          </cell>
          <cell r="L5104" t="str">
            <v>MANIZALES</v>
          </cell>
          <cell r="M5104" t="str">
            <v>3218128871</v>
          </cell>
        </row>
        <row r="5105">
          <cell r="A5105">
            <v>900417697</v>
          </cell>
          <cell r="B5105" t="str">
            <v>9</v>
          </cell>
          <cell r="C5105" t="str">
            <v/>
          </cell>
          <cell r="D5105" t="str">
            <v>NJ</v>
          </cell>
          <cell r="E5105" t="str">
            <v/>
          </cell>
          <cell r="F5105" t="str">
            <v/>
          </cell>
          <cell r="G5105" t="str">
            <v>MEGA SOLUCIONES GPM SAS</v>
          </cell>
          <cell r="H5105" t="str">
            <v>RECO</v>
          </cell>
          <cell r="I5105" t="str">
            <v>REGIMEN COMUN</v>
          </cell>
          <cell r="J5105" t="str">
            <v>PALMARES DE LA ALHAMBRA CA 7</v>
          </cell>
          <cell r="K5105" t="str">
            <v>17001</v>
          </cell>
          <cell r="L5105" t="str">
            <v>MANIZALES</v>
          </cell>
          <cell r="M5105" t="str">
            <v>8871861</v>
          </cell>
        </row>
        <row r="5106">
          <cell r="A5106">
            <v>900417707</v>
          </cell>
          <cell r="B5106" t="str">
            <v>4</v>
          </cell>
          <cell r="C5106" t="str">
            <v/>
          </cell>
          <cell r="D5106" t="str">
            <v>NJ</v>
          </cell>
          <cell r="E5106" t="str">
            <v/>
          </cell>
          <cell r="F5106" t="str">
            <v/>
          </cell>
          <cell r="G5106" t="str">
            <v>ELEVACION Y CONSTRUCCION RENTAL S.A.S</v>
          </cell>
          <cell r="H5106" t="str">
            <v>RECO</v>
          </cell>
          <cell r="I5106" t="str">
            <v>REGIMEN COMUN</v>
          </cell>
          <cell r="J5106" t="str">
            <v>AUT MEDELLIN KM 7 PAR CELTA BG 20</v>
          </cell>
          <cell r="K5106" t="str">
            <v>25286</v>
          </cell>
          <cell r="L5106" t="str">
            <v>FUNZA</v>
          </cell>
          <cell r="M5106" t="str">
            <v>7452413</v>
          </cell>
        </row>
        <row r="5107">
          <cell r="A5107">
            <v>900418656</v>
          </cell>
          <cell r="B5107" t="str">
            <v>1</v>
          </cell>
          <cell r="C5107" t="str">
            <v/>
          </cell>
          <cell r="D5107" t="str">
            <v>NJ</v>
          </cell>
          <cell r="E5107" t="str">
            <v/>
          </cell>
          <cell r="F5107" t="str">
            <v/>
          </cell>
          <cell r="G5107" t="str">
            <v>GRUPO MICROSISTEMAS COLOMBIA SAS</v>
          </cell>
          <cell r="H5107" t="str">
            <v>RECO</v>
          </cell>
          <cell r="I5107" t="str">
            <v>REGIMEN COMUN</v>
          </cell>
          <cell r="J5107" t="str">
            <v>CR 47 A 96 41 OF 201</v>
          </cell>
          <cell r="K5107" t="str">
            <v>11001</v>
          </cell>
          <cell r="L5107" t="str">
            <v>BOGOTA DC</v>
          </cell>
          <cell r="M5107" t="str">
            <v>3194461160</v>
          </cell>
        </row>
        <row r="5108">
          <cell r="A5108">
            <v>900418860</v>
          </cell>
          <cell r="B5108" t="str">
            <v>8</v>
          </cell>
          <cell r="C5108" t="str">
            <v/>
          </cell>
          <cell r="D5108" t="str">
            <v>NJ</v>
          </cell>
          <cell r="E5108" t="str">
            <v/>
          </cell>
          <cell r="F5108" t="str">
            <v/>
          </cell>
          <cell r="G5108" t="str">
            <v>Marketing Oil Company S A S</v>
          </cell>
          <cell r="H5108" t="str">
            <v>IMVE</v>
          </cell>
          <cell r="I5108" t="str">
            <v>IMPUESTO SOBRE LAS VENTAS</v>
          </cell>
          <cell r="J5108" t="str">
            <v>AV CR 7 127 48 OF 411</v>
          </cell>
          <cell r="K5108" t="str">
            <v>17001</v>
          </cell>
          <cell r="L5108" t="str">
            <v>MANIZALES</v>
          </cell>
          <cell r="M5108" t="str">
            <v>3204073450</v>
          </cell>
        </row>
        <row r="5109">
          <cell r="A5109">
            <v>900418922</v>
          </cell>
          <cell r="B5109" t="str">
            <v>6</v>
          </cell>
          <cell r="C5109" t="str">
            <v/>
          </cell>
          <cell r="D5109" t="str">
            <v>NJ</v>
          </cell>
          <cell r="E5109" t="str">
            <v/>
          </cell>
          <cell r="F5109" t="str">
            <v/>
          </cell>
          <cell r="G5109" t="str">
            <v>DESAROLLO Y ASESORIA COMERCIAL DAC SAS</v>
          </cell>
          <cell r="H5109" t="str">
            <v>IMVE</v>
          </cell>
          <cell r="I5109" t="str">
            <v>IMPUESTO SOBRE LAS VENTAS</v>
          </cell>
          <cell r="J5109" t="str">
            <v xml:space="preserve"> CL 15 13 89</v>
          </cell>
          <cell r="K5109" t="str">
            <v>97001</v>
          </cell>
          <cell r="L5109" t="str">
            <v>MITÚ</v>
          </cell>
          <cell r="M5109" t="str">
            <v>3163808949</v>
          </cell>
        </row>
        <row r="5110">
          <cell r="A5110">
            <v>900420443</v>
          </cell>
          <cell r="B5110" t="str">
            <v>6</v>
          </cell>
          <cell r="C5110" t="str">
            <v/>
          </cell>
          <cell r="D5110" t="str">
            <v>NJ</v>
          </cell>
          <cell r="E5110" t="str">
            <v/>
          </cell>
          <cell r="F5110" t="str">
            <v/>
          </cell>
          <cell r="G5110" t="str">
            <v>TRANSPORTES SABANA TOUR LTDA</v>
          </cell>
          <cell r="H5110" t="str">
            <v>RECO</v>
          </cell>
          <cell r="I5110" t="str">
            <v>REGIMEN COMUN</v>
          </cell>
          <cell r="J5110" t="str">
            <v>AV CR 40 25 72</v>
          </cell>
          <cell r="K5110" t="str">
            <v>11001</v>
          </cell>
          <cell r="L5110" t="str">
            <v>BOGOTA DC</v>
          </cell>
          <cell r="M5110" t="str">
            <v>4050265</v>
          </cell>
        </row>
        <row r="5111">
          <cell r="A5111">
            <v>900420523</v>
          </cell>
          <cell r="B5111" t="str">
            <v>7</v>
          </cell>
          <cell r="C5111" t="str">
            <v/>
          </cell>
          <cell r="D5111" t="str">
            <v>NJ</v>
          </cell>
          <cell r="E5111" t="str">
            <v/>
          </cell>
          <cell r="F5111" t="str">
            <v/>
          </cell>
          <cell r="G5111" t="str">
            <v>DELL ARTE S.A.S</v>
          </cell>
          <cell r="H5111" t="str">
            <v>RECO</v>
          </cell>
          <cell r="I5111" t="str">
            <v>REGIMEN COMUN</v>
          </cell>
          <cell r="J5111" t="str">
            <v>CR 10 B  56 A 03</v>
          </cell>
          <cell r="K5111" t="str">
            <v>17001</v>
          </cell>
          <cell r="L5111" t="str">
            <v>MANIZALES</v>
          </cell>
          <cell r="M5111" t="str">
            <v>8905382</v>
          </cell>
        </row>
        <row r="5112">
          <cell r="A5112">
            <v>900421010</v>
          </cell>
          <cell r="B5112" t="str">
            <v>5</v>
          </cell>
          <cell r="C5112" t="str">
            <v/>
          </cell>
          <cell r="D5112" t="str">
            <v>NJ</v>
          </cell>
          <cell r="E5112" t="str">
            <v/>
          </cell>
          <cell r="F5112" t="str">
            <v/>
          </cell>
          <cell r="G5112" t="str">
            <v>RM&amp; COMPAÑIA SAS</v>
          </cell>
          <cell r="H5112" t="str">
            <v>RECO</v>
          </cell>
          <cell r="I5112" t="str">
            <v>REGIMEN COMUN</v>
          </cell>
          <cell r="J5112" t="str">
            <v>CR 34 N 34-41 BRR LAS BRISAS</v>
          </cell>
          <cell r="K5112" t="str">
            <v>68081</v>
          </cell>
          <cell r="L5112" t="str">
            <v>BARRANCABERMEJA</v>
          </cell>
          <cell r="M5112" t="str">
            <v>6113614</v>
          </cell>
        </row>
        <row r="5113">
          <cell r="A5113">
            <v>900421299</v>
          </cell>
          <cell r="B5113" t="str">
            <v>6</v>
          </cell>
          <cell r="C5113" t="str">
            <v/>
          </cell>
          <cell r="D5113" t="str">
            <v>NJ</v>
          </cell>
          <cell r="E5113" t="str">
            <v/>
          </cell>
          <cell r="F5113" t="str">
            <v/>
          </cell>
          <cell r="G5113" t="str">
            <v>ESPINA COLOMBIA</v>
          </cell>
          <cell r="H5113" t="str">
            <v>IMVE</v>
          </cell>
          <cell r="I5113" t="str">
            <v>IMPUESTO SOBRE LAS VENTAS</v>
          </cell>
          <cell r="J5113" t="str">
            <v>TV 19 A 98 28 O F 702</v>
          </cell>
          <cell r="K5113" t="str">
            <v>11001</v>
          </cell>
          <cell r="L5113" t="str">
            <v>BOGOTA DC</v>
          </cell>
          <cell r="M5113" t="str">
            <v>6429388</v>
          </cell>
        </row>
        <row r="5114">
          <cell r="A5114">
            <v>900421659</v>
          </cell>
          <cell r="B5114" t="str">
            <v>4</v>
          </cell>
          <cell r="C5114" t="str">
            <v/>
          </cell>
          <cell r="D5114" t="str">
            <v>NJ</v>
          </cell>
          <cell r="E5114" t="str">
            <v/>
          </cell>
          <cell r="F5114" t="str">
            <v/>
          </cell>
          <cell r="G5114" t="str">
            <v>CONSORCIO OYH</v>
          </cell>
          <cell r="H5114" t="str">
            <v>RECO</v>
          </cell>
          <cell r="I5114" t="str">
            <v>REGIMEN COMUN</v>
          </cell>
          <cell r="J5114" t="str">
            <v>CL 62 23 61 O F 702</v>
          </cell>
          <cell r="K5114" t="str">
            <v>17001</v>
          </cell>
          <cell r="L5114" t="str">
            <v>MANIZALES</v>
          </cell>
          <cell r="M5114" t="str">
            <v>8812088</v>
          </cell>
        </row>
        <row r="5115">
          <cell r="A5115">
            <v>900422686</v>
          </cell>
          <cell r="B5115" t="str">
            <v>8</v>
          </cell>
          <cell r="C5115" t="str">
            <v/>
          </cell>
          <cell r="D5115" t="str">
            <v>NJ</v>
          </cell>
          <cell r="E5115" t="str">
            <v/>
          </cell>
          <cell r="F5115" t="str">
            <v/>
          </cell>
          <cell r="G5115" t="str">
            <v>ELECTROWATT</v>
          </cell>
          <cell r="H5115" t="str">
            <v>RECO</v>
          </cell>
          <cell r="I5115" t="str">
            <v>REGIMEN COMUN</v>
          </cell>
          <cell r="J5115" t="str">
            <v>CR 9   20   23</v>
          </cell>
          <cell r="K5115" t="str">
            <v>11001</v>
          </cell>
          <cell r="L5115" t="str">
            <v>BOGOTA DC</v>
          </cell>
          <cell r="M5115" t="str">
            <v>2867001</v>
          </cell>
        </row>
        <row r="5116">
          <cell r="A5116">
            <v>900423498</v>
          </cell>
          <cell r="B5116" t="str">
            <v>4</v>
          </cell>
          <cell r="C5116" t="str">
            <v/>
          </cell>
          <cell r="D5116" t="str">
            <v>NJ</v>
          </cell>
          <cell r="E5116" t="str">
            <v/>
          </cell>
          <cell r="F5116" t="str">
            <v/>
          </cell>
          <cell r="G5116" t="str">
            <v>D Y T PROYECTOS SAS</v>
          </cell>
          <cell r="H5116" t="str">
            <v>IMVE</v>
          </cell>
          <cell r="I5116" t="str">
            <v>IMPUESTO SOBRE LAS VENTAS</v>
          </cell>
          <cell r="J5116" t="str">
            <v xml:space="preserve"> CL 165 A  8 F  64</v>
          </cell>
          <cell r="K5116" t="str">
            <v>17001</v>
          </cell>
          <cell r="L5116" t="str">
            <v>MANIZALES</v>
          </cell>
          <cell r="M5116" t="str">
            <v>3008141488</v>
          </cell>
        </row>
        <row r="5117">
          <cell r="A5117">
            <v>900424365</v>
          </cell>
          <cell r="B5117" t="str">
            <v>8</v>
          </cell>
          <cell r="C5117" t="str">
            <v/>
          </cell>
          <cell r="D5117" t="str">
            <v>NJ</v>
          </cell>
          <cell r="E5117" t="str">
            <v/>
          </cell>
          <cell r="F5117" t="str">
            <v/>
          </cell>
          <cell r="G5117" t="str">
            <v>MN FOTO SAS</v>
          </cell>
          <cell r="H5117" t="str">
            <v>RECO</v>
          </cell>
          <cell r="I5117" t="str">
            <v>REGIMEN COMUN</v>
          </cell>
          <cell r="J5117" t="str">
            <v>CL 86 A 13 42 OF 501</v>
          </cell>
          <cell r="K5117" t="str">
            <v>11001</v>
          </cell>
          <cell r="L5117" t="str">
            <v>BOGOTA DC</v>
          </cell>
          <cell r="M5117" t="str">
            <v>2566693</v>
          </cell>
        </row>
        <row r="5118">
          <cell r="A5118">
            <v>900424539</v>
          </cell>
          <cell r="B5118" t="str">
            <v>2</v>
          </cell>
          <cell r="C5118" t="str">
            <v/>
          </cell>
          <cell r="D5118" t="str">
            <v>NJ</v>
          </cell>
          <cell r="E5118" t="str">
            <v/>
          </cell>
          <cell r="F5118" t="str">
            <v/>
          </cell>
          <cell r="G5118" t="str">
            <v>DROGAS ENRIQUE DEL GUAINIA S.A.S.</v>
          </cell>
          <cell r="H5118" t="str">
            <v>RECO</v>
          </cell>
          <cell r="I5118" t="str">
            <v>REGIMEN COMUN</v>
          </cell>
          <cell r="J5118" t="str">
            <v>CL 16 5 119 BRR CENTRO</v>
          </cell>
          <cell r="K5118" t="str">
            <v>94001</v>
          </cell>
          <cell r="L5118" t="str">
            <v>INÍRIDA</v>
          </cell>
          <cell r="M5118" t="str">
            <v>5656230</v>
          </cell>
        </row>
        <row r="5119">
          <cell r="A5119">
            <v>900424702</v>
          </cell>
          <cell r="B5119" t="str">
            <v>7</v>
          </cell>
          <cell r="C5119" t="str">
            <v/>
          </cell>
          <cell r="D5119" t="str">
            <v>NJ</v>
          </cell>
          <cell r="E5119" t="str">
            <v/>
          </cell>
          <cell r="F5119" t="str">
            <v/>
          </cell>
          <cell r="G5119" t="str">
            <v>INTERNATIONAL TESTING INSPECTION &amp; CERTIFICATION COLOMBIA S A S</v>
          </cell>
          <cell r="H5119" t="str">
            <v>IMVE</v>
          </cell>
          <cell r="I5119" t="str">
            <v>IMPUESTO SOBRE LAS VENTAS</v>
          </cell>
          <cell r="J5119" t="str">
            <v>CL 108   45-27 ED ASMAFE</v>
          </cell>
          <cell r="K5119" t="str">
            <v>11001</v>
          </cell>
          <cell r="L5119" t="str">
            <v>BOGOTA DC</v>
          </cell>
          <cell r="M5119" t="str">
            <v>3213718819</v>
          </cell>
        </row>
        <row r="5120">
          <cell r="A5120">
            <v>900425084</v>
          </cell>
          <cell r="B5120" t="str">
            <v>8</v>
          </cell>
          <cell r="C5120" t="str">
            <v/>
          </cell>
          <cell r="D5120" t="str">
            <v>NJ</v>
          </cell>
          <cell r="E5120" t="str">
            <v/>
          </cell>
          <cell r="F5120" t="str">
            <v/>
          </cell>
          <cell r="G5120" t="str">
            <v>UNION TEMPORAL INCORAL</v>
          </cell>
          <cell r="H5120" t="str">
            <v>RECO</v>
          </cell>
          <cell r="I5120" t="str">
            <v>REGIMEN COMUN</v>
          </cell>
          <cell r="J5120" t="str">
            <v>CL 127 B BIS 46</v>
          </cell>
          <cell r="K5120" t="str">
            <v>11001</v>
          </cell>
          <cell r="L5120" t="str">
            <v>BOGOTA DC</v>
          </cell>
          <cell r="M5120" t="str">
            <v>7588980</v>
          </cell>
        </row>
        <row r="5121">
          <cell r="A5121">
            <v>900425411</v>
          </cell>
          <cell r="B5121" t="str">
            <v>3</v>
          </cell>
          <cell r="C5121" t="str">
            <v/>
          </cell>
          <cell r="D5121" t="str">
            <v>NJ</v>
          </cell>
          <cell r="E5121" t="str">
            <v/>
          </cell>
          <cell r="F5121" t="str">
            <v/>
          </cell>
          <cell r="G5121" t="str">
            <v>C.I. V &amp; N S.A.S</v>
          </cell>
          <cell r="H5121" t="str">
            <v>IMVE</v>
          </cell>
          <cell r="I5121" t="str">
            <v>IMPUESTO SOBRE LAS VENTAS</v>
          </cell>
          <cell r="J5121" t="str">
            <v>CR 38 9 A OESTE 50 OF 801 TO 4</v>
          </cell>
          <cell r="K5121" t="str">
            <v>76001</v>
          </cell>
          <cell r="L5121" t="str">
            <v>CALI</v>
          </cell>
          <cell r="M5121" t="str">
            <v>3152767611</v>
          </cell>
        </row>
        <row r="5122">
          <cell r="A5122">
            <v>900425644</v>
          </cell>
          <cell r="B5122" t="str">
            <v>2</v>
          </cell>
          <cell r="C5122" t="str">
            <v/>
          </cell>
          <cell r="D5122" t="str">
            <v>NJ</v>
          </cell>
          <cell r="E5122" t="str">
            <v/>
          </cell>
          <cell r="F5122" t="str">
            <v/>
          </cell>
          <cell r="G5122" t="str">
            <v>SORBUS S.A.S.</v>
          </cell>
          <cell r="H5122" t="str">
            <v>RECO</v>
          </cell>
          <cell r="I5122" t="str">
            <v>REGIMEN COMUN</v>
          </cell>
          <cell r="J5122" t="str">
            <v>CL 108   55-58 BRR PUENTE LARGO</v>
          </cell>
          <cell r="K5122" t="str">
            <v>11001</v>
          </cell>
          <cell r="L5122" t="str">
            <v>BOGOTA DC</v>
          </cell>
          <cell r="M5122" t="str">
            <v>4745858</v>
          </cell>
        </row>
        <row r="5123">
          <cell r="A5123">
            <v>900425697</v>
          </cell>
          <cell r="B5123" t="str">
            <v>2</v>
          </cell>
          <cell r="C5123" t="str">
            <v/>
          </cell>
          <cell r="D5123" t="str">
            <v>NJ</v>
          </cell>
          <cell r="E5123" t="str">
            <v/>
          </cell>
          <cell r="F5123" t="str">
            <v/>
          </cell>
          <cell r="G5123" t="str">
            <v>HEIMCORE S.A.S</v>
          </cell>
          <cell r="H5123" t="str">
            <v>IMVE</v>
          </cell>
          <cell r="I5123" t="str">
            <v>IMPUESTO SOBRE LAS VENTAS</v>
          </cell>
          <cell r="J5123" t="str">
            <v xml:space="preserve"> CL 98 70 91 OF 202 ED VARDI CENTRO EMPRESARIAL PONTEVEDRA</v>
          </cell>
          <cell r="K5123" t="str">
            <v>11001</v>
          </cell>
          <cell r="L5123" t="str">
            <v>BOGOTA DC</v>
          </cell>
          <cell r="M5123" t="str">
            <v>5804352</v>
          </cell>
        </row>
        <row r="5124">
          <cell r="A5124">
            <v>900425762</v>
          </cell>
          <cell r="B5124" t="str">
            <v>3</v>
          </cell>
          <cell r="C5124" t="str">
            <v/>
          </cell>
          <cell r="D5124" t="str">
            <v>NJ</v>
          </cell>
          <cell r="E5124" t="str">
            <v/>
          </cell>
          <cell r="F5124" t="str">
            <v/>
          </cell>
          <cell r="G5124" t="str">
            <v>JK COMUNICACIONES SAS</v>
          </cell>
          <cell r="H5124" t="str">
            <v>IMVE</v>
          </cell>
          <cell r="I5124" t="str">
            <v>IMPUESTO SOBRE LAS VENTAS</v>
          </cell>
          <cell r="J5124" t="str">
            <v>CL 15 55 29 P 2</v>
          </cell>
          <cell r="K5124" t="str">
            <v>03</v>
          </cell>
          <cell r="L5124" t="str">
            <v>BOGOTA</v>
          </cell>
          <cell r="M5124" t="str">
            <v>3108710814</v>
          </cell>
        </row>
        <row r="5125">
          <cell r="A5125">
            <v>900425913</v>
          </cell>
          <cell r="B5125" t="str">
            <v>9</v>
          </cell>
          <cell r="C5125" t="str">
            <v/>
          </cell>
          <cell r="D5125" t="str">
            <v>NJ</v>
          </cell>
          <cell r="E5125" t="str">
            <v/>
          </cell>
          <cell r="F5125" t="str">
            <v/>
          </cell>
          <cell r="G5125" t="str">
            <v>CONSORCIO ELMA</v>
          </cell>
          <cell r="H5125" t="str">
            <v>RECO</v>
          </cell>
          <cell r="I5125" t="str">
            <v>REGIMEN COMUN</v>
          </cell>
          <cell r="J5125" t="str">
            <v>CR 2    42  39</v>
          </cell>
          <cell r="K5125" t="str">
            <v>23001</v>
          </cell>
          <cell r="L5125" t="str">
            <v>MONTERÍA</v>
          </cell>
          <cell r="M5125" t="str">
            <v>3017379115</v>
          </cell>
        </row>
        <row r="5126">
          <cell r="A5126">
            <v>900426074</v>
          </cell>
          <cell r="B5126" t="str">
            <v>9</v>
          </cell>
          <cell r="C5126" t="str">
            <v/>
          </cell>
          <cell r="D5126" t="str">
            <v>NJ</v>
          </cell>
          <cell r="E5126" t="str">
            <v/>
          </cell>
          <cell r="F5126" t="str">
            <v/>
          </cell>
          <cell r="G5126" t="str">
            <v>CONSORCIO PAVIMENTOS CAQUETÁ</v>
          </cell>
          <cell r="H5126" t="str">
            <v>RECO</v>
          </cell>
          <cell r="I5126" t="str">
            <v>REGIMEN COMUN</v>
          </cell>
          <cell r="J5126" t="str">
            <v>DG 1 BIS   01   105 BRR CHAMON</v>
          </cell>
          <cell r="K5126" t="str">
            <v>18001</v>
          </cell>
          <cell r="L5126" t="str">
            <v>FLORENCIA</v>
          </cell>
          <cell r="M5126" t="str">
            <v>4357012</v>
          </cell>
        </row>
        <row r="5127">
          <cell r="A5127">
            <v>900427263</v>
          </cell>
          <cell r="B5127" t="str">
            <v>9</v>
          </cell>
          <cell r="C5127" t="str">
            <v/>
          </cell>
          <cell r="D5127" t="str">
            <v>NJ</v>
          </cell>
          <cell r="E5127" t="str">
            <v/>
          </cell>
          <cell r="F5127" t="str">
            <v/>
          </cell>
          <cell r="G5127" t="str">
            <v>ELECTRO ANDU S.A.S</v>
          </cell>
          <cell r="H5127" t="str">
            <v>RECO</v>
          </cell>
          <cell r="I5127" t="str">
            <v>REGIMEN COMUN</v>
          </cell>
          <cell r="J5127" t="str">
            <v>CL 52   54   24</v>
          </cell>
          <cell r="K5127" t="str">
            <v>05001</v>
          </cell>
          <cell r="L5127" t="str">
            <v>MEDELLÍN</v>
          </cell>
          <cell r="M5127" t="str">
            <v>4484387</v>
          </cell>
        </row>
        <row r="5128">
          <cell r="A5128">
            <v>900427611</v>
          </cell>
          <cell r="B5128" t="str">
            <v>9</v>
          </cell>
          <cell r="C5128" t="str">
            <v/>
          </cell>
          <cell r="D5128" t="str">
            <v>NJ</v>
          </cell>
          <cell r="E5128" t="str">
            <v/>
          </cell>
          <cell r="F5128" t="str">
            <v/>
          </cell>
          <cell r="G5128" t="str">
            <v>LSC SISTEMAS ELECTRONICOS DE CONTROL SAS</v>
          </cell>
          <cell r="H5128" t="str">
            <v>RECO</v>
          </cell>
          <cell r="I5128" t="str">
            <v>REGIMEN COMUN</v>
          </cell>
          <cell r="J5128" t="str">
            <v>CL 15 10 62</v>
          </cell>
          <cell r="K5128" t="str">
            <v>15001</v>
          </cell>
          <cell r="L5128" t="str">
            <v>TUNJA</v>
          </cell>
          <cell r="M5128" t="str">
            <v>7401191</v>
          </cell>
        </row>
        <row r="5129">
          <cell r="A5129">
            <v>900427665</v>
          </cell>
          <cell r="B5129" t="str">
            <v>6</v>
          </cell>
          <cell r="C5129" t="str">
            <v/>
          </cell>
          <cell r="D5129" t="str">
            <v>NJ</v>
          </cell>
          <cell r="E5129" t="str">
            <v/>
          </cell>
          <cell r="F5129" t="str">
            <v/>
          </cell>
          <cell r="G5129" t="str">
            <v>CONSORCIO FUTURO</v>
          </cell>
          <cell r="H5129" t="str">
            <v>RECO</v>
          </cell>
          <cell r="I5129" t="str">
            <v>REGIMEN COMUN</v>
          </cell>
          <cell r="J5129" t="str">
            <v>CR 91   139   06 IN 03 OF 201</v>
          </cell>
          <cell r="K5129" t="str">
            <v>11001</v>
          </cell>
          <cell r="L5129" t="str">
            <v>BOGOTA DC</v>
          </cell>
          <cell r="M5129" t="str">
            <v>6927500</v>
          </cell>
        </row>
        <row r="5130">
          <cell r="A5130">
            <v>900427940</v>
          </cell>
          <cell r="B5130" t="str">
            <v>7</v>
          </cell>
          <cell r="C5130" t="str">
            <v/>
          </cell>
          <cell r="D5130" t="str">
            <v>NJ</v>
          </cell>
          <cell r="E5130" t="str">
            <v/>
          </cell>
          <cell r="F5130" t="str">
            <v/>
          </cell>
          <cell r="G5130" t="str">
            <v>CONSORCIO SAN MARCO</v>
          </cell>
          <cell r="H5130" t="str">
            <v>RECO</v>
          </cell>
          <cell r="I5130" t="str">
            <v>REGIMEN COMUN</v>
          </cell>
          <cell r="J5130" t="str">
            <v>31 7 65</v>
          </cell>
          <cell r="K5130" t="str">
            <v>23001</v>
          </cell>
          <cell r="L5130" t="str">
            <v>MONTERÍA</v>
          </cell>
          <cell r="M5130" t="str">
            <v>7822290</v>
          </cell>
        </row>
        <row r="5131">
          <cell r="A5131">
            <v>900428735</v>
          </cell>
          <cell r="B5131" t="str">
            <v>8</v>
          </cell>
          <cell r="C5131" t="str">
            <v/>
          </cell>
          <cell r="D5131" t="str">
            <v>NJ</v>
          </cell>
          <cell r="E5131" t="str">
            <v/>
          </cell>
          <cell r="F5131" t="str">
            <v/>
          </cell>
          <cell r="G5131" t="str">
            <v>MEDIA ART S.A.S.</v>
          </cell>
          <cell r="H5131" t="str">
            <v>IMVE</v>
          </cell>
          <cell r="I5131" t="str">
            <v>IMPUESTO SOBRE LAS VENTAS</v>
          </cell>
          <cell r="J5131" t="str">
            <v>CL 98 70 91 OF 716</v>
          </cell>
          <cell r="K5131" t="str">
            <v>17001</v>
          </cell>
          <cell r="L5131" t="str">
            <v>MANIZALES</v>
          </cell>
          <cell r="M5131" t="str">
            <v>7 4 2 4 1 2 2</v>
          </cell>
        </row>
        <row r="5132">
          <cell r="A5132">
            <v>900428872</v>
          </cell>
          <cell r="B5132" t="str">
            <v>9</v>
          </cell>
          <cell r="C5132" t="str">
            <v/>
          </cell>
          <cell r="D5132" t="str">
            <v>NJ</v>
          </cell>
          <cell r="E5132" t="str">
            <v/>
          </cell>
          <cell r="F5132" t="str">
            <v/>
          </cell>
          <cell r="G5132" t="str">
            <v>ESTRUCTURACIONES Y ESTRATEGIAS S.A.S</v>
          </cell>
          <cell r="H5132" t="str">
            <v>IMVE</v>
          </cell>
          <cell r="I5132" t="str">
            <v>IMPUESTO SOBRE LAS VENTAS</v>
          </cell>
          <cell r="J5132" t="str">
            <v>CR 11 71 41 OF 406</v>
          </cell>
          <cell r="K5132" t="str">
            <v>11001</v>
          </cell>
          <cell r="L5132" t="str">
            <v>BOGOTA DC</v>
          </cell>
          <cell r="M5132" t="str">
            <v>6212176</v>
          </cell>
        </row>
        <row r="5133">
          <cell r="A5133">
            <v>900428905</v>
          </cell>
          <cell r="B5133" t="str">
            <v>3</v>
          </cell>
          <cell r="C5133" t="str">
            <v/>
          </cell>
          <cell r="D5133" t="str">
            <v>NJ</v>
          </cell>
          <cell r="E5133" t="str">
            <v/>
          </cell>
          <cell r="F5133" t="str">
            <v/>
          </cell>
          <cell r="G5133" t="str">
            <v>CONSORCIO M &amp; M</v>
          </cell>
          <cell r="H5133" t="str">
            <v>RECO</v>
          </cell>
          <cell r="I5133" t="str">
            <v>REGIMEN COMUN</v>
          </cell>
          <cell r="J5133" t="str">
            <v>CL 71 N 1C   52</v>
          </cell>
          <cell r="K5133" t="str">
            <v>41001</v>
          </cell>
          <cell r="L5133" t="str">
            <v>NEIVA</v>
          </cell>
          <cell r="M5133" t="str">
            <v>8651890</v>
          </cell>
        </row>
        <row r="5134">
          <cell r="A5134">
            <v>900430020</v>
          </cell>
          <cell r="B5134" t="str">
            <v>7</v>
          </cell>
          <cell r="C5134" t="str">
            <v/>
          </cell>
          <cell r="D5134" t="str">
            <v>NJ</v>
          </cell>
          <cell r="E5134" t="str">
            <v/>
          </cell>
          <cell r="F5134" t="str">
            <v/>
          </cell>
          <cell r="G5134" t="str">
            <v>JRINCON Y CIA SAS</v>
          </cell>
          <cell r="H5134" t="str">
            <v>IMVE</v>
          </cell>
          <cell r="I5134" t="str">
            <v>IMPUESTO SOBRE LAS VENTAS</v>
          </cell>
          <cell r="J5134" t="str">
            <v>TV 42 4 D 71 BRR NUEVA PRIMAVERA</v>
          </cell>
          <cell r="K5134" t="str">
            <v>11001</v>
          </cell>
          <cell r="L5134" t="str">
            <v>BOGOTA DC</v>
          </cell>
          <cell r="M5134" t="str">
            <v>3007816806</v>
          </cell>
        </row>
        <row r="5135">
          <cell r="A5135">
            <v>900430106</v>
          </cell>
          <cell r="B5135" t="str">
            <v>1</v>
          </cell>
          <cell r="C5135" t="str">
            <v/>
          </cell>
          <cell r="D5135" t="str">
            <v>NJ</v>
          </cell>
          <cell r="E5135" t="str">
            <v/>
          </cell>
          <cell r="F5135" t="str">
            <v/>
          </cell>
          <cell r="G5135" t="str">
            <v>HOTELES VIA DEL MAR S.A.S</v>
          </cell>
          <cell r="H5135" t="str">
            <v>IMVE</v>
          </cell>
          <cell r="I5135" t="str">
            <v>IMPUESTO SOBRE LAS VENTAS</v>
          </cell>
          <cell r="J5135" t="str">
            <v>CR 9 35 104</v>
          </cell>
          <cell r="K5135" t="str">
            <v>13001</v>
          </cell>
          <cell r="L5135" t="str">
            <v>CARTAGENA</v>
          </cell>
          <cell r="M5135" t="str">
            <v>6608783</v>
          </cell>
        </row>
        <row r="5136">
          <cell r="A5136">
            <v>900430121</v>
          </cell>
          <cell r="B5136" t="str">
            <v>2</v>
          </cell>
          <cell r="C5136" t="str">
            <v/>
          </cell>
          <cell r="D5136" t="str">
            <v>NJ</v>
          </cell>
          <cell r="E5136" t="str">
            <v/>
          </cell>
          <cell r="F5136" t="str">
            <v/>
          </cell>
          <cell r="G5136" t="str">
            <v>CONSORCIO VIAS DEL NORTE</v>
          </cell>
          <cell r="H5136" t="str">
            <v>RECO</v>
          </cell>
          <cell r="I5136" t="str">
            <v>REGIMEN COMUN</v>
          </cell>
          <cell r="J5136" t="str">
            <v>AV 0    11   161 OF 204 ED NEGOMON</v>
          </cell>
          <cell r="K5136" t="str">
            <v>54001</v>
          </cell>
          <cell r="L5136" t="str">
            <v>CÚCUTA</v>
          </cell>
          <cell r="M5136" t="str">
            <v>5920256</v>
          </cell>
        </row>
        <row r="5137">
          <cell r="A5137">
            <v>900430856</v>
          </cell>
          <cell r="B5137" t="str">
            <v>7</v>
          </cell>
          <cell r="C5137" t="str">
            <v/>
          </cell>
          <cell r="D5137" t="str">
            <v>NJ</v>
          </cell>
          <cell r="E5137" t="str">
            <v/>
          </cell>
          <cell r="F5137" t="str">
            <v/>
          </cell>
          <cell r="G5137" t="str">
            <v>DE LOS RIOS GONZALEZ S.A.S</v>
          </cell>
          <cell r="H5137" t="str">
            <v>RECO</v>
          </cell>
          <cell r="I5137" t="str">
            <v>REGIMEN COMUN</v>
          </cell>
          <cell r="J5137" t="str">
            <v>CL SUCRE   6 57</v>
          </cell>
          <cell r="K5137" t="str">
            <v>52835</v>
          </cell>
          <cell r="L5137" t="str">
            <v>TUMACO</v>
          </cell>
          <cell r="M5137" t="str">
            <v>7271547</v>
          </cell>
        </row>
        <row r="5138">
          <cell r="A5138">
            <v>900431102</v>
          </cell>
          <cell r="B5138" t="str">
            <v>7</v>
          </cell>
          <cell r="C5138" t="str">
            <v/>
          </cell>
          <cell r="D5138" t="str">
            <v>NJ</v>
          </cell>
          <cell r="E5138" t="str">
            <v/>
          </cell>
          <cell r="F5138" t="str">
            <v/>
          </cell>
          <cell r="G5138" t="str">
            <v>UNION TEMPORAL COES</v>
          </cell>
          <cell r="H5138" t="str">
            <v>RECO</v>
          </cell>
          <cell r="I5138" t="str">
            <v>REGIMEN COMUN</v>
          </cell>
          <cell r="J5138" t="str">
            <v>CR 22   22 27</v>
          </cell>
          <cell r="K5138" t="str">
            <v>17001</v>
          </cell>
          <cell r="L5138" t="str">
            <v>MANIZALES</v>
          </cell>
          <cell r="M5138" t="str">
            <v>2748564</v>
          </cell>
        </row>
        <row r="5139">
          <cell r="A5139">
            <v>900431613</v>
          </cell>
          <cell r="B5139" t="str">
            <v>9</v>
          </cell>
          <cell r="C5139" t="str">
            <v/>
          </cell>
          <cell r="D5139" t="str">
            <v>NJ</v>
          </cell>
          <cell r="E5139" t="str">
            <v/>
          </cell>
          <cell r="F5139" t="str">
            <v/>
          </cell>
          <cell r="G5139" t="str">
            <v>CONSORCIO MULTIOBRAS-2011</v>
          </cell>
          <cell r="H5139" t="str">
            <v>RECO</v>
          </cell>
          <cell r="I5139" t="str">
            <v>REGIMEN COMUN</v>
          </cell>
          <cell r="J5139" t="str">
            <v>CL 19   21   42</v>
          </cell>
          <cell r="K5139" t="str">
            <v>17001</v>
          </cell>
          <cell r="L5139" t="str">
            <v>MANIZALES</v>
          </cell>
          <cell r="M5139" t="str">
            <v>2817912</v>
          </cell>
        </row>
        <row r="5140">
          <cell r="A5140">
            <v>900431714</v>
          </cell>
          <cell r="B5140" t="str">
            <v>4</v>
          </cell>
          <cell r="C5140" t="str">
            <v/>
          </cell>
          <cell r="D5140" t="str">
            <v>NJ</v>
          </cell>
          <cell r="E5140" t="str">
            <v/>
          </cell>
          <cell r="F5140" t="str">
            <v/>
          </cell>
          <cell r="G5140" t="str">
            <v>OVI VENTURES S.A.S</v>
          </cell>
          <cell r="H5140" t="str">
            <v>RECO</v>
          </cell>
          <cell r="I5140" t="str">
            <v>REGIMEN COMUN</v>
          </cell>
          <cell r="J5140" t="str">
            <v>CR 19 66 27</v>
          </cell>
          <cell r="K5140" t="str">
            <v>11001</v>
          </cell>
          <cell r="L5140" t="str">
            <v>BOGOTA DC</v>
          </cell>
          <cell r="M5140" t="str">
            <v>8053313</v>
          </cell>
        </row>
        <row r="5141">
          <cell r="A5141">
            <v>900432307</v>
          </cell>
          <cell r="B5141" t="str">
            <v>4</v>
          </cell>
          <cell r="C5141" t="str">
            <v/>
          </cell>
          <cell r="D5141" t="str">
            <v>NJ</v>
          </cell>
          <cell r="E5141" t="str">
            <v/>
          </cell>
          <cell r="F5141" t="str">
            <v/>
          </cell>
          <cell r="G5141" t="str">
            <v>SAC - BE VENTURES COLOMBIA S.A.S</v>
          </cell>
          <cell r="H5141" t="str">
            <v>RECO</v>
          </cell>
          <cell r="I5141" t="str">
            <v>REGIMEN COMUN</v>
          </cell>
          <cell r="J5141" t="str">
            <v>CL 67   7   35 IN P 12   2</v>
          </cell>
          <cell r="K5141" t="str">
            <v>11001</v>
          </cell>
          <cell r="L5141" t="str">
            <v>BOGOTA DC</v>
          </cell>
          <cell r="M5141" t="str">
            <v>3192900</v>
          </cell>
        </row>
        <row r="5142">
          <cell r="A5142">
            <v>900433051</v>
          </cell>
          <cell r="B5142" t="str">
            <v>9</v>
          </cell>
          <cell r="C5142" t="str">
            <v/>
          </cell>
          <cell r="D5142" t="str">
            <v>NJ</v>
          </cell>
          <cell r="E5142" t="str">
            <v/>
          </cell>
          <cell r="F5142" t="str">
            <v/>
          </cell>
          <cell r="G5142" t="str">
            <v>CONERGIA S.A.S</v>
          </cell>
          <cell r="H5142" t="str">
            <v>IMVE</v>
          </cell>
          <cell r="I5142" t="str">
            <v>IMPUESTO SOBRE LAS VENTAS</v>
          </cell>
          <cell r="J5142" t="str">
            <v>KM 1 VIA SIBERIA-COTA CENTRO EMPRESARIAL ROBLES I V BG 7</v>
          </cell>
          <cell r="K5142" t="str">
            <v>25214</v>
          </cell>
          <cell r="L5142" t="str">
            <v>COTA</v>
          </cell>
          <cell r="M5142" t="str">
            <v>8759037</v>
          </cell>
        </row>
        <row r="5143">
          <cell r="A5143">
            <v>900433225</v>
          </cell>
          <cell r="B5143" t="str">
            <v>3</v>
          </cell>
          <cell r="C5143" t="str">
            <v/>
          </cell>
          <cell r="D5143" t="str">
            <v>NJ</v>
          </cell>
          <cell r="E5143" t="str">
            <v/>
          </cell>
          <cell r="F5143" t="str">
            <v/>
          </cell>
          <cell r="G5143" t="str">
            <v>HOTEL SUITE BOGOTA COLONIAL SAS</v>
          </cell>
          <cell r="H5143" t="str">
            <v>IMVE</v>
          </cell>
          <cell r="I5143" t="str">
            <v>IMPUESTO SOBRE LAS VENTAS</v>
          </cell>
          <cell r="J5143" t="str">
            <v>CL 24 C 44 35</v>
          </cell>
          <cell r="K5143" t="str">
            <v>11001</v>
          </cell>
          <cell r="L5143" t="str">
            <v>BOGOTA DC</v>
          </cell>
          <cell r="M5143" t="str">
            <v>2442434</v>
          </cell>
        </row>
        <row r="5144">
          <cell r="A5144">
            <v>900433389</v>
          </cell>
          <cell r="B5144" t="str">
            <v>2</v>
          </cell>
          <cell r="C5144" t="str">
            <v/>
          </cell>
          <cell r="D5144" t="str">
            <v>NJ</v>
          </cell>
          <cell r="E5144" t="str">
            <v/>
          </cell>
          <cell r="F5144" t="str">
            <v/>
          </cell>
          <cell r="G5144" t="str">
            <v>IML AISLAMIENTOS TERMICOS INDUSTRIALES S.A.S.</v>
          </cell>
          <cell r="H5144" t="str">
            <v>IMVE</v>
          </cell>
          <cell r="I5144" t="str">
            <v>IMPUESTO SOBRE LAS VENTAS</v>
          </cell>
          <cell r="J5144" t="str">
            <v>CL 34 SUR 73 F 36</v>
          </cell>
          <cell r="K5144" t="str">
            <v>11001</v>
          </cell>
          <cell r="L5144" t="str">
            <v>BOGOTA DC</v>
          </cell>
          <cell r="M5144" t="str">
            <v>4037659</v>
          </cell>
        </row>
        <row r="5145">
          <cell r="A5145">
            <v>900433702</v>
          </cell>
          <cell r="B5145" t="str">
            <v>5</v>
          </cell>
          <cell r="C5145" t="str">
            <v/>
          </cell>
          <cell r="D5145" t="str">
            <v>NJ</v>
          </cell>
          <cell r="E5145" t="str">
            <v/>
          </cell>
          <cell r="F5145" t="str">
            <v/>
          </cell>
          <cell r="G5145" t="str">
            <v>CONSORCIO BUCARAMANGA</v>
          </cell>
          <cell r="H5145" t="str">
            <v>RECO</v>
          </cell>
          <cell r="I5145" t="str">
            <v>REGIMEN COMUN</v>
          </cell>
          <cell r="J5145" t="str">
            <v>CL 35 N 17 77 OF 1208 ED BANCOQUIA</v>
          </cell>
          <cell r="K5145" t="str">
            <v>68001</v>
          </cell>
          <cell r="L5145" t="str">
            <v>BUCARAMANGA</v>
          </cell>
          <cell r="M5145" t="str">
            <v>6424730</v>
          </cell>
        </row>
        <row r="5146">
          <cell r="A5146">
            <v>900433715</v>
          </cell>
          <cell r="B5146" t="str">
            <v>0</v>
          </cell>
          <cell r="C5146" t="str">
            <v/>
          </cell>
          <cell r="D5146" t="str">
            <v>NJ</v>
          </cell>
          <cell r="E5146" t="str">
            <v/>
          </cell>
          <cell r="F5146" t="str">
            <v/>
          </cell>
          <cell r="G5146" t="str">
            <v>CONSORCIO ANDINO</v>
          </cell>
          <cell r="H5146" t="str">
            <v>RECO</v>
          </cell>
          <cell r="I5146" t="str">
            <v>REGIMEN COMUN</v>
          </cell>
          <cell r="J5146" t="str">
            <v>CL 35 N 17 77 OF 1208 ED BANCOQUIA</v>
          </cell>
          <cell r="K5146" t="str">
            <v>68001</v>
          </cell>
          <cell r="L5146" t="str">
            <v>BUCARAMANGA</v>
          </cell>
          <cell r="M5146" t="str">
            <v>6424730</v>
          </cell>
        </row>
        <row r="5147">
          <cell r="A5147">
            <v>900434089</v>
          </cell>
          <cell r="B5147" t="str">
            <v>2</v>
          </cell>
          <cell r="C5147" t="str">
            <v/>
          </cell>
          <cell r="D5147" t="str">
            <v>NJ</v>
          </cell>
          <cell r="E5147" t="str">
            <v/>
          </cell>
          <cell r="F5147" t="str">
            <v/>
          </cell>
          <cell r="G5147" t="str">
            <v>PHC SERVICIOS INTEGRADOS GROUP S.A.S.</v>
          </cell>
          <cell r="H5147" t="str">
            <v>RECO</v>
          </cell>
          <cell r="I5147" t="str">
            <v>REGIMEN COMUN</v>
          </cell>
          <cell r="J5147" t="str">
            <v>CR 30 10 C 228 ED INTERPLAZA OF 621</v>
          </cell>
          <cell r="K5147" t="str">
            <v>05001</v>
          </cell>
          <cell r="L5147" t="str">
            <v>MEDELLÍN</v>
          </cell>
          <cell r="M5147" t="str">
            <v>4447549</v>
          </cell>
        </row>
        <row r="5148">
          <cell r="A5148">
            <v>900434281</v>
          </cell>
          <cell r="B5148" t="str">
            <v>0</v>
          </cell>
          <cell r="C5148" t="str">
            <v/>
          </cell>
          <cell r="D5148" t="str">
            <v>NJ</v>
          </cell>
          <cell r="E5148" t="str">
            <v/>
          </cell>
          <cell r="F5148" t="str">
            <v/>
          </cell>
          <cell r="G5148" t="str">
            <v>CONSTRUCCIONES SEGURAS SAS</v>
          </cell>
          <cell r="H5148" t="str">
            <v>IMVE</v>
          </cell>
          <cell r="I5148" t="str">
            <v>IMPUESTO SOBRE LAS VENTAS</v>
          </cell>
          <cell r="J5148" t="str">
            <v xml:space="preserve"> CL 51 A 4519</v>
          </cell>
          <cell r="K5148" t="str">
            <v>68615</v>
          </cell>
          <cell r="L5148" t="str">
            <v>RIONEGRO</v>
          </cell>
          <cell r="M5148" t="str">
            <v>3122119810</v>
          </cell>
        </row>
        <row r="5149">
          <cell r="A5149">
            <v>900434286</v>
          </cell>
          <cell r="B5149" t="str">
            <v>7</v>
          </cell>
          <cell r="C5149" t="str">
            <v/>
          </cell>
          <cell r="D5149" t="str">
            <v>NJ</v>
          </cell>
          <cell r="E5149" t="str">
            <v/>
          </cell>
          <cell r="F5149" t="str">
            <v/>
          </cell>
          <cell r="G5149" t="str">
            <v>SALAZAR Y ESTRADA INGENIEROS S.A.S</v>
          </cell>
          <cell r="H5149" t="str">
            <v>RECO</v>
          </cell>
          <cell r="I5149" t="str">
            <v>REGIMEN COMUN</v>
          </cell>
          <cell r="J5149" t="str">
            <v>CL 62 23 61</v>
          </cell>
          <cell r="K5149" t="str">
            <v>17001</v>
          </cell>
          <cell r="L5149" t="str">
            <v>MANIZALES</v>
          </cell>
          <cell r="M5149" t="str">
            <v>8858977</v>
          </cell>
        </row>
        <row r="5150">
          <cell r="A5150">
            <v>900434367</v>
          </cell>
          <cell r="B5150" t="str">
            <v>5</v>
          </cell>
          <cell r="C5150" t="str">
            <v/>
          </cell>
          <cell r="D5150" t="str">
            <v>NJ</v>
          </cell>
          <cell r="E5150" t="str">
            <v/>
          </cell>
          <cell r="F5150" t="str">
            <v/>
          </cell>
          <cell r="G5150" t="str">
            <v>CONSORCIO DURANI</v>
          </cell>
          <cell r="H5150" t="str">
            <v>RECO</v>
          </cell>
          <cell r="I5150" t="str">
            <v>REGIMEN COMUN</v>
          </cell>
          <cell r="J5150" t="str">
            <v>CR 10 NO 27 51 OF 326</v>
          </cell>
          <cell r="K5150" t="str">
            <v>11001</v>
          </cell>
          <cell r="L5150" t="str">
            <v>BOGOTA DC</v>
          </cell>
          <cell r="M5150" t="str">
            <v>6067711</v>
          </cell>
        </row>
        <row r="5151">
          <cell r="A5151">
            <v>900435016</v>
          </cell>
          <cell r="B5151" t="str">
            <v>1</v>
          </cell>
          <cell r="C5151" t="str">
            <v/>
          </cell>
          <cell r="D5151" t="str">
            <v>NJ</v>
          </cell>
          <cell r="E5151" t="str">
            <v/>
          </cell>
          <cell r="F5151" t="str">
            <v/>
          </cell>
          <cell r="G5151" t="str">
            <v>SILICEAS CAR SAS</v>
          </cell>
          <cell r="H5151" t="str">
            <v>RECO</v>
          </cell>
          <cell r="I5151" t="str">
            <v>REGIMEN COMUN</v>
          </cell>
          <cell r="J5151" t="str">
            <v>PAR INDUSTRIAL Y ARTESANAL VIA PAIPA-DUITAMA</v>
          </cell>
          <cell r="K5151" t="str">
            <v>15516</v>
          </cell>
          <cell r="L5151" t="str">
            <v>PAIPA</v>
          </cell>
          <cell r="M5151" t="str">
            <v>3107637072</v>
          </cell>
        </row>
        <row r="5152">
          <cell r="A5152">
            <v>900436440</v>
          </cell>
          <cell r="B5152" t="str">
            <v>4</v>
          </cell>
          <cell r="C5152" t="str">
            <v/>
          </cell>
          <cell r="D5152" t="str">
            <v>NJ</v>
          </cell>
          <cell r="E5152" t="str">
            <v/>
          </cell>
          <cell r="F5152" t="str">
            <v/>
          </cell>
          <cell r="G5152" t="str">
            <v>CONSORCIO M &amp; M</v>
          </cell>
          <cell r="H5152" t="str">
            <v>RECO</v>
          </cell>
          <cell r="I5152" t="str">
            <v>REGIMEN COMUN</v>
          </cell>
          <cell r="J5152" t="str">
            <v>CL 71  1 C 52</v>
          </cell>
          <cell r="K5152" t="str">
            <v>41001</v>
          </cell>
          <cell r="L5152" t="str">
            <v>NEIVA</v>
          </cell>
          <cell r="M5152" t="str">
            <v>8651890</v>
          </cell>
        </row>
        <row r="5153">
          <cell r="A5153">
            <v>900436515</v>
          </cell>
          <cell r="B5153" t="str">
            <v>8</v>
          </cell>
          <cell r="C5153" t="str">
            <v/>
          </cell>
          <cell r="D5153" t="str">
            <v>NJ</v>
          </cell>
          <cell r="E5153" t="str">
            <v/>
          </cell>
          <cell r="F5153" t="str">
            <v/>
          </cell>
          <cell r="G5153" t="str">
            <v>GESTIÓN INTEGRAL DEL SUELO SL COLOMBIA</v>
          </cell>
          <cell r="H5153" t="str">
            <v>IMVE</v>
          </cell>
          <cell r="I5153" t="str">
            <v>IMPUESTO SOBRE LAS VENTAS</v>
          </cell>
          <cell r="J5153" t="str">
            <v>AC 26 69 63 TO 26 OF 511</v>
          </cell>
          <cell r="K5153" t="str">
            <v>11001</v>
          </cell>
          <cell r="L5153" t="str">
            <v>BOGOTA DC</v>
          </cell>
          <cell r="M5153" t="str">
            <v>7557477</v>
          </cell>
        </row>
        <row r="5154">
          <cell r="A5154">
            <v>900437716</v>
          </cell>
          <cell r="B5154" t="str">
            <v>6</v>
          </cell>
          <cell r="C5154" t="str">
            <v/>
          </cell>
          <cell r="D5154" t="str">
            <v>NJ</v>
          </cell>
          <cell r="E5154" t="str">
            <v/>
          </cell>
          <cell r="F5154" t="str">
            <v/>
          </cell>
          <cell r="G5154" t="str">
            <v>HOTEL MIRAVAR MONTERIA LTDA</v>
          </cell>
          <cell r="H5154" t="str">
            <v>RECO</v>
          </cell>
          <cell r="I5154" t="str">
            <v>REGIMEN COMUN</v>
          </cell>
          <cell r="J5154" t="str">
            <v>CL 41 5   53</v>
          </cell>
          <cell r="K5154" t="str">
            <v>23001</v>
          </cell>
          <cell r="L5154" t="str">
            <v>MONTERÍA</v>
          </cell>
          <cell r="M5154" t="str">
            <v>7817888</v>
          </cell>
        </row>
        <row r="5155">
          <cell r="A5155">
            <v>900437780</v>
          </cell>
          <cell r="B5155" t="str">
            <v>8</v>
          </cell>
          <cell r="C5155" t="str">
            <v/>
          </cell>
          <cell r="D5155" t="str">
            <v>NJ</v>
          </cell>
          <cell r="E5155" t="str">
            <v/>
          </cell>
          <cell r="F5155" t="str">
            <v/>
          </cell>
          <cell r="G5155" t="str">
            <v>GAIAG GUIANZA Y ALIANZA POR EL AIRE, LA TIERRA Y EL AGUA</v>
          </cell>
          <cell r="H5155" t="str">
            <v>RECO</v>
          </cell>
          <cell r="I5155" t="str">
            <v>REGIMEN COMUN</v>
          </cell>
          <cell r="J5155" t="str">
            <v>CR 43 A 22 68</v>
          </cell>
          <cell r="K5155" t="str">
            <v>11001</v>
          </cell>
          <cell r="L5155" t="str">
            <v>BOGOTA DC</v>
          </cell>
          <cell r="M5155" t="str">
            <v>3007760742</v>
          </cell>
        </row>
        <row r="5156">
          <cell r="A5156">
            <v>900438169</v>
          </cell>
          <cell r="B5156" t="str">
            <v>1</v>
          </cell>
          <cell r="C5156" t="str">
            <v/>
          </cell>
          <cell r="D5156" t="str">
            <v>NJ</v>
          </cell>
          <cell r="E5156" t="str">
            <v/>
          </cell>
          <cell r="F5156" t="str">
            <v/>
          </cell>
          <cell r="G5156" t="str">
            <v>MIH MOTORES Y PLANTAS SAS</v>
          </cell>
          <cell r="H5156" t="str">
            <v>RECO</v>
          </cell>
          <cell r="I5156" t="str">
            <v>REGIMEN COMUN</v>
          </cell>
          <cell r="J5156" t="str">
            <v>CR 72 F 38 B 89 SUR P 1</v>
          </cell>
          <cell r="K5156" t="str">
            <v>11001</v>
          </cell>
          <cell r="L5156" t="str">
            <v>BOGOTA DC</v>
          </cell>
          <cell r="M5156" t="str">
            <v>4029511</v>
          </cell>
        </row>
        <row r="5157">
          <cell r="A5157">
            <v>900438684</v>
          </cell>
          <cell r="B5157" t="str">
            <v>3</v>
          </cell>
          <cell r="C5157" t="str">
            <v/>
          </cell>
          <cell r="D5157" t="str">
            <v>NJ</v>
          </cell>
          <cell r="E5157" t="str">
            <v/>
          </cell>
          <cell r="F5157" t="str">
            <v/>
          </cell>
          <cell r="G5157" t="str">
            <v>MANIMUEBLES SAS</v>
          </cell>
          <cell r="H5157" t="str">
            <v>IMVE</v>
          </cell>
          <cell r="I5157" t="str">
            <v>IMPUESTO SOBRE LAS VENTAS</v>
          </cell>
          <cell r="J5157" t="str">
            <v>CL 74 A 19 41 BRR ALTA SUIZA</v>
          </cell>
          <cell r="K5157" t="str">
            <v>17001</v>
          </cell>
          <cell r="L5157" t="str">
            <v>MANIZALES</v>
          </cell>
          <cell r="M5157" t="str">
            <v>8867438</v>
          </cell>
        </row>
        <row r="5158">
          <cell r="A5158">
            <v>900438945</v>
          </cell>
          <cell r="B5158" t="str">
            <v>0</v>
          </cell>
          <cell r="C5158" t="str">
            <v/>
          </cell>
          <cell r="D5158" t="str">
            <v>NJ</v>
          </cell>
          <cell r="E5158" t="str">
            <v/>
          </cell>
          <cell r="F5158" t="str">
            <v/>
          </cell>
          <cell r="G5158" t="str">
            <v>INVERSIONES JARAMILLO AGUILAR  S.A.S</v>
          </cell>
          <cell r="H5158" t="str">
            <v>RECO</v>
          </cell>
          <cell r="I5158" t="str">
            <v>REGIMEN COMUN</v>
          </cell>
          <cell r="J5158" t="str">
            <v>CAR 16 96 64 OF 219 BOGOTA</v>
          </cell>
          <cell r="K5158" t="str">
            <v>17001</v>
          </cell>
          <cell r="L5158" t="str">
            <v>MANIZALES</v>
          </cell>
          <cell r="M5158" t="str">
            <v>6014676</v>
          </cell>
        </row>
        <row r="5159">
          <cell r="A5159">
            <v>900439808</v>
          </cell>
          <cell r="B5159" t="str">
            <v>4</v>
          </cell>
          <cell r="C5159" t="str">
            <v/>
          </cell>
          <cell r="D5159" t="str">
            <v>NJ</v>
          </cell>
          <cell r="E5159" t="str">
            <v/>
          </cell>
          <cell r="F5159" t="str">
            <v/>
          </cell>
          <cell r="G5159" t="str">
            <v>CONSORCIO ATLANTICO</v>
          </cell>
          <cell r="H5159" t="str">
            <v>RECO</v>
          </cell>
          <cell r="I5159" t="str">
            <v>REGIMEN COMUN</v>
          </cell>
          <cell r="J5159" t="str">
            <v>CL 62   23   61</v>
          </cell>
          <cell r="K5159" t="str">
            <v>17001</v>
          </cell>
          <cell r="L5159" t="str">
            <v>MANIZALES</v>
          </cell>
          <cell r="M5159" t="str">
            <v>8812088</v>
          </cell>
        </row>
        <row r="5160">
          <cell r="A5160">
            <v>900440679</v>
          </cell>
          <cell r="B5160" t="str">
            <v>2</v>
          </cell>
          <cell r="C5160" t="str">
            <v/>
          </cell>
          <cell r="D5160" t="str">
            <v>NJ</v>
          </cell>
          <cell r="E5160" t="str">
            <v/>
          </cell>
          <cell r="F5160" t="str">
            <v/>
          </cell>
          <cell r="G5160" t="str">
            <v>ECOLOGIC SAS</v>
          </cell>
          <cell r="H5160" t="str">
            <v>RECO</v>
          </cell>
          <cell r="I5160" t="str">
            <v>REGIMEN COMUN</v>
          </cell>
          <cell r="J5160" t="str">
            <v>CR 45 A 104 B 16</v>
          </cell>
          <cell r="K5160" t="str">
            <v>17001</v>
          </cell>
          <cell r="L5160" t="str">
            <v>MANIZALES</v>
          </cell>
          <cell r="M5160" t="str">
            <v>3138170330</v>
          </cell>
        </row>
        <row r="5161">
          <cell r="A5161">
            <v>900441006</v>
          </cell>
          <cell r="B5161" t="str">
            <v>0</v>
          </cell>
          <cell r="C5161" t="str">
            <v/>
          </cell>
          <cell r="D5161" t="str">
            <v>NJ</v>
          </cell>
          <cell r="E5161" t="str">
            <v/>
          </cell>
          <cell r="F5161" t="str">
            <v/>
          </cell>
          <cell r="G5161" t="str">
            <v>CONSORCIO V Y A</v>
          </cell>
          <cell r="H5161" t="str">
            <v>RECO</v>
          </cell>
          <cell r="I5161" t="str">
            <v>REGIMEN COMUN</v>
          </cell>
          <cell r="J5161" t="str">
            <v>CL 4   2   85 OF 201</v>
          </cell>
          <cell r="K5161" t="str">
            <v>19001</v>
          </cell>
          <cell r="L5161" t="str">
            <v>POPAYÁN</v>
          </cell>
          <cell r="M5161" t="str">
            <v>8209306</v>
          </cell>
        </row>
        <row r="5162">
          <cell r="A5162">
            <v>900441049</v>
          </cell>
          <cell r="B5162" t="str">
            <v>7</v>
          </cell>
          <cell r="C5162" t="str">
            <v/>
          </cell>
          <cell r="D5162" t="str">
            <v>NJ</v>
          </cell>
          <cell r="E5162" t="str">
            <v/>
          </cell>
          <cell r="F5162" t="str">
            <v/>
          </cell>
          <cell r="G5162" t="str">
            <v>EMPRESA REGIONAL DE ALIMENTOS Y BEBIDAS S.A.S AQUAREL SAS</v>
          </cell>
          <cell r="H5162" t="str">
            <v>RECO</v>
          </cell>
          <cell r="I5162" t="str">
            <v>REGIMEN COMUN</v>
          </cell>
          <cell r="J5162" t="str">
            <v>CL 39   20   60</v>
          </cell>
          <cell r="K5162" t="str">
            <v>85001</v>
          </cell>
          <cell r="L5162" t="str">
            <v>YOPAL</v>
          </cell>
          <cell r="M5162" t="str">
            <v>6322221</v>
          </cell>
        </row>
        <row r="5163">
          <cell r="A5163">
            <v>900441289</v>
          </cell>
          <cell r="B5163" t="str">
            <v>8</v>
          </cell>
          <cell r="C5163" t="str">
            <v/>
          </cell>
          <cell r="D5163" t="str">
            <v>NJ</v>
          </cell>
          <cell r="E5163" t="str">
            <v/>
          </cell>
          <cell r="F5163" t="str">
            <v/>
          </cell>
          <cell r="G5163" t="str">
            <v>DYNAMIC ELECTRONICS S.A.S</v>
          </cell>
          <cell r="H5163" t="str">
            <v>RECO</v>
          </cell>
          <cell r="I5163" t="str">
            <v>REGIMEN COMUN</v>
          </cell>
          <cell r="J5163" t="str">
            <v>CR 53 50 51 LC 213</v>
          </cell>
          <cell r="K5163" t="str">
            <v>05001</v>
          </cell>
          <cell r="L5163" t="str">
            <v>MEDELLÍN</v>
          </cell>
          <cell r="M5163" t="str">
            <v>5129139</v>
          </cell>
        </row>
        <row r="5164">
          <cell r="A5164">
            <v>900441798</v>
          </cell>
          <cell r="B5164" t="str">
            <v>5</v>
          </cell>
          <cell r="C5164" t="str">
            <v/>
          </cell>
          <cell r="D5164" t="str">
            <v>NJ</v>
          </cell>
          <cell r="E5164" t="str">
            <v/>
          </cell>
          <cell r="F5164" t="str">
            <v/>
          </cell>
          <cell r="G5164" t="str">
            <v>JUMP SPORTING SAS</v>
          </cell>
          <cell r="H5164" t="str">
            <v>RECO</v>
          </cell>
          <cell r="I5164" t="str">
            <v>REGIMEN COMUN</v>
          </cell>
          <cell r="J5164" t="str">
            <v>CR 27 49 25</v>
          </cell>
          <cell r="K5164" t="str">
            <v>17001</v>
          </cell>
          <cell r="L5164" t="str">
            <v>MANIZALES</v>
          </cell>
          <cell r="M5164" t="str">
            <v>8813593</v>
          </cell>
        </row>
        <row r="5165">
          <cell r="A5165">
            <v>900442807</v>
          </cell>
          <cell r="B5165" t="str">
            <v>8</v>
          </cell>
          <cell r="C5165" t="str">
            <v/>
          </cell>
          <cell r="D5165" t="str">
            <v>NJ</v>
          </cell>
          <cell r="E5165" t="str">
            <v/>
          </cell>
          <cell r="F5165" t="str">
            <v/>
          </cell>
          <cell r="G5165" t="str">
            <v>DAG INGENIERIA SAS</v>
          </cell>
          <cell r="H5165" t="str">
            <v>IMVE</v>
          </cell>
          <cell r="I5165" t="str">
            <v>IMPUESTO SOBRE LAS VENTAS</v>
          </cell>
          <cell r="J5165" t="str">
            <v>AV CARACAS 34 86 OF 607</v>
          </cell>
          <cell r="K5165" t="str">
            <v>11001</v>
          </cell>
          <cell r="L5165" t="str">
            <v>BOGOTA DC</v>
          </cell>
          <cell r="M5165" t="str">
            <v>7552707</v>
          </cell>
        </row>
        <row r="5166">
          <cell r="A5166">
            <v>900442893</v>
          </cell>
          <cell r="B5166" t="str">
            <v>1</v>
          </cell>
          <cell r="C5166" t="str">
            <v/>
          </cell>
          <cell r="D5166" t="str">
            <v>NJ</v>
          </cell>
          <cell r="E5166" t="str">
            <v/>
          </cell>
          <cell r="F5166" t="str">
            <v/>
          </cell>
          <cell r="G5166" t="str">
            <v>CLARYICON S.A.S</v>
          </cell>
          <cell r="H5166" t="str">
            <v>IMVE</v>
          </cell>
          <cell r="I5166" t="str">
            <v>IMPUESTO SOBRE LAS VENTAS</v>
          </cell>
          <cell r="J5166" t="str">
            <v>AUT MEDELLIN KM 3 5 VIA SIBERIA COTA COSTADO SUR B G TER TERREST</v>
          </cell>
          <cell r="K5166" t="str">
            <v>25214</v>
          </cell>
          <cell r="L5166" t="str">
            <v>COTA</v>
          </cell>
          <cell r="M5166" t="str">
            <v>3016101171</v>
          </cell>
        </row>
        <row r="5167">
          <cell r="A5167">
            <v>900443410</v>
          </cell>
          <cell r="B5167" t="str">
            <v>2</v>
          </cell>
          <cell r="C5167" t="str">
            <v/>
          </cell>
          <cell r="D5167" t="str">
            <v>NJ</v>
          </cell>
          <cell r="E5167" t="str">
            <v/>
          </cell>
          <cell r="F5167" t="str">
            <v/>
          </cell>
          <cell r="G5167" t="str">
            <v>UNION TEMPORAL SAN JOAQUIN 2011</v>
          </cell>
          <cell r="H5167" t="str">
            <v>RECO</v>
          </cell>
          <cell r="I5167" t="str">
            <v>REGIMEN COMUN</v>
          </cell>
          <cell r="J5167" t="str">
            <v>CL 59   74   184</v>
          </cell>
          <cell r="K5167" t="str">
            <v>17001</v>
          </cell>
          <cell r="L5167" t="str">
            <v>MANIZALES</v>
          </cell>
          <cell r="M5167" t="str">
            <v>3691147</v>
          </cell>
        </row>
        <row r="5168">
          <cell r="A5168">
            <v>900443439</v>
          </cell>
          <cell r="B5168" t="str">
            <v>5</v>
          </cell>
          <cell r="C5168" t="str">
            <v/>
          </cell>
          <cell r="D5168" t="str">
            <v>NJ</v>
          </cell>
          <cell r="E5168" t="str">
            <v/>
          </cell>
          <cell r="F5168" t="str">
            <v/>
          </cell>
          <cell r="G5168" t="str">
            <v>WIDE INTELECTUAL PROPERTY ADVISERS SAS</v>
          </cell>
          <cell r="H5168" t="str">
            <v>RECO</v>
          </cell>
          <cell r="I5168" t="str">
            <v>REGIMEN COMUN</v>
          </cell>
          <cell r="J5168" t="str">
            <v>CL 75 19 A 30 AP 101 IN 1</v>
          </cell>
          <cell r="K5168" t="str">
            <v>17001</v>
          </cell>
          <cell r="L5168" t="str">
            <v>MANIZALES</v>
          </cell>
          <cell r="M5168" t="str">
            <v>8867198</v>
          </cell>
        </row>
        <row r="5169">
          <cell r="A5169">
            <v>900443484</v>
          </cell>
          <cell r="B5169" t="str">
            <v>7</v>
          </cell>
          <cell r="C5169" t="str">
            <v/>
          </cell>
          <cell r="D5169" t="str">
            <v>NJ</v>
          </cell>
          <cell r="E5169" t="str">
            <v/>
          </cell>
          <cell r="F5169" t="str">
            <v/>
          </cell>
          <cell r="G5169" t="str">
            <v>CONSORCIO C&amp;M INGENIEROS</v>
          </cell>
          <cell r="H5169" t="str">
            <v>RECO</v>
          </cell>
          <cell r="I5169" t="str">
            <v>REGIMEN COMUN</v>
          </cell>
          <cell r="J5169" t="str">
            <v>CL 12 C   71 B 60 AP 203 TO 2</v>
          </cell>
          <cell r="K5169" t="str">
            <v>11001</v>
          </cell>
          <cell r="L5169" t="str">
            <v>BOGOTA DC</v>
          </cell>
          <cell r="M5169" t="str">
            <v>4853719</v>
          </cell>
        </row>
        <row r="5170">
          <cell r="A5170">
            <v>900443505</v>
          </cell>
          <cell r="B5170" t="str">
            <v>3</v>
          </cell>
          <cell r="C5170" t="str">
            <v/>
          </cell>
          <cell r="D5170" t="str">
            <v>NJ</v>
          </cell>
          <cell r="E5170" t="str">
            <v/>
          </cell>
          <cell r="F5170" t="str">
            <v/>
          </cell>
          <cell r="G5170" t="str">
            <v>GRANJA PINARES S.A.S</v>
          </cell>
          <cell r="H5170" t="str">
            <v>RECO</v>
          </cell>
          <cell r="I5170" t="str">
            <v>REGIMEN COMUN</v>
          </cell>
          <cell r="J5170" t="str">
            <v>AV 2 D NORTE 24 45 BRR SAN VICENTE</v>
          </cell>
          <cell r="K5170" t="str">
            <v>76001</v>
          </cell>
          <cell r="L5170" t="str">
            <v>CALI</v>
          </cell>
          <cell r="M5170" t="str">
            <v>3207887482</v>
          </cell>
        </row>
        <row r="5171">
          <cell r="A5171">
            <v>900444474</v>
          </cell>
          <cell r="B5171" t="str">
            <v>8</v>
          </cell>
          <cell r="C5171" t="str">
            <v/>
          </cell>
          <cell r="D5171" t="str">
            <v>NJ</v>
          </cell>
          <cell r="E5171" t="str">
            <v/>
          </cell>
          <cell r="F5171" t="str">
            <v/>
          </cell>
          <cell r="G5171" t="str">
            <v>HOTEL TC SAS/ TORRE DE CALI PLAZA HOTEL</v>
          </cell>
          <cell r="H5171" t="str">
            <v>RECO</v>
          </cell>
          <cell r="I5171" t="str">
            <v>REGIMEN COMUN</v>
          </cell>
          <cell r="J5171" t="str">
            <v>AVENIDA LAS AMERICAS nO 18N 26/ CALI</v>
          </cell>
          <cell r="K5171" t="str">
            <v>17001</v>
          </cell>
          <cell r="L5171" t="str">
            <v>MANIZALES</v>
          </cell>
          <cell r="M5171" t="str">
            <v>6833535</v>
          </cell>
        </row>
        <row r="5172">
          <cell r="A5172">
            <v>900445030</v>
          </cell>
          <cell r="B5172" t="str">
            <v>6</v>
          </cell>
          <cell r="C5172" t="str">
            <v/>
          </cell>
          <cell r="D5172" t="str">
            <v>NJ</v>
          </cell>
          <cell r="E5172" t="str">
            <v/>
          </cell>
          <cell r="F5172" t="str">
            <v/>
          </cell>
          <cell r="G5172" t="str">
            <v>AMBIENTE SOLUCIONES S.A.S</v>
          </cell>
          <cell r="H5172" t="str">
            <v>RECO</v>
          </cell>
          <cell r="I5172" t="str">
            <v>REGIMEN COMUN</v>
          </cell>
          <cell r="J5172" t="str">
            <v>CL 47 D CR 72  83</v>
          </cell>
          <cell r="K5172" t="str">
            <v>05001</v>
          </cell>
          <cell r="L5172" t="str">
            <v>MEDELLÍN</v>
          </cell>
          <cell r="M5172" t="str">
            <v>4480398</v>
          </cell>
        </row>
        <row r="5173">
          <cell r="A5173">
            <v>900445288</v>
          </cell>
          <cell r="B5173" t="str">
            <v>9</v>
          </cell>
          <cell r="C5173" t="str">
            <v/>
          </cell>
          <cell r="D5173" t="str">
            <v>NJ</v>
          </cell>
          <cell r="E5173" t="str">
            <v/>
          </cell>
          <cell r="F5173" t="str">
            <v/>
          </cell>
          <cell r="G5173" t="str">
            <v>ALLENDALE SAS</v>
          </cell>
          <cell r="H5173" t="str">
            <v>RECO</v>
          </cell>
          <cell r="I5173" t="str">
            <v>REGIMEN COMUN</v>
          </cell>
          <cell r="J5173" t="str">
            <v>FCA LA GITANA SECTOR BOCHICA VEREDA BOJACA</v>
          </cell>
          <cell r="K5173" t="str">
            <v>25175</v>
          </cell>
          <cell r="L5173" t="str">
            <v>CHÍA</v>
          </cell>
          <cell r="M5173" t="str">
            <v>5951000</v>
          </cell>
        </row>
        <row r="5174">
          <cell r="A5174">
            <v>900445486</v>
          </cell>
          <cell r="B5174" t="str">
            <v>0</v>
          </cell>
          <cell r="C5174" t="str">
            <v/>
          </cell>
          <cell r="D5174" t="str">
            <v>NJ</v>
          </cell>
          <cell r="E5174" t="str">
            <v/>
          </cell>
          <cell r="F5174" t="str">
            <v/>
          </cell>
          <cell r="G5174" t="str">
            <v>INDUSTRIA TECNIFRIO SAS</v>
          </cell>
          <cell r="H5174" t="str">
            <v>RECO</v>
          </cell>
          <cell r="I5174" t="str">
            <v>REGIMEN COMUN</v>
          </cell>
          <cell r="J5174" t="str">
            <v>CR 52 59 24</v>
          </cell>
          <cell r="K5174" t="str">
            <v>05001</v>
          </cell>
          <cell r="L5174" t="str">
            <v>MEDELLÍN</v>
          </cell>
          <cell r="M5174" t="str">
            <v>5124227</v>
          </cell>
        </row>
        <row r="5175">
          <cell r="A5175">
            <v>900445591</v>
          </cell>
          <cell r="B5175" t="str">
            <v>6</v>
          </cell>
          <cell r="C5175" t="str">
            <v/>
          </cell>
          <cell r="D5175" t="str">
            <v>NJ</v>
          </cell>
          <cell r="E5175" t="str">
            <v/>
          </cell>
          <cell r="F5175" t="str">
            <v/>
          </cell>
          <cell r="G5175" t="str">
            <v>UNION TEMPORAL SAN BENITO 2011</v>
          </cell>
          <cell r="H5175" t="str">
            <v>RECO</v>
          </cell>
          <cell r="I5175" t="str">
            <v>REGIMEN COMUN</v>
          </cell>
          <cell r="J5175" t="str">
            <v>CR   14   63 CC LA CASONA OF 110</v>
          </cell>
          <cell r="K5175" t="str">
            <v>05079</v>
          </cell>
          <cell r="L5175" t="str">
            <v>BARBOSA</v>
          </cell>
          <cell r="M5175" t="str">
            <v>7481038</v>
          </cell>
        </row>
        <row r="5176">
          <cell r="A5176">
            <v>900446648</v>
          </cell>
          <cell r="B5176" t="str">
            <v>1</v>
          </cell>
          <cell r="C5176" t="str">
            <v/>
          </cell>
          <cell r="D5176" t="str">
            <v>NJ</v>
          </cell>
          <cell r="E5176" t="str">
            <v/>
          </cell>
          <cell r="F5176" t="str">
            <v/>
          </cell>
          <cell r="G5176" t="str">
            <v>GREEN FON GROUP S.A.S</v>
          </cell>
          <cell r="H5176" t="str">
            <v>IMVE</v>
          </cell>
          <cell r="I5176" t="str">
            <v>IMPUESTO SOBRE LAS VENTAS</v>
          </cell>
          <cell r="J5176" t="str">
            <v>CL 103 70 40</v>
          </cell>
          <cell r="K5176" t="str">
            <v>11001</v>
          </cell>
          <cell r="L5176" t="str">
            <v>BOGOTA DC</v>
          </cell>
          <cell r="M5176" t="str">
            <v>6351448</v>
          </cell>
        </row>
        <row r="5177">
          <cell r="A5177">
            <v>900447980</v>
          </cell>
          <cell r="B5177" t="str">
            <v>7</v>
          </cell>
          <cell r="C5177" t="str">
            <v/>
          </cell>
          <cell r="D5177" t="str">
            <v>NJ</v>
          </cell>
          <cell r="E5177" t="str">
            <v/>
          </cell>
          <cell r="F5177" t="str">
            <v/>
          </cell>
          <cell r="G5177" t="str">
            <v>ALCOMAX S.A.S</v>
          </cell>
          <cell r="H5177" t="str">
            <v>RECO</v>
          </cell>
          <cell r="I5177" t="str">
            <v>REGIMEN COMUN</v>
          </cell>
          <cell r="J5177" t="str">
            <v xml:space="preserve"> CL 2 SUR  33 29 AP 906</v>
          </cell>
          <cell r="K5177" t="str">
            <v>05001</v>
          </cell>
          <cell r="L5177" t="str">
            <v>MEDELLÍN</v>
          </cell>
          <cell r="M5177" t="str">
            <v>2487224</v>
          </cell>
        </row>
        <row r="5178">
          <cell r="A5178">
            <v>900448168</v>
          </cell>
          <cell r="B5178" t="str">
            <v>7</v>
          </cell>
          <cell r="C5178" t="str">
            <v/>
          </cell>
          <cell r="D5178" t="str">
            <v>NJ</v>
          </cell>
          <cell r="E5178" t="str">
            <v/>
          </cell>
          <cell r="F5178" t="str">
            <v/>
          </cell>
          <cell r="G5178" t="str">
            <v>PROSOL COLOMBIA SAS</v>
          </cell>
          <cell r="H5178" t="str">
            <v>IMVE</v>
          </cell>
          <cell r="I5178" t="str">
            <v>IMPUESTO SOBRE LAS VENTAS</v>
          </cell>
          <cell r="J5178" t="str">
            <v xml:space="preserve"> AK 9 113 52 OF 1901</v>
          </cell>
          <cell r="K5178" t="str">
            <v>11001</v>
          </cell>
          <cell r="L5178" t="str">
            <v>BOGOTA DC</v>
          </cell>
          <cell r="M5178" t="str">
            <v>486 3373</v>
          </cell>
        </row>
        <row r="5179">
          <cell r="A5179">
            <v>900448366</v>
          </cell>
          <cell r="B5179" t="str">
            <v>9</v>
          </cell>
          <cell r="C5179" t="str">
            <v/>
          </cell>
          <cell r="D5179" t="str">
            <v>NJ</v>
          </cell>
          <cell r="E5179" t="str">
            <v/>
          </cell>
          <cell r="F5179" t="str">
            <v/>
          </cell>
          <cell r="G5179" t="str">
            <v>INGENIERIA Y DISEÑO DE OCCIDENTE S.A.S</v>
          </cell>
          <cell r="H5179" t="str">
            <v>IMVE</v>
          </cell>
          <cell r="I5179" t="str">
            <v>IMPUESTO SOBRE LAS VENTAS</v>
          </cell>
          <cell r="J5179" t="str">
            <v>CL 63 22 10 AP 1 BRR LA RAMBLA</v>
          </cell>
          <cell r="K5179" t="str">
            <v>17001</v>
          </cell>
          <cell r="L5179" t="str">
            <v>MANIZALES</v>
          </cell>
          <cell r="M5179" t="str">
            <v>6068903983</v>
          </cell>
        </row>
        <row r="5180">
          <cell r="A5180">
            <v>900449084</v>
          </cell>
          <cell r="B5180" t="str">
            <v>1</v>
          </cell>
          <cell r="C5180" t="str">
            <v/>
          </cell>
          <cell r="D5180" t="str">
            <v>NJ</v>
          </cell>
          <cell r="E5180" t="str">
            <v/>
          </cell>
          <cell r="F5180" t="str">
            <v/>
          </cell>
          <cell r="G5180" t="str">
            <v>NSIT SAS</v>
          </cell>
          <cell r="H5180" t="str">
            <v>IMVE</v>
          </cell>
          <cell r="I5180" t="str">
            <v>IMPUESTO SOBRE LAS VENTAS</v>
          </cell>
          <cell r="J5180" t="str">
            <v xml:space="preserve"> CL 60 B  S  U  R  44 100 O  F 906</v>
          </cell>
          <cell r="K5180" t="str">
            <v>05002</v>
          </cell>
          <cell r="L5180" t="str">
            <v>MEDELLIN</v>
          </cell>
          <cell r="M5180" t="str">
            <v>3005209022</v>
          </cell>
        </row>
        <row r="5181">
          <cell r="A5181">
            <v>900449334</v>
          </cell>
          <cell r="B5181" t="str">
            <v>8</v>
          </cell>
          <cell r="C5181" t="str">
            <v/>
          </cell>
          <cell r="D5181" t="str">
            <v>NJ</v>
          </cell>
          <cell r="E5181" t="str">
            <v/>
          </cell>
          <cell r="F5181" t="str">
            <v/>
          </cell>
          <cell r="G5181" t="str">
            <v>JC SUELOS &amp; CONSTRUCCION S.A.S</v>
          </cell>
          <cell r="H5181" t="str">
            <v>RECO</v>
          </cell>
          <cell r="I5181" t="str">
            <v>REGIMEN COMUN</v>
          </cell>
          <cell r="J5181" t="str">
            <v>CL 27   12 21</v>
          </cell>
          <cell r="K5181" t="str">
            <v>85001</v>
          </cell>
          <cell r="L5181" t="str">
            <v>YOPAL</v>
          </cell>
          <cell r="M5181" t="str">
            <v>3102413404</v>
          </cell>
        </row>
        <row r="5182">
          <cell r="A5182">
            <v>900450677</v>
          </cell>
          <cell r="B5182" t="str">
            <v>0</v>
          </cell>
          <cell r="C5182" t="str">
            <v/>
          </cell>
          <cell r="D5182" t="str">
            <v>NJ</v>
          </cell>
          <cell r="E5182" t="str">
            <v/>
          </cell>
          <cell r="F5182" t="str">
            <v/>
          </cell>
          <cell r="G5182" t="str">
            <v>SISTEMAS INTEGRADOS DE INGENIERIA SAS</v>
          </cell>
          <cell r="H5182" t="str">
            <v>IMVE</v>
          </cell>
          <cell r="I5182" t="str">
            <v>IMPUESTO SOBRE LAS VENTAS</v>
          </cell>
          <cell r="J5182" t="str">
            <v xml:space="preserve"> CL 23 72 B 42</v>
          </cell>
          <cell r="K5182" t="str">
            <v>03</v>
          </cell>
          <cell r="L5182" t="str">
            <v>BOGOTA</v>
          </cell>
          <cell r="M5182" t="str">
            <v>3017901455</v>
          </cell>
        </row>
        <row r="5183">
          <cell r="A5183">
            <v>900451715</v>
          </cell>
          <cell r="B5183" t="str">
            <v>7</v>
          </cell>
          <cell r="C5183" t="str">
            <v/>
          </cell>
          <cell r="D5183" t="str">
            <v>NJ</v>
          </cell>
          <cell r="E5183" t="str">
            <v/>
          </cell>
          <cell r="F5183" t="str">
            <v/>
          </cell>
          <cell r="G5183" t="str">
            <v>MASAYA COLOMBIA S.A.S.</v>
          </cell>
          <cell r="H5183" t="str">
            <v>IMVE</v>
          </cell>
          <cell r="I5183" t="str">
            <v>IMPUESTO SOBRE LAS VENTAS</v>
          </cell>
          <cell r="J5183" t="str">
            <v>CLLE 8 43A 89 OF 201 BRR EL POBLADO SEC ASTORGA</v>
          </cell>
          <cell r="K5183" t="str">
            <v>05001</v>
          </cell>
          <cell r="L5183" t="str">
            <v>MEDELLÍN</v>
          </cell>
          <cell r="M5183" t="str">
            <v>3103830541</v>
          </cell>
        </row>
        <row r="5184">
          <cell r="A5184">
            <v>900453580</v>
          </cell>
          <cell r="B5184" t="str">
            <v>9</v>
          </cell>
          <cell r="C5184" t="str">
            <v/>
          </cell>
          <cell r="D5184" t="str">
            <v>NJ</v>
          </cell>
          <cell r="E5184" t="str">
            <v/>
          </cell>
          <cell r="F5184" t="str">
            <v/>
          </cell>
          <cell r="G5184" t="str">
            <v>FERROMEC SAS</v>
          </cell>
          <cell r="H5184" t="str">
            <v>IMVE</v>
          </cell>
          <cell r="I5184" t="str">
            <v>IMPUESTO SOBRE LAS VENTAS</v>
          </cell>
          <cell r="J5184" t="str">
            <v>AV CR 68 44 08 BRR SALITRE</v>
          </cell>
          <cell r="K5184" t="str">
            <v>17001</v>
          </cell>
          <cell r="L5184" t="str">
            <v>MANIZALES</v>
          </cell>
          <cell r="M5184" t="str">
            <v>3165302466</v>
          </cell>
        </row>
        <row r="5185">
          <cell r="A5185">
            <v>900453881</v>
          </cell>
          <cell r="B5185" t="str">
            <v>0</v>
          </cell>
          <cell r="C5185" t="str">
            <v/>
          </cell>
          <cell r="D5185" t="str">
            <v>NJ</v>
          </cell>
          <cell r="E5185" t="str">
            <v/>
          </cell>
          <cell r="F5185" t="str">
            <v/>
          </cell>
          <cell r="G5185" t="str">
            <v>MEASURING AND CUTTING INTERNATIONAL S.A.S</v>
          </cell>
          <cell r="H5185" t="str">
            <v>RECO</v>
          </cell>
          <cell r="I5185" t="str">
            <v>REGIMEN COMUN</v>
          </cell>
          <cell r="J5185" t="str">
            <v>CR 27 13 78</v>
          </cell>
          <cell r="K5185" t="str">
            <v>11001</v>
          </cell>
          <cell r="L5185" t="str">
            <v>BOGOTA DC</v>
          </cell>
          <cell r="M5185" t="str">
            <v>4327289</v>
          </cell>
        </row>
        <row r="5186">
          <cell r="A5186">
            <v>900454829</v>
          </cell>
          <cell r="B5186" t="str">
            <v>1</v>
          </cell>
          <cell r="C5186" t="str">
            <v/>
          </cell>
          <cell r="D5186" t="str">
            <v>NJ</v>
          </cell>
          <cell r="E5186" t="str">
            <v/>
          </cell>
          <cell r="F5186" t="str">
            <v/>
          </cell>
          <cell r="G5186" t="str">
            <v>ECONOMIKA SAS</v>
          </cell>
          <cell r="H5186" t="str">
            <v>IMVE</v>
          </cell>
          <cell r="I5186" t="str">
            <v>IMPUESTO SOBRE LAS VENTAS</v>
          </cell>
          <cell r="J5186" t="str">
            <v>CR 22 88 06 P 1</v>
          </cell>
          <cell r="K5186" t="str">
            <v>11001</v>
          </cell>
          <cell r="L5186" t="str">
            <v>BOGOTA DC</v>
          </cell>
          <cell r="M5186" t="str">
            <v>479 1166</v>
          </cell>
        </row>
        <row r="5187">
          <cell r="A5187">
            <v>900457288</v>
          </cell>
          <cell r="B5187" t="str">
            <v>0</v>
          </cell>
          <cell r="C5187" t="str">
            <v/>
          </cell>
          <cell r="D5187" t="str">
            <v>NJ</v>
          </cell>
          <cell r="E5187" t="str">
            <v/>
          </cell>
          <cell r="F5187" t="str">
            <v/>
          </cell>
          <cell r="G5187" t="str">
            <v>PLANEQUIPOS S.A.S</v>
          </cell>
          <cell r="H5187" t="str">
            <v>RECO</v>
          </cell>
          <cell r="I5187" t="str">
            <v>REGIMEN COMUN</v>
          </cell>
          <cell r="J5187" t="str">
            <v>CL 22 10</v>
          </cell>
          <cell r="K5187" t="str">
            <v>17001</v>
          </cell>
          <cell r="L5187" t="str">
            <v>MANIZALES</v>
          </cell>
          <cell r="M5187" t="str">
            <v>5606082</v>
          </cell>
        </row>
        <row r="5188">
          <cell r="A5188">
            <v>900457370</v>
          </cell>
          <cell r="B5188" t="str">
            <v>7</v>
          </cell>
          <cell r="C5188" t="str">
            <v/>
          </cell>
          <cell r="D5188" t="str">
            <v>NJ</v>
          </cell>
          <cell r="E5188" t="str">
            <v/>
          </cell>
          <cell r="F5188" t="str">
            <v/>
          </cell>
          <cell r="G5188" t="str">
            <v>UP COMING COMPANY- UPCOCO S.A.S</v>
          </cell>
          <cell r="H5188" t="str">
            <v>RECO</v>
          </cell>
          <cell r="I5188" t="str">
            <v>REGIMEN COMUN</v>
          </cell>
          <cell r="J5188" t="str">
            <v>CL 121 646 OF 245</v>
          </cell>
          <cell r="K5188" t="str">
            <v>11001</v>
          </cell>
          <cell r="L5188" t="str">
            <v>BOGOTA DC</v>
          </cell>
          <cell r="M5188" t="str">
            <v>3114796470</v>
          </cell>
        </row>
        <row r="5189">
          <cell r="A5189">
            <v>900457675</v>
          </cell>
          <cell r="B5189" t="str">
            <v>8</v>
          </cell>
          <cell r="C5189" t="str">
            <v/>
          </cell>
          <cell r="D5189" t="str">
            <v>NJ</v>
          </cell>
          <cell r="E5189" t="str">
            <v/>
          </cell>
          <cell r="F5189" t="str">
            <v/>
          </cell>
          <cell r="G5189" t="str">
            <v>BELTCO CONVEYOR SYSTEM SOLUTIONS SAS</v>
          </cell>
          <cell r="H5189" t="str">
            <v>RECO</v>
          </cell>
          <cell r="I5189" t="str">
            <v>REGIMEN COMUN</v>
          </cell>
          <cell r="J5189" t="str">
            <v>CR 23 1 21</v>
          </cell>
          <cell r="K5189" t="str">
            <v>41298</v>
          </cell>
          <cell r="L5189" t="str">
            <v>GARZÓN</v>
          </cell>
          <cell r="M5189" t="str">
            <v>3124493867</v>
          </cell>
        </row>
        <row r="5190">
          <cell r="A5190">
            <v>900458145</v>
          </cell>
          <cell r="B5190" t="str">
            <v>0</v>
          </cell>
          <cell r="C5190" t="str">
            <v/>
          </cell>
          <cell r="D5190" t="str">
            <v>NJ</v>
          </cell>
          <cell r="E5190" t="str">
            <v/>
          </cell>
          <cell r="F5190" t="str">
            <v/>
          </cell>
          <cell r="G5190" t="str">
            <v>HOTEL DON ALFONSO S.A.S</v>
          </cell>
          <cell r="H5190" t="str">
            <v>RECO</v>
          </cell>
          <cell r="I5190" t="str">
            <v>REGIMEN COMUN</v>
          </cell>
          <cell r="J5190" t="str">
            <v>CR 13   12   37</v>
          </cell>
          <cell r="K5190" t="str">
            <v>66001</v>
          </cell>
          <cell r="L5190" t="str">
            <v>PEREIRA</v>
          </cell>
          <cell r="M5190" t="str">
            <v>3330909</v>
          </cell>
        </row>
        <row r="5191">
          <cell r="A5191">
            <v>900458169</v>
          </cell>
          <cell r="B5191" t="str">
            <v>7</v>
          </cell>
          <cell r="C5191" t="str">
            <v/>
          </cell>
          <cell r="D5191" t="str">
            <v>NJ</v>
          </cell>
          <cell r="E5191" t="str">
            <v/>
          </cell>
          <cell r="F5191" t="str">
            <v/>
          </cell>
          <cell r="G5191" t="str">
            <v>PREV LIDERAZGO ESTRATEGICO EN SALUD OCUPACIONAL S.A.S.</v>
          </cell>
          <cell r="H5191" t="str">
            <v>IMVE</v>
          </cell>
          <cell r="I5191" t="str">
            <v>IMPUESTO SOBRE LAS VENTAS</v>
          </cell>
          <cell r="J5191" t="str">
            <v>CR 22  89  50</v>
          </cell>
          <cell r="K5191" t="str">
            <v>66001</v>
          </cell>
          <cell r="L5191" t="str">
            <v>PEREIRA</v>
          </cell>
          <cell r="M5191" t="str">
            <v>3207269372</v>
          </cell>
        </row>
        <row r="5192">
          <cell r="A5192">
            <v>900458492</v>
          </cell>
          <cell r="B5192" t="str">
            <v>1</v>
          </cell>
          <cell r="C5192" t="str">
            <v/>
          </cell>
          <cell r="D5192" t="str">
            <v>NJ</v>
          </cell>
          <cell r="E5192" t="str">
            <v/>
          </cell>
          <cell r="F5192" t="str">
            <v/>
          </cell>
          <cell r="G5192" t="str">
            <v>AEGIS INGENIERIA SAS</v>
          </cell>
          <cell r="H5192" t="str">
            <v>RECO</v>
          </cell>
          <cell r="I5192" t="str">
            <v>REGIMEN COMUN</v>
          </cell>
          <cell r="J5192" t="str">
            <v>CL 12   12   12 OF 305</v>
          </cell>
          <cell r="K5192" t="str">
            <v>15759</v>
          </cell>
          <cell r="L5192" t="str">
            <v>SOGAMOSO</v>
          </cell>
          <cell r="M5192" t="str">
            <v>3203047612</v>
          </cell>
        </row>
        <row r="5193">
          <cell r="A5193">
            <v>900458996</v>
          </cell>
          <cell r="B5193" t="str">
            <v>1</v>
          </cell>
          <cell r="C5193" t="str">
            <v/>
          </cell>
          <cell r="D5193" t="str">
            <v>NJ</v>
          </cell>
          <cell r="E5193" t="str">
            <v/>
          </cell>
          <cell r="F5193" t="str">
            <v/>
          </cell>
          <cell r="G5193" t="str">
            <v>GRUPO COFITEL IT DEPOT ANDINO S.A.S</v>
          </cell>
          <cell r="H5193" t="str">
            <v>RECO</v>
          </cell>
          <cell r="I5193" t="str">
            <v>REGIMEN COMUN</v>
          </cell>
          <cell r="J5193" t="str">
            <v>AV TRONCAL DE OCCIDENTE  20 85</v>
          </cell>
          <cell r="K5193" t="str">
            <v>25473</v>
          </cell>
          <cell r="L5193" t="str">
            <v>MOSQUERA</v>
          </cell>
          <cell r="M5193" t="str">
            <v>8937680</v>
          </cell>
        </row>
        <row r="5194">
          <cell r="A5194">
            <v>900459737</v>
          </cell>
          <cell r="B5194" t="str">
            <v>5</v>
          </cell>
          <cell r="C5194" t="str">
            <v/>
          </cell>
          <cell r="D5194" t="str">
            <v>NJ</v>
          </cell>
          <cell r="E5194" t="str">
            <v/>
          </cell>
          <cell r="F5194" t="str">
            <v/>
          </cell>
          <cell r="G5194" t="str">
            <v>ESSO TRIANGULO</v>
          </cell>
          <cell r="H5194" t="str">
            <v>GRCO</v>
          </cell>
          <cell r="I5194" t="str">
            <v>GRAN CONTRIBUYENTE</v>
          </cell>
          <cell r="J5194" t="str">
            <v>CR 7   59   47</v>
          </cell>
          <cell r="K5194" t="str">
            <v>11001</v>
          </cell>
          <cell r="L5194" t="str">
            <v>BOGOTA DC</v>
          </cell>
          <cell r="M5194" t="str">
            <v>8256314</v>
          </cell>
        </row>
        <row r="5195">
          <cell r="A5195">
            <v>900460294</v>
          </cell>
          <cell r="B5195" t="str">
            <v>6</v>
          </cell>
          <cell r="C5195" t="str">
            <v/>
          </cell>
          <cell r="D5195" t="str">
            <v>NJ</v>
          </cell>
          <cell r="E5195" t="str">
            <v/>
          </cell>
          <cell r="F5195" t="str">
            <v/>
          </cell>
          <cell r="G5195" t="str">
            <v>ESTACIONAMIENTO COLOMBIA S.A..S</v>
          </cell>
          <cell r="H5195" t="str">
            <v>RECO</v>
          </cell>
          <cell r="I5195" t="str">
            <v>REGIMEN COMUN</v>
          </cell>
          <cell r="J5195" t="str">
            <v>CR 54 CL 49   77</v>
          </cell>
          <cell r="K5195" t="str">
            <v>05001</v>
          </cell>
          <cell r="L5195" t="str">
            <v>MEDELLÍN</v>
          </cell>
          <cell r="M5195" t="str">
            <v>2312772</v>
          </cell>
        </row>
        <row r="5196">
          <cell r="A5196">
            <v>900460506</v>
          </cell>
          <cell r="B5196" t="str">
            <v>2</v>
          </cell>
          <cell r="C5196" t="str">
            <v/>
          </cell>
          <cell r="D5196" t="str">
            <v>NJ</v>
          </cell>
          <cell r="E5196" t="str">
            <v/>
          </cell>
          <cell r="F5196" t="str">
            <v/>
          </cell>
          <cell r="G5196" t="str">
            <v>AVIANCA TACA</v>
          </cell>
          <cell r="H5196" t="str">
            <v>GRAU</v>
          </cell>
          <cell r="I5196" t="str">
            <v>GRAN CONTRIBUYENTE AUTORRETENEDO</v>
          </cell>
          <cell r="J5196" t="str">
            <v>CALLE 82 5050</v>
          </cell>
          <cell r="K5196" t="str">
            <v>17001</v>
          </cell>
          <cell r="L5196" t="str">
            <v>MANIZALES</v>
          </cell>
          <cell r="M5196" t="str">
            <v>7411444</v>
          </cell>
        </row>
        <row r="5197">
          <cell r="A5197">
            <v>900460897</v>
          </cell>
          <cell r="B5197" t="str">
            <v>7</v>
          </cell>
          <cell r="C5197" t="str">
            <v/>
          </cell>
          <cell r="D5197" t="str">
            <v>NJ</v>
          </cell>
          <cell r="E5197" t="str">
            <v/>
          </cell>
          <cell r="F5197" t="str">
            <v/>
          </cell>
          <cell r="G5197" t="str">
            <v>INDUSTRIAS CRUZ JJ S.A.S.</v>
          </cell>
          <cell r="H5197" t="str">
            <v>RECO</v>
          </cell>
          <cell r="I5197" t="str">
            <v>REGIMEN COMUN</v>
          </cell>
          <cell r="J5197" t="str">
            <v xml:space="preserve"> AK 45  167 A  37</v>
          </cell>
          <cell r="K5197" t="str">
            <v>15238</v>
          </cell>
          <cell r="L5197" t="str">
            <v>DUITAMA</v>
          </cell>
          <cell r="M5197" t="str">
            <v>3177649606</v>
          </cell>
        </row>
        <row r="5198">
          <cell r="A5198">
            <v>900460975</v>
          </cell>
          <cell r="B5198" t="str">
            <v>3</v>
          </cell>
          <cell r="C5198" t="str">
            <v/>
          </cell>
          <cell r="D5198" t="str">
            <v>NJ</v>
          </cell>
          <cell r="E5198" t="str">
            <v/>
          </cell>
          <cell r="F5198" t="str">
            <v/>
          </cell>
          <cell r="G5198" t="str">
            <v>CONSORCIO OBRAS FLORIDABLANCA</v>
          </cell>
          <cell r="H5198" t="str">
            <v>RECO</v>
          </cell>
          <cell r="I5198" t="str">
            <v>REGIMEN COMUN</v>
          </cell>
          <cell r="J5198" t="str">
            <v>CR 31 A  25 A 76</v>
          </cell>
          <cell r="K5198" t="str">
            <v>11001</v>
          </cell>
          <cell r="L5198" t="str">
            <v>BOGOTA DC</v>
          </cell>
          <cell r="M5198" t="str">
            <v>2690499</v>
          </cell>
        </row>
        <row r="5199">
          <cell r="A5199">
            <v>900461385</v>
          </cell>
          <cell r="B5199" t="str">
            <v>2</v>
          </cell>
          <cell r="C5199" t="str">
            <v/>
          </cell>
          <cell r="D5199" t="str">
            <v>NJ</v>
          </cell>
          <cell r="E5199" t="str">
            <v/>
          </cell>
          <cell r="F5199" t="str">
            <v/>
          </cell>
          <cell r="G5199" t="str">
            <v>METROPOLIS PLAZA SUR</v>
          </cell>
          <cell r="H5199" t="str">
            <v>RECO</v>
          </cell>
          <cell r="I5199" t="str">
            <v>REGIMEN COMUN</v>
          </cell>
          <cell r="J5199" t="str">
            <v>CR 44 N 9-08</v>
          </cell>
          <cell r="K5199" t="str">
            <v>76001</v>
          </cell>
          <cell r="L5199" t="str">
            <v>CALI</v>
          </cell>
          <cell r="M5199" t="str">
            <v>5531900</v>
          </cell>
        </row>
        <row r="5200">
          <cell r="A5200">
            <v>900461633</v>
          </cell>
          <cell r="B5200" t="str">
            <v>4</v>
          </cell>
          <cell r="C5200" t="str">
            <v/>
          </cell>
          <cell r="D5200" t="str">
            <v>NJ</v>
          </cell>
          <cell r="E5200" t="str">
            <v/>
          </cell>
          <cell r="F5200" t="str">
            <v/>
          </cell>
          <cell r="G5200" t="str">
            <v>DANES DIESEL COLOMBIA S.A.S</v>
          </cell>
          <cell r="H5200" t="str">
            <v>RECO</v>
          </cell>
          <cell r="I5200" t="str">
            <v>REGIMEN COMUN</v>
          </cell>
          <cell r="J5200" t="str">
            <v>KM 28 VIA CAJICA ESTACION TERPEL ORO NEGRO</v>
          </cell>
          <cell r="K5200" t="str">
            <v>25126</v>
          </cell>
          <cell r="L5200" t="str">
            <v>CAJICÁ</v>
          </cell>
          <cell r="M5200" t="str">
            <v>8660991</v>
          </cell>
        </row>
        <row r="5201">
          <cell r="A5201">
            <v>900462285</v>
          </cell>
          <cell r="B5201" t="str">
            <v>9</v>
          </cell>
          <cell r="C5201" t="str">
            <v/>
          </cell>
          <cell r="D5201" t="str">
            <v>NJ</v>
          </cell>
          <cell r="E5201" t="str">
            <v/>
          </cell>
          <cell r="F5201" t="str">
            <v/>
          </cell>
          <cell r="G5201" t="str">
            <v>JM MULTISISTEMAS SAS</v>
          </cell>
          <cell r="H5201" t="str">
            <v>IMVE</v>
          </cell>
          <cell r="I5201" t="str">
            <v>IMPUESTO SOBRE LAS VENTAS</v>
          </cell>
          <cell r="J5201" t="str">
            <v>CR 16  33-25</v>
          </cell>
          <cell r="K5201" t="str">
            <v>66170</v>
          </cell>
          <cell r="L5201" t="str">
            <v>DOSQUEBRADAS</v>
          </cell>
          <cell r="M5201" t="str">
            <v>6063171312</v>
          </cell>
        </row>
        <row r="5202">
          <cell r="A5202">
            <v>900462447</v>
          </cell>
          <cell r="B5202" t="str">
            <v>5</v>
          </cell>
          <cell r="C5202" t="str">
            <v/>
          </cell>
          <cell r="D5202" t="str">
            <v>NJ</v>
          </cell>
          <cell r="E5202" t="str">
            <v/>
          </cell>
          <cell r="F5202" t="str">
            <v/>
          </cell>
          <cell r="G5202" t="str">
            <v>FOSYGA</v>
          </cell>
          <cell r="H5202" t="str">
            <v>GRCO</v>
          </cell>
          <cell r="I5202" t="str">
            <v>GRAN CONTRIBUYENTE</v>
          </cell>
          <cell r="J5202" t="str">
            <v>MANIZALES</v>
          </cell>
          <cell r="K5202" t="str">
            <v>17001</v>
          </cell>
          <cell r="L5202" t="str">
            <v>MANIZALES</v>
          </cell>
          <cell r="M5202" t="str">
            <v>0</v>
          </cell>
        </row>
        <row r="5203">
          <cell r="A5203">
            <v>900463057</v>
          </cell>
          <cell r="B5203" t="str">
            <v>0</v>
          </cell>
          <cell r="C5203" t="str">
            <v/>
          </cell>
          <cell r="D5203" t="str">
            <v>NJ</v>
          </cell>
          <cell r="E5203" t="str">
            <v/>
          </cell>
          <cell r="F5203" t="str">
            <v/>
          </cell>
          <cell r="G5203" t="str">
            <v>HOTEL CASA DE CAMPO PEÑALISA SAS</v>
          </cell>
          <cell r="H5203" t="str">
            <v>RECO</v>
          </cell>
          <cell r="I5203" t="str">
            <v>REGIMEN COMUN</v>
          </cell>
          <cell r="J5203" t="str">
            <v>CR 10 8 99</v>
          </cell>
          <cell r="K5203" t="str">
            <v>25612</v>
          </cell>
          <cell r="L5203" t="str">
            <v>RICAURTE</v>
          </cell>
          <cell r="M5203" t="str">
            <v>8366284</v>
          </cell>
        </row>
        <row r="5204">
          <cell r="A5204">
            <v>900463094</v>
          </cell>
          <cell r="B5204" t="str">
            <v>3</v>
          </cell>
          <cell r="C5204" t="str">
            <v/>
          </cell>
          <cell r="D5204" t="str">
            <v>NJ</v>
          </cell>
          <cell r="E5204" t="str">
            <v/>
          </cell>
          <cell r="F5204" t="str">
            <v/>
          </cell>
          <cell r="G5204" t="str">
            <v>CONSORCIO COLISEO SORA</v>
          </cell>
          <cell r="H5204" t="str">
            <v>RECO</v>
          </cell>
          <cell r="I5204" t="str">
            <v>REGIMEN COMUN</v>
          </cell>
          <cell r="J5204" t="str">
            <v>CR 21   30   03 OF 801</v>
          </cell>
          <cell r="K5204" t="str">
            <v>17001</v>
          </cell>
          <cell r="L5204" t="str">
            <v>MANIZALES</v>
          </cell>
          <cell r="M5204" t="str">
            <v>8849485</v>
          </cell>
        </row>
        <row r="5205">
          <cell r="A5205">
            <v>900463244</v>
          </cell>
          <cell r="B5205" t="str">
            <v>1</v>
          </cell>
          <cell r="C5205" t="str">
            <v/>
          </cell>
          <cell r="D5205" t="str">
            <v>NJ</v>
          </cell>
          <cell r="E5205" t="str">
            <v/>
          </cell>
          <cell r="F5205" t="str">
            <v/>
          </cell>
          <cell r="G5205" t="str">
            <v>ENERSINC SAS</v>
          </cell>
          <cell r="H5205" t="str">
            <v>IMVE</v>
          </cell>
          <cell r="I5205" t="str">
            <v>IMPUESTO SOBRE LAS VENTAS</v>
          </cell>
          <cell r="J5205" t="str">
            <v>CR 7 70 A 21 OF 403</v>
          </cell>
          <cell r="K5205" t="str">
            <v>11001</v>
          </cell>
          <cell r="L5205" t="str">
            <v>BOGOTA DC</v>
          </cell>
          <cell r="M5205" t="str">
            <v>3152481408</v>
          </cell>
        </row>
        <row r="5206">
          <cell r="A5206">
            <v>900463874</v>
          </cell>
          <cell r="B5206" t="str">
            <v>1</v>
          </cell>
          <cell r="C5206" t="str">
            <v/>
          </cell>
          <cell r="D5206" t="str">
            <v>NJ</v>
          </cell>
          <cell r="E5206" t="str">
            <v/>
          </cell>
          <cell r="F5206" t="str">
            <v/>
          </cell>
          <cell r="G5206" t="str">
            <v>INDUSTRIAS MABOS SAS</v>
          </cell>
          <cell r="H5206" t="str">
            <v>RECO</v>
          </cell>
          <cell r="I5206" t="str">
            <v>REGIMEN COMUN</v>
          </cell>
          <cell r="J5206" t="str">
            <v>PAR INDUSTRIAL Y ARTESANAL KM 5 VIA PAIPA DUITAMA</v>
          </cell>
          <cell r="K5206" t="str">
            <v>15516</v>
          </cell>
          <cell r="L5206" t="str">
            <v>PAIPA</v>
          </cell>
          <cell r="M5206" t="str">
            <v>4051679</v>
          </cell>
        </row>
        <row r="5207">
          <cell r="A5207">
            <v>900464121</v>
          </cell>
          <cell r="B5207" t="str">
            <v>9</v>
          </cell>
          <cell r="C5207" t="str">
            <v/>
          </cell>
          <cell r="D5207" t="str">
            <v>NJ</v>
          </cell>
          <cell r="E5207" t="str">
            <v/>
          </cell>
          <cell r="F5207" t="str">
            <v/>
          </cell>
          <cell r="G5207" t="str">
            <v>TRILAK SPORT SAS</v>
          </cell>
          <cell r="H5207" t="str">
            <v>RECO</v>
          </cell>
          <cell r="I5207" t="str">
            <v>REGIMEN COMUN</v>
          </cell>
          <cell r="J5207" t="str">
            <v>CL 6 A 32 44</v>
          </cell>
          <cell r="K5207" t="str">
            <v>11001</v>
          </cell>
          <cell r="L5207" t="str">
            <v>BOGOTA DC</v>
          </cell>
          <cell r="M5207" t="str">
            <v>3115976992</v>
          </cell>
        </row>
        <row r="5208">
          <cell r="A5208">
            <v>900464300</v>
          </cell>
          <cell r="B5208" t="str">
            <v>0</v>
          </cell>
          <cell r="C5208" t="str">
            <v/>
          </cell>
          <cell r="D5208" t="str">
            <v>NJ</v>
          </cell>
          <cell r="E5208" t="str">
            <v/>
          </cell>
          <cell r="F5208" t="str">
            <v/>
          </cell>
          <cell r="G5208" t="str">
            <v>BIOASESORES DE COLOMBIA SAS</v>
          </cell>
          <cell r="H5208" t="str">
            <v>RECO</v>
          </cell>
          <cell r="I5208" t="str">
            <v>REGIMEN COMUN</v>
          </cell>
          <cell r="J5208" t="str">
            <v>CL 43 69 35 TO 2 AP 302</v>
          </cell>
          <cell r="K5208" t="str">
            <v>76001</v>
          </cell>
          <cell r="L5208" t="str">
            <v>CALI</v>
          </cell>
          <cell r="M5208" t="str">
            <v>4032837</v>
          </cell>
        </row>
        <row r="5209">
          <cell r="A5209">
            <v>900464458</v>
          </cell>
          <cell r="B5209" t="str">
            <v>5</v>
          </cell>
          <cell r="C5209" t="str">
            <v/>
          </cell>
          <cell r="D5209" t="str">
            <v>NJ</v>
          </cell>
          <cell r="E5209" t="str">
            <v/>
          </cell>
          <cell r="F5209" t="str">
            <v/>
          </cell>
          <cell r="G5209" t="str">
            <v>HOTEL ARAWAK UPAR</v>
          </cell>
          <cell r="H5209" t="str">
            <v>RECO</v>
          </cell>
          <cell r="I5209" t="str">
            <v>REGIMEN COMUN</v>
          </cell>
          <cell r="J5209" t="str">
            <v>CR 7 16 B 50</v>
          </cell>
          <cell r="K5209" t="str">
            <v>17001</v>
          </cell>
          <cell r="L5209" t="str">
            <v>MANIZALES</v>
          </cell>
          <cell r="M5209" t="str">
            <v>744199</v>
          </cell>
        </row>
        <row r="5210">
          <cell r="A5210">
            <v>900464792</v>
          </cell>
          <cell r="B5210" t="str">
            <v>0</v>
          </cell>
          <cell r="C5210" t="str">
            <v/>
          </cell>
          <cell r="D5210" t="str">
            <v>NJ</v>
          </cell>
          <cell r="E5210" t="str">
            <v/>
          </cell>
          <cell r="F5210" t="str">
            <v/>
          </cell>
          <cell r="G5210" t="str">
            <v>DPWATERING SAS</v>
          </cell>
          <cell r="H5210" t="str">
            <v>IMVE</v>
          </cell>
          <cell r="I5210" t="str">
            <v>IMPUESTO SOBRE LAS VENTAS</v>
          </cell>
          <cell r="J5210" t="str">
            <v xml:space="preserve"> AUT MEDELLIN KM 3 VIA SIBERIA BG 5 MD 5 ET 2 TER TERRESTRE DE C</v>
          </cell>
          <cell r="K5210" t="str">
            <v>25214</v>
          </cell>
          <cell r="L5210" t="str">
            <v>COTA</v>
          </cell>
          <cell r="M5210" t="str">
            <v>8985156</v>
          </cell>
        </row>
        <row r="5211">
          <cell r="A5211">
            <v>900466180</v>
          </cell>
          <cell r="B5211" t="str">
            <v>2</v>
          </cell>
          <cell r="C5211" t="str">
            <v/>
          </cell>
          <cell r="D5211" t="str">
            <v>NJ</v>
          </cell>
          <cell r="E5211" t="str">
            <v/>
          </cell>
          <cell r="F5211" t="str">
            <v/>
          </cell>
          <cell r="G5211" t="str">
            <v>HOTEL STANCIA SPIWAK CALI S.A.S</v>
          </cell>
          <cell r="H5211" t="str">
            <v>RECO</v>
          </cell>
          <cell r="I5211" t="str">
            <v>REGIMEN COMUN</v>
          </cell>
          <cell r="J5211" t="str">
            <v>AV 5 NORTE   39   39</v>
          </cell>
          <cell r="K5211" t="str">
            <v>76001</v>
          </cell>
          <cell r="L5211" t="str">
            <v>CALI</v>
          </cell>
          <cell r="M5211" t="str">
            <v>4874777</v>
          </cell>
        </row>
        <row r="5212">
          <cell r="A5212">
            <v>900466800</v>
          </cell>
          <cell r="B5212" t="str">
            <v>0</v>
          </cell>
          <cell r="C5212" t="str">
            <v/>
          </cell>
          <cell r="D5212" t="str">
            <v>NJ</v>
          </cell>
          <cell r="E5212" t="str">
            <v/>
          </cell>
          <cell r="F5212" t="str">
            <v/>
          </cell>
          <cell r="G5212" t="str">
            <v>ASOCIACION AUTORIDADES TRADICIONALES INDIGENAS DE LAS COMUNIDADE</v>
          </cell>
          <cell r="H5212" t="str">
            <v>ENSA</v>
          </cell>
          <cell r="I5212" t="str">
            <v>ENTIDADES SIN ANIMO DE LUCRO</v>
          </cell>
          <cell r="J5212" t="str">
            <v>COMUNIDAD DE SANTA CRUZ DE WARACAPURI</v>
          </cell>
          <cell r="K5212" t="str">
            <v>97001</v>
          </cell>
          <cell r="L5212" t="str">
            <v>MITÚ</v>
          </cell>
          <cell r="M5212" t="str">
            <v>3115415553</v>
          </cell>
        </row>
        <row r="5213">
          <cell r="A5213">
            <v>900467239</v>
          </cell>
          <cell r="B5213" t="str">
            <v>2</v>
          </cell>
          <cell r="C5213" t="str">
            <v>923272416</v>
          </cell>
          <cell r="D5213" t="str">
            <v>NJ</v>
          </cell>
          <cell r="E5213" t="str">
            <v/>
          </cell>
          <cell r="F5213" t="str">
            <v/>
          </cell>
          <cell r="G5213" t="str">
            <v>UAE AUTORIDAD NACIONAL DE LICNECIAS AMBIENTALES-ANLA</v>
          </cell>
          <cell r="H5213" t="str">
            <v>COIM</v>
          </cell>
          <cell r="I5213" t="str">
            <v>CONTROL DE IMPUESTOS</v>
          </cell>
          <cell r="J5213" t="str">
            <v>CR 13 A 34 72</v>
          </cell>
          <cell r="K5213" t="str">
            <v>11001</v>
          </cell>
          <cell r="L5213" t="str">
            <v>BOGOTA DC</v>
          </cell>
          <cell r="M5213" t="str">
            <v>2540111</v>
          </cell>
        </row>
        <row r="5214">
          <cell r="A5214">
            <v>900467648</v>
          </cell>
          <cell r="B5214" t="str">
            <v>1</v>
          </cell>
          <cell r="C5214" t="str">
            <v/>
          </cell>
          <cell r="D5214" t="str">
            <v>NJ</v>
          </cell>
          <cell r="E5214" t="str">
            <v/>
          </cell>
          <cell r="F5214" t="str">
            <v/>
          </cell>
          <cell r="G5214" t="str">
            <v>ENLACES TEMPORALES S.A.S  E.S.T</v>
          </cell>
          <cell r="H5214" t="str">
            <v>RECO</v>
          </cell>
          <cell r="I5214" t="str">
            <v>REGIMEN COMUN</v>
          </cell>
          <cell r="J5214" t="str">
            <v>CR 5 36 50 LC 202 BRR CADIZ</v>
          </cell>
          <cell r="K5214" t="str">
            <v>73001</v>
          </cell>
          <cell r="L5214" t="str">
            <v>IBAGUÉ</v>
          </cell>
          <cell r="M5214" t="str">
            <v>8889821</v>
          </cell>
        </row>
        <row r="5215">
          <cell r="A5215">
            <v>900467677</v>
          </cell>
          <cell r="B5215" t="str">
            <v>5</v>
          </cell>
          <cell r="C5215" t="str">
            <v/>
          </cell>
          <cell r="D5215" t="str">
            <v>NJ</v>
          </cell>
          <cell r="E5215" t="str">
            <v/>
          </cell>
          <cell r="F5215" t="str">
            <v/>
          </cell>
          <cell r="G5215" t="str">
            <v>CREATES S.A.S / FOGON DE PALO</v>
          </cell>
          <cell r="H5215" t="str">
            <v>RST</v>
          </cell>
          <cell r="I5215" t="str">
            <v>REGIMEN SIMPLE DE TRIBUTACION</v>
          </cell>
          <cell r="J5215" t="str">
            <v>CR 23 C 62 153 ED PRANHA OF 802</v>
          </cell>
          <cell r="K5215" t="str">
            <v>17001</v>
          </cell>
          <cell r="L5215" t="str">
            <v>MANIZALES</v>
          </cell>
          <cell r="M5215" t="str">
            <v>8821070</v>
          </cell>
        </row>
        <row r="5216">
          <cell r="A5216">
            <v>900467700</v>
          </cell>
          <cell r="B5216" t="str">
            <v>7</v>
          </cell>
          <cell r="C5216" t="str">
            <v/>
          </cell>
          <cell r="D5216" t="str">
            <v>NJ</v>
          </cell>
          <cell r="E5216" t="str">
            <v/>
          </cell>
          <cell r="F5216" t="str">
            <v/>
          </cell>
          <cell r="G5216" t="str">
            <v>WATER TREATMENT AND BIOSOLIDS SAS</v>
          </cell>
          <cell r="H5216" t="str">
            <v>IMVE</v>
          </cell>
          <cell r="I5216" t="str">
            <v>IMPUESTO SOBRE LAS VENTAS</v>
          </cell>
          <cell r="J5216" t="str">
            <v>VRD BOJACA FINCA EL RINCONCITO</v>
          </cell>
          <cell r="K5216" t="str">
            <v>30</v>
          </cell>
          <cell r="L5216" t="str">
            <v>CUNDINAMARCA</v>
          </cell>
          <cell r="M5216" t="str">
            <v>8620285</v>
          </cell>
        </row>
        <row r="5217">
          <cell r="A5217">
            <v>900468363</v>
          </cell>
          <cell r="B5217" t="str">
            <v>2</v>
          </cell>
          <cell r="C5217" t="str">
            <v/>
          </cell>
          <cell r="D5217" t="str">
            <v>NJ</v>
          </cell>
          <cell r="E5217" t="str">
            <v/>
          </cell>
          <cell r="F5217" t="str">
            <v/>
          </cell>
          <cell r="G5217" t="str">
            <v>EFECTIVENTAS SAS</v>
          </cell>
          <cell r="H5217" t="str">
            <v>IMVE</v>
          </cell>
          <cell r="I5217" t="str">
            <v>IMPUESTO SOBRE LAS VENTAS</v>
          </cell>
          <cell r="J5217" t="str">
            <v>CR 23  75   A  140  OF  608</v>
          </cell>
          <cell r="K5217" t="str">
            <v>17001</v>
          </cell>
          <cell r="L5217" t="str">
            <v>MANIZALES</v>
          </cell>
          <cell r="M5217" t="str">
            <v>3213438614</v>
          </cell>
        </row>
        <row r="5218">
          <cell r="A5218">
            <v>900468666</v>
          </cell>
          <cell r="B5218" t="str">
            <v>9</v>
          </cell>
          <cell r="C5218" t="str">
            <v/>
          </cell>
          <cell r="D5218" t="str">
            <v>NJ</v>
          </cell>
          <cell r="E5218" t="str">
            <v/>
          </cell>
          <cell r="F5218" t="str">
            <v/>
          </cell>
          <cell r="G5218" t="str">
            <v>GRAN FERRETERÍA INDUSTRIAL SAS</v>
          </cell>
          <cell r="H5218" t="str">
            <v>IMVE</v>
          </cell>
          <cell r="I5218" t="str">
            <v>IMPUESTO SOBRE LAS VENTAS</v>
          </cell>
          <cell r="J5218" t="str">
            <v>DG 50 SUR 61 C 57</v>
          </cell>
          <cell r="K5218" t="str">
            <v>11001</v>
          </cell>
          <cell r="L5218" t="str">
            <v>BOGOTA DC</v>
          </cell>
          <cell r="M5218" t="str">
            <v>5636175</v>
          </cell>
        </row>
        <row r="5219">
          <cell r="A5219">
            <v>900468877</v>
          </cell>
          <cell r="B5219" t="str">
            <v>6</v>
          </cell>
          <cell r="C5219" t="str">
            <v/>
          </cell>
          <cell r="D5219" t="str">
            <v>NJ</v>
          </cell>
          <cell r="E5219" t="str">
            <v/>
          </cell>
          <cell r="F5219" t="str">
            <v/>
          </cell>
          <cell r="G5219" t="str">
            <v>G3E SAS</v>
          </cell>
          <cell r="H5219" t="str">
            <v>RECO</v>
          </cell>
          <cell r="I5219" t="str">
            <v>REGIMEN COMUN</v>
          </cell>
          <cell r="J5219" t="str">
            <v>CL 127 A 7 19 OF 301 A</v>
          </cell>
          <cell r="K5219" t="str">
            <v>11001</v>
          </cell>
          <cell r="L5219" t="str">
            <v>BOGOTA DC</v>
          </cell>
          <cell r="M5219" t="str">
            <v>7444828</v>
          </cell>
        </row>
        <row r="5220">
          <cell r="A5220">
            <v>900468959</v>
          </cell>
          <cell r="B5220" t="str">
            <v>1</v>
          </cell>
          <cell r="C5220" t="str">
            <v/>
          </cell>
          <cell r="D5220" t="str">
            <v>NJ</v>
          </cell>
          <cell r="E5220" t="str">
            <v/>
          </cell>
          <cell r="F5220" t="str">
            <v/>
          </cell>
          <cell r="G5220" t="str">
            <v>TRANSPORTES Y SERVICIOS LA PRIMAVERA S.A.S.</v>
          </cell>
          <cell r="H5220" t="str">
            <v>RECO</v>
          </cell>
          <cell r="I5220" t="str">
            <v>REGIMEN COMUN</v>
          </cell>
          <cell r="J5220" t="str">
            <v>CR 9 CL 9 ESQ</v>
          </cell>
          <cell r="K5220" t="str">
            <v>99524</v>
          </cell>
          <cell r="L5220" t="str">
            <v>LA PRIMAVERA</v>
          </cell>
          <cell r="M5220" t="str">
            <v>3214040391</v>
          </cell>
        </row>
        <row r="5221">
          <cell r="A5221">
            <v>900469070</v>
          </cell>
          <cell r="B5221" t="str">
            <v>4</v>
          </cell>
          <cell r="C5221" t="str">
            <v/>
          </cell>
          <cell r="D5221" t="str">
            <v>NJ</v>
          </cell>
          <cell r="E5221" t="str">
            <v/>
          </cell>
          <cell r="F5221" t="str">
            <v/>
          </cell>
          <cell r="G5221" t="str">
            <v>COMNORTE SAS</v>
          </cell>
          <cell r="H5221" t="str">
            <v>RECO</v>
          </cell>
          <cell r="I5221" t="str">
            <v>REGIMEN COMUN</v>
          </cell>
          <cell r="J5221" t="str">
            <v>CL 5 CL 5-33</v>
          </cell>
          <cell r="K5221" t="str">
            <v>17050</v>
          </cell>
          <cell r="L5221" t="str">
            <v>ARANZAZU</v>
          </cell>
          <cell r="M5221" t="str">
            <v>3136233923</v>
          </cell>
        </row>
        <row r="5222">
          <cell r="A5222">
            <v>900469169</v>
          </cell>
          <cell r="B5222" t="str">
            <v>4</v>
          </cell>
          <cell r="C5222" t="str">
            <v/>
          </cell>
          <cell r="D5222" t="str">
            <v>NJ</v>
          </cell>
          <cell r="E5222" t="str">
            <v/>
          </cell>
          <cell r="F5222" t="str">
            <v/>
          </cell>
          <cell r="G5222" t="str">
            <v>CONSORCIO TECNICO CHIMA</v>
          </cell>
          <cell r="H5222" t="str">
            <v>RECO</v>
          </cell>
          <cell r="I5222" t="str">
            <v>REGIMEN COMUN</v>
          </cell>
          <cell r="J5222" t="str">
            <v>CR 53   75   161 OF 204 A</v>
          </cell>
          <cell r="K5222" t="str">
            <v>08001</v>
          </cell>
          <cell r="L5222" t="str">
            <v>BARRANQUILLA</v>
          </cell>
          <cell r="M5222" t="str">
            <v>3601137</v>
          </cell>
        </row>
        <row r="5223">
          <cell r="A5223">
            <v>900469853</v>
          </cell>
          <cell r="B5223" t="str">
            <v>4</v>
          </cell>
          <cell r="C5223" t="str">
            <v/>
          </cell>
          <cell r="D5223" t="str">
            <v>NJ</v>
          </cell>
          <cell r="E5223" t="str">
            <v/>
          </cell>
          <cell r="F5223" t="str">
            <v/>
          </cell>
          <cell r="G5223" t="str">
            <v>CONSORCIO LA DORADA CALDAS</v>
          </cell>
          <cell r="H5223" t="str">
            <v>RECO</v>
          </cell>
          <cell r="I5223" t="str">
            <v>REGIMEN COMUN</v>
          </cell>
          <cell r="J5223" t="str">
            <v>CL 43 B   81   70</v>
          </cell>
          <cell r="K5223" t="str">
            <v>05001</v>
          </cell>
          <cell r="L5223" t="str">
            <v>MEDELLÍN</v>
          </cell>
          <cell r="M5223" t="str">
            <v>4114664</v>
          </cell>
        </row>
        <row r="5224">
          <cell r="A5224">
            <v>900471808</v>
          </cell>
          <cell r="B5224" t="str">
            <v>9</v>
          </cell>
          <cell r="C5224" t="str">
            <v/>
          </cell>
          <cell r="D5224" t="str">
            <v>NJ</v>
          </cell>
          <cell r="E5224" t="str">
            <v/>
          </cell>
          <cell r="F5224" t="str">
            <v/>
          </cell>
          <cell r="G5224" t="str">
            <v>ACEPIN SAS</v>
          </cell>
          <cell r="H5224" t="str">
            <v>IMVE</v>
          </cell>
          <cell r="I5224" t="str">
            <v>IMPUESTO SOBRE LAS VENTAS</v>
          </cell>
          <cell r="J5224" t="str">
            <v>CR 10 A 17 30 BRR SUR</v>
          </cell>
          <cell r="K5224" t="str">
            <v>11001</v>
          </cell>
          <cell r="L5224" t="str">
            <v>BOGOTA DC</v>
          </cell>
          <cell r="M5224" t="str">
            <v>3204940299</v>
          </cell>
        </row>
        <row r="5225">
          <cell r="A5225">
            <v>900471989</v>
          </cell>
          <cell r="B5225" t="str">
            <v>3</v>
          </cell>
          <cell r="C5225" t="str">
            <v/>
          </cell>
          <cell r="D5225" t="str">
            <v>NJ</v>
          </cell>
          <cell r="E5225" t="str">
            <v/>
          </cell>
          <cell r="F5225" t="str">
            <v/>
          </cell>
          <cell r="G5225" t="str">
            <v>SOLUCIONES ENERGETICAS FLUIDOS E INGENIERIA COLOMBIANA SAS</v>
          </cell>
          <cell r="H5225" t="str">
            <v>IMVE</v>
          </cell>
          <cell r="I5225" t="str">
            <v>IMPUESTO SOBRE LAS VENTAS</v>
          </cell>
          <cell r="J5225" t="str">
            <v>CR 32 B 2 79 P 1 BRR LA ASUNCION</v>
          </cell>
          <cell r="K5225" t="str">
            <v>11001</v>
          </cell>
          <cell r="L5225" t="str">
            <v>BOGOTA DC</v>
          </cell>
          <cell r="M5225" t="str">
            <v>3173003953</v>
          </cell>
        </row>
        <row r="5226">
          <cell r="A5226">
            <v>900472901</v>
          </cell>
          <cell r="B5226" t="str">
            <v>0</v>
          </cell>
          <cell r="C5226" t="str">
            <v/>
          </cell>
          <cell r="D5226" t="str">
            <v>NJ</v>
          </cell>
          <cell r="E5226" t="str">
            <v/>
          </cell>
          <cell r="F5226" t="str">
            <v/>
          </cell>
          <cell r="G5226" t="str">
            <v>CONSORCIO ANDES</v>
          </cell>
          <cell r="H5226" t="str">
            <v>RECO</v>
          </cell>
          <cell r="I5226" t="str">
            <v>REGIMEN COMUN</v>
          </cell>
          <cell r="J5226" t="str">
            <v>CL 71   1 C   52</v>
          </cell>
          <cell r="K5226" t="str">
            <v>41001</v>
          </cell>
          <cell r="L5226" t="str">
            <v>NEIVA</v>
          </cell>
          <cell r="M5226" t="str">
            <v>8651890</v>
          </cell>
        </row>
        <row r="5227">
          <cell r="A5227">
            <v>900473155</v>
          </cell>
          <cell r="B5227" t="str">
            <v>7</v>
          </cell>
          <cell r="C5227" t="str">
            <v/>
          </cell>
          <cell r="D5227" t="str">
            <v>NJ</v>
          </cell>
          <cell r="E5227" t="str">
            <v/>
          </cell>
          <cell r="F5227" t="str">
            <v/>
          </cell>
          <cell r="G5227" t="str">
            <v>REVISAR S.A.S</v>
          </cell>
          <cell r="H5227" t="str">
            <v>RECO</v>
          </cell>
          <cell r="I5227" t="str">
            <v>REGIMEN COMUN</v>
          </cell>
          <cell r="J5227" t="str">
            <v>CR 42  21  11</v>
          </cell>
          <cell r="K5227" t="str">
            <v>15238</v>
          </cell>
          <cell r="L5227" t="str">
            <v>DUITAMA</v>
          </cell>
          <cell r="M5227" t="str">
            <v>7625992</v>
          </cell>
        </row>
        <row r="5228">
          <cell r="A5228">
            <v>900473861</v>
          </cell>
          <cell r="B5228" t="str">
            <v>9</v>
          </cell>
          <cell r="C5228" t="str">
            <v/>
          </cell>
          <cell r="D5228" t="str">
            <v>NJ</v>
          </cell>
          <cell r="E5228" t="str">
            <v/>
          </cell>
          <cell r="F5228" t="str">
            <v/>
          </cell>
          <cell r="G5228" t="str">
            <v>ENGINEERING CONSULTING AND CONSTRUCTION &amp; COMPAÑIA LTDA</v>
          </cell>
          <cell r="H5228" t="str">
            <v>IMVE</v>
          </cell>
          <cell r="I5228" t="str">
            <v>IMPUESTO SOBRE LAS VENTAS</v>
          </cell>
          <cell r="J5228" t="str">
            <v>CL 85 50 159 OF 516</v>
          </cell>
          <cell r="K5228" t="str">
            <v>02</v>
          </cell>
          <cell r="L5228" t="str">
            <v>BARRANQUILLA</v>
          </cell>
          <cell r="M5228" t="str">
            <v>3185896016</v>
          </cell>
        </row>
        <row r="5229">
          <cell r="A5229">
            <v>900473872</v>
          </cell>
          <cell r="B5229" t="str">
            <v>1</v>
          </cell>
          <cell r="C5229" t="str">
            <v/>
          </cell>
          <cell r="D5229" t="str">
            <v>NJ</v>
          </cell>
          <cell r="E5229" t="str">
            <v/>
          </cell>
          <cell r="F5229" t="str">
            <v/>
          </cell>
          <cell r="G5229" t="str">
            <v>CONSORCIO VIAS URBANAS</v>
          </cell>
          <cell r="H5229" t="str">
            <v>RECO</v>
          </cell>
          <cell r="I5229" t="str">
            <v>REGIMEN COMUN</v>
          </cell>
          <cell r="J5229" t="str">
            <v>CR 35 A  15 B 35 IN 817</v>
          </cell>
          <cell r="K5229" t="str">
            <v>05001</v>
          </cell>
          <cell r="L5229" t="str">
            <v>MEDELLÍN</v>
          </cell>
          <cell r="M5229" t="str">
            <v>3116628</v>
          </cell>
        </row>
        <row r="5230">
          <cell r="A5230">
            <v>900474438</v>
          </cell>
          <cell r="B5230" t="str">
            <v>0</v>
          </cell>
          <cell r="C5230" t="str">
            <v/>
          </cell>
          <cell r="D5230" t="str">
            <v>NJ</v>
          </cell>
          <cell r="E5230" t="str">
            <v/>
          </cell>
          <cell r="F5230" t="str">
            <v/>
          </cell>
          <cell r="G5230" t="str">
            <v xml:space="preserve"> PC SERVICIOS E INSUMOS SAS</v>
          </cell>
          <cell r="H5230" t="str">
            <v>RECO</v>
          </cell>
          <cell r="I5230" t="str">
            <v>REGIMEN COMUN</v>
          </cell>
          <cell r="J5230" t="str">
            <v>CR 21 56 18</v>
          </cell>
          <cell r="K5230" t="str">
            <v>17001</v>
          </cell>
          <cell r="L5230" t="str">
            <v>MANIZALES</v>
          </cell>
          <cell r="M5230" t="str">
            <v>4005282</v>
          </cell>
        </row>
        <row r="5231">
          <cell r="A5231">
            <v>900474703</v>
          </cell>
          <cell r="B5231" t="str">
            <v>8</v>
          </cell>
          <cell r="C5231" t="str">
            <v/>
          </cell>
          <cell r="D5231" t="str">
            <v>NJ</v>
          </cell>
          <cell r="E5231" t="str">
            <v/>
          </cell>
          <cell r="F5231" t="str">
            <v/>
          </cell>
          <cell r="G5231" t="str">
            <v>CONSORCIO VIAS URBANAS 2011</v>
          </cell>
          <cell r="H5231" t="str">
            <v>RECO</v>
          </cell>
          <cell r="I5231" t="str">
            <v>REGIMEN COMUN</v>
          </cell>
          <cell r="J5231" t="str">
            <v>CL 32   34   541 LC 104</v>
          </cell>
          <cell r="K5231" t="str">
            <v>70001</v>
          </cell>
          <cell r="L5231" t="str">
            <v>SINCELEJO</v>
          </cell>
          <cell r="M5231" t="str">
            <v>2810586</v>
          </cell>
        </row>
        <row r="5232">
          <cell r="A5232">
            <v>900475440</v>
          </cell>
          <cell r="B5232" t="str">
            <v>0</v>
          </cell>
          <cell r="C5232" t="str">
            <v/>
          </cell>
          <cell r="D5232" t="str">
            <v>NJ</v>
          </cell>
          <cell r="E5232" t="str">
            <v/>
          </cell>
          <cell r="F5232" t="str">
            <v/>
          </cell>
          <cell r="G5232" t="str">
            <v>SULZER PUMSP COLOMBIA SAS</v>
          </cell>
          <cell r="H5232" t="str">
            <v>IMVE</v>
          </cell>
          <cell r="I5232" t="str">
            <v>IMPUESTO SOBRE LAS VENTAS</v>
          </cell>
          <cell r="J5232" t="str">
            <v xml:space="preserve"> KM 1.5 SIBERIA - COTA  KM  PAR INDUSTRIAL POTRERO CHICO  PAR EM</v>
          </cell>
          <cell r="K5232" t="str">
            <v>25214</v>
          </cell>
          <cell r="L5232" t="str">
            <v>COTA</v>
          </cell>
          <cell r="M5232" t="str">
            <v>8773757</v>
          </cell>
        </row>
        <row r="5233">
          <cell r="A5233">
            <v>900475484</v>
          </cell>
          <cell r="B5233" t="str">
            <v>4</v>
          </cell>
          <cell r="C5233" t="str">
            <v/>
          </cell>
          <cell r="D5233" t="str">
            <v>NJ</v>
          </cell>
          <cell r="E5233" t="str">
            <v/>
          </cell>
          <cell r="F5233" t="str">
            <v/>
          </cell>
          <cell r="G5233" t="str">
            <v>BC HOTELES SA</v>
          </cell>
          <cell r="H5233" t="str">
            <v>RECO</v>
          </cell>
          <cell r="I5233" t="str">
            <v>REGIMEN COMUN</v>
          </cell>
          <cell r="J5233" t="str">
            <v>AV SAN MARTIN BOCAGRANDE CL 6 ESQ</v>
          </cell>
          <cell r="K5233" t="str">
            <v>17001</v>
          </cell>
          <cell r="L5233" t="str">
            <v>MANIZALES</v>
          </cell>
          <cell r="M5233" t="str">
            <v>6658269</v>
          </cell>
        </row>
        <row r="5234">
          <cell r="A5234">
            <v>900475842</v>
          </cell>
          <cell r="B5234" t="str">
            <v>8</v>
          </cell>
          <cell r="C5234" t="str">
            <v/>
          </cell>
          <cell r="D5234" t="str">
            <v>NJ</v>
          </cell>
          <cell r="E5234" t="str">
            <v/>
          </cell>
          <cell r="F5234" t="str">
            <v/>
          </cell>
          <cell r="G5234" t="str">
            <v>INVERSIONES BARING INGENIERIA S. A. S.</v>
          </cell>
          <cell r="H5234" t="str">
            <v>IMVE</v>
          </cell>
          <cell r="I5234" t="str">
            <v>IMPUESTO SOBRE LAS VENTAS</v>
          </cell>
          <cell r="J5234" t="str">
            <v>CR 9 14 18</v>
          </cell>
          <cell r="K5234" t="str">
            <v>15104</v>
          </cell>
          <cell r="L5234" t="str">
            <v>BOYACA</v>
          </cell>
          <cell r="M5234" t="str">
            <v>3134222981</v>
          </cell>
        </row>
        <row r="5235">
          <cell r="A5235">
            <v>900476067</v>
          </cell>
          <cell r="B5235" t="str">
            <v>0</v>
          </cell>
          <cell r="C5235" t="str">
            <v/>
          </cell>
          <cell r="D5235" t="str">
            <v>NJ</v>
          </cell>
          <cell r="E5235" t="str">
            <v/>
          </cell>
          <cell r="F5235" t="str">
            <v/>
          </cell>
          <cell r="G5235" t="str">
            <v>WEIR MINERALS COLOMBIA S.A.S</v>
          </cell>
          <cell r="H5235" t="str">
            <v>RECO</v>
          </cell>
          <cell r="I5235" t="str">
            <v>REGIMEN COMUN</v>
          </cell>
          <cell r="J5235" t="str">
            <v>KM 3 VIA SAJONIA 54 BG LA REGIONAL</v>
          </cell>
          <cell r="K5235" t="str">
            <v>68615</v>
          </cell>
          <cell r="L5235" t="str">
            <v>RIONEGRO</v>
          </cell>
          <cell r="M5235" t="str">
            <v>3174383760</v>
          </cell>
        </row>
        <row r="5236">
          <cell r="A5236">
            <v>900476262</v>
          </cell>
          <cell r="B5236" t="str">
            <v>0</v>
          </cell>
          <cell r="C5236" t="str">
            <v/>
          </cell>
          <cell r="D5236" t="str">
            <v>NJ</v>
          </cell>
          <cell r="E5236" t="str">
            <v/>
          </cell>
          <cell r="F5236" t="str">
            <v/>
          </cell>
          <cell r="G5236" t="str">
            <v>CONSORCIO MULTIOBRAS</v>
          </cell>
          <cell r="H5236" t="str">
            <v>RECO</v>
          </cell>
          <cell r="I5236" t="str">
            <v>REGIMEN COMUN</v>
          </cell>
          <cell r="J5236" t="str">
            <v>CR 4 58 59 OF 301</v>
          </cell>
          <cell r="K5236" t="str">
            <v>11001</v>
          </cell>
          <cell r="L5236" t="str">
            <v>BOGOTA DC</v>
          </cell>
          <cell r="M5236" t="str">
            <v>4801194</v>
          </cell>
        </row>
        <row r="5237">
          <cell r="A5237">
            <v>900477386</v>
          </cell>
          <cell r="B5237" t="str">
            <v>1</v>
          </cell>
          <cell r="C5237" t="str">
            <v/>
          </cell>
          <cell r="D5237" t="str">
            <v>NJ</v>
          </cell>
          <cell r="E5237" t="str">
            <v/>
          </cell>
          <cell r="F5237" t="str">
            <v/>
          </cell>
          <cell r="G5237" t="str">
            <v>TRABAJO SEGURO PASSOMET S.A.S.</v>
          </cell>
          <cell r="H5237" t="str">
            <v>IMVE</v>
          </cell>
          <cell r="I5237" t="str">
            <v>IMPUESTO SOBRE LAS VENTAS</v>
          </cell>
          <cell r="J5237" t="str">
            <v>CR 23 25 32 ED ESPONSION</v>
          </cell>
          <cell r="K5237" t="str">
            <v>17001</v>
          </cell>
          <cell r="L5237" t="str">
            <v>MANIZALES</v>
          </cell>
          <cell r="M5237" t="str">
            <v>3207979539</v>
          </cell>
        </row>
        <row r="5238">
          <cell r="A5238">
            <v>900478069</v>
          </cell>
          <cell r="B5238" t="str">
            <v>4</v>
          </cell>
          <cell r="C5238" t="str">
            <v/>
          </cell>
          <cell r="D5238" t="str">
            <v>NJ</v>
          </cell>
          <cell r="E5238" t="str">
            <v/>
          </cell>
          <cell r="F5238" t="str">
            <v/>
          </cell>
          <cell r="G5238" t="str">
            <v>HOTEL ZAFIRO PLAZA</v>
          </cell>
          <cell r="H5238" t="str">
            <v>RECO</v>
          </cell>
          <cell r="I5238" t="str">
            <v>REGIMEN COMUN</v>
          </cell>
          <cell r="J5238" t="str">
            <v>CR 10 A   26 94</v>
          </cell>
          <cell r="K5238" t="str">
            <v>15001</v>
          </cell>
          <cell r="L5238" t="str">
            <v>TUNJA</v>
          </cell>
          <cell r="M5238" t="str">
            <v>7445068</v>
          </cell>
        </row>
        <row r="5239">
          <cell r="A5239">
            <v>900478239</v>
          </cell>
          <cell r="B5239" t="str">
            <v>1</v>
          </cell>
          <cell r="C5239" t="str">
            <v/>
          </cell>
          <cell r="D5239" t="str">
            <v>NJ</v>
          </cell>
          <cell r="E5239" t="str">
            <v/>
          </cell>
          <cell r="F5239" t="str">
            <v/>
          </cell>
          <cell r="G5239" t="str">
            <v>RAPIROY PARRILLA S.A.S</v>
          </cell>
          <cell r="H5239" t="str">
            <v>RECO</v>
          </cell>
          <cell r="I5239" t="str">
            <v>REGIMEN COMUN</v>
          </cell>
          <cell r="J5239" t="str">
            <v>CL 9   23   61</v>
          </cell>
          <cell r="K5239" t="str">
            <v>85001</v>
          </cell>
          <cell r="L5239" t="str">
            <v>YOPAL</v>
          </cell>
          <cell r="M5239" t="str">
            <v>6353653</v>
          </cell>
        </row>
        <row r="5240">
          <cell r="A5240">
            <v>900479932</v>
          </cell>
          <cell r="B5240" t="str">
            <v>0</v>
          </cell>
          <cell r="C5240" t="str">
            <v/>
          </cell>
          <cell r="D5240" t="str">
            <v>NJ</v>
          </cell>
          <cell r="E5240" t="str">
            <v/>
          </cell>
          <cell r="F5240" t="str">
            <v/>
          </cell>
          <cell r="G5240" t="str">
            <v>EQUICOSTA SAS</v>
          </cell>
          <cell r="H5240" t="str">
            <v>RECO</v>
          </cell>
          <cell r="I5240" t="str">
            <v>REGIMEN COMUN</v>
          </cell>
          <cell r="J5240" t="str">
            <v>CR 51 B 80 58 OF 1105</v>
          </cell>
          <cell r="K5240" t="str">
            <v>08001</v>
          </cell>
          <cell r="L5240" t="str">
            <v>BARRANQUILLA</v>
          </cell>
          <cell r="M5240" t="str">
            <v>3001112</v>
          </cell>
        </row>
        <row r="5241">
          <cell r="A5241">
            <v>900480172</v>
          </cell>
          <cell r="B5241" t="str">
            <v>1</v>
          </cell>
          <cell r="C5241" t="str">
            <v/>
          </cell>
          <cell r="D5241" t="str">
            <v>NJ</v>
          </cell>
          <cell r="E5241" t="str">
            <v/>
          </cell>
          <cell r="F5241" t="str">
            <v/>
          </cell>
          <cell r="G5241" t="str">
            <v>OPERADOR ALIA SAS</v>
          </cell>
          <cell r="H5241" t="str">
            <v>RECO</v>
          </cell>
          <cell r="I5241" t="str">
            <v>REGIMEN COMUN</v>
          </cell>
          <cell r="J5241" t="str">
            <v>CR 2 ESTE 17 26</v>
          </cell>
          <cell r="K5241" t="str">
            <v>25430</v>
          </cell>
          <cell r="L5241" t="str">
            <v>MADRID</v>
          </cell>
          <cell r="M5241" t="str">
            <v>3204073450</v>
          </cell>
        </row>
        <row r="5242">
          <cell r="A5242">
            <v>900480569</v>
          </cell>
          <cell r="B5242" t="str">
            <v>1</v>
          </cell>
          <cell r="C5242" t="str">
            <v/>
          </cell>
          <cell r="D5242" t="str">
            <v>NJ</v>
          </cell>
          <cell r="E5242" t="str">
            <v/>
          </cell>
          <cell r="F5242" t="str">
            <v/>
          </cell>
          <cell r="G5242" t="str">
            <v>JERONIMO MARTINS COLOMBIA SAS</v>
          </cell>
          <cell r="H5242" t="str">
            <v>GRCO</v>
          </cell>
          <cell r="I5242" t="str">
            <v>GRAN CONTRIBUYENTE</v>
          </cell>
          <cell r="J5242" t="str">
            <v>CARRERA 22 NO 24-57</v>
          </cell>
          <cell r="K5242" t="str">
            <v>17001</v>
          </cell>
          <cell r="L5242" t="str">
            <v>MANIZALES</v>
          </cell>
          <cell r="M5242" t="str">
            <v>O578825643</v>
          </cell>
        </row>
        <row r="5243">
          <cell r="A5243">
            <v>900480656</v>
          </cell>
          <cell r="B5243" t="str">
            <v>4</v>
          </cell>
          <cell r="C5243" t="str">
            <v/>
          </cell>
          <cell r="D5243" t="str">
            <v>NJ</v>
          </cell>
          <cell r="E5243" t="str">
            <v/>
          </cell>
          <cell r="F5243" t="str">
            <v/>
          </cell>
          <cell r="G5243" t="str">
            <v>TEK SOLUCIONES TECNOLOGICAS S.A.S</v>
          </cell>
          <cell r="H5243" t="str">
            <v>IMVE</v>
          </cell>
          <cell r="I5243" t="str">
            <v>IMPUESTO SOBRE LAS VENTAS</v>
          </cell>
          <cell r="J5243" t="str">
            <v xml:space="preserve"> AV 30 DE AGOSTO 22 B 47 LC A 10 CC UNIPLAZA</v>
          </cell>
          <cell r="K5243" t="str">
            <v>66001</v>
          </cell>
          <cell r="L5243" t="str">
            <v>PEREIRA</v>
          </cell>
          <cell r="M5243" t="str">
            <v>3201020</v>
          </cell>
        </row>
        <row r="5244">
          <cell r="A5244">
            <v>900480914</v>
          </cell>
          <cell r="B5244" t="str">
            <v>1</v>
          </cell>
          <cell r="C5244" t="str">
            <v/>
          </cell>
          <cell r="D5244" t="str">
            <v>NJ</v>
          </cell>
          <cell r="E5244" t="str">
            <v/>
          </cell>
          <cell r="F5244" t="str">
            <v/>
          </cell>
          <cell r="G5244" t="str">
            <v>UNION TEMPORAL CAMINO DE SEVILLA</v>
          </cell>
          <cell r="H5244" t="str">
            <v>RECO</v>
          </cell>
          <cell r="I5244" t="str">
            <v>REGIMEN COMUN</v>
          </cell>
          <cell r="J5244" t="str">
            <v>CR 44 98 90</v>
          </cell>
          <cell r="K5244" t="str">
            <v>08001</v>
          </cell>
          <cell r="L5244" t="str">
            <v>BARRANQUILLA</v>
          </cell>
          <cell r="M5244" t="str">
            <v>3118268744</v>
          </cell>
        </row>
        <row r="5245">
          <cell r="A5245">
            <v>900480958</v>
          </cell>
          <cell r="B5245" t="str">
            <v>3</v>
          </cell>
          <cell r="C5245" t="str">
            <v/>
          </cell>
          <cell r="D5245" t="str">
            <v>NJ</v>
          </cell>
          <cell r="E5245" t="str">
            <v/>
          </cell>
          <cell r="F5245" t="str">
            <v/>
          </cell>
          <cell r="G5245" t="str">
            <v>CONSORCIO CALDAS ZF</v>
          </cell>
          <cell r="H5245" t="str">
            <v>RECO</v>
          </cell>
          <cell r="I5245" t="str">
            <v>REGIMEN COMUN</v>
          </cell>
          <cell r="J5245" t="str">
            <v>CL 62 23 61 OF 405</v>
          </cell>
          <cell r="K5245" t="str">
            <v>17001</v>
          </cell>
          <cell r="L5245" t="str">
            <v>MANIZALES</v>
          </cell>
          <cell r="M5245" t="str">
            <v>8861455</v>
          </cell>
        </row>
        <row r="5246">
          <cell r="A5246">
            <v>900481068</v>
          </cell>
          <cell r="B5246" t="str">
            <v>8</v>
          </cell>
          <cell r="C5246" t="str">
            <v/>
          </cell>
          <cell r="D5246" t="str">
            <v>NJ</v>
          </cell>
          <cell r="E5246" t="str">
            <v/>
          </cell>
          <cell r="F5246" t="str">
            <v/>
          </cell>
          <cell r="G5246" t="str">
            <v>LEVATOP &amp; CIA SAS</v>
          </cell>
          <cell r="H5246" t="str">
            <v>RECO</v>
          </cell>
          <cell r="I5246" t="str">
            <v>REGIMEN COMUN</v>
          </cell>
          <cell r="J5246" t="str">
            <v>CR 5 7 07</v>
          </cell>
          <cell r="K5246" t="str">
            <v>17495</v>
          </cell>
          <cell r="L5246" t="str">
            <v>NORCASIA</v>
          </cell>
          <cell r="M5246" t="str">
            <v>3137336061</v>
          </cell>
        </row>
        <row r="5247">
          <cell r="A5247">
            <v>900482336</v>
          </cell>
          <cell r="B5247" t="str">
            <v>1</v>
          </cell>
          <cell r="C5247" t="str">
            <v/>
          </cell>
          <cell r="D5247" t="str">
            <v>NJ</v>
          </cell>
          <cell r="E5247" t="str">
            <v/>
          </cell>
          <cell r="F5247" t="str">
            <v/>
          </cell>
          <cell r="G5247" t="str">
            <v>EDIFICIO MIRADOR DE SANTA MARIA SAS</v>
          </cell>
          <cell r="H5247" t="str">
            <v>IMVE</v>
          </cell>
          <cell r="I5247" t="str">
            <v>IMPUESTO SOBRE LAS VENTAS</v>
          </cell>
          <cell r="J5247" t="str">
            <v>CL 65  24 49</v>
          </cell>
          <cell r="K5247" t="str">
            <v>17001</v>
          </cell>
          <cell r="L5247" t="str">
            <v>MANIZALES</v>
          </cell>
          <cell r="M5247" t="str">
            <v>8930320</v>
          </cell>
        </row>
        <row r="5248">
          <cell r="A5248">
            <v>900483339</v>
          </cell>
          <cell r="B5248" t="str">
            <v>8</v>
          </cell>
          <cell r="C5248" t="str">
            <v/>
          </cell>
          <cell r="D5248" t="str">
            <v>NJ</v>
          </cell>
          <cell r="E5248" t="str">
            <v/>
          </cell>
          <cell r="F5248" t="str">
            <v/>
          </cell>
          <cell r="G5248" t="str">
            <v>EMPRESA DE SERVICIOS TEMPORALES PROCESOS Y SERVICIOS INTEGRALES</v>
          </cell>
          <cell r="H5248" t="str">
            <v>IMVE</v>
          </cell>
          <cell r="I5248" t="str">
            <v>IMPUESTO SOBRE LAS VENTAS</v>
          </cell>
          <cell r="J5248" t="str">
            <v>CL 24 N 22 35 IN 102</v>
          </cell>
          <cell r="K5248" t="str">
            <v>15516</v>
          </cell>
          <cell r="L5248" t="str">
            <v>PAIPA</v>
          </cell>
          <cell r="M5248" t="str">
            <v>3144540072</v>
          </cell>
        </row>
        <row r="5249">
          <cell r="A5249">
            <v>900484102</v>
          </cell>
          <cell r="B5249" t="str">
            <v>4</v>
          </cell>
          <cell r="C5249" t="str">
            <v/>
          </cell>
          <cell r="D5249" t="str">
            <v>NJ</v>
          </cell>
          <cell r="E5249" t="str">
            <v/>
          </cell>
          <cell r="F5249" t="str">
            <v/>
          </cell>
          <cell r="G5249" t="str">
            <v>AMS CORP SAS</v>
          </cell>
          <cell r="H5249" t="str">
            <v>IMVE</v>
          </cell>
          <cell r="I5249" t="str">
            <v>IMPUESTO SOBRE LAS VENTAS</v>
          </cell>
          <cell r="J5249" t="str">
            <v>CL 48 A 27 A 27</v>
          </cell>
          <cell r="K5249" t="str">
            <v>17001</v>
          </cell>
          <cell r="L5249" t="str">
            <v>MANIZALES</v>
          </cell>
          <cell r="M5249" t="str">
            <v>3103761500</v>
          </cell>
        </row>
        <row r="5250">
          <cell r="A5250">
            <v>900484227</v>
          </cell>
          <cell r="B5250" t="str">
            <v>6</v>
          </cell>
          <cell r="C5250" t="str">
            <v/>
          </cell>
          <cell r="D5250" t="str">
            <v>NJ</v>
          </cell>
          <cell r="E5250" t="str">
            <v/>
          </cell>
          <cell r="F5250" t="str">
            <v/>
          </cell>
          <cell r="G5250" t="str">
            <v>E SOURCE DE COLOMBIA SAS</v>
          </cell>
          <cell r="H5250" t="str">
            <v>IMVE</v>
          </cell>
          <cell r="I5250" t="str">
            <v>IMPUESTO SOBRE LAS VENTAS</v>
          </cell>
          <cell r="J5250" t="str">
            <v>AK 15 106 32 OF 608</v>
          </cell>
          <cell r="K5250" t="str">
            <v>11001</v>
          </cell>
          <cell r="L5250" t="str">
            <v>BOGOTA DC</v>
          </cell>
          <cell r="M5250" t="str">
            <v>7457585</v>
          </cell>
        </row>
        <row r="5251">
          <cell r="A5251">
            <v>900485241</v>
          </cell>
          <cell r="B5251" t="str">
            <v>4</v>
          </cell>
          <cell r="C5251" t="str">
            <v/>
          </cell>
          <cell r="D5251" t="str">
            <v>NJ</v>
          </cell>
          <cell r="E5251" t="str">
            <v/>
          </cell>
          <cell r="F5251" t="str">
            <v/>
          </cell>
          <cell r="G5251" t="str">
            <v>GRUPO TECNOLOGICO PETROQUIMICO SAS</v>
          </cell>
          <cell r="H5251" t="str">
            <v>RECO</v>
          </cell>
          <cell r="I5251" t="str">
            <v>REGIMEN COMUN</v>
          </cell>
          <cell r="J5251" t="str">
            <v>CR 27 B BIS 66 39 AP 201</v>
          </cell>
          <cell r="K5251" t="str">
            <v>11001</v>
          </cell>
          <cell r="L5251" t="str">
            <v>BOGOTA DC</v>
          </cell>
          <cell r="M5251" t="str">
            <v>3118751097</v>
          </cell>
        </row>
        <row r="5252">
          <cell r="A5252">
            <v>900485402</v>
          </cell>
          <cell r="B5252" t="str">
            <v>3</v>
          </cell>
          <cell r="C5252" t="str">
            <v/>
          </cell>
          <cell r="D5252" t="str">
            <v>NJ</v>
          </cell>
          <cell r="E5252" t="str">
            <v/>
          </cell>
          <cell r="F5252" t="str">
            <v/>
          </cell>
          <cell r="G5252" t="str">
            <v>CONSORCIO INFRAESTRUCTURAS VIALES</v>
          </cell>
          <cell r="H5252" t="str">
            <v>RECO</v>
          </cell>
          <cell r="I5252" t="str">
            <v>REGIMEN COMUN</v>
          </cell>
          <cell r="J5252" t="str">
            <v>CR 49 B 76   75</v>
          </cell>
          <cell r="K5252" t="str">
            <v>17001</v>
          </cell>
          <cell r="L5252" t="str">
            <v>MANIZALES</v>
          </cell>
          <cell r="M5252" t="str">
            <v>3583322</v>
          </cell>
        </row>
        <row r="5253">
          <cell r="A5253">
            <v>900486588</v>
          </cell>
          <cell r="B5253" t="str">
            <v>9</v>
          </cell>
          <cell r="C5253" t="str">
            <v/>
          </cell>
          <cell r="D5253" t="str">
            <v>NJ</v>
          </cell>
          <cell r="E5253" t="str">
            <v/>
          </cell>
          <cell r="F5253" t="str">
            <v/>
          </cell>
          <cell r="G5253" t="str">
            <v>HANGAR PARK S.A.S.</v>
          </cell>
          <cell r="H5253" t="str">
            <v>RECO</v>
          </cell>
          <cell r="I5253" t="str">
            <v>REGIMEN COMUN</v>
          </cell>
          <cell r="J5253" t="str">
            <v>SEC AEROPUERTO HANGAR KM 1 VIA ZONA FRANCA</v>
          </cell>
          <cell r="K5253" t="str">
            <v>76520</v>
          </cell>
          <cell r="L5253" t="str">
            <v>PALMIRA</v>
          </cell>
          <cell r="M5253" t="str">
            <v>2705101</v>
          </cell>
        </row>
        <row r="5254">
          <cell r="A5254">
            <v>900488134</v>
          </cell>
          <cell r="B5254" t="str">
            <v>8</v>
          </cell>
          <cell r="C5254" t="str">
            <v/>
          </cell>
          <cell r="D5254" t="str">
            <v>NJ</v>
          </cell>
          <cell r="E5254" t="str">
            <v/>
          </cell>
          <cell r="F5254" t="str">
            <v/>
          </cell>
          <cell r="G5254" t="str">
            <v>SINDULY SAS</v>
          </cell>
          <cell r="H5254" t="str">
            <v>IMVE</v>
          </cell>
          <cell r="I5254" t="str">
            <v>IMPUESTO SOBRE LAS VENTAS</v>
          </cell>
          <cell r="J5254" t="str">
            <v>ED NORTH POINT CR 7 156  68   TO 3  OF  1103</v>
          </cell>
          <cell r="K5254" t="str">
            <v>11001</v>
          </cell>
          <cell r="L5254" t="str">
            <v>BOGOTA DC</v>
          </cell>
          <cell r="M5254" t="str">
            <v>3153559074</v>
          </cell>
        </row>
        <row r="5255">
          <cell r="A5255">
            <v>900488773</v>
          </cell>
          <cell r="B5255" t="str">
            <v>4</v>
          </cell>
          <cell r="C5255" t="str">
            <v/>
          </cell>
          <cell r="D5255" t="str">
            <v>NJ</v>
          </cell>
          <cell r="E5255" t="str">
            <v/>
          </cell>
          <cell r="F5255" t="str">
            <v/>
          </cell>
          <cell r="G5255" t="str">
            <v>RENDIMAX SAS</v>
          </cell>
          <cell r="H5255" t="str">
            <v>IMVE</v>
          </cell>
          <cell r="I5255" t="str">
            <v>IMPUESTO SOBRE LAS VENTAS</v>
          </cell>
          <cell r="J5255" t="str">
            <v>CR 68 D   25 B   86 OF 903</v>
          </cell>
          <cell r="K5255" t="str">
            <v>11001</v>
          </cell>
          <cell r="L5255" t="str">
            <v>BOGOTA DC</v>
          </cell>
          <cell r="M5255" t="str">
            <v>3000830</v>
          </cell>
        </row>
        <row r="5256">
          <cell r="A5256">
            <v>900489574</v>
          </cell>
          <cell r="B5256" t="str">
            <v>1</v>
          </cell>
          <cell r="C5256" t="str">
            <v/>
          </cell>
          <cell r="D5256" t="str">
            <v>NJ</v>
          </cell>
          <cell r="E5256" t="str">
            <v/>
          </cell>
          <cell r="F5256" t="str">
            <v/>
          </cell>
          <cell r="G5256" t="str">
            <v>MY SEO COMPANY SAS</v>
          </cell>
          <cell r="H5256" t="str">
            <v>RECO</v>
          </cell>
          <cell r="I5256" t="str">
            <v>REGIMEN COMUN</v>
          </cell>
          <cell r="J5256" t="str">
            <v>CR 23 CL 75 47 AP 401 B</v>
          </cell>
          <cell r="K5256" t="str">
            <v>17001</v>
          </cell>
          <cell r="L5256" t="str">
            <v>MANIZALES</v>
          </cell>
          <cell r="M5256" t="str">
            <v>3004410097</v>
          </cell>
        </row>
        <row r="5257">
          <cell r="A5257">
            <v>900490652</v>
          </cell>
          <cell r="B5257" t="str">
            <v>8</v>
          </cell>
          <cell r="C5257" t="str">
            <v/>
          </cell>
          <cell r="D5257" t="str">
            <v>NJ</v>
          </cell>
          <cell r="E5257" t="str">
            <v/>
          </cell>
          <cell r="F5257" t="str">
            <v/>
          </cell>
          <cell r="G5257" t="str">
            <v>SOLUCIONES RADIOCONTROLADAS DE COLOMBIA SAS</v>
          </cell>
          <cell r="H5257" t="str">
            <v>RECO</v>
          </cell>
          <cell r="I5257" t="str">
            <v>REGIMEN COMUN</v>
          </cell>
          <cell r="J5257" t="str">
            <v>CL 98 46 08</v>
          </cell>
          <cell r="K5257" t="str">
            <v>08001</v>
          </cell>
          <cell r="L5257" t="str">
            <v>BARRANQUILLA</v>
          </cell>
          <cell r="M5257" t="str">
            <v>3183527</v>
          </cell>
        </row>
        <row r="5258">
          <cell r="A5258">
            <v>900491066</v>
          </cell>
          <cell r="B5258" t="str">
            <v>6</v>
          </cell>
          <cell r="C5258" t="str">
            <v/>
          </cell>
          <cell r="D5258" t="str">
            <v>NJ</v>
          </cell>
          <cell r="E5258" t="str">
            <v/>
          </cell>
          <cell r="F5258" t="str">
            <v/>
          </cell>
          <cell r="G5258" t="str">
            <v>DICOING M&amp;V S.A.S</v>
          </cell>
          <cell r="H5258" t="str">
            <v>RECO</v>
          </cell>
          <cell r="I5258" t="str">
            <v>REGIMEN COMUN</v>
          </cell>
          <cell r="J5258" t="str">
            <v>CR 38   58   28</v>
          </cell>
          <cell r="K5258" t="str">
            <v>08001</v>
          </cell>
          <cell r="L5258" t="str">
            <v>BARRANQUILLA</v>
          </cell>
          <cell r="M5258" t="str">
            <v>3721421</v>
          </cell>
        </row>
        <row r="5259">
          <cell r="A5259">
            <v>900491330</v>
          </cell>
          <cell r="B5259" t="str">
            <v>6</v>
          </cell>
          <cell r="C5259" t="str">
            <v/>
          </cell>
          <cell r="D5259" t="str">
            <v>NJ</v>
          </cell>
          <cell r="E5259" t="str">
            <v/>
          </cell>
          <cell r="F5259" t="str">
            <v/>
          </cell>
          <cell r="G5259" t="str">
            <v>DRAGONJAR SOLUCIONES Y SEGURIDAD INFORMATICA S.A.S.</v>
          </cell>
          <cell r="H5259" t="str">
            <v>RECO</v>
          </cell>
          <cell r="I5259" t="str">
            <v>REGIMEN COMUN</v>
          </cell>
          <cell r="J5259" t="str">
            <v>CR 23 C 62 06 OF 803 ED FORUM BUSINESS CENTER</v>
          </cell>
          <cell r="K5259" t="str">
            <v>17873</v>
          </cell>
          <cell r="L5259" t="str">
            <v>VILLAMARÍA</v>
          </cell>
          <cell r="M5259" t="str">
            <v>3046768721</v>
          </cell>
        </row>
        <row r="5260">
          <cell r="A5260">
            <v>900491816</v>
          </cell>
          <cell r="B5260" t="str">
            <v>3</v>
          </cell>
          <cell r="C5260" t="str">
            <v/>
          </cell>
          <cell r="D5260" t="str">
            <v>NJ</v>
          </cell>
          <cell r="E5260" t="str">
            <v/>
          </cell>
          <cell r="F5260" t="str">
            <v/>
          </cell>
          <cell r="G5260" t="str">
            <v>GRUPO LUTEC SAS</v>
          </cell>
          <cell r="H5260" t="str">
            <v>IMVE</v>
          </cell>
          <cell r="I5260" t="str">
            <v>IMPUESTO SOBRE LAS VENTAS</v>
          </cell>
          <cell r="J5260" t="str">
            <v>CR 19 70 A 33</v>
          </cell>
          <cell r="K5260" t="str">
            <v>11001</v>
          </cell>
          <cell r="L5260" t="str">
            <v>BOGOTA DC</v>
          </cell>
          <cell r="M5260" t="str">
            <v>6067033</v>
          </cell>
        </row>
        <row r="5261">
          <cell r="A5261">
            <v>900491889</v>
          </cell>
          <cell r="B5261" t="str">
            <v>0</v>
          </cell>
          <cell r="C5261" t="str">
            <v/>
          </cell>
          <cell r="D5261" t="str">
            <v>NJ</v>
          </cell>
          <cell r="E5261" t="str">
            <v/>
          </cell>
          <cell r="F5261" t="str">
            <v/>
          </cell>
          <cell r="G5261" t="str">
            <v>OPESE SAS</v>
          </cell>
          <cell r="H5261" t="str">
            <v>RECO</v>
          </cell>
          <cell r="I5261" t="str">
            <v>REGIMEN COMUN</v>
          </cell>
          <cell r="J5261" t="str">
            <v>AV BOYACA   77 A   51</v>
          </cell>
          <cell r="K5261" t="str">
            <v>11001</v>
          </cell>
          <cell r="L5261" t="str">
            <v>BOGOTA DC</v>
          </cell>
          <cell r="M5261" t="str">
            <v>4308194</v>
          </cell>
        </row>
        <row r="5262">
          <cell r="A5262">
            <v>900492151</v>
          </cell>
          <cell r="B5262" t="str">
            <v>9</v>
          </cell>
          <cell r="C5262" t="str">
            <v/>
          </cell>
          <cell r="D5262" t="str">
            <v>NJ</v>
          </cell>
          <cell r="E5262" t="str">
            <v/>
          </cell>
          <cell r="F5262" t="str">
            <v/>
          </cell>
          <cell r="G5262" t="str">
            <v>INSAK SAS</v>
          </cell>
          <cell r="H5262" t="str">
            <v>IMVE</v>
          </cell>
          <cell r="I5262" t="str">
            <v>IMPUESTO SOBRE LAS VENTAS</v>
          </cell>
          <cell r="J5262" t="str">
            <v>CL 25 D 74 59 BRR MODELIA</v>
          </cell>
          <cell r="K5262" t="str">
            <v>11001</v>
          </cell>
          <cell r="L5262" t="str">
            <v>BOGOTA DC</v>
          </cell>
          <cell r="M5262" t="str">
            <v>3202492223</v>
          </cell>
        </row>
        <row r="5263">
          <cell r="A5263">
            <v>900492960</v>
          </cell>
          <cell r="B5263" t="str">
            <v>0</v>
          </cell>
          <cell r="C5263" t="str">
            <v/>
          </cell>
          <cell r="D5263" t="str">
            <v>NJ</v>
          </cell>
          <cell r="E5263" t="str">
            <v/>
          </cell>
          <cell r="F5263" t="str">
            <v/>
          </cell>
          <cell r="G5263" t="str">
            <v>GESTION Y MEDIOAMBIENTE S.A.S.</v>
          </cell>
          <cell r="H5263" t="str">
            <v>IMVE</v>
          </cell>
          <cell r="I5263" t="str">
            <v>IMPUESTO SOBRE LAS VENTAS</v>
          </cell>
          <cell r="J5263" t="str">
            <v>CR 28 D 71  12</v>
          </cell>
          <cell r="K5263" t="str">
            <v>17001</v>
          </cell>
          <cell r="L5263" t="str">
            <v>MANIZALES</v>
          </cell>
          <cell r="M5263" t="str">
            <v>31838598066</v>
          </cell>
        </row>
        <row r="5264">
          <cell r="A5264">
            <v>900493706</v>
          </cell>
          <cell r="B5264" t="str">
            <v>0</v>
          </cell>
          <cell r="C5264" t="str">
            <v/>
          </cell>
          <cell r="D5264" t="str">
            <v>NJ</v>
          </cell>
          <cell r="E5264" t="str">
            <v/>
          </cell>
          <cell r="F5264" t="str">
            <v/>
          </cell>
          <cell r="G5264" t="str">
            <v>MASMEDIOS PRODUCCIONES SAS</v>
          </cell>
          <cell r="H5264" t="str">
            <v>IMVE</v>
          </cell>
          <cell r="I5264" t="str">
            <v>IMPUESTO SOBRE LAS VENTAS</v>
          </cell>
          <cell r="J5264" t="str">
            <v>CL 23 CR 21 41 OF 1304</v>
          </cell>
          <cell r="K5264" t="str">
            <v>17001</v>
          </cell>
          <cell r="L5264" t="str">
            <v>MANIZALES</v>
          </cell>
          <cell r="M5264" t="str">
            <v>8809092</v>
          </cell>
        </row>
        <row r="5265">
          <cell r="A5265">
            <v>900495257</v>
          </cell>
          <cell r="B5265" t="str">
            <v>4</v>
          </cell>
          <cell r="C5265" t="str">
            <v/>
          </cell>
          <cell r="D5265" t="str">
            <v>NJ</v>
          </cell>
          <cell r="E5265" t="str">
            <v/>
          </cell>
          <cell r="F5265" t="str">
            <v/>
          </cell>
          <cell r="G5265" t="str">
            <v>PLAGAX S.A.S</v>
          </cell>
          <cell r="H5265" t="str">
            <v>RECO</v>
          </cell>
          <cell r="I5265" t="str">
            <v>REGIMEN COMUN</v>
          </cell>
          <cell r="J5265" t="str">
            <v>CL 65 D  40 04</v>
          </cell>
          <cell r="K5265" t="str">
            <v>17001</v>
          </cell>
          <cell r="L5265" t="str">
            <v>MANIZALES</v>
          </cell>
          <cell r="M5265" t="str">
            <v>8784020</v>
          </cell>
        </row>
        <row r="5266">
          <cell r="A5266">
            <v>900496013</v>
          </cell>
          <cell r="B5266" t="str">
            <v>9</v>
          </cell>
          <cell r="C5266" t="str">
            <v/>
          </cell>
          <cell r="D5266" t="str">
            <v>NJ</v>
          </cell>
          <cell r="E5266" t="str">
            <v/>
          </cell>
          <cell r="F5266" t="str">
            <v/>
          </cell>
          <cell r="G5266" t="str">
            <v>CORBAN COMPUTADORES SAS</v>
          </cell>
          <cell r="H5266" t="str">
            <v>RECO</v>
          </cell>
          <cell r="I5266" t="str">
            <v>REGIMEN COMUN</v>
          </cell>
          <cell r="J5266" t="str">
            <v>CL 70 D 107 A 31</v>
          </cell>
          <cell r="K5266" t="str">
            <v>11001</v>
          </cell>
          <cell r="L5266" t="str">
            <v>BOGOTA DC</v>
          </cell>
          <cell r="M5266" t="str">
            <v>7048741</v>
          </cell>
        </row>
        <row r="5267">
          <cell r="A5267">
            <v>900496865</v>
          </cell>
          <cell r="B5267" t="str">
            <v>7</v>
          </cell>
          <cell r="C5267" t="str">
            <v/>
          </cell>
          <cell r="D5267" t="str">
            <v>NJ</v>
          </cell>
          <cell r="E5267" t="str">
            <v/>
          </cell>
          <cell r="F5267" t="str">
            <v/>
          </cell>
          <cell r="G5267" t="str">
            <v>COMERCIALIZADORA DE RESIDUOS LA FE SOCIEDAD POR ACCIONES SIMPLIF</v>
          </cell>
          <cell r="H5267" t="str">
            <v>IMVE</v>
          </cell>
          <cell r="I5267" t="str">
            <v>IMPUESTO SOBRE LAS VENTAS</v>
          </cell>
          <cell r="J5267" t="str">
            <v>CR 28  9 28</v>
          </cell>
          <cell r="K5267" t="str">
            <v>15238</v>
          </cell>
          <cell r="L5267" t="str">
            <v>DUITAMA</v>
          </cell>
          <cell r="M5267" t="str">
            <v>3142159494</v>
          </cell>
        </row>
        <row r="5268">
          <cell r="A5268">
            <v>900497011</v>
          </cell>
          <cell r="B5268" t="str">
            <v>9</v>
          </cell>
          <cell r="C5268" t="str">
            <v/>
          </cell>
          <cell r="D5268" t="str">
            <v>NJ</v>
          </cell>
          <cell r="E5268" t="str">
            <v/>
          </cell>
          <cell r="F5268" t="str">
            <v/>
          </cell>
          <cell r="G5268" t="str">
            <v>NEGOCIOS INTERNACIONALES &amp; COMERCIO EXTERIOR J ALZA SAS</v>
          </cell>
          <cell r="H5268" t="str">
            <v>IMVE</v>
          </cell>
          <cell r="I5268" t="str">
            <v>IMPUESTO SOBRE LAS VENTAS</v>
          </cell>
          <cell r="J5268" t="str">
            <v>CL 25 C BIS 99 13</v>
          </cell>
          <cell r="K5268" t="str">
            <v>11001</v>
          </cell>
          <cell r="L5268" t="str">
            <v>BOGOTA DC</v>
          </cell>
          <cell r="M5268" t="str">
            <v>4673601</v>
          </cell>
        </row>
        <row r="5269">
          <cell r="A5269">
            <v>900499252</v>
          </cell>
          <cell r="B5269" t="str">
            <v>6</v>
          </cell>
          <cell r="C5269" t="str">
            <v/>
          </cell>
          <cell r="D5269" t="str">
            <v>NJ</v>
          </cell>
          <cell r="E5269" t="str">
            <v/>
          </cell>
          <cell r="F5269" t="str">
            <v/>
          </cell>
          <cell r="G5269" t="str">
            <v>ECOMMERCIAL SAS ESP</v>
          </cell>
          <cell r="H5269" t="str">
            <v>IMVE</v>
          </cell>
          <cell r="I5269" t="str">
            <v>IMPUESTO SOBRE LAS VENTAS</v>
          </cell>
          <cell r="J5269" t="str">
            <v>CR 100 N° 5-169 OF 509 ED OASIS</v>
          </cell>
          <cell r="K5269" t="str">
            <v>76001</v>
          </cell>
          <cell r="L5269" t="str">
            <v>CALI</v>
          </cell>
          <cell r="M5269" t="str">
            <v>4868406</v>
          </cell>
        </row>
        <row r="5270">
          <cell r="A5270">
            <v>900499816</v>
          </cell>
          <cell r="B5270" t="str">
            <v>1</v>
          </cell>
          <cell r="C5270" t="str">
            <v/>
          </cell>
          <cell r="D5270" t="str">
            <v>NJ</v>
          </cell>
          <cell r="E5270" t="str">
            <v/>
          </cell>
          <cell r="F5270" t="str">
            <v/>
          </cell>
          <cell r="G5270" t="str">
            <v>POWER &amp; LIGHTING SYSTEM S.A.S.</v>
          </cell>
          <cell r="H5270" t="str">
            <v>IMVE</v>
          </cell>
          <cell r="I5270" t="str">
            <v>IMPUESTO SOBRE LAS VENTAS</v>
          </cell>
          <cell r="J5270" t="str">
            <v>AUT MEDELLIN COST SUR TER TERRESTRE DE CARGA KM 3 OF C 6 P 2</v>
          </cell>
          <cell r="K5270" t="str">
            <v>25214</v>
          </cell>
          <cell r="L5270" t="str">
            <v>COTA</v>
          </cell>
          <cell r="M5270" t="str">
            <v>8415770</v>
          </cell>
        </row>
        <row r="5271">
          <cell r="A5271">
            <v>900500018</v>
          </cell>
          <cell r="B5271" t="str">
            <v>2</v>
          </cell>
          <cell r="C5271" t="str">
            <v>923272460</v>
          </cell>
          <cell r="D5271" t="str">
            <v>NJ</v>
          </cell>
          <cell r="E5271" t="str">
            <v/>
          </cell>
          <cell r="F5271" t="str">
            <v/>
          </cell>
          <cell r="G5271" t="str">
            <v>AGENCIA NACIONAL DE MINERIA</v>
          </cell>
          <cell r="H5271" t="str">
            <v>GRCO</v>
          </cell>
          <cell r="I5271" t="str">
            <v>GRAN CONTRIBUYENTE</v>
          </cell>
          <cell r="J5271" t="str">
            <v>DIAGONAL 53 Nº 34 - 53</v>
          </cell>
          <cell r="K5271" t="str">
            <v>17001</v>
          </cell>
          <cell r="L5271" t="str">
            <v>MANIZALES</v>
          </cell>
          <cell r="M5271" t="str">
            <v>22002100</v>
          </cell>
        </row>
        <row r="5272">
          <cell r="A5272">
            <v>900500364</v>
          </cell>
          <cell r="B5272" t="str">
            <v>6</v>
          </cell>
          <cell r="C5272" t="str">
            <v/>
          </cell>
          <cell r="D5272" t="str">
            <v>NJ</v>
          </cell>
          <cell r="E5272" t="str">
            <v/>
          </cell>
          <cell r="F5272" t="str">
            <v/>
          </cell>
          <cell r="G5272" t="str">
            <v>INVERSIONES Y CARBONES SAJUGA SAS</v>
          </cell>
          <cell r="H5272" t="str">
            <v>RESI</v>
          </cell>
          <cell r="I5272" t="str">
            <v>REGIMEN SIMPLIFICADO</v>
          </cell>
          <cell r="J5272" t="str">
            <v>CR 2 N 2 08 IN 1 MZ G C 19</v>
          </cell>
          <cell r="K5272" t="str">
            <v>27099</v>
          </cell>
          <cell r="L5272" t="str">
            <v>BOJAYA</v>
          </cell>
          <cell r="M5272" t="str">
            <v>3102489796</v>
          </cell>
        </row>
        <row r="5273">
          <cell r="A5273">
            <v>900500540</v>
          </cell>
          <cell r="B5273" t="str">
            <v>6</v>
          </cell>
          <cell r="C5273" t="str">
            <v/>
          </cell>
          <cell r="D5273" t="str">
            <v>NJ</v>
          </cell>
          <cell r="E5273" t="str">
            <v/>
          </cell>
          <cell r="F5273" t="str">
            <v/>
          </cell>
          <cell r="G5273" t="str">
            <v>CARBONES INDUSTRIALES GRANULADOS S.A.S</v>
          </cell>
          <cell r="H5273" t="str">
            <v>REOR</v>
          </cell>
          <cell r="I5273" t="str">
            <v>RENTA REGIMEN ORDINARIO</v>
          </cell>
          <cell r="J5273" t="str">
            <v>CR 12 12 23 LC 6</v>
          </cell>
          <cell r="K5273" t="str">
            <v>15759</v>
          </cell>
          <cell r="L5273" t="str">
            <v>SOGAMOSO</v>
          </cell>
          <cell r="M5273" t="str">
            <v>3134224692</v>
          </cell>
        </row>
        <row r="5274">
          <cell r="A5274">
            <v>900501198</v>
          </cell>
          <cell r="B5274" t="str">
            <v>4</v>
          </cell>
          <cell r="C5274" t="str">
            <v/>
          </cell>
          <cell r="D5274" t="str">
            <v>NJ</v>
          </cell>
          <cell r="E5274" t="str">
            <v/>
          </cell>
          <cell r="F5274" t="str">
            <v/>
          </cell>
          <cell r="G5274" t="str">
            <v>SUBWAY BIENMESABE SAS</v>
          </cell>
          <cell r="H5274" t="str">
            <v>RECO</v>
          </cell>
          <cell r="I5274" t="str">
            <v>REGIMEN COMUN</v>
          </cell>
          <cell r="J5274" t="str">
            <v>AV DORADO   68 C   61 LC 1   22</v>
          </cell>
          <cell r="K5274" t="str">
            <v>11001</v>
          </cell>
          <cell r="L5274" t="str">
            <v>BOGOTA DC</v>
          </cell>
          <cell r="M5274" t="str">
            <v>4275002</v>
          </cell>
        </row>
        <row r="5275">
          <cell r="A5275">
            <v>900501591</v>
          </cell>
          <cell r="B5275" t="str">
            <v>6</v>
          </cell>
          <cell r="C5275" t="str">
            <v/>
          </cell>
          <cell r="D5275" t="str">
            <v>NJ</v>
          </cell>
          <cell r="E5275" t="str">
            <v/>
          </cell>
          <cell r="F5275" t="str">
            <v/>
          </cell>
          <cell r="G5275" t="str">
            <v>UNION TEMPORAL CABLE AEREO</v>
          </cell>
          <cell r="H5275" t="str">
            <v>RECO</v>
          </cell>
          <cell r="I5275" t="str">
            <v>REGIMEN COMUN</v>
          </cell>
          <cell r="J5275" t="str">
            <v>ED PORTAL DEL CABLE OF 1305 CL 64 A 21 50 TO EMPRESARIAL</v>
          </cell>
          <cell r="K5275" t="str">
            <v>17001</v>
          </cell>
          <cell r="L5275" t="str">
            <v>MANIZALES</v>
          </cell>
          <cell r="M5275" t="str">
            <v>8895117</v>
          </cell>
        </row>
        <row r="5276">
          <cell r="A5276">
            <v>900502857</v>
          </cell>
          <cell r="B5276" t="str">
            <v>4</v>
          </cell>
          <cell r="C5276" t="str">
            <v/>
          </cell>
          <cell r="D5276" t="str">
            <v>NJ</v>
          </cell>
          <cell r="E5276" t="str">
            <v/>
          </cell>
          <cell r="F5276" t="str">
            <v/>
          </cell>
          <cell r="G5276" t="str">
            <v>INVERSIONES YUBARTA  MERLUZA S.A.S.</v>
          </cell>
          <cell r="H5276" t="str">
            <v>RECO</v>
          </cell>
          <cell r="I5276" t="str">
            <v>REGIMEN COMUN</v>
          </cell>
          <cell r="J5276" t="str">
            <v>BRR FILLO CASTRO</v>
          </cell>
          <cell r="K5276" t="str">
            <v>27075</v>
          </cell>
          <cell r="L5276" t="str">
            <v>BAHÍA SOLANO</v>
          </cell>
          <cell r="M5276" t="str">
            <v>6827455</v>
          </cell>
        </row>
        <row r="5277">
          <cell r="A5277">
            <v>900502897</v>
          </cell>
          <cell r="B5277" t="str">
            <v>9</v>
          </cell>
          <cell r="C5277" t="str">
            <v/>
          </cell>
          <cell r="D5277" t="str">
            <v>NJ</v>
          </cell>
          <cell r="E5277" t="str">
            <v/>
          </cell>
          <cell r="F5277" t="str">
            <v/>
          </cell>
          <cell r="G5277" t="str">
            <v>INDUSTRIAS CTS SAS</v>
          </cell>
          <cell r="H5277" t="str">
            <v>RECO</v>
          </cell>
          <cell r="I5277" t="str">
            <v>REGIMEN COMUN</v>
          </cell>
          <cell r="J5277" t="str">
            <v>CL 8 19 40</v>
          </cell>
          <cell r="K5277" t="str">
            <v>68001</v>
          </cell>
          <cell r="L5277" t="str">
            <v>BUCARAMANGA</v>
          </cell>
          <cell r="M5277" t="str">
            <v>6714848</v>
          </cell>
        </row>
        <row r="5278">
          <cell r="A5278">
            <v>900503614</v>
          </cell>
          <cell r="B5278" t="str">
            <v>6</v>
          </cell>
          <cell r="C5278" t="str">
            <v/>
          </cell>
          <cell r="D5278" t="str">
            <v>NJ</v>
          </cell>
          <cell r="E5278" t="str">
            <v/>
          </cell>
          <cell r="F5278" t="str">
            <v/>
          </cell>
          <cell r="G5278" t="str">
            <v>FTC INGENIERIA S.A.S</v>
          </cell>
          <cell r="H5278" t="str">
            <v>IMVE</v>
          </cell>
          <cell r="I5278" t="str">
            <v>IMPUESTO SOBRE LAS VENTAS</v>
          </cell>
          <cell r="J5278" t="str">
            <v>CL 22 CR 22 26 OF 609</v>
          </cell>
          <cell r="K5278" t="str">
            <v>17001</v>
          </cell>
          <cell r="L5278" t="str">
            <v>MANIZALES</v>
          </cell>
          <cell r="M5278" t="str">
            <v>8722556</v>
          </cell>
        </row>
        <row r="5279">
          <cell r="A5279">
            <v>900504241</v>
          </cell>
          <cell r="B5279" t="str">
            <v>7</v>
          </cell>
          <cell r="C5279" t="str">
            <v/>
          </cell>
          <cell r="D5279" t="str">
            <v>NJ</v>
          </cell>
          <cell r="E5279" t="str">
            <v/>
          </cell>
          <cell r="F5279" t="str">
            <v/>
          </cell>
          <cell r="G5279" t="str">
            <v>CAMARCA SAS</v>
          </cell>
          <cell r="H5279" t="str">
            <v>IMVE</v>
          </cell>
          <cell r="I5279" t="str">
            <v>IMPUESTO SOBRE LAS VENTAS</v>
          </cell>
          <cell r="J5279" t="str">
            <v>CR 55 A 76 33</v>
          </cell>
          <cell r="K5279" t="str">
            <v>11001</v>
          </cell>
          <cell r="L5279" t="str">
            <v>BOGOTA DC</v>
          </cell>
          <cell r="M5279" t="str">
            <v>3153990699</v>
          </cell>
        </row>
        <row r="5280">
          <cell r="A5280">
            <v>900504404</v>
          </cell>
          <cell r="B5280" t="str">
            <v>0</v>
          </cell>
          <cell r="C5280" t="str">
            <v/>
          </cell>
          <cell r="D5280" t="str">
            <v>NJ</v>
          </cell>
          <cell r="E5280" t="str">
            <v/>
          </cell>
          <cell r="F5280" t="str">
            <v/>
          </cell>
          <cell r="G5280" t="str">
            <v>CMJ INVERSIONES S.A.S</v>
          </cell>
          <cell r="H5280" t="str">
            <v>RECO</v>
          </cell>
          <cell r="I5280" t="str">
            <v>REGIMEN COMUN</v>
          </cell>
          <cell r="J5280" t="str">
            <v>AV ESPERANZA 43 A 11</v>
          </cell>
          <cell r="K5280" t="str">
            <v>11001</v>
          </cell>
          <cell r="L5280" t="str">
            <v>BOGOTA DC</v>
          </cell>
          <cell r="M5280" t="str">
            <v>2926818</v>
          </cell>
        </row>
        <row r="5281">
          <cell r="A5281">
            <v>900505512</v>
          </cell>
          <cell r="B5281" t="str">
            <v>2</v>
          </cell>
          <cell r="C5281" t="str">
            <v/>
          </cell>
          <cell r="D5281" t="str">
            <v>NJ</v>
          </cell>
          <cell r="E5281" t="str">
            <v/>
          </cell>
          <cell r="F5281" t="str">
            <v/>
          </cell>
          <cell r="G5281" t="str">
            <v>DIPLOMAT EMBAJADA</v>
          </cell>
          <cell r="H5281" t="str">
            <v>RECO</v>
          </cell>
          <cell r="I5281" t="str">
            <v>REGIMEN COMUN</v>
          </cell>
          <cell r="J5281" t="str">
            <v>AC 24   51   40</v>
          </cell>
          <cell r="K5281" t="str">
            <v>11001</v>
          </cell>
          <cell r="L5281" t="str">
            <v>BOGOTA DC</v>
          </cell>
          <cell r="M5281" t="str">
            <v>6324400</v>
          </cell>
        </row>
        <row r="5282">
          <cell r="A5282">
            <v>900506390</v>
          </cell>
          <cell r="B5282" t="str">
            <v>5</v>
          </cell>
          <cell r="C5282" t="str">
            <v/>
          </cell>
          <cell r="D5282" t="str">
            <v>NJ</v>
          </cell>
          <cell r="E5282" t="str">
            <v/>
          </cell>
          <cell r="F5282" t="str">
            <v/>
          </cell>
          <cell r="G5282" t="str">
            <v xml:space="preserve">CONSORCIO ZONA FRANCA ANDINA PQ2012					</v>
          </cell>
          <cell r="H5282" t="str">
            <v>RECO</v>
          </cell>
          <cell r="I5282" t="str">
            <v>REGIMEN COMUN</v>
          </cell>
          <cell r="J5282" t="str">
            <v>CL 67   28 B 36 OF 202</v>
          </cell>
          <cell r="K5282" t="str">
            <v>17001</v>
          </cell>
          <cell r="L5282" t="str">
            <v>MANIZALES</v>
          </cell>
          <cell r="M5282" t="str">
            <v>8875818</v>
          </cell>
        </row>
        <row r="5283">
          <cell r="A5283">
            <v>900506443</v>
          </cell>
          <cell r="B5283" t="str">
            <v>7</v>
          </cell>
          <cell r="C5283" t="str">
            <v/>
          </cell>
          <cell r="D5283" t="str">
            <v>NJ</v>
          </cell>
          <cell r="E5283" t="str">
            <v/>
          </cell>
          <cell r="F5283" t="str">
            <v/>
          </cell>
          <cell r="G5283" t="str">
            <v>EMISA TRADING SAS</v>
          </cell>
          <cell r="H5283" t="str">
            <v>IMVE</v>
          </cell>
          <cell r="I5283" t="str">
            <v>IMPUESTO SOBRE LAS VENTAS</v>
          </cell>
          <cell r="J5283" t="str">
            <v>CR 27 A 78 58</v>
          </cell>
          <cell r="K5283" t="str">
            <v>11001</v>
          </cell>
          <cell r="L5283" t="str">
            <v>BOGOTA DC</v>
          </cell>
          <cell r="M5283" t="str">
            <v>3110200</v>
          </cell>
        </row>
        <row r="5284">
          <cell r="A5284">
            <v>900506459</v>
          </cell>
          <cell r="B5284" t="str">
            <v>4</v>
          </cell>
          <cell r="C5284" t="str">
            <v/>
          </cell>
          <cell r="D5284" t="str">
            <v>NJ</v>
          </cell>
          <cell r="E5284" t="str">
            <v/>
          </cell>
          <cell r="F5284" t="str">
            <v/>
          </cell>
          <cell r="G5284" t="str">
            <v>CONSORCIO GUAMAL COYARÉ</v>
          </cell>
          <cell r="H5284" t="str">
            <v>RECO</v>
          </cell>
          <cell r="I5284" t="str">
            <v>REGIMEN COMUN</v>
          </cell>
          <cell r="J5284" t="str">
            <v>CR 44 A 6 A 42</v>
          </cell>
          <cell r="K5284" t="str">
            <v>52001</v>
          </cell>
          <cell r="L5284" t="str">
            <v xml:space="preserve">PASTO	</v>
          </cell>
          <cell r="M5284" t="str">
            <v>7335099</v>
          </cell>
        </row>
        <row r="5285">
          <cell r="A5285">
            <v>900508393</v>
          </cell>
          <cell r="B5285" t="str">
            <v>6</v>
          </cell>
          <cell r="C5285" t="str">
            <v/>
          </cell>
          <cell r="D5285" t="str">
            <v>NJ</v>
          </cell>
          <cell r="E5285" t="str">
            <v/>
          </cell>
          <cell r="F5285" t="str">
            <v/>
          </cell>
          <cell r="G5285" t="str">
            <v>CIVILCO GROUP S.A.S</v>
          </cell>
          <cell r="H5285" t="str">
            <v>RECO</v>
          </cell>
          <cell r="I5285" t="str">
            <v>REGIMEN COMUN</v>
          </cell>
          <cell r="J5285" t="str">
            <v>CL 60   64 B   33</v>
          </cell>
          <cell r="K5285" t="str">
            <v>08001</v>
          </cell>
          <cell r="L5285" t="str">
            <v>BARRANQUILLA</v>
          </cell>
          <cell r="M5285" t="str">
            <v>3705758</v>
          </cell>
        </row>
        <row r="5286">
          <cell r="A5286">
            <v>900508843</v>
          </cell>
          <cell r="B5286" t="str">
            <v>9</v>
          </cell>
          <cell r="C5286" t="str">
            <v/>
          </cell>
          <cell r="D5286" t="str">
            <v>NJ</v>
          </cell>
          <cell r="E5286" t="str">
            <v/>
          </cell>
          <cell r="F5286" t="str">
            <v/>
          </cell>
          <cell r="G5286" t="str">
            <v>ALEJANDRO OROZCO CONSTRUCCIONES S.A.S</v>
          </cell>
          <cell r="H5286" t="str">
            <v>IMVE</v>
          </cell>
          <cell r="I5286" t="str">
            <v>IMPUESTO SOBRE LAS VENTAS</v>
          </cell>
          <cell r="J5286" t="str">
            <v xml:space="preserve"> CL 66 N 27 13</v>
          </cell>
          <cell r="K5286" t="str">
            <v>17001</v>
          </cell>
          <cell r="L5286" t="str">
            <v>MANIZALES</v>
          </cell>
          <cell r="M5286" t="str">
            <v>8870800</v>
          </cell>
        </row>
        <row r="5287">
          <cell r="A5287">
            <v>900509776</v>
          </cell>
          <cell r="B5287" t="str">
            <v>8</v>
          </cell>
          <cell r="C5287" t="str">
            <v/>
          </cell>
          <cell r="D5287" t="str">
            <v>NJ</v>
          </cell>
          <cell r="E5287" t="str">
            <v/>
          </cell>
          <cell r="F5287" t="str">
            <v/>
          </cell>
          <cell r="G5287" t="str">
            <v>MINERALES RINCON S.A.S</v>
          </cell>
          <cell r="H5287" t="str">
            <v>REOR</v>
          </cell>
          <cell r="I5287" t="str">
            <v>RENTA REGIMEN ORDINARIO</v>
          </cell>
          <cell r="J5287" t="str">
            <v>CR 16  8  30</v>
          </cell>
          <cell r="K5287" t="str">
            <v>15759</v>
          </cell>
          <cell r="L5287" t="str">
            <v>SOGAMOSO</v>
          </cell>
          <cell r="M5287" t="str">
            <v>3115615680</v>
          </cell>
        </row>
        <row r="5288">
          <cell r="A5288">
            <v>900510073</v>
          </cell>
          <cell r="B5288" t="str">
            <v>0</v>
          </cell>
          <cell r="C5288" t="str">
            <v/>
          </cell>
          <cell r="D5288" t="str">
            <v>NJ</v>
          </cell>
          <cell r="E5288" t="str">
            <v/>
          </cell>
          <cell r="F5288" t="str">
            <v/>
          </cell>
          <cell r="G5288" t="str">
            <v>LA CENTRAL DEL TRANSPORTE HD S.A.S</v>
          </cell>
          <cell r="H5288" t="str">
            <v>REOR</v>
          </cell>
          <cell r="I5288" t="str">
            <v>RENTA REGIMEN ORDINARIO</v>
          </cell>
          <cell r="J5288" t="str">
            <v>CR 15 CL 11 A Y 12</v>
          </cell>
          <cell r="K5288" t="str">
            <v>17380</v>
          </cell>
          <cell r="L5288" t="str">
            <v>LA DORADA</v>
          </cell>
          <cell r="M5288" t="str">
            <v>3146895447</v>
          </cell>
        </row>
        <row r="5289">
          <cell r="A5289">
            <v>900510087</v>
          </cell>
          <cell r="B5289" t="str">
            <v>3</v>
          </cell>
          <cell r="C5289" t="str">
            <v/>
          </cell>
          <cell r="D5289" t="str">
            <v>NJ</v>
          </cell>
          <cell r="E5289" t="str">
            <v/>
          </cell>
          <cell r="F5289" t="str">
            <v/>
          </cell>
          <cell r="G5289" t="str">
            <v>JP REDES SOLAR INGENIERIA SAS</v>
          </cell>
          <cell r="H5289" t="str">
            <v>IMVE</v>
          </cell>
          <cell r="I5289" t="str">
            <v>IMPUESTO SOBRE LAS VENTAS</v>
          </cell>
          <cell r="J5289" t="str">
            <v xml:space="preserve"> CL 168 8 G 61 TO 10 IN 10 AP 404</v>
          </cell>
          <cell r="K5289" t="str">
            <v>11001</v>
          </cell>
          <cell r="L5289" t="str">
            <v>BOGOTA DC</v>
          </cell>
          <cell r="M5289" t="str">
            <v>8900449</v>
          </cell>
        </row>
        <row r="5290">
          <cell r="A5290">
            <v>900510473</v>
          </cell>
          <cell r="B5290" t="str">
            <v>3</v>
          </cell>
          <cell r="C5290" t="str">
            <v/>
          </cell>
          <cell r="D5290" t="str">
            <v>NJ</v>
          </cell>
          <cell r="E5290" t="str">
            <v/>
          </cell>
          <cell r="F5290" t="str">
            <v/>
          </cell>
          <cell r="G5290" t="str">
            <v>INNOVA GROUP SAS</v>
          </cell>
          <cell r="H5290" t="str">
            <v>IMVE</v>
          </cell>
          <cell r="I5290" t="str">
            <v>IMPUESTO SOBRE LAS VENTAS</v>
          </cell>
          <cell r="J5290" t="str">
            <v>CR 42  9  39</v>
          </cell>
          <cell r="K5290" t="str">
            <v>15238</v>
          </cell>
          <cell r="L5290" t="str">
            <v>DUITAMA</v>
          </cell>
          <cell r="M5290" t="str">
            <v>3138939720</v>
          </cell>
        </row>
        <row r="5291">
          <cell r="A5291">
            <v>900511031</v>
          </cell>
          <cell r="B5291" t="str">
            <v>6</v>
          </cell>
          <cell r="C5291" t="str">
            <v/>
          </cell>
          <cell r="D5291" t="str">
            <v>NJ</v>
          </cell>
          <cell r="E5291" t="str">
            <v/>
          </cell>
          <cell r="F5291" t="str">
            <v/>
          </cell>
          <cell r="G5291" t="str">
            <v>INTERNATIONAL HOTEL ALLIANCE S.A.S</v>
          </cell>
          <cell r="H5291" t="str">
            <v>RECO</v>
          </cell>
          <cell r="I5291" t="str">
            <v>REGIMEN COMUN</v>
          </cell>
          <cell r="J5291" t="str">
            <v>CL 1 4 77 SEC CEN</v>
          </cell>
          <cell r="K5291" t="str">
            <v>44001</v>
          </cell>
          <cell r="L5291" t="str">
            <v>RIOHACHA</v>
          </cell>
          <cell r="M5291" t="str">
            <v>7288109</v>
          </cell>
        </row>
        <row r="5292">
          <cell r="A5292">
            <v>900511674</v>
          </cell>
          <cell r="B5292" t="str">
            <v>1</v>
          </cell>
          <cell r="C5292" t="str">
            <v/>
          </cell>
          <cell r="D5292" t="str">
            <v>NJ</v>
          </cell>
          <cell r="E5292" t="str">
            <v/>
          </cell>
          <cell r="F5292" t="str">
            <v/>
          </cell>
          <cell r="G5292" t="str">
            <v>CENTRO ELECTRICO M.G. S.A.S</v>
          </cell>
          <cell r="H5292" t="str">
            <v>RECO</v>
          </cell>
          <cell r="I5292" t="str">
            <v>REGIMEN COMUN</v>
          </cell>
          <cell r="J5292" t="str">
            <v>CR 23 15 49 P 1</v>
          </cell>
          <cell r="K5292" t="str">
            <v>17001</v>
          </cell>
          <cell r="L5292" t="str">
            <v>MANIZALES</v>
          </cell>
          <cell r="M5292" t="str">
            <v>8733928</v>
          </cell>
        </row>
        <row r="5293">
          <cell r="A5293">
            <v>900513210</v>
          </cell>
          <cell r="B5293" t="str">
            <v>7</v>
          </cell>
          <cell r="C5293" t="str">
            <v/>
          </cell>
          <cell r="D5293" t="str">
            <v>NJ</v>
          </cell>
          <cell r="E5293" t="str">
            <v/>
          </cell>
          <cell r="F5293" t="str">
            <v/>
          </cell>
          <cell r="G5293" t="str">
            <v>MEJIA Y NAUFFAL ASOCIADOS CONSULTORIA TRIBUTARIA S.A.S.</v>
          </cell>
          <cell r="H5293" t="str">
            <v>IMVE</v>
          </cell>
          <cell r="I5293" t="str">
            <v>IMPUESTO SOBRE LAS VENTAS</v>
          </cell>
          <cell r="J5293" t="str">
            <v>CR 23 64 B 33 TO 2 OF 606 BRR LAURELES</v>
          </cell>
          <cell r="K5293" t="str">
            <v>17001</v>
          </cell>
          <cell r="L5293" t="str">
            <v>MANIZALES</v>
          </cell>
          <cell r="M5293" t="str">
            <v>6068756203</v>
          </cell>
        </row>
        <row r="5294">
          <cell r="A5294">
            <v>900514249</v>
          </cell>
          <cell r="B5294" t="str">
            <v>8</v>
          </cell>
          <cell r="C5294" t="str">
            <v/>
          </cell>
          <cell r="D5294" t="str">
            <v>NJ</v>
          </cell>
          <cell r="E5294" t="str">
            <v/>
          </cell>
          <cell r="F5294" t="str">
            <v/>
          </cell>
          <cell r="G5294" t="str">
            <v>METROLOGÍA ANALÍTICA  S A S</v>
          </cell>
          <cell r="H5294" t="str">
            <v>IMVE</v>
          </cell>
          <cell r="I5294" t="str">
            <v>IMPUESTO SOBRE LAS VENTAS</v>
          </cell>
          <cell r="J5294" t="str">
            <v xml:space="preserve"> CR 77 C 65 A 76</v>
          </cell>
          <cell r="K5294" t="str">
            <v>11001</v>
          </cell>
          <cell r="L5294" t="str">
            <v>BOGOTA DC</v>
          </cell>
          <cell r="M5294" t="str">
            <v>2230699</v>
          </cell>
        </row>
        <row r="5295">
          <cell r="A5295">
            <v>900514961</v>
          </cell>
          <cell r="B5295" t="str">
            <v>4</v>
          </cell>
          <cell r="C5295" t="str">
            <v/>
          </cell>
          <cell r="D5295" t="str">
            <v>NJ</v>
          </cell>
          <cell r="E5295" t="str">
            <v/>
          </cell>
          <cell r="F5295" t="str">
            <v/>
          </cell>
          <cell r="G5295" t="str">
            <v>CONSORCIO ENERPATIA</v>
          </cell>
          <cell r="H5295" t="str">
            <v>RECO</v>
          </cell>
          <cell r="I5295" t="str">
            <v>REGIMEN COMUN</v>
          </cell>
          <cell r="J5295" t="str">
            <v>CR 7 1 N 28 ED NEGRET</v>
          </cell>
          <cell r="K5295" t="str">
            <v>19001</v>
          </cell>
          <cell r="L5295" t="str">
            <v>POPAYÁN</v>
          </cell>
          <cell r="M5295" t="str">
            <v>8202089</v>
          </cell>
        </row>
        <row r="5296">
          <cell r="A5296">
            <v>900515198</v>
          </cell>
          <cell r="B5296" t="str">
            <v>5</v>
          </cell>
          <cell r="C5296" t="str">
            <v/>
          </cell>
          <cell r="D5296" t="str">
            <v>NJ</v>
          </cell>
          <cell r="E5296" t="str">
            <v/>
          </cell>
          <cell r="F5296" t="str">
            <v/>
          </cell>
          <cell r="G5296" t="str">
            <v>SOCIEDAD OPERADORA LA PRIMAVERA S.A.S</v>
          </cell>
          <cell r="H5296" t="str">
            <v>RECO</v>
          </cell>
          <cell r="I5296" t="str">
            <v>REGIMEN COMUN</v>
          </cell>
          <cell r="J5296" t="str">
            <v>CR 15 79-70 OF 400</v>
          </cell>
          <cell r="K5296" t="str">
            <v>11001</v>
          </cell>
          <cell r="L5296" t="str">
            <v>BOGOTA DC</v>
          </cell>
          <cell r="M5296" t="str">
            <v>6091100</v>
          </cell>
        </row>
        <row r="5297">
          <cell r="A5297">
            <v>900515331</v>
          </cell>
          <cell r="B5297" t="str">
            <v>9</v>
          </cell>
          <cell r="C5297" t="str">
            <v/>
          </cell>
          <cell r="D5297" t="str">
            <v>NJ</v>
          </cell>
          <cell r="E5297" t="str">
            <v/>
          </cell>
          <cell r="F5297" t="str">
            <v/>
          </cell>
          <cell r="G5297" t="str">
            <v>HIDROLAB S.A.S INGENIERÍA Y ANÁLISIS AMBIENTAL</v>
          </cell>
          <cell r="H5297" t="str">
            <v>IMVE</v>
          </cell>
          <cell r="I5297" t="str">
            <v>IMPUESTO SOBRE LAS VENTAS</v>
          </cell>
          <cell r="J5297" t="str">
            <v xml:space="preserve"> CL 1 C W 34 C 160</v>
          </cell>
          <cell r="K5297" t="str">
            <v>15238</v>
          </cell>
          <cell r="L5297" t="str">
            <v>DUITAMA</v>
          </cell>
          <cell r="M5297" t="str">
            <v>3103109602</v>
          </cell>
        </row>
        <row r="5298">
          <cell r="A5298">
            <v>900515716</v>
          </cell>
          <cell r="B5298" t="str">
            <v>0</v>
          </cell>
          <cell r="C5298" t="str">
            <v/>
          </cell>
          <cell r="D5298" t="str">
            <v>NJ</v>
          </cell>
          <cell r="E5298" t="str">
            <v/>
          </cell>
          <cell r="F5298" t="str">
            <v/>
          </cell>
          <cell r="G5298" t="str">
            <v>SKYLINE BUSINESS INTELIGENCE S A S</v>
          </cell>
          <cell r="H5298" t="str">
            <v>IMVE</v>
          </cell>
          <cell r="I5298" t="str">
            <v>IMPUESTO SOBRE LAS VENTAS</v>
          </cell>
          <cell r="J5298" t="str">
            <v>CR 11 A 93 A 46 OF 402</v>
          </cell>
          <cell r="K5298" t="str">
            <v>17001</v>
          </cell>
          <cell r="L5298" t="str">
            <v>MANIZALES</v>
          </cell>
          <cell r="M5298" t="str">
            <v>6 1 7 0 3 8 3</v>
          </cell>
        </row>
        <row r="5299">
          <cell r="A5299">
            <v>900515997</v>
          </cell>
          <cell r="B5299" t="str">
            <v>3</v>
          </cell>
          <cell r="C5299" t="str">
            <v/>
          </cell>
          <cell r="D5299" t="str">
            <v>NJ</v>
          </cell>
          <cell r="E5299" t="str">
            <v/>
          </cell>
          <cell r="F5299" t="str">
            <v/>
          </cell>
          <cell r="G5299" t="str">
            <v>SEGUMAS S.A.S.</v>
          </cell>
          <cell r="H5299" t="str">
            <v>RECO</v>
          </cell>
          <cell r="I5299" t="str">
            <v>REGIMEN COMUN</v>
          </cell>
          <cell r="J5299" t="str">
            <v>CL 58   1   102 BRR VILLA FLOR ET 3</v>
          </cell>
          <cell r="K5299" t="str">
            <v>85001</v>
          </cell>
          <cell r="L5299" t="str">
            <v>YOPAL</v>
          </cell>
          <cell r="M5299" t="str">
            <v>3503218609</v>
          </cell>
        </row>
        <row r="5300">
          <cell r="A5300">
            <v>900516356</v>
          </cell>
          <cell r="B5300" t="str">
            <v>7</v>
          </cell>
          <cell r="C5300" t="str">
            <v/>
          </cell>
          <cell r="D5300" t="str">
            <v>NJ</v>
          </cell>
          <cell r="E5300" t="str">
            <v/>
          </cell>
          <cell r="F5300" t="str">
            <v/>
          </cell>
          <cell r="G5300" t="str">
            <v>CONSORCIO ANTIOQUIA 2012</v>
          </cell>
          <cell r="H5300" t="str">
            <v>RECO</v>
          </cell>
          <cell r="I5300" t="str">
            <v>REGIMEN COMUN</v>
          </cell>
          <cell r="J5300" t="str">
            <v>CR 35 A   15 B   35 OF 817 ED PRISMA</v>
          </cell>
          <cell r="K5300" t="str">
            <v>05001</v>
          </cell>
          <cell r="L5300" t="str">
            <v>MEDELLÍN</v>
          </cell>
          <cell r="M5300" t="str">
            <v>3116628</v>
          </cell>
        </row>
        <row r="5301">
          <cell r="A5301">
            <v>900516567</v>
          </cell>
          <cell r="B5301" t="str">
            <v>4</v>
          </cell>
          <cell r="C5301" t="str">
            <v/>
          </cell>
          <cell r="D5301" t="str">
            <v>NJ</v>
          </cell>
          <cell r="E5301" t="str">
            <v/>
          </cell>
          <cell r="F5301" t="str">
            <v/>
          </cell>
          <cell r="G5301" t="str">
            <v>EAGLEBURGMANN COLOMBIA SAS</v>
          </cell>
          <cell r="H5301" t="str">
            <v>RECO</v>
          </cell>
          <cell r="I5301" t="str">
            <v>REGIMEN COMUN</v>
          </cell>
          <cell r="J5301" t="str">
            <v>AUT MEDELLIN VIA SIBERIA KM 3 BG 7 ET 1 MD 3 TTERRESTRE DE CARGA</v>
          </cell>
          <cell r="K5301" t="str">
            <v>25214</v>
          </cell>
          <cell r="L5301" t="str">
            <v>COTA</v>
          </cell>
          <cell r="M5301" t="str">
            <v>8985473</v>
          </cell>
        </row>
        <row r="5302">
          <cell r="A5302">
            <v>900517007</v>
          </cell>
          <cell r="B5302" t="str">
            <v>6</v>
          </cell>
          <cell r="C5302" t="str">
            <v/>
          </cell>
          <cell r="D5302" t="str">
            <v>NJ</v>
          </cell>
          <cell r="E5302" t="str">
            <v/>
          </cell>
          <cell r="F5302" t="str">
            <v/>
          </cell>
          <cell r="G5302" t="str">
            <v>T.V.A NOTICIAS SAS</v>
          </cell>
          <cell r="H5302" t="str">
            <v>RECO</v>
          </cell>
          <cell r="I5302" t="str">
            <v>REGIMEN COMUN</v>
          </cell>
          <cell r="J5302" t="str">
            <v>CL 22 CEN  21 40 BRR CENTRO</v>
          </cell>
          <cell r="K5302" t="str">
            <v>17001</v>
          </cell>
          <cell r="L5302" t="str">
            <v>MANIZALES</v>
          </cell>
          <cell r="M5302" t="str">
            <v>3358143</v>
          </cell>
        </row>
        <row r="5303">
          <cell r="A5303">
            <v>900517804</v>
          </cell>
          <cell r="B5303" t="str">
            <v>1</v>
          </cell>
          <cell r="C5303" t="str">
            <v>923272447</v>
          </cell>
          <cell r="D5303" t="str">
            <v>NJ</v>
          </cell>
          <cell r="E5303" t="str">
            <v/>
          </cell>
          <cell r="F5303" t="str">
            <v/>
          </cell>
          <cell r="G5303" t="str">
            <v>SISTEMA GENERAL DE REGALIAS</v>
          </cell>
          <cell r="H5303" t="str">
            <v>RERE</v>
          </cell>
          <cell r="I5303" t="str">
            <v>RENTA REGIMEN ESPECIAL NO IVA</v>
          </cell>
          <cell r="J5303" t="str">
            <v>CR 8   6 C 38 P 3</v>
          </cell>
          <cell r="K5303" t="str">
            <v>11001</v>
          </cell>
          <cell r="L5303" t="str">
            <v>BOGOTA DC</v>
          </cell>
          <cell r="M5303" t="str">
            <v>3811700</v>
          </cell>
        </row>
        <row r="5304">
          <cell r="A5304">
            <v>900518291</v>
          </cell>
          <cell r="B5304" t="str">
            <v>6</v>
          </cell>
          <cell r="C5304" t="str">
            <v/>
          </cell>
          <cell r="D5304" t="str">
            <v>NJ</v>
          </cell>
          <cell r="E5304" t="str">
            <v/>
          </cell>
          <cell r="F5304" t="str">
            <v/>
          </cell>
          <cell r="G5304" t="str">
            <v>CONTRUCCION E INGENIERIA GLOBAL SAS</v>
          </cell>
          <cell r="H5304" t="str">
            <v>IMVE</v>
          </cell>
          <cell r="I5304" t="str">
            <v>IMPUESTO SOBRE LAS VENTAS</v>
          </cell>
          <cell r="J5304" t="str">
            <v>CR1 F  40 149</v>
          </cell>
          <cell r="K5304" t="str">
            <v>15104</v>
          </cell>
          <cell r="L5304" t="str">
            <v>BOYACA</v>
          </cell>
          <cell r="M5304" t="str">
            <v>87447356</v>
          </cell>
        </row>
        <row r="5305">
          <cell r="A5305">
            <v>900518711</v>
          </cell>
          <cell r="B5305" t="str">
            <v>8</v>
          </cell>
          <cell r="C5305" t="str">
            <v/>
          </cell>
          <cell r="D5305" t="str">
            <v>NJ</v>
          </cell>
          <cell r="E5305" t="str">
            <v/>
          </cell>
          <cell r="F5305" t="str">
            <v/>
          </cell>
          <cell r="G5305" t="str">
            <v>FERRECOL EXPRESS SAS</v>
          </cell>
          <cell r="H5305" t="str">
            <v>RECO</v>
          </cell>
          <cell r="I5305" t="str">
            <v>REGIMEN COMUN</v>
          </cell>
          <cell r="J5305" t="str">
            <v>CR 29 A   6   64</v>
          </cell>
          <cell r="K5305" t="str">
            <v>11001</v>
          </cell>
          <cell r="L5305" t="str">
            <v>BOGOTA DC</v>
          </cell>
          <cell r="M5305" t="str">
            <v>3107776339</v>
          </cell>
        </row>
        <row r="5306">
          <cell r="A5306">
            <v>900519150</v>
          </cell>
          <cell r="B5306" t="str">
            <v>0</v>
          </cell>
          <cell r="C5306" t="str">
            <v/>
          </cell>
          <cell r="D5306" t="str">
            <v>NJ</v>
          </cell>
          <cell r="E5306" t="str">
            <v/>
          </cell>
          <cell r="F5306" t="str">
            <v/>
          </cell>
          <cell r="G5306" t="str">
            <v>DISECONSTRUCCIONES ARCHIK SAS</v>
          </cell>
          <cell r="H5306" t="str">
            <v>RECO</v>
          </cell>
          <cell r="I5306" t="str">
            <v>REGIMEN COMUN</v>
          </cell>
          <cell r="J5306" t="str">
            <v>CL 16 15 07 P 5 BRR CENTRO</v>
          </cell>
          <cell r="K5306" t="str">
            <v>15238</v>
          </cell>
          <cell r="L5306" t="str">
            <v>DUITAMA</v>
          </cell>
          <cell r="M5306" t="str">
            <v>3202078592</v>
          </cell>
        </row>
        <row r="5307">
          <cell r="A5307">
            <v>900519469</v>
          </cell>
          <cell r="B5307" t="str">
            <v>4</v>
          </cell>
          <cell r="C5307" t="str">
            <v/>
          </cell>
          <cell r="D5307" t="str">
            <v>NJ</v>
          </cell>
          <cell r="E5307" t="str">
            <v/>
          </cell>
          <cell r="F5307" t="str">
            <v/>
          </cell>
          <cell r="G5307" t="str">
            <v>REVISORES Y AUDITORES ASOCIADOS SAS</v>
          </cell>
          <cell r="H5307" t="str">
            <v>IMVE</v>
          </cell>
          <cell r="I5307" t="str">
            <v>IMPUESTO SOBRE LAS VENTAS</v>
          </cell>
          <cell r="J5307" t="str">
            <v>CL 20  22 27 OF 801</v>
          </cell>
          <cell r="K5307" t="str">
            <v>17001</v>
          </cell>
          <cell r="L5307" t="str">
            <v>MANIZALES</v>
          </cell>
          <cell r="M5307" t="str">
            <v>3117622855</v>
          </cell>
        </row>
        <row r="5308">
          <cell r="A5308">
            <v>900519829</v>
          </cell>
          <cell r="B5308" t="str">
            <v>2</v>
          </cell>
          <cell r="C5308" t="str">
            <v/>
          </cell>
          <cell r="D5308" t="str">
            <v>NJ</v>
          </cell>
          <cell r="E5308" t="str">
            <v/>
          </cell>
          <cell r="F5308" t="str">
            <v/>
          </cell>
          <cell r="G5308" t="str">
            <v>LICITACIONES INFO SAS</v>
          </cell>
          <cell r="H5308" t="str">
            <v>IMVE</v>
          </cell>
          <cell r="I5308" t="str">
            <v>IMPUESTO SOBRE LAS VENTAS</v>
          </cell>
          <cell r="J5308" t="str">
            <v>CR 23 70 A 44</v>
          </cell>
          <cell r="K5308" t="str">
            <v>17001</v>
          </cell>
          <cell r="L5308" t="str">
            <v>MANIZALES</v>
          </cell>
          <cell r="M5308" t="str">
            <v>8903340</v>
          </cell>
        </row>
        <row r="5309">
          <cell r="A5309">
            <v>900520075</v>
          </cell>
          <cell r="B5309" t="str">
            <v>8</v>
          </cell>
          <cell r="C5309" t="str">
            <v/>
          </cell>
          <cell r="D5309" t="str">
            <v>NJ</v>
          </cell>
          <cell r="E5309" t="str">
            <v/>
          </cell>
          <cell r="F5309" t="str">
            <v/>
          </cell>
          <cell r="G5309" t="str">
            <v>FUSION LATAM COLOMBIA SAS</v>
          </cell>
          <cell r="H5309" t="str">
            <v>RECO</v>
          </cell>
          <cell r="I5309" t="str">
            <v>REGIMEN COMUN</v>
          </cell>
          <cell r="J5309" t="str">
            <v>CR 7 116 50</v>
          </cell>
          <cell r="K5309" t="str">
            <v>11001</v>
          </cell>
          <cell r="L5309" t="str">
            <v>BOGOTA DC</v>
          </cell>
          <cell r="M5309" t="str">
            <v>3157662323</v>
          </cell>
        </row>
        <row r="5310">
          <cell r="A5310">
            <v>900520649</v>
          </cell>
          <cell r="B5310" t="str">
            <v>5</v>
          </cell>
          <cell r="C5310" t="str">
            <v/>
          </cell>
          <cell r="D5310" t="str">
            <v>NJ</v>
          </cell>
          <cell r="E5310" t="str">
            <v/>
          </cell>
          <cell r="F5310" t="str">
            <v/>
          </cell>
          <cell r="G5310" t="str">
            <v>HOTEL CACIQUE INTERNACIONAL S.A.S</v>
          </cell>
          <cell r="H5310" t="str">
            <v>GRCO</v>
          </cell>
          <cell r="I5310" t="str">
            <v>GRAN CONTRIBUYENTE</v>
          </cell>
          <cell r="J5310" t="str">
            <v>TV 93 34 180 BRR EL TEJAR</v>
          </cell>
          <cell r="K5310" t="str">
            <v>68001</v>
          </cell>
          <cell r="L5310" t="str">
            <v>BUCARAMANGA</v>
          </cell>
          <cell r="M5310" t="str">
            <v>6917300</v>
          </cell>
        </row>
        <row r="5311">
          <cell r="A5311">
            <v>900520788</v>
          </cell>
          <cell r="B5311" t="str">
            <v>0</v>
          </cell>
          <cell r="C5311" t="str">
            <v/>
          </cell>
          <cell r="D5311" t="str">
            <v>NJ</v>
          </cell>
          <cell r="E5311" t="str">
            <v/>
          </cell>
          <cell r="F5311" t="str">
            <v/>
          </cell>
          <cell r="G5311" t="str">
            <v>KIJOTE PUBLICDAD SAS</v>
          </cell>
          <cell r="H5311" t="str">
            <v>RECO</v>
          </cell>
          <cell r="I5311" t="str">
            <v>REGIMEN COMUN</v>
          </cell>
          <cell r="J5311" t="str">
            <v>CR 127 C 143 A 09 AP 201</v>
          </cell>
          <cell r="K5311" t="str">
            <v>11001</v>
          </cell>
          <cell r="L5311" t="str">
            <v>BOGOTA DC</v>
          </cell>
          <cell r="M5311" t="str">
            <v>4939172</v>
          </cell>
        </row>
        <row r="5312">
          <cell r="A5312">
            <v>900521080</v>
          </cell>
          <cell r="B5312" t="str">
            <v>1</v>
          </cell>
          <cell r="C5312" t="str">
            <v/>
          </cell>
          <cell r="D5312" t="str">
            <v>NJ</v>
          </cell>
          <cell r="E5312" t="str">
            <v/>
          </cell>
          <cell r="F5312" t="str">
            <v/>
          </cell>
          <cell r="G5312" t="str">
            <v>HIDRAULICOS J R SAS</v>
          </cell>
          <cell r="H5312" t="str">
            <v>RECO</v>
          </cell>
          <cell r="I5312" t="str">
            <v>REGIMEN COMUN</v>
          </cell>
          <cell r="J5312" t="str">
            <v>CL 54 A SUR  NO 34  44</v>
          </cell>
          <cell r="K5312" t="str">
            <v>11001</v>
          </cell>
          <cell r="L5312" t="str">
            <v>BOGOTA DC</v>
          </cell>
          <cell r="M5312" t="str">
            <v>3102485381</v>
          </cell>
        </row>
        <row r="5313">
          <cell r="A5313">
            <v>900521271</v>
          </cell>
          <cell r="B5313" t="str">
            <v>1</v>
          </cell>
          <cell r="C5313" t="str">
            <v/>
          </cell>
          <cell r="D5313" t="str">
            <v>NJ</v>
          </cell>
          <cell r="E5313" t="str">
            <v/>
          </cell>
          <cell r="F5313" t="str">
            <v/>
          </cell>
          <cell r="G5313" t="str">
            <v>MORKEN COLOMBIA SAS</v>
          </cell>
          <cell r="H5313" t="str">
            <v>IMVE</v>
          </cell>
          <cell r="I5313" t="str">
            <v>IMPUESTO SOBRE LAS VENTAS</v>
          </cell>
          <cell r="J5313" t="str">
            <v>CL 98 A 51  72  OF  503</v>
          </cell>
          <cell r="K5313" t="str">
            <v>11001</v>
          </cell>
          <cell r="L5313" t="str">
            <v>BOGOTA DC</v>
          </cell>
          <cell r="M5313" t="str">
            <v>3185166376</v>
          </cell>
        </row>
        <row r="5314">
          <cell r="A5314">
            <v>900521451</v>
          </cell>
          <cell r="B5314" t="str">
            <v>9</v>
          </cell>
          <cell r="C5314" t="str">
            <v/>
          </cell>
          <cell r="D5314" t="str">
            <v>NJ</v>
          </cell>
          <cell r="E5314" t="str">
            <v/>
          </cell>
          <cell r="F5314" t="str">
            <v/>
          </cell>
          <cell r="G5314" t="str">
            <v>CODIMSA SAS</v>
          </cell>
          <cell r="H5314" t="str">
            <v>IMVE</v>
          </cell>
          <cell r="I5314" t="str">
            <v>IMPUESTO SOBRE LAS VENTAS</v>
          </cell>
          <cell r="J5314" t="str">
            <v>CR 14 14 A 62 OF 203</v>
          </cell>
          <cell r="K5314" t="str">
            <v>85001</v>
          </cell>
          <cell r="L5314" t="str">
            <v>YOPAL</v>
          </cell>
          <cell r="M5314" t="str">
            <v>3164015569</v>
          </cell>
        </row>
        <row r="5315">
          <cell r="A5315">
            <v>900521581</v>
          </cell>
          <cell r="B5315" t="str">
            <v>8</v>
          </cell>
          <cell r="C5315" t="str">
            <v/>
          </cell>
          <cell r="D5315" t="str">
            <v>NJ</v>
          </cell>
          <cell r="E5315" t="str">
            <v/>
          </cell>
          <cell r="F5315" t="str">
            <v/>
          </cell>
          <cell r="G5315" t="str">
            <v>ELECTTRON  COLOMBIA S.A.S.</v>
          </cell>
          <cell r="H5315" t="str">
            <v>RECO</v>
          </cell>
          <cell r="I5315" t="str">
            <v>REGIMEN COMUN</v>
          </cell>
          <cell r="J5315" t="str">
            <v>CR 13 A 35 38</v>
          </cell>
          <cell r="K5315" t="str">
            <v>11001</v>
          </cell>
          <cell r="L5315" t="str">
            <v>BOGOTA DC</v>
          </cell>
          <cell r="M5315" t="str">
            <v>8237505</v>
          </cell>
        </row>
        <row r="5316">
          <cell r="A5316">
            <v>900521807</v>
          </cell>
          <cell r="B5316" t="str">
            <v>7</v>
          </cell>
          <cell r="C5316" t="str">
            <v/>
          </cell>
          <cell r="D5316" t="str">
            <v>NJ</v>
          </cell>
          <cell r="E5316" t="str">
            <v/>
          </cell>
          <cell r="F5316" t="str">
            <v/>
          </cell>
          <cell r="G5316" t="str">
            <v>GLOBAL OPERADORA HOTELERA S.A.S</v>
          </cell>
          <cell r="H5316" t="str">
            <v>RCAU</v>
          </cell>
          <cell r="I5316" t="str">
            <v>RESPONSABLE IVA - AUTORETENEDOR</v>
          </cell>
          <cell r="J5316" t="str">
            <v>A C 26 102 20 P 1</v>
          </cell>
          <cell r="K5316" t="str">
            <v>11001</v>
          </cell>
          <cell r="L5316" t="str">
            <v>BOGOTA DC</v>
          </cell>
          <cell r="M5316" t="str">
            <v>3113300</v>
          </cell>
        </row>
        <row r="5317">
          <cell r="A5317">
            <v>900523446</v>
          </cell>
          <cell r="B5317" t="str">
            <v>0</v>
          </cell>
          <cell r="C5317" t="str">
            <v/>
          </cell>
          <cell r="D5317" t="str">
            <v>NJ</v>
          </cell>
          <cell r="E5317" t="str">
            <v/>
          </cell>
          <cell r="F5317" t="str">
            <v/>
          </cell>
          <cell r="G5317" t="str">
            <v>ECO GLOBAL PRINT SAS</v>
          </cell>
          <cell r="H5317" t="str">
            <v>RECO</v>
          </cell>
          <cell r="I5317" t="str">
            <v>REGIMEN COMUN</v>
          </cell>
          <cell r="J5317" t="str">
            <v>CL 25  21 35</v>
          </cell>
          <cell r="K5317" t="str">
            <v>17001</v>
          </cell>
          <cell r="L5317" t="str">
            <v>MANIZALES</v>
          </cell>
          <cell r="M5317" t="str">
            <v>8852966</v>
          </cell>
        </row>
        <row r="5318">
          <cell r="A5318">
            <v>900523724</v>
          </cell>
          <cell r="B5318" t="str">
            <v>3</v>
          </cell>
          <cell r="C5318" t="str">
            <v/>
          </cell>
          <cell r="D5318" t="str">
            <v>NJ</v>
          </cell>
          <cell r="E5318" t="str">
            <v/>
          </cell>
          <cell r="F5318" t="str">
            <v/>
          </cell>
          <cell r="G5318" t="str">
            <v>FUNDACION ABRIENDO CAMINOS</v>
          </cell>
          <cell r="H5318" t="str">
            <v>IMVE</v>
          </cell>
          <cell r="I5318" t="str">
            <v>IMPUESTO SOBRE LAS VENTAS</v>
          </cell>
          <cell r="J5318" t="str">
            <v>CL 41  19   A   4  TO  SIETE AP 303</v>
          </cell>
          <cell r="K5318" t="str">
            <v>17001</v>
          </cell>
          <cell r="L5318" t="str">
            <v>MANIZALES</v>
          </cell>
          <cell r="M5318" t="str">
            <v>3118629455</v>
          </cell>
        </row>
        <row r="5319">
          <cell r="A5319">
            <v>900524410</v>
          </cell>
          <cell r="B5319" t="str">
            <v>0</v>
          </cell>
          <cell r="C5319" t="str">
            <v/>
          </cell>
          <cell r="D5319" t="str">
            <v>NJ</v>
          </cell>
          <cell r="E5319" t="str">
            <v/>
          </cell>
          <cell r="F5319" t="str">
            <v/>
          </cell>
          <cell r="G5319" t="str">
            <v>CONSORCIO ENERSUÁREZ</v>
          </cell>
          <cell r="H5319" t="str">
            <v>RECO</v>
          </cell>
          <cell r="I5319" t="str">
            <v>REGIMEN COMUN</v>
          </cell>
          <cell r="J5319" t="str">
            <v>CL 10  BIS 67 A 69 BR EL LIMONAR</v>
          </cell>
          <cell r="K5319" t="str">
            <v>76001</v>
          </cell>
          <cell r="L5319" t="str">
            <v>CALI</v>
          </cell>
          <cell r="M5319" t="str">
            <v>5244454</v>
          </cell>
        </row>
        <row r="5320">
          <cell r="A5320">
            <v>900524852</v>
          </cell>
          <cell r="B5320" t="str">
            <v>2</v>
          </cell>
          <cell r="C5320" t="str">
            <v/>
          </cell>
          <cell r="D5320" t="str">
            <v>NJ</v>
          </cell>
          <cell r="E5320" t="str">
            <v/>
          </cell>
          <cell r="F5320" t="str">
            <v/>
          </cell>
          <cell r="G5320" t="str">
            <v>2 PLUS SAS</v>
          </cell>
          <cell r="H5320" t="str">
            <v>RECO</v>
          </cell>
          <cell r="I5320" t="str">
            <v>REGIMEN COMUN</v>
          </cell>
          <cell r="J5320" t="str">
            <v>CR 27 9 43 OF 326 BRR RICAUTE</v>
          </cell>
          <cell r="K5320" t="str">
            <v>11001</v>
          </cell>
          <cell r="L5320" t="str">
            <v>BOGOTA DC</v>
          </cell>
          <cell r="M5320" t="str">
            <v>3148904849</v>
          </cell>
        </row>
        <row r="5321">
          <cell r="A5321">
            <v>900525196</v>
          </cell>
          <cell r="B5321" t="str">
            <v>3</v>
          </cell>
          <cell r="C5321" t="str">
            <v/>
          </cell>
          <cell r="D5321" t="str">
            <v>NJ</v>
          </cell>
          <cell r="E5321" t="str">
            <v/>
          </cell>
          <cell r="F5321" t="str">
            <v/>
          </cell>
          <cell r="G5321" t="str">
            <v>TECNOLOGIA SOLAR DE COLOMBIA S.A.S - TESOCOL</v>
          </cell>
          <cell r="H5321" t="str">
            <v>IMVE</v>
          </cell>
          <cell r="I5321" t="str">
            <v>IMPUESTO SOBRE LAS VENTAS</v>
          </cell>
          <cell r="J5321" t="str">
            <v>CL 56 D 28 B 24 BRR LAS MERCEDES</v>
          </cell>
          <cell r="K5321" t="str">
            <v>76520</v>
          </cell>
          <cell r="L5321" t="str">
            <v>PALMIRA</v>
          </cell>
          <cell r="M5321" t="str">
            <v>3186235360</v>
          </cell>
        </row>
        <row r="5322">
          <cell r="A5322">
            <v>900525820</v>
          </cell>
          <cell r="B5322" t="str">
            <v>1</v>
          </cell>
          <cell r="C5322" t="str">
            <v/>
          </cell>
          <cell r="D5322" t="str">
            <v>NJ</v>
          </cell>
          <cell r="E5322" t="str">
            <v/>
          </cell>
          <cell r="F5322" t="str">
            <v/>
          </cell>
          <cell r="G5322" t="str">
            <v>TALENT ADVISOR CONSULTING SAS</v>
          </cell>
          <cell r="H5322" t="str">
            <v>IMVE</v>
          </cell>
          <cell r="I5322" t="str">
            <v>IMPUESTO SOBRE LAS VENTAS</v>
          </cell>
          <cell r="J5322" t="str">
            <v>CR 11 93 A 53 OF 303</v>
          </cell>
          <cell r="K5322" t="str">
            <v>03</v>
          </cell>
          <cell r="L5322" t="str">
            <v>BOGOTA</v>
          </cell>
          <cell r="M5322" t="str">
            <v>6967805</v>
          </cell>
        </row>
        <row r="5323">
          <cell r="A5323">
            <v>900526307</v>
          </cell>
          <cell r="B5323" t="str">
            <v>9</v>
          </cell>
          <cell r="C5323" t="str">
            <v/>
          </cell>
          <cell r="D5323" t="str">
            <v>NJ</v>
          </cell>
          <cell r="E5323" t="str">
            <v/>
          </cell>
          <cell r="F5323" t="str">
            <v/>
          </cell>
          <cell r="G5323" t="str">
            <v>INVERSIONES MIRANDA HOUSE S.A.S</v>
          </cell>
          <cell r="H5323" t="str">
            <v>RECO</v>
          </cell>
          <cell r="I5323" t="str">
            <v>REGIMEN COMUN</v>
          </cell>
          <cell r="J5323" t="str">
            <v>CR 31 N 25 A 86</v>
          </cell>
          <cell r="K5323" t="str">
            <v>11001</v>
          </cell>
          <cell r="L5323" t="str">
            <v>BOGOTA DC</v>
          </cell>
          <cell r="M5323" t="str">
            <v>3377511</v>
          </cell>
        </row>
        <row r="5324">
          <cell r="A5324">
            <v>900527063</v>
          </cell>
          <cell r="B5324" t="str">
            <v>1</v>
          </cell>
          <cell r="C5324" t="str">
            <v/>
          </cell>
          <cell r="D5324" t="str">
            <v>NJ</v>
          </cell>
          <cell r="E5324" t="str">
            <v/>
          </cell>
          <cell r="F5324" t="str">
            <v/>
          </cell>
          <cell r="G5324" t="str">
            <v>MR BROSS PEREIRA CONSUAL S.A.S</v>
          </cell>
          <cell r="H5324" t="str">
            <v>RECO</v>
          </cell>
          <cell r="I5324" t="str">
            <v>REGIMEN COMUN</v>
          </cell>
          <cell r="J5324" t="str">
            <v>CL 15 14 20</v>
          </cell>
          <cell r="K5324" t="str">
            <v>17001</v>
          </cell>
          <cell r="L5324" t="str">
            <v>MANIZALES</v>
          </cell>
          <cell r="M5324" t="str">
            <v>3315013</v>
          </cell>
        </row>
        <row r="5325">
          <cell r="A5325">
            <v>900527544</v>
          </cell>
          <cell r="B5325" t="str">
            <v>2</v>
          </cell>
          <cell r="C5325" t="str">
            <v/>
          </cell>
          <cell r="D5325" t="str">
            <v>NJ</v>
          </cell>
          <cell r="E5325" t="str">
            <v/>
          </cell>
          <cell r="F5325" t="str">
            <v/>
          </cell>
          <cell r="G5325" t="str">
            <v>MDA SERVICIOS INTEGRALES DE GESTION SAS</v>
          </cell>
          <cell r="H5325" t="str">
            <v>RECO</v>
          </cell>
          <cell r="I5325" t="str">
            <v>REGIMEN COMUN</v>
          </cell>
          <cell r="J5325" t="str">
            <v>CR 12 A 83 75 OF 403</v>
          </cell>
          <cell r="K5325" t="str">
            <v>11001</v>
          </cell>
          <cell r="L5325" t="str">
            <v>BOGOTA DC</v>
          </cell>
          <cell r="M5325" t="str">
            <v>4824201</v>
          </cell>
        </row>
        <row r="5326">
          <cell r="A5326">
            <v>900527937</v>
          </cell>
          <cell r="B5326" t="str">
            <v>3</v>
          </cell>
          <cell r="C5326" t="str">
            <v/>
          </cell>
          <cell r="D5326" t="str">
            <v>NJ</v>
          </cell>
          <cell r="E5326" t="str">
            <v/>
          </cell>
          <cell r="F5326" t="str">
            <v/>
          </cell>
          <cell r="G5326" t="str">
            <v>SOLUCIONES INFINITAS SAS</v>
          </cell>
          <cell r="H5326" t="str">
            <v>RECO</v>
          </cell>
          <cell r="I5326" t="str">
            <v>REGIMEN COMUN</v>
          </cell>
          <cell r="J5326" t="str">
            <v>CL 2 11 09 BRR LA CIENAGA</v>
          </cell>
          <cell r="K5326" t="str">
            <v>08685</v>
          </cell>
          <cell r="L5326" t="str">
            <v>SANTO TOMÁS</v>
          </cell>
          <cell r="M5326" t="str">
            <v>3014225175</v>
          </cell>
        </row>
        <row r="5327">
          <cell r="A5327">
            <v>900529329</v>
          </cell>
          <cell r="B5327" t="str">
            <v>4</v>
          </cell>
          <cell r="C5327" t="str">
            <v/>
          </cell>
          <cell r="D5327" t="str">
            <v>NJ</v>
          </cell>
          <cell r="E5327" t="str">
            <v/>
          </cell>
          <cell r="F5327" t="str">
            <v/>
          </cell>
          <cell r="G5327" t="str">
            <v>GLS GLOBAL LINK SOLUTIONS S.A.S.</v>
          </cell>
          <cell r="H5327" t="str">
            <v>RECO</v>
          </cell>
          <cell r="I5327" t="str">
            <v>REGIMEN COMUN</v>
          </cell>
          <cell r="J5327" t="str">
            <v>CR 18 N O 93 25 OF 405</v>
          </cell>
          <cell r="K5327" t="str">
            <v>11001</v>
          </cell>
          <cell r="L5327" t="str">
            <v>BOGOTA DC</v>
          </cell>
          <cell r="M5327" t="str">
            <v>3104823373</v>
          </cell>
        </row>
        <row r="5328">
          <cell r="A5328">
            <v>900530113</v>
          </cell>
          <cell r="B5328" t="str">
            <v>2</v>
          </cell>
          <cell r="C5328" t="str">
            <v/>
          </cell>
          <cell r="D5328" t="str">
            <v>NJ</v>
          </cell>
          <cell r="E5328" t="str">
            <v/>
          </cell>
          <cell r="F5328" t="str">
            <v/>
          </cell>
          <cell r="G5328" t="str">
            <v>UNION NACIONAL DE INVERSIONES SAS</v>
          </cell>
          <cell r="H5328" t="str">
            <v>RECO</v>
          </cell>
          <cell r="I5328" t="str">
            <v>REGIMEN COMUN</v>
          </cell>
          <cell r="J5328" t="str">
            <v>CARRERA 6  12 C 48 OF 206</v>
          </cell>
          <cell r="K5328" t="str">
            <v>11001</v>
          </cell>
          <cell r="L5328" t="str">
            <v>BOGOTA DC</v>
          </cell>
          <cell r="M5328" t="str">
            <v>3521029</v>
          </cell>
        </row>
        <row r="5329">
          <cell r="A5329">
            <v>900530419</v>
          </cell>
          <cell r="B5329" t="str">
            <v>0</v>
          </cell>
          <cell r="C5329" t="str">
            <v/>
          </cell>
          <cell r="D5329" t="str">
            <v>NJ</v>
          </cell>
          <cell r="E5329" t="str">
            <v/>
          </cell>
          <cell r="F5329" t="str">
            <v/>
          </cell>
          <cell r="G5329" t="str">
            <v>TICNOVA S.A.S</v>
          </cell>
          <cell r="H5329" t="str">
            <v>IMVE</v>
          </cell>
          <cell r="I5329" t="str">
            <v>IMPUESTO SOBRE LAS VENTAS</v>
          </cell>
          <cell r="J5329" t="str">
            <v>CL 16 8 50 TERCER PISO</v>
          </cell>
          <cell r="K5329" t="str">
            <v>15001</v>
          </cell>
          <cell r="L5329" t="str">
            <v>TUNJA</v>
          </cell>
          <cell r="M5329" t="str">
            <v>3112591251</v>
          </cell>
        </row>
        <row r="5330">
          <cell r="A5330">
            <v>900530650</v>
          </cell>
          <cell r="B5330" t="str">
            <v>6</v>
          </cell>
          <cell r="C5330" t="str">
            <v/>
          </cell>
          <cell r="D5330" t="str">
            <v>NJ</v>
          </cell>
          <cell r="E5330" t="str">
            <v/>
          </cell>
          <cell r="F5330" t="str">
            <v/>
          </cell>
          <cell r="G5330" t="str">
            <v>FUNDACIÓN PARA EL DESARROLLO ECOLÓGICO DEL VAUPÉS</v>
          </cell>
          <cell r="H5330" t="str">
            <v>IMVE</v>
          </cell>
          <cell r="I5330" t="str">
            <v>IMPUESTO SOBRE LAS VENTAS</v>
          </cell>
          <cell r="J5330" t="str">
            <v>CR 14 11 103 BRR CENTRO</v>
          </cell>
          <cell r="K5330" t="str">
            <v>97001</v>
          </cell>
          <cell r="L5330" t="str">
            <v>MITÚ</v>
          </cell>
          <cell r="M5330" t="str">
            <v>3204941146</v>
          </cell>
        </row>
        <row r="5331">
          <cell r="A5331">
            <v>900534225</v>
          </cell>
          <cell r="B5331" t="str">
            <v>7</v>
          </cell>
          <cell r="C5331" t="str">
            <v/>
          </cell>
          <cell r="D5331" t="str">
            <v>NJ</v>
          </cell>
          <cell r="E5331" t="str">
            <v/>
          </cell>
          <cell r="F5331" t="str">
            <v/>
          </cell>
          <cell r="G5331" t="str">
            <v>SEGIMA SAS</v>
          </cell>
          <cell r="H5331" t="str">
            <v>RECO</v>
          </cell>
          <cell r="I5331" t="str">
            <v>REGIMEN COMUN</v>
          </cell>
          <cell r="J5331" t="str">
            <v>CR 34  48  19  OF 202</v>
          </cell>
          <cell r="K5331" t="str">
            <v>68001</v>
          </cell>
          <cell r="L5331" t="str">
            <v>BUCARAMANGA</v>
          </cell>
          <cell r="M5331" t="str">
            <v>6960921</v>
          </cell>
        </row>
        <row r="5332">
          <cell r="A5332">
            <v>900534393</v>
          </cell>
          <cell r="B5332" t="str">
            <v>6</v>
          </cell>
          <cell r="C5332" t="str">
            <v/>
          </cell>
          <cell r="D5332" t="str">
            <v>NJ</v>
          </cell>
          <cell r="E5332" t="str">
            <v/>
          </cell>
          <cell r="F5332" t="str">
            <v/>
          </cell>
          <cell r="G5332" t="str">
            <v>ANDISYSO S.A.S.</v>
          </cell>
          <cell r="H5332" t="str">
            <v>RECO</v>
          </cell>
          <cell r="I5332" t="str">
            <v>REGIMEN COMUN</v>
          </cell>
          <cell r="J5332" t="str">
            <v xml:space="preserve"> CR 30  A  CL 41  72 P 02</v>
          </cell>
          <cell r="K5332" t="str">
            <v>76001</v>
          </cell>
          <cell r="L5332" t="str">
            <v>CALI</v>
          </cell>
          <cell r="M5332" t="str">
            <v>4372896</v>
          </cell>
        </row>
        <row r="5333">
          <cell r="A5333">
            <v>900534653</v>
          </cell>
          <cell r="B5333" t="str">
            <v>6</v>
          </cell>
          <cell r="C5333" t="str">
            <v/>
          </cell>
          <cell r="D5333" t="str">
            <v>NJ</v>
          </cell>
          <cell r="E5333" t="str">
            <v/>
          </cell>
          <cell r="F5333" t="str">
            <v/>
          </cell>
          <cell r="G5333" t="str">
            <v>CLG CONSTRUCCIONES SAS</v>
          </cell>
          <cell r="H5333" t="str">
            <v>RECO</v>
          </cell>
          <cell r="I5333" t="str">
            <v>REGIMEN COMUN</v>
          </cell>
          <cell r="J5333" t="str">
            <v>CL 65   03   61</v>
          </cell>
          <cell r="K5333" t="str">
            <v>17001</v>
          </cell>
          <cell r="L5333" t="str">
            <v>MANIZALES</v>
          </cell>
          <cell r="M5333" t="str">
            <v>8870536</v>
          </cell>
        </row>
        <row r="5334">
          <cell r="A5334">
            <v>900534959</v>
          </cell>
          <cell r="B5334" t="str">
            <v>4</v>
          </cell>
          <cell r="C5334" t="str">
            <v/>
          </cell>
          <cell r="D5334" t="str">
            <v>NJ</v>
          </cell>
          <cell r="E5334" t="str">
            <v/>
          </cell>
          <cell r="F5334" t="str">
            <v/>
          </cell>
          <cell r="G5334" t="str">
            <v>ASOCIACION GEOTERMICA  COLOMBIANA</v>
          </cell>
          <cell r="H5334" t="str">
            <v>IMVE</v>
          </cell>
          <cell r="I5334" t="str">
            <v>IMPUESTO SOBRE LAS VENTAS</v>
          </cell>
          <cell r="J5334" t="str">
            <v>CL 106 B 54 88 AP 201</v>
          </cell>
          <cell r="K5334" t="str">
            <v>17001</v>
          </cell>
          <cell r="L5334" t="str">
            <v>MANIZALES</v>
          </cell>
          <cell r="M5334" t="str">
            <v>3002980454</v>
          </cell>
        </row>
        <row r="5335">
          <cell r="A5335">
            <v>900535078</v>
          </cell>
          <cell r="B5335" t="str">
            <v>5</v>
          </cell>
          <cell r="C5335" t="str">
            <v/>
          </cell>
          <cell r="D5335" t="str">
            <v>NJ</v>
          </cell>
          <cell r="E5335" t="str">
            <v/>
          </cell>
          <cell r="F5335" t="str">
            <v/>
          </cell>
          <cell r="G5335" t="str">
            <v>EL PUNTO DE LA IMPRESORA, CABLEADOS Y ACCESORIOS S.A.S</v>
          </cell>
          <cell r="H5335" t="str">
            <v>RECO</v>
          </cell>
          <cell r="I5335" t="str">
            <v>REGIMEN COMUN</v>
          </cell>
          <cell r="J5335" t="str">
            <v>CR 48 10 45 IN 265</v>
          </cell>
          <cell r="K5335" t="str">
            <v>05001</v>
          </cell>
          <cell r="L5335" t="str">
            <v>MEDELLÍN</v>
          </cell>
          <cell r="M5335" t="str">
            <v>2685210</v>
          </cell>
        </row>
        <row r="5336">
          <cell r="A5336">
            <v>900535115</v>
          </cell>
          <cell r="B5336" t="str">
            <v>1</v>
          </cell>
          <cell r="C5336" t="str">
            <v/>
          </cell>
          <cell r="D5336" t="str">
            <v>NJ</v>
          </cell>
          <cell r="E5336" t="str">
            <v/>
          </cell>
          <cell r="F5336" t="str">
            <v/>
          </cell>
          <cell r="G5336" t="str">
            <v>INGENIERIA Y CONSULTORIA EN PROCESOS S.A.S</v>
          </cell>
          <cell r="H5336" t="str">
            <v>RECO</v>
          </cell>
          <cell r="I5336" t="str">
            <v>REGIMEN COMUN</v>
          </cell>
          <cell r="J5336" t="str">
            <v>CR 22 67 A 40 AP 402 D</v>
          </cell>
          <cell r="K5336" t="str">
            <v>17001</v>
          </cell>
          <cell r="L5336" t="str">
            <v>MANIZALES</v>
          </cell>
          <cell r="M5336" t="str">
            <v>3008269552</v>
          </cell>
        </row>
        <row r="5337">
          <cell r="A5337">
            <v>900538216</v>
          </cell>
          <cell r="B5337" t="str">
            <v>9</v>
          </cell>
          <cell r="C5337" t="str">
            <v/>
          </cell>
          <cell r="D5337" t="str">
            <v>NJ</v>
          </cell>
          <cell r="E5337" t="str">
            <v/>
          </cell>
          <cell r="F5337" t="str">
            <v/>
          </cell>
          <cell r="G5337" t="str">
            <v>COTECNA MINERALS S.A.S.</v>
          </cell>
          <cell r="H5337" t="str">
            <v>RECO</v>
          </cell>
          <cell r="I5337" t="str">
            <v>REGIMEN COMUN</v>
          </cell>
          <cell r="J5337" t="str">
            <v>CR 36  8 554 IN 3  SEC LA PAZ</v>
          </cell>
          <cell r="K5337" t="str">
            <v>25899</v>
          </cell>
          <cell r="L5337" t="str">
            <v>ZIPAQUIRÁ</v>
          </cell>
          <cell r="M5337" t="str">
            <v>7427655</v>
          </cell>
        </row>
        <row r="5338">
          <cell r="A5338">
            <v>900538232</v>
          </cell>
          <cell r="B5338" t="str">
            <v>7</v>
          </cell>
          <cell r="C5338" t="str">
            <v/>
          </cell>
          <cell r="D5338" t="str">
            <v>NJ</v>
          </cell>
          <cell r="E5338" t="str">
            <v/>
          </cell>
          <cell r="F5338" t="str">
            <v/>
          </cell>
          <cell r="G5338" t="str">
            <v>SOLUCIONES Y SERVICIOS TEMPORALES E.S.T S.A.S</v>
          </cell>
          <cell r="H5338" t="str">
            <v>RECO</v>
          </cell>
          <cell r="I5338" t="str">
            <v>REGIMEN COMUN</v>
          </cell>
          <cell r="J5338" t="str">
            <v>CR 5   34-28 OF 201 BRR CADIZ</v>
          </cell>
          <cell r="K5338" t="str">
            <v>73001</v>
          </cell>
          <cell r="L5338" t="str">
            <v>IBAGUÉ</v>
          </cell>
          <cell r="M5338" t="str">
            <v>2666752</v>
          </cell>
        </row>
        <row r="5339">
          <cell r="A5339">
            <v>900538988</v>
          </cell>
          <cell r="B5339" t="str">
            <v>6</v>
          </cell>
          <cell r="C5339" t="str">
            <v/>
          </cell>
          <cell r="D5339" t="str">
            <v>NJ</v>
          </cell>
          <cell r="E5339" t="str">
            <v/>
          </cell>
          <cell r="F5339" t="str">
            <v/>
          </cell>
          <cell r="G5339" t="str">
            <v>SUNCOLOMBIA SAS</v>
          </cell>
          <cell r="H5339" t="str">
            <v>IMVE</v>
          </cell>
          <cell r="I5339" t="str">
            <v>IMPUESTO SOBRE LAS VENTAS</v>
          </cell>
          <cell r="J5339" t="str">
            <v>CL 127 B BIS 49-48</v>
          </cell>
          <cell r="K5339" t="str">
            <v>11001</v>
          </cell>
          <cell r="L5339" t="str">
            <v>BOGOTA DC</v>
          </cell>
          <cell r="M5339" t="str">
            <v>4864718</v>
          </cell>
        </row>
        <row r="5340">
          <cell r="A5340">
            <v>900539067</v>
          </cell>
          <cell r="B5340" t="str">
            <v>2</v>
          </cell>
          <cell r="C5340" t="str">
            <v/>
          </cell>
          <cell r="D5340" t="str">
            <v>NJ</v>
          </cell>
          <cell r="E5340" t="str">
            <v/>
          </cell>
          <cell r="F5340" t="str">
            <v/>
          </cell>
          <cell r="G5340" t="str">
            <v>I DO SAS</v>
          </cell>
          <cell r="H5340" t="str">
            <v>RECO</v>
          </cell>
          <cell r="I5340" t="str">
            <v>REGIMEN COMUN</v>
          </cell>
          <cell r="J5340" t="str">
            <v>CL 71 6 21 OF 403 ED LA CEIBA</v>
          </cell>
          <cell r="K5340" t="str">
            <v>11001</v>
          </cell>
          <cell r="L5340" t="str">
            <v>BOGOTA DC</v>
          </cell>
          <cell r="M5340" t="str">
            <v>3108831485</v>
          </cell>
        </row>
        <row r="5341">
          <cell r="A5341">
            <v>900540469</v>
          </cell>
          <cell r="B5341" t="str">
            <v>1</v>
          </cell>
          <cell r="C5341" t="str">
            <v/>
          </cell>
          <cell r="D5341" t="str">
            <v>NJ</v>
          </cell>
          <cell r="E5341" t="str">
            <v/>
          </cell>
          <cell r="F5341" t="str">
            <v/>
          </cell>
          <cell r="G5341" t="str">
            <v>HILL CONSTRUCTORES S.A.S.</v>
          </cell>
          <cell r="H5341" t="str">
            <v>IMVE</v>
          </cell>
          <cell r="I5341" t="str">
            <v>IMPUESTO SOBRE LAS VENTAS</v>
          </cell>
          <cell r="J5341" t="str">
            <v>CR 53 OESTE 3 26</v>
          </cell>
          <cell r="K5341" t="str">
            <v>76001</v>
          </cell>
          <cell r="L5341" t="str">
            <v>CALI</v>
          </cell>
          <cell r="M5341" t="str">
            <v>3108852238</v>
          </cell>
        </row>
        <row r="5342">
          <cell r="A5342">
            <v>900542455</v>
          </cell>
          <cell r="B5342" t="str">
            <v>8</v>
          </cell>
          <cell r="C5342" t="str">
            <v/>
          </cell>
          <cell r="D5342" t="str">
            <v>NJ</v>
          </cell>
          <cell r="E5342" t="str">
            <v/>
          </cell>
          <cell r="F5342" t="str">
            <v/>
          </cell>
          <cell r="G5342" t="str">
            <v>BC INGENIERIA SAS</v>
          </cell>
          <cell r="H5342" t="str">
            <v>IMVE</v>
          </cell>
          <cell r="I5342" t="str">
            <v>IMPUESTO SOBRE LAS VENTAS</v>
          </cell>
          <cell r="J5342" t="str">
            <v>CR 1 F 40 195 OFC  402</v>
          </cell>
          <cell r="K5342" t="str">
            <v>15001</v>
          </cell>
          <cell r="L5342" t="str">
            <v>TUNJA</v>
          </cell>
          <cell r="M5342" t="str">
            <v>6087427524</v>
          </cell>
        </row>
        <row r="5343">
          <cell r="A5343">
            <v>900542621</v>
          </cell>
          <cell r="B5343" t="str">
            <v>4</v>
          </cell>
          <cell r="C5343" t="str">
            <v/>
          </cell>
          <cell r="D5343" t="str">
            <v>NJ</v>
          </cell>
          <cell r="E5343" t="str">
            <v/>
          </cell>
          <cell r="F5343" t="str">
            <v/>
          </cell>
          <cell r="G5343" t="str">
            <v>CONSORCIO RISARALDA</v>
          </cell>
          <cell r="H5343" t="str">
            <v>RECO</v>
          </cell>
          <cell r="I5343" t="str">
            <v>REGIMEN COMUN</v>
          </cell>
          <cell r="J5343" t="str">
            <v>CR 35 A   15 B   35 OF 817</v>
          </cell>
          <cell r="K5343" t="str">
            <v>05001</v>
          </cell>
          <cell r="L5343" t="str">
            <v>MEDELLÍN</v>
          </cell>
          <cell r="M5343" t="str">
            <v>3116628</v>
          </cell>
        </row>
        <row r="5344">
          <cell r="A5344">
            <v>900542975</v>
          </cell>
          <cell r="B5344" t="str">
            <v>6</v>
          </cell>
          <cell r="C5344" t="str">
            <v/>
          </cell>
          <cell r="D5344" t="str">
            <v>NJ</v>
          </cell>
          <cell r="E5344" t="str">
            <v/>
          </cell>
          <cell r="F5344" t="str">
            <v/>
          </cell>
          <cell r="G5344" t="str">
            <v>INVERSIONES RUEDA LEON S.A.</v>
          </cell>
          <cell r="H5344" t="str">
            <v>RECO</v>
          </cell>
          <cell r="I5344" t="str">
            <v>REGIMEN COMUN</v>
          </cell>
          <cell r="J5344" t="str">
            <v>CL 87 47 88</v>
          </cell>
          <cell r="K5344" t="str">
            <v>08001</v>
          </cell>
          <cell r="L5344" t="str">
            <v>BARRANQUILLA</v>
          </cell>
          <cell r="M5344" t="str">
            <v>3112020</v>
          </cell>
        </row>
        <row r="5345">
          <cell r="A5345">
            <v>900543165</v>
          </cell>
          <cell r="B5345" t="str">
            <v>1</v>
          </cell>
          <cell r="C5345" t="str">
            <v/>
          </cell>
          <cell r="D5345" t="str">
            <v>NJ</v>
          </cell>
          <cell r="E5345" t="str">
            <v/>
          </cell>
          <cell r="F5345" t="str">
            <v/>
          </cell>
          <cell r="G5345" t="str">
            <v>CENTRO DE DESARRROLLO TECNOLOGICO MINERO ENERGÉTICO S.A.S</v>
          </cell>
          <cell r="H5345" t="str">
            <v>RECO</v>
          </cell>
          <cell r="I5345" t="str">
            <v>REGIMEN COMUN</v>
          </cell>
          <cell r="J5345" t="str">
            <v xml:space="preserve"> CR 23  10 37</v>
          </cell>
          <cell r="K5345" t="str">
            <v>15759</v>
          </cell>
          <cell r="L5345" t="str">
            <v>SOGAMOSO</v>
          </cell>
          <cell r="M5345" t="str">
            <v>7738179</v>
          </cell>
        </row>
        <row r="5346">
          <cell r="A5346">
            <v>900543913</v>
          </cell>
          <cell r="B5346" t="str">
            <v>4</v>
          </cell>
          <cell r="C5346" t="str">
            <v/>
          </cell>
          <cell r="D5346" t="str">
            <v>NJ</v>
          </cell>
          <cell r="E5346" t="str">
            <v/>
          </cell>
          <cell r="F5346" t="str">
            <v/>
          </cell>
          <cell r="G5346" t="str">
            <v>LA BOUTIQUE DEL CUIDADO RESPIRATORIO SAS</v>
          </cell>
          <cell r="H5346" t="str">
            <v>RECO</v>
          </cell>
          <cell r="I5346" t="str">
            <v>REGIMEN COMUN</v>
          </cell>
          <cell r="J5346" t="str">
            <v xml:space="preserve"> cl 74 15 13 of 301</v>
          </cell>
          <cell r="K5346" t="str">
            <v>11001</v>
          </cell>
          <cell r="L5346" t="str">
            <v>BOGOTA DC</v>
          </cell>
          <cell r="M5346" t="str">
            <v>3176797005</v>
          </cell>
        </row>
        <row r="5347">
          <cell r="A5347">
            <v>900544086</v>
          </cell>
          <cell r="B5347" t="str">
            <v>2</v>
          </cell>
          <cell r="C5347" t="str">
            <v/>
          </cell>
          <cell r="D5347" t="str">
            <v>NJ</v>
          </cell>
          <cell r="E5347" t="str">
            <v/>
          </cell>
          <cell r="F5347" t="str">
            <v/>
          </cell>
          <cell r="G5347" t="str">
            <v>GRUPO PUNTA ARENA SAS</v>
          </cell>
          <cell r="H5347" t="str">
            <v>RECO</v>
          </cell>
          <cell r="I5347" t="str">
            <v>REGIMEN COMUN</v>
          </cell>
          <cell r="J5347" t="str">
            <v>CL 20   23   70 BRR LA ESPERANZA</v>
          </cell>
          <cell r="K5347" t="str">
            <v>81001</v>
          </cell>
          <cell r="L5347" t="str">
            <v>ARAUCA</v>
          </cell>
          <cell r="M5347" t="str">
            <v>8852051</v>
          </cell>
        </row>
        <row r="5348">
          <cell r="A5348">
            <v>900545106</v>
          </cell>
          <cell r="B5348" t="str">
            <v>6</v>
          </cell>
          <cell r="C5348" t="str">
            <v/>
          </cell>
          <cell r="D5348" t="str">
            <v>NJ</v>
          </cell>
          <cell r="E5348" t="str">
            <v/>
          </cell>
          <cell r="F5348" t="str">
            <v/>
          </cell>
          <cell r="G5348" t="str">
            <v>COMERCIAL AGROINDUSTRIALY SERVICIOS SAS</v>
          </cell>
          <cell r="H5348" t="str">
            <v>RECO</v>
          </cell>
          <cell r="I5348" t="str">
            <v>REGIMEN COMUN</v>
          </cell>
          <cell r="J5348" t="str">
            <v>CL 1 A 5 11 ESTE BRR GRAN COLOMBIA</v>
          </cell>
          <cell r="K5348" t="str">
            <v>25126</v>
          </cell>
          <cell r="L5348" t="str">
            <v>CAJICÁ</v>
          </cell>
          <cell r="M5348" t="str">
            <v>3202460109</v>
          </cell>
        </row>
        <row r="5349">
          <cell r="A5349">
            <v>900545320</v>
          </cell>
          <cell r="B5349" t="str">
            <v>6</v>
          </cell>
          <cell r="C5349" t="str">
            <v/>
          </cell>
          <cell r="D5349" t="str">
            <v>NJ</v>
          </cell>
          <cell r="E5349" t="str">
            <v/>
          </cell>
          <cell r="F5349" t="str">
            <v/>
          </cell>
          <cell r="G5349" t="str">
            <v>CHANINC INVERSIONES S.A.S.</v>
          </cell>
          <cell r="H5349" t="str">
            <v>IMVE</v>
          </cell>
          <cell r="I5349" t="str">
            <v>IMPUESTO SOBRE LAS VENTAS</v>
          </cell>
          <cell r="J5349" t="str">
            <v>CL 15 19A 11</v>
          </cell>
          <cell r="K5349" t="str">
            <v>15238</v>
          </cell>
          <cell r="L5349" t="str">
            <v>DUITAMA</v>
          </cell>
          <cell r="M5349" t="str">
            <v>3158260484</v>
          </cell>
        </row>
        <row r="5350">
          <cell r="A5350">
            <v>900545979</v>
          </cell>
          <cell r="B5350" t="str">
            <v>9</v>
          </cell>
          <cell r="C5350" t="str">
            <v/>
          </cell>
          <cell r="D5350" t="str">
            <v>NJ</v>
          </cell>
          <cell r="E5350" t="str">
            <v/>
          </cell>
          <cell r="F5350" t="str">
            <v/>
          </cell>
          <cell r="G5350" t="str">
            <v>EL ESTURION S.A.S</v>
          </cell>
          <cell r="H5350" t="str">
            <v>RECO</v>
          </cell>
          <cell r="I5350" t="str">
            <v>REGIMEN COMUN</v>
          </cell>
          <cell r="J5350" t="str">
            <v>DG 40   48 B 06</v>
          </cell>
          <cell r="K5350" t="str">
            <v>11001</v>
          </cell>
          <cell r="L5350" t="str">
            <v>BOGOTA DC</v>
          </cell>
          <cell r="M5350" t="str">
            <v>4342747</v>
          </cell>
        </row>
        <row r="5351">
          <cell r="A5351">
            <v>900549783</v>
          </cell>
          <cell r="B5351" t="str">
            <v>0</v>
          </cell>
          <cell r="C5351" t="str">
            <v/>
          </cell>
          <cell r="D5351" t="str">
            <v>NJ</v>
          </cell>
          <cell r="E5351" t="str">
            <v/>
          </cell>
          <cell r="F5351" t="str">
            <v/>
          </cell>
          <cell r="G5351" t="str">
            <v>TRANSPORTES ESPECIALES A SAS</v>
          </cell>
          <cell r="H5351" t="str">
            <v>REOR</v>
          </cell>
          <cell r="I5351" t="str">
            <v>RENTA REGIMEN ORDINARIO</v>
          </cell>
          <cell r="J5351" t="str">
            <v>CL 18 35 69 OF 9957</v>
          </cell>
          <cell r="K5351" t="str">
            <v>05001</v>
          </cell>
          <cell r="L5351" t="str">
            <v>MEDELLÍN</v>
          </cell>
          <cell r="M5351" t="str">
            <v>32562794</v>
          </cell>
        </row>
        <row r="5352">
          <cell r="A5352">
            <v>900549872</v>
          </cell>
          <cell r="B5352" t="str">
            <v>8</v>
          </cell>
          <cell r="C5352" t="str">
            <v/>
          </cell>
          <cell r="D5352" t="str">
            <v>NJ</v>
          </cell>
          <cell r="E5352" t="str">
            <v/>
          </cell>
          <cell r="F5352" t="str">
            <v/>
          </cell>
          <cell r="G5352" t="str">
            <v>LINGATEX SAS</v>
          </cell>
          <cell r="H5352" t="str">
            <v>RECO</v>
          </cell>
          <cell r="I5352" t="str">
            <v>REGIMEN COMUN</v>
          </cell>
          <cell r="J5352" t="str">
            <v>CR 54 CL 79 A SUR 40 IN 104</v>
          </cell>
          <cell r="K5352" t="str">
            <v>05380</v>
          </cell>
          <cell r="L5352" t="str">
            <v>LA ESTRELLA</v>
          </cell>
          <cell r="M5352" t="str">
            <v>2796548</v>
          </cell>
        </row>
        <row r="5353">
          <cell r="A5353">
            <v>900550589</v>
          </cell>
          <cell r="B5353" t="str">
            <v>1</v>
          </cell>
          <cell r="C5353" t="str">
            <v/>
          </cell>
          <cell r="D5353" t="str">
            <v>NJ</v>
          </cell>
          <cell r="E5353" t="str">
            <v/>
          </cell>
          <cell r="F5353" t="str">
            <v/>
          </cell>
          <cell r="G5353" t="str">
            <v>GESTION, DESARROLLO Y SOCIEDAD S.A.S.</v>
          </cell>
          <cell r="H5353" t="str">
            <v>IMVE</v>
          </cell>
          <cell r="I5353" t="str">
            <v>IMPUESTO SOBRE LAS VENTAS</v>
          </cell>
          <cell r="J5353" t="str">
            <v xml:space="preserve"> CL 74 15 80 IN 2 OF 419</v>
          </cell>
          <cell r="K5353" t="str">
            <v>11001</v>
          </cell>
          <cell r="L5353" t="str">
            <v>BOGOTA DC</v>
          </cell>
          <cell r="M5353" t="str">
            <v>3174547</v>
          </cell>
        </row>
        <row r="5354">
          <cell r="A5354">
            <v>900553715</v>
          </cell>
          <cell r="B5354" t="str">
            <v>5</v>
          </cell>
          <cell r="C5354" t="str">
            <v/>
          </cell>
          <cell r="D5354" t="str">
            <v>NJ</v>
          </cell>
          <cell r="E5354" t="str">
            <v/>
          </cell>
          <cell r="F5354" t="str">
            <v/>
          </cell>
          <cell r="G5354" t="str">
            <v>ENERGIA Y MOVILIDAD SAS</v>
          </cell>
          <cell r="H5354" t="str">
            <v>RECO</v>
          </cell>
          <cell r="I5354" t="str">
            <v>REGIMEN COMUN</v>
          </cell>
          <cell r="J5354" t="str">
            <v>DG 40 A BIS 14 37</v>
          </cell>
          <cell r="K5354" t="str">
            <v>11001</v>
          </cell>
          <cell r="L5354" t="str">
            <v>BOGOTA DC</v>
          </cell>
          <cell r="M5354" t="str">
            <v>3382652</v>
          </cell>
        </row>
        <row r="5355">
          <cell r="A5355">
            <v>900554485</v>
          </cell>
          <cell r="B5355" t="str">
            <v>0</v>
          </cell>
          <cell r="C5355" t="str">
            <v/>
          </cell>
          <cell r="D5355" t="str">
            <v>NJ</v>
          </cell>
          <cell r="E5355" t="str">
            <v/>
          </cell>
          <cell r="F5355" t="str">
            <v/>
          </cell>
          <cell r="G5355" t="str">
            <v>ISA VICTORY HOTEL BOUTIQUE S.A.S</v>
          </cell>
          <cell r="H5355" t="str">
            <v>RECO</v>
          </cell>
          <cell r="I5355" t="str">
            <v>REGIMEN COMUN</v>
          </cell>
          <cell r="J5355" t="str">
            <v>Cr 14 N 47 ED isabella</v>
          </cell>
          <cell r="K5355" t="str">
            <v>63001</v>
          </cell>
          <cell r="L5355" t="str">
            <v>ARMENIA</v>
          </cell>
          <cell r="M5355" t="str">
            <v>31037001810</v>
          </cell>
        </row>
        <row r="5356">
          <cell r="A5356">
            <v>900555413</v>
          </cell>
          <cell r="B5356" t="str">
            <v>5</v>
          </cell>
          <cell r="C5356" t="str">
            <v/>
          </cell>
          <cell r="D5356" t="str">
            <v>NJ</v>
          </cell>
          <cell r="E5356" t="str">
            <v/>
          </cell>
          <cell r="F5356" t="str">
            <v/>
          </cell>
          <cell r="G5356" t="str">
            <v>SEGURIDAD ACIN LIMITADA</v>
          </cell>
          <cell r="H5356" t="str">
            <v>IMVE</v>
          </cell>
          <cell r="I5356" t="str">
            <v>IMPUESTO SOBRE LAS VENTAS</v>
          </cell>
          <cell r="J5356" t="str">
            <v xml:space="preserve"> CR 11 48 110</v>
          </cell>
          <cell r="K5356" t="str">
            <v>66001</v>
          </cell>
          <cell r="L5356" t="str">
            <v>PEREIRA</v>
          </cell>
          <cell r="M5356" t="str">
            <v>3401778</v>
          </cell>
        </row>
        <row r="5357">
          <cell r="A5357">
            <v>900555738</v>
          </cell>
          <cell r="B5357" t="str">
            <v>3</v>
          </cell>
          <cell r="C5357" t="str">
            <v/>
          </cell>
          <cell r="D5357" t="str">
            <v>NJ</v>
          </cell>
          <cell r="E5357" t="str">
            <v/>
          </cell>
          <cell r="F5357" t="str">
            <v/>
          </cell>
          <cell r="G5357" t="str">
            <v>JUNTA DE ACCION COMUNAL DE LA VEREDA ARACOMBIA</v>
          </cell>
          <cell r="H5357" t="str">
            <v>REIS</v>
          </cell>
          <cell r="I5357" t="str">
            <v>RENTA REGIMEN ESPEC SIMPLIFIC</v>
          </cell>
          <cell r="J5357" t="str">
            <v>VRD ARACOMBIA MCP LA PRIMAVERA</v>
          </cell>
          <cell r="K5357" t="str">
            <v>99524</v>
          </cell>
          <cell r="L5357" t="str">
            <v>LA PRIMAVERA</v>
          </cell>
          <cell r="M5357" t="str">
            <v>8756262</v>
          </cell>
        </row>
        <row r="5358">
          <cell r="A5358">
            <v>900556124</v>
          </cell>
          <cell r="B5358" t="str">
            <v>6</v>
          </cell>
          <cell r="C5358" t="str">
            <v/>
          </cell>
          <cell r="D5358" t="str">
            <v>NJ</v>
          </cell>
          <cell r="E5358" t="str">
            <v/>
          </cell>
          <cell r="F5358" t="str">
            <v/>
          </cell>
          <cell r="G5358" t="str">
            <v>OXOHOTEL WAYA WUAJIRA S.A.S</v>
          </cell>
          <cell r="H5358" t="str">
            <v>RECO</v>
          </cell>
          <cell r="I5358" t="str">
            <v>REGIMEN COMUN</v>
          </cell>
          <cell r="J5358" t="str">
            <v>KM 1  5 VIA CUESTECITAS ALBANIA LA GUAJIRA</v>
          </cell>
          <cell r="K5358" t="str">
            <v>44035</v>
          </cell>
          <cell r="L5358" t="str">
            <v>ALBANIA</v>
          </cell>
          <cell r="M5358" t="str">
            <v>5082546</v>
          </cell>
        </row>
        <row r="5359">
          <cell r="A5359">
            <v>900556917</v>
          </cell>
          <cell r="B5359" t="str">
            <v>1</v>
          </cell>
          <cell r="C5359" t="str">
            <v/>
          </cell>
          <cell r="D5359" t="str">
            <v>NJ</v>
          </cell>
          <cell r="E5359" t="str">
            <v/>
          </cell>
          <cell r="F5359" t="str">
            <v/>
          </cell>
          <cell r="G5359" t="str">
            <v>HOTEL CHILIMICO</v>
          </cell>
          <cell r="H5359" t="str">
            <v>RECO</v>
          </cell>
          <cell r="I5359" t="str">
            <v>REGIMEN COMUN</v>
          </cell>
          <cell r="J5359" t="str">
            <v>CL 10   20   6</v>
          </cell>
          <cell r="K5359" t="str">
            <v>86568</v>
          </cell>
          <cell r="L5359" t="str">
            <v>PUERTO ASÍS</v>
          </cell>
          <cell r="M5359" t="str">
            <v>4227217</v>
          </cell>
        </row>
        <row r="5360">
          <cell r="A5360">
            <v>900556924</v>
          </cell>
          <cell r="B5360" t="str">
            <v>1</v>
          </cell>
          <cell r="C5360" t="str">
            <v/>
          </cell>
          <cell r="D5360" t="str">
            <v>NJ</v>
          </cell>
          <cell r="E5360" t="str">
            <v/>
          </cell>
          <cell r="F5360" t="str">
            <v/>
          </cell>
          <cell r="G5360" t="str">
            <v>MH INGENIERIA &amp; CONSTRUCCION S.A.S</v>
          </cell>
          <cell r="H5360" t="str">
            <v>IMVE</v>
          </cell>
          <cell r="I5360" t="str">
            <v>IMPUESTO SOBRE LAS VENTAS</v>
          </cell>
          <cell r="J5360" t="str">
            <v>CR  24 22 02 OF 504 ED PLAZA CENTRO</v>
          </cell>
          <cell r="K5360" t="str">
            <v>17001</v>
          </cell>
          <cell r="L5360" t="str">
            <v>MANIZALES</v>
          </cell>
          <cell r="M5360" t="str">
            <v>8803750</v>
          </cell>
        </row>
        <row r="5361">
          <cell r="A5361">
            <v>900557395</v>
          </cell>
          <cell r="B5361" t="str">
            <v>1</v>
          </cell>
          <cell r="C5361" t="str">
            <v/>
          </cell>
          <cell r="D5361" t="str">
            <v>NJ</v>
          </cell>
          <cell r="E5361" t="str">
            <v/>
          </cell>
          <cell r="F5361" t="str">
            <v/>
          </cell>
          <cell r="G5361" t="str">
            <v>UNION TEMPORAL VIA SANTO TOMAS</v>
          </cell>
          <cell r="H5361" t="str">
            <v>RECO</v>
          </cell>
          <cell r="I5361" t="str">
            <v>REGIMEN COMUN</v>
          </cell>
          <cell r="J5361" t="str">
            <v>CR 44 A  98 90</v>
          </cell>
          <cell r="K5361" t="str">
            <v>08001</v>
          </cell>
          <cell r="L5361" t="str">
            <v>BARRANQUILLA</v>
          </cell>
          <cell r="M5361" t="str">
            <v>3735881</v>
          </cell>
        </row>
        <row r="5362">
          <cell r="A5362">
            <v>900557450</v>
          </cell>
          <cell r="B5362" t="str">
            <v>7</v>
          </cell>
          <cell r="C5362" t="str">
            <v/>
          </cell>
          <cell r="D5362" t="str">
            <v>NJ</v>
          </cell>
          <cell r="E5362" t="str">
            <v/>
          </cell>
          <cell r="F5362" t="str">
            <v/>
          </cell>
          <cell r="G5362" t="str">
            <v>H&amp;J AMBIENTAL SAS</v>
          </cell>
          <cell r="H5362" t="str">
            <v>RECO</v>
          </cell>
          <cell r="I5362" t="str">
            <v>REGIMEN COMUN</v>
          </cell>
          <cell r="J5362" t="str">
            <v>CL 41 1 C 48 OF 17</v>
          </cell>
          <cell r="K5362" t="str">
            <v>15001</v>
          </cell>
          <cell r="L5362" t="str">
            <v>TUNJA</v>
          </cell>
          <cell r="M5362" t="str">
            <v>3158035215</v>
          </cell>
        </row>
        <row r="5363">
          <cell r="A5363">
            <v>900558491</v>
          </cell>
          <cell r="B5363" t="str">
            <v>3</v>
          </cell>
          <cell r="C5363" t="str">
            <v/>
          </cell>
          <cell r="D5363" t="str">
            <v>NJ</v>
          </cell>
          <cell r="E5363" t="str">
            <v/>
          </cell>
          <cell r="F5363" t="str">
            <v/>
          </cell>
          <cell r="G5363" t="str">
            <v>SERVICIOS AUXILIARES DE MANTENIMIENTO Y LIMPIEZA COLOMBIA S.A.S</v>
          </cell>
          <cell r="H5363" t="str">
            <v>IMVE</v>
          </cell>
          <cell r="I5363" t="str">
            <v>IMPUESTO SOBRE LAS VENTAS</v>
          </cell>
          <cell r="J5363" t="str">
            <v>CR 20 B CL 65 A 57</v>
          </cell>
          <cell r="K5363" t="str">
            <v>17001</v>
          </cell>
          <cell r="L5363" t="str">
            <v>MANIZALES</v>
          </cell>
          <cell r="M5363" t="str">
            <v>8792926</v>
          </cell>
        </row>
        <row r="5364">
          <cell r="A5364">
            <v>900560672</v>
          </cell>
          <cell r="B5364" t="str">
            <v>6</v>
          </cell>
          <cell r="C5364" t="str">
            <v/>
          </cell>
          <cell r="D5364" t="str">
            <v>NJ</v>
          </cell>
          <cell r="E5364" t="str">
            <v/>
          </cell>
          <cell r="F5364" t="str">
            <v/>
          </cell>
          <cell r="G5364" t="str">
            <v>ELECTROLED DE COLOMBIA SAS</v>
          </cell>
          <cell r="H5364" t="str">
            <v>IMVE</v>
          </cell>
          <cell r="I5364" t="str">
            <v>IMPUESTO SOBRE LAS VENTAS</v>
          </cell>
          <cell r="J5364" t="str">
            <v>CR 12 14 18</v>
          </cell>
          <cell r="K5364" t="str">
            <v>17001</v>
          </cell>
          <cell r="L5364" t="str">
            <v>MANIZALES</v>
          </cell>
          <cell r="M5364" t="str">
            <v>3104387872</v>
          </cell>
        </row>
        <row r="5365">
          <cell r="A5365">
            <v>900561837</v>
          </cell>
          <cell r="B5365" t="str">
            <v>9</v>
          </cell>
          <cell r="C5365" t="str">
            <v/>
          </cell>
          <cell r="D5365" t="str">
            <v>NJ</v>
          </cell>
          <cell r="E5365" t="str">
            <v/>
          </cell>
          <cell r="F5365" t="str">
            <v/>
          </cell>
          <cell r="G5365" t="str">
            <v>PILAS Y BATERIAS CALI SAS</v>
          </cell>
          <cell r="H5365" t="str">
            <v>RECO</v>
          </cell>
          <cell r="I5365" t="str">
            <v>REGIMEN COMUN</v>
          </cell>
          <cell r="J5365" t="str">
            <v>CL 23 D NORTE AV 5 A 44</v>
          </cell>
          <cell r="K5365" t="str">
            <v>76001</v>
          </cell>
          <cell r="L5365" t="str">
            <v>CALI</v>
          </cell>
          <cell r="M5365" t="str">
            <v>6535704</v>
          </cell>
        </row>
        <row r="5366">
          <cell r="A5366">
            <v>900563015</v>
          </cell>
          <cell r="B5366" t="str">
            <v>0</v>
          </cell>
          <cell r="C5366" t="str">
            <v/>
          </cell>
          <cell r="D5366" t="str">
            <v>NJ</v>
          </cell>
          <cell r="E5366" t="str">
            <v/>
          </cell>
          <cell r="F5366" t="str">
            <v/>
          </cell>
          <cell r="G5366" t="str">
            <v>CONSTRUCCIONES MODULARES &amp; CIA SAS</v>
          </cell>
          <cell r="H5366" t="str">
            <v>RECO</v>
          </cell>
          <cell r="I5366" t="str">
            <v>REGIMEN COMUN</v>
          </cell>
          <cell r="J5366" t="str">
            <v>KM 6 VIA PEREIRA CERRITOS HC LA MANUELA COSTADO IZQ</v>
          </cell>
          <cell r="K5366" t="str">
            <v>66001</v>
          </cell>
          <cell r="L5366" t="str">
            <v>PEREIRA</v>
          </cell>
          <cell r="M5366" t="str">
            <v>3167404491</v>
          </cell>
        </row>
        <row r="5367">
          <cell r="A5367">
            <v>900563089</v>
          </cell>
          <cell r="B5367" t="str">
            <v>5</v>
          </cell>
          <cell r="C5367" t="str">
            <v/>
          </cell>
          <cell r="D5367" t="str">
            <v>NJ</v>
          </cell>
          <cell r="E5367" t="str">
            <v/>
          </cell>
          <cell r="F5367" t="str">
            <v/>
          </cell>
          <cell r="G5367" t="str">
            <v>HYDROINGENIERIA SAS</v>
          </cell>
          <cell r="H5367" t="str">
            <v>RECO</v>
          </cell>
          <cell r="I5367" t="str">
            <v>REGIMEN COMUN</v>
          </cell>
          <cell r="J5367" t="str">
            <v>CL 33 8 62 BRR CAÑAVERAL ALTO</v>
          </cell>
          <cell r="K5367" t="str">
            <v>68276</v>
          </cell>
          <cell r="L5367" t="str">
            <v>FLORIDABLANCA</v>
          </cell>
          <cell r="M5367" t="str">
            <v>3164693623</v>
          </cell>
        </row>
        <row r="5368">
          <cell r="A5368">
            <v>900565021</v>
          </cell>
          <cell r="B5368" t="str">
            <v>4</v>
          </cell>
          <cell r="C5368" t="str">
            <v/>
          </cell>
          <cell r="D5368" t="str">
            <v>NJ</v>
          </cell>
          <cell r="E5368" t="str">
            <v/>
          </cell>
          <cell r="F5368" t="str">
            <v/>
          </cell>
          <cell r="G5368" t="str">
            <v>AMS UNION SAS</v>
          </cell>
          <cell r="H5368" t="str">
            <v>RECO</v>
          </cell>
          <cell r="I5368" t="str">
            <v>REGIMEN COMUN</v>
          </cell>
          <cell r="J5368" t="str">
            <v>CL 19 A 43 B 170 BG 2</v>
          </cell>
          <cell r="K5368" t="str">
            <v>05001</v>
          </cell>
          <cell r="L5368" t="str">
            <v>MEDELLÍN</v>
          </cell>
          <cell r="M5368" t="str">
            <v>316224677</v>
          </cell>
        </row>
        <row r="5369">
          <cell r="A5369">
            <v>900565458</v>
          </cell>
          <cell r="B5369" t="str">
            <v>9</v>
          </cell>
          <cell r="C5369" t="str">
            <v/>
          </cell>
          <cell r="D5369" t="str">
            <v>NJ</v>
          </cell>
          <cell r="E5369" t="str">
            <v/>
          </cell>
          <cell r="F5369" t="str">
            <v/>
          </cell>
          <cell r="G5369" t="str">
            <v>VENELIN COLOMBIA SAS</v>
          </cell>
          <cell r="H5369" t="str">
            <v>IMVE</v>
          </cell>
          <cell r="I5369" t="str">
            <v>IMPUESTO SOBRE LAS VENTAS</v>
          </cell>
          <cell r="J5369" t="str">
            <v xml:space="preserve"> CL 72 19 08 LC 1 BRR LA LIBERTAD</v>
          </cell>
          <cell r="K5369" t="str">
            <v>68081</v>
          </cell>
          <cell r="L5369" t="str">
            <v>BARRANCABERMEJA</v>
          </cell>
          <cell r="M5369" t="str">
            <v>3184367397</v>
          </cell>
        </row>
        <row r="5370">
          <cell r="A5370">
            <v>900566466</v>
          </cell>
          <cell r="B5370" t="str">
            <v>2</v>
          </cell>
          <cell r="C5370" t="str">
            <v/>
          </cell>
          <cell r="D5370" t="str">
            <v>NJ</v>
          </cell>
          <cell r="E5370" t="str">
            <v/>
          </cell>
          <cell r="F5370" t="str">
            <v/>
          </cell>
          <cell r="G5370" t="str">
            <v>MULTITEST SAS</v>
          </cell>
          <cell r="H5370" t="str">
            <v>RECO</v>
          </cell>
          <cell r="I5370" t="str">
            <v>REGIMEN COMUN</v>
          </cell>
          <cell r="J5370" t="str">
            <v>CL 75 13 58 OF 203</v>
          </cell>
          <cell r="K5370" t="str">
            <v>11001</v>
          </cell>
          <cell r="L5370" t="str">
            <v>BOGOTA DC</v>
          </cell>
          <cell r="M5370" t="str">
            <v>6449800</v>
          </cell>
        </row>
        <row r="5371">
          <cell r="A5371">
            <v>900566540</v>
          </cell>
          <cell r="B5371" t="str">
            <v>1</v>
          </cell>
          <cell r="C5371" t="str">
            <v/>
          </cell>
          <cell r="D5371" t="str">
            <v>NJ</v>
          </cell>
          <cell r="E5371" t="str">
            <v/>
          </cell>
          <cell r="F5371" t="str">
            <v/>
          </cell>
          <cell r="G5371" t="str">
            <v>SOCIEDAD COMERCIALIZADORA DE EQUIPOS Y CONSTRUCCIONES S.A.S</v>
          </cell>
          <cell r="H5371" t="str">
            <v>IMVE</v>
          </cell>
          <cell r="I5371" t="str">
            <v>IMPUESTO SOBRE LAS VENTAS</v>
          </cell>
          <cell r="J5371" t="str">
            <v>CL 18 86 55 IN 3 AP 901</v>
          </cell>
          <cell r="K5371" t="str">
            <v>11001</v>
          </cell>
          <cell r="L5371" t="str">
            <v>BOGOTA DC</v>
          </cell>
          <cell r="M5371" t="str">
            <v>3102555219</v>
          </cell>
        </row>
        <row r="5372">
          <cell r="A5372">
            <v>900567045</v>
          </cell>
          <cell r="B5372" t="str">
            <v>1</v>
          </cell>
          <cell r="C5372" t="str">
            <v/>
          </cell>
          <cell r="D5372" t="str">
            <v>NJ</v>
          </cell>
          <cell r="E5372" t="str">
            <v/>
          </cell>
          <cell r="F5372" t="str">
            <v/>
          </cell>
          <cell r="G5372" t="str">
            <v>INGENIERÍA Y TOPOGRAFÍA DE COLOMBIA S.A.S.</v>
          </cell>
          <cell r="H5372" t="str">
            <v>IMVE</v>
          </cell>
          <cell r="I5372" t="str">
            <v>IMPUESTO SOBRE LAS VENTAS</v>
          </cell>
          <cell r="J5372" t="str">
            <v xml:space="preserve"> CR 35 A 15 B 35 OF 620</v>
          </cell>
          <cell r="K5372" t="str">
            <v>05002</v>
          </cell>
          <cell r="L5372" t="str">
            <v>MEDELLIN</v>
          </cell>
          <cell r="M5372" t="str">
            <v>5811118</v>
          </cell>
        </row>
        <row r="5373">
          <cell r="A5373">
            <v>900568326</v>
          </cell>
          <cell r="B5373" t="str">
            <v>9</v>
          </cell>
          <cell r="C5373" t="str">
            <v/>
          </cell>
          <cell r="D5373" t="str">
            <v>NJ</v>
          </cell>
          <cell r="E5373" t="str">
            <v/>
          </cell>
          <cell r="F5373" t="str">
            <v/>
          </cell>
          <cell r="G5373" t="str">
            <v>SERVICIOS ESPECIALIZADOS SERVICOL SAS</v>
          </cell>
          <cell r="H5373" t="str">
            <v>RECO</v>
          </cell>
          <cell r="I5373" t="str">
            <v>REGIMEN COMUN</v>
          </cell>
          <cell r="J5373" t="str">
            <v>CL 17 14 48 OF 302</v>
          </cell>
          <cell r="K5373" t="str">
            <v>63001</v>
          </cell>
          <cell r="L5373" t="str">
            <v>ARMENIA</v>
          </cell>
          <cell r="M5373" t="str">
            <v>7467373</v>
          </cell>
        </row>
        <row r="5374">
          <cell r="A5374">
            <v>900569311</v>
          </cell>
          <cell r="B5374" t="str">
            <v>3</v>
          </cell>
          <cell r="C5374" t="str">
            <v/>
          </cell>
          <cell r="D5374" t="str">
            <v>NJ</v>
          </cell>
          <cell r="E5374" t="str">
            <v/>
          </cell>
          <cell r="F5374" t="str">
            <v/>
          </cell>
          <cell r="G5374" t="str">
            <v>COLEGIATURA DEL CAFE S,A,S</v>
          </cell>
          <cell r="H5374" t="str">
            <v>IMVE</v>
          </cell>
          <cell r="I5374" t="str">
            <v>IMPUESTO SOBRE LAS VENTAS</v>
          </cell>
          <cell r="J5374" t="str">
            <v>CL 51 21 27 BRR LA ARGENTINA</v>
          </cell>
          <cell r="K5374" t="str">
            <v>17001</v>
          </cell>
          <cell r="L5374" t="str">
            <v>MANIZALES</v>
          </cell>
          <cell r="M5374" t="str">
            <v>3002273951</v>
          </cell>
        </row>
        <row r="5375">
          <cell r="A5375">
            <v>900569385</v>
          </cell>
          <cell r="B5375" t="str">
            <v>8</v>
          </cell>
          <cell r="C5375" t="str">
            <v/>
          </cell>
          <cell r="D5375" t="str">
            <v>NJ</v>
          </cell>
          <cell r="E5375" t="str">
            <v/>
          </cell>
          <cell r="F5375" t="str">
            <v/>
          </cell>
          <cell r="G5375" t="str">
            <v>HOTELES DE BALATA SAS</v>
          </cell>
          <cell r="H5375" t="str">
            <v>RECO</v>
          </cell>
          <cell r="I5375" t="str">
            <v>REGIMEN COMUN</v>
          </cell>
          <cell r="J5375" t="str">
            <v>CR 39 C   38 C   10</v>
          </cell>
          <cell r="K5375" t="str">
            <v>50001</v>
          </cell>
          <cell r="L5375" t="str">
            <v>VILLAVICENCIO</v>
          </cell>
          <cell r="M5375" t="str">
            <v>6680666</v>
          </cell>
        </row>
        <row r="5376">
          <cell r="A5376">
            <v>900569852</v>
          </cell>
          <cell r="B5376" t="str">
            <v>6</v>
          </cell>
          <cell r="C5376" t="str">
            <v/>
          </cell>
          <cell r="D5376" t="str">
            <v>NJ</v>
          </cell>
          <cell r="E5376" t="str">
            <v/>
          </cell>
          <cell r="F5376" t="str">
            <v/>
          </cell>
          <cell r="G5376" t="str">
            <v>BYTELINK SAS</v>
          </cell>
          <cell r="H5376" t="str">
            <v>IMVE</v>
          </cell>
          <cell r="I5376" t="str">
            <v>IMPUESTO SOBRE LAS VENTAS</v>
          </cell>
          <cell r="J5376" t="str">
            <v>CL 106 54 14 OF 406</v>
          </cell>
          <cell r="K5376" t="str">
            <v>11001</v>
          </cell>
          <cell r="L5376" t="str">
            <v>BOGOTA DC</v>
          </cell>
          <cell r="M5376" t="str">
            <v>3214452501</v>
          </cell>
        </row>
        <row r="5377">
          <cell r="A5377">
            <v>900570659</v>
          </cell>
          <cell r="B5377" t="str">
            <v>2</v>
          </cell>
          <cell r="C5377" t="str">
            <v/>
          </cell>
          <cell r="D5377" t="str">
            <v>NJ</v>
          </cell>
          <cell r="E5377" t="str">
            <v/>
          </cell>
          <cell r="F5377" t="str">
            <v/>
          </cell>
          <cell r="G5377" t="str">
            <v>ASOCIACION COLOMBIA LIDER</v>
          </cell>
          <cell r="H5377" t="str">
            <v>RECO</v>
          </cell>
          <cell r="I5377" t="str">
            <v>REGIMEN COMUN</v>
          </cell>
          <cell r="J5377" t="str">
            <v>CR 11 A 93 94 OF 304</v>
          </cell>
          <cell r="K5377" t="str">
            <v>11001</v>
          </cell>
          <cell r="L5377" t="str">
            <v>BOGOTA DC</v>
          </cell>
          <cell r="M5377" t="str">
            <v>3176438833</v>
          </cell>
        </row>
        <row r="5378">
          <cell r="A5378">
            <v>900570681</v>
          </cell>
          <cell r="B5378" t="str">
            <v>5</v>
          </cell>
          <cell r="C5378" t="str">
            <v/>
          </cell>
          <cell r="D5378" t="str">
            <v>NJ</v>
          </cell>
          <cell r="E5378" t="str">
            <v/>
          </cell>
          <cell r="F5378" t="str">
            <v/>
          </cell>
          <cell r="G5378" t="str">
            <v>VERTISUB COLOMBIA SAS</v>
          </cell>
          <cell r="H5378" t="str">
            <v>IMVE</v>
          </cell>
          <cell r="I5378" t="str">
            <v>IMPUESTO SOBRE LAS VENTAS</v>
          </cell>
          <cell r="J5378" t="str">
            <v>CL  163 A 16 A 58 BRR TOBERIN</v>
          </cell>
          <cell r="K5378" t="str">
            <v>11001</v>
          </cell>
          <cell r="L5378" t="str">
            <v>BOGOTA DC</v>
          </cell>
          <cell r="M5378" t="str">
            <v>6716620</v>
          </cell>
        </row>
        <row r="5379">
          <cell r="A5379">
            <v>900571428</v>
          </cell>
          <cell r="B5379" t="str">
            <v>2</v>
          </cell>
          <cell r="C5379" t="str">
            <v/>
          </cell>
          <cell r="D5379" t="str">
            <v>NJ</v>
          </cell>
          <cell r="E5379" t="str">
            <v/>
          </cell>
          <cell r="F5379" t="str">
            <v/>
          </cell>
          <cell r="G5379" t="str">
            <v>LOTERO ZULUAGA ABOGADOS S.A.S.</v>
          </cell>
          <cell r="H5379" t="str">
            <v>RECO</v>
          </cell>
          <cell r="I5379" t="str">
            <v>REGIMEN COMUN</v>
          </cell>
          <cell r="J5379" t="str">
            <v>CR 5 71 45 OF 301</v>
          </cell>
          <cell r="K5379" t="str">
            <v>11001</v>
          </cell>
          <cell r="L5379" t="str">
            <v>BOGOTA DC</v>
          </cell>
          <cell r="M5379" t="str">
            <v>7049808</v>
          </cell>
        </row>
        <row r="5380">
          <cell r="A5380">
            <v>900571479</v>
          </cell>
          <cell r="B5380" t="str">
            <v>8</v>
          </cell>
          <cell r="C5380" t="str">
            <v/>
          </cell>
          <cell r="D5380" t="str">
            <v>NJ</v>
          </cell>
          <cell r="E5380" t="str">
            <v/>
          </cell>
          <cell r="F5380" t="str">
            <v/>
          </cell>
          <cell r="G5380" t="str">
            <v>HERNANDEZ INGENIERÍA S.A.S</v>
          </cell>
          <cell r="H5380" t="str">
            <v>RECO</v>
          </cell>
          <cell r="I5380" t="str">
            <v>REGIMEN COMUN</v>
          </cell>
          <cell r="J5380" t="str">
            <v xml:space="preserve"> CL 68 34 29</v>
          </cell>
          <cell r="K5380" t="str">
            <v>17001</v>
          </cell>
          <cell r="L5380" t="str">
            <v>MANIZALES</v>
          </cell>
          <cell r="M5380" t="str">
            <v>8785100</v>
          </cell>
        </row>
        <row r="5381">
          <cell r="A5381">
            <v>900571849</v>
          </cell>
          <cell r="B5381" t="str">
            <v>1</v>
          </cell>
          <cell r="C5381" t="str">
            <v/>
          </cell>
          <cell r="D5381" t="str">
            <v>NJ</v>
          </cell>
          <cell r="E5381" t="str">
            <v/>
          </cell>
          <cell r="F5381" t="str">
            <v/>
          </cell>
          <cell r="G5381" t="str">
            <v>GREEN SERVICES AND SOLUTIONS SAS</v>
          </cell>
          <cell r="H5381" t="str">
            <v>IMVE</v>
          </cell>
          <cell r="I5381" t="str">
            <v>IMPUESTO SOBRE LAS VENTAS</v>
          </cell>
          <cell r="J5381" t="str">
            <v>CR 43 9 S  U  R 195 O  F 731</v>
          </cell>
          <cell r="K5381" t="str">
            <v>11</v>
          </cell>
          <cell r="L5381" t="str">
            <v>ANTIOQUIA</v>
          </cell>
          <cell r="M5381" t="str">
            <v>3662657</v>
          </cell>
        </row>
        <row r="5382">
          <cell r="A5382">
            <v>900572068</v>
          </cell>
          <cell r="B5382" t="str">
            <v>9</v>
          </cell>
          <cell r="C5382" t="str">
            <v/>
          </cell>
          <cell r="D5382" t="str">
            <v>NJ</v>
          </cell>
          <cell r="E5382" t="str">
            <v/>
          </cell>
          <cell r="F5382" t="str">
            <v/>
          </cell>
          <cell r="G5382" t="str">
            <v>THERMOPOWER S.A.S.</v>
          </cell>
          <cell r="H5382" t="str">
            <v>IMVE</v>
          </cell>
          <cell r="I5382" t="str">
            <v>IMPUESTO SOBRE LAS VENTAS</v>
          </cell>
          <cell r="J5382" t="str">
            <v xml:space="preserve"> CL 147 11 10 TO 1 AP 1604 ED CEDRITOS 147</v>
          </cell>
          <cell r="K5382" t="str">
            <v>11001</v>
          </cell>
          <cell r="L5382" t="str">
            <v>BOGOTA DC</v>
          </cell>
          <cell r="M5382" t="str">
            <v>3222699354</v>
          </cell>
        </row>
        <row r="5383">
          <cell r="A5383">
            <v>900572163</v>
          </cell>
          <cell r="B5383" t="str">
            <v>0</v>
          </cell>
          <cell r="C5383" t="str">
            <v/>
          </cell>
          <cell r="D5383" t="str">
            <v>NJ</v>
          </cell>
          <cell r="E5383" t="str">
            <v/>
          </cell>
          <cell r="F5383" t="str">
            <v/>
          </cell>
          <cell r="G5383" t="str">
            <v>HOTELES DE LA ESPERANZA SAS</v>
          </cell>
          <cell r="H5383" t="str">
            <v>GRCO</v>
          </cell>
          <cell r="I5383" t="str">
            <v>GRAN CONTRIBUYENTE</v>
          </cell>
          <cell r="J5383" t="str">
            <v>Calle 25 B No.69 C - 80</v>
          </cell>
          <cell r="K5383" t="str">
            <v>11001</v>
          </cell>
          <cell r="L5383" t="str">
            <v>BOGOTA DC</v>
          </cell>
          <cell r="M5383" t="str">
            <v>21050000</v>
          </cell>
        </row>
        <row r="5384">
          <cell r="A5384">
            <v>900572661</v>
          </cell>
          <cell r="B5384" t="str">
            <v>7</v>
          </cell>
          <cell r="C5384" t="str">
            <v/>
          </cell>
          <cell r="D5384" t="str">
            <v>NJ</v>
          </cell>
          <cell r="E5384" t="str">
            <v/>
          </cell>
          <cell r="F5384" t="str">
            <v/>
          </cell>
          <cell r="G5384" t="str">
            <v>IMPORTADORA DISTRIBUIDORA COMERCIALIZADORA Y SERVICIOS 1A S.A.S</v>
          </cell>
          <cell r="H5384" t="str">
            <v>IMVE</v>
          </cell>
          <cell r="I5384" t="str">
            <v>IMPUESTO SOBRE LAS VENTAS</v>
          </cell>
          <cell r="J5384" t="str">
            <v>CR 39 15 A 04</v>
          </cell>
          <cell r="K5384" t="str">
            <v>15238</v>
          </cell>
          <cell r="L5384" t="str">
            <v>DUITAMA</v>
          </cell>
          <cell r="M5384" t="str">
            <v>3212003577</v>
          </cell>
        </row>
        <row r="5385">
          <cell r="A5385">
            <v>900573843</v>
          </cell>
          <cell r="B5385" t="str">
            <v>5</v>
          </cell>
          <cell r="C5385" t="str">
            <v/>
          </cell>
          <cell r="D5385" t="str">
            <v>NJ</v>
          </cell>
          <cell r="E5385" t="str">
            <v/>
          </cell>
          <cell r="F5385" t="str">
            <v/>
          </cell>
          <cell r="G5385" t="str">
            <v>MINERALES SUAMOX SAS</v>
          </cell>
          <cell r="H5385" t="str">
            <v>RECO</v>
          </cell>
          <cell r="I5385" t="str">
            <v>REGIMEN COMUN</v>
          </cell>
          <cell r="J5385" t="str">
            <v>VIA BELENCITO KM 5</v>
          </cell>
          <cell r="K5385" t="str">
            <v>15759</v>
          </cell>
          <cell r="L5385" t="str">
            <v>SOGAMOSO</v>
          </cell>
          <cell r="M5385" t="str">
            <v>3133267430</v>
          </cell>
        </row>
        <row r="5386">
          <cell r="A5386">
            <v>900573953</v>
          </cell>
          <cell r="B5386" t="str">
            <v>7</v>
          </cell>
          <cell r="C5386" t="str">
            <v/>
          </cell>
          <cell r="D5386" t="str">
            <v>NJ</v>
          </cell>
          <cell r="E5386" t="str">
            <v/>
          </cell>
          <cell r="F5386" t="str">
            <v/>
          </cell>
          <cell r="G5386" t="str">
            <v>CASTELLANA 104 PARQUEADERO PAK SAS</v>
          </cell>
          <cell r="H5386" t="str">
            <v>RECO</v>
          </cell>
          <cell r="I5386" t="str">
            <v>REGIMEN COMUN</v>
          </cell>
          <cell r="J5386" t="str">
            <v>AK 19   104   49</v>
          </cell>
          <cell r="K5386" t="str">
            <v>11001</v>
          </cell>
          <cell r="L5386" t="str">
            <v>BOGOTA DC</v>
          </cell>
          <cell r="M5386" t="str">
            <v>2141475</v>
          </cell>
        </row>
        <row r="5387">
          <cell r="A5387">
            <v>900575563</v>
          </cell>
          <cell r="B5387" t="str">
            <v>7</v>
          </cell>
          <cell r="C5387" t="str">
            <v/>
          </cell>
          <cell r="D5387" t="str">
            <v>NJ</v>
          </cell>
          <cell r="E5387" t="str">
            <v/>
          </cell>
          <cell r="F5387" t="str">
            <v/>
          </cell>
          <cell r="G5387" t="str">
            <v>SOLUCIONES ENERGETICAS LIMPIAS SAS</v>
          </cell>
          <cell r="H5387" t="str">
            <v>IMVE</v>
          </cell>
          <cell r="I5387" t="str">
            <v>IMPUESTO SOBRE LAS VENTAS</v>
          </cell>
          <cell r="J5387" t="str">
            <v>CR 11 A 94 A 31 OF 209</v>
          </cell>
          <cell r="K5387" t="str">
            <v>11001</v>
          </cell>
          <cell r="L5387" t="str">
            <v>BOGOTA DC</v>
          </cell>
          <cell r="M5387" t="str">
            <v>7043517</v>
          </cell>
        </row>
        <row r="5388">
          <cell r="A5388">
            <v>900576068</v>
          </cell>
          <cell r="B5388" t="str">
            <v>7</v>
          </cell>
          <cell r="C5388" t="str">
            <v/>
          </cell>
          <cell r="D5388" t="str">
            <v>NJ</v>
          </cell>
          <cell r="E5388" t="str">
            <v/>
          </cell>
          <cell r="F5388" t="str">
            <v/>
          </cell>
          <cell r="G5388" t="str">
            <v>INDUSTRIAS GENASER S.A.S.</v>
          </cell>
          <cell r="H5388" t="str">
            <v>IMVE</v>
          </cell>
          <cell r="I5388" t="str">
            <v>IMPUESTO SOBRE LAS VENTAS</v>
          </cell>
          <cell r="J5388" t="str">
            <v>CR 9 () CON CL 8 A BRR JORGE ELIECER GAITAN</v>
          </cell>
          <cell r="K5388" t="str">
            <v>15491</v>
          </cell>
          <cell r="L5388" t="str">
            <v>NOBSA</v>
          </cell>
          <cell r="M5388" t="str">
            <v>3142585562</v>
          </cell>
        </row>
        <row r="5389">
          <cell r="A5389">
            <v>900576718</v>
          </cell>
          <cell r="B5389" t="str">
            <v>6</v>
          </cell>
          <cell r="C5389" t="str">
            <v/>
          </cell>
          <cell r="D5389" t="str">
            <v>NJ</v>
          </cell>
          <cell r="E5389" t="str">
            <v/>
          </cell>
          <cell r="F5389" t="str">
            <v/>
          </cell>
          <cell r="G5389" t="str">
            <v>SJ SEGURIDAD PRIVADA</v>
          </cell>
          <cell r="H5389" t="str">
            <v>RECO</v>
          </cell>
          <cell r="I5389" t="str">
            <v>REGIMEN COMUN</v>
          </cell>
          <cell r="J5389" t="str">
            <v>AV 6 N 50N BRR LAFLORA</v>
          </cell>
          <cell r="K5389" t="str">
            <v>17001</v>
          </cell>
          <cell r="L5389" t="str">
            <v>MANIZALES</v>
          </cell>
          <cell r="M5389" t="str">
            <v>3865290</v>
          </cell>
        </row>
        <row r="5390">
          <cell r="A5390">
            <v>900576991</v>
          </cell>
          <cell r="B5390" t="str">
            <v>0</v>
          </cell>
          <cell r="C5390" t="str">
            <v/>
          </cell>
          <cell r="D5390" t="str">
            <v>NJ</v>
          </cell>
          <cell r="E5390" t="str">
            <v/>
          </cell>
          <cell r="F5390" t="str">
            <v/>
          </cell>
          <cell r="G5390" t="str">
            <v>GRUPO EMPRESARIAL AG S.A.S</v>
          </cell>
          <cell r="H5390" t="str">
            <v>RECO</v>
          </cell>
          <cell r="I5390" t="str">
            <v>REGIMEN COMUN</v>
          </cell>
          <cell r="J5390" t="str">
            <v>CR 21 9 76 BRR CENTRO</v>
          </cell>
          <cell r="K5390" t="str">
            <v>85001</v>
          </cell>
          <cell r="L5390" t="str">
            <v>YOPAL</v>
          </cell>
          <cell r="M5390" t="str">
            <v>6324520</v>
          </cell>
        </row>
        <row r="5391">
          <cell r="A5391">
            <v>900577189</v>
          </cell>
          <cell r="B5391" t="str">
            <v>4</v>
          </cell>
          <cell r="C5391" t="str">
            <v/>
          </cell>
          <cell r="D5391" t="str">
            <v>NJ</v>
          </cell>
          <cell r="E5391" t="str">
            <v/>
          </cell>
          <cell r="F5391" t="str">
            <v/>
          </cell>
          <cell r="G5391" t="str">
            <v>CENTRO DIGITAL DE MANIZALES SAS</v>
          </cell>
          <cell r="H5391" t="str">
            <v>RECO</v>
          </cell>
          <cell r="I5391" t="str">
            <v>REGIMEN COMUN</v>
          </cell>
          <cell r="J5391" t="str">
            <v>CR 25 54 54</v>
          </cell>
          <cell r="K5391" t="str">
            <v>17001</v>
          </cell>
          <cell r="L5391" t="str">
            <v>MANIZALES</v>
          </cell>
          <cell r="M5391" t="str">
            <v>8901232</v>
          </cell>
        </row>
        <row r="5392">
          <cell r="A5392">
            <v>900579805</v>
          </cell>
          <cell r="B5392" t="str">
            <v>2</v>
          </cell>
          <cell r="C5392" t="str">
            <v/>
          </cell>
          <cell r="D5392" t="str">
            <v>NJ</v>
          </cell>
          <cell r="E5392" t="str">
            <v/>
          </cell>
          <cell r="F5392" t="str">
            <v/>
          </cell>
          <cell r="G5392" t="str">
            <v>DIESEL COMBULLSTION SAS</v>
          </cell>
          <cell r="H5392" t="str">
            <v>IMVE</v>
          </cell>
          <cell r="I5392" t="str">
            <v>IMPUESTO SOBRE LAS VENTAS</v>
          </cell>
          <cell r="J5392" t="str">
            <v>CR 79 A 11 A 40</v>
          </cell>
          <cell r="K5392" t="str">
            <v>11001</v>
          </cell>
          <cell r="L5392" t="str">
            <v>BOGOTA DC</v>
          </cell>
          <cell r="M5392" t="str">
            <v>3153385669</v>
          </cell>
        </row>
        <row r="5393">
          <cell r="A5393">
            <v>900580913</v>
          </cell>
          <cell r="B5393" t="str">
            <v>1</v>
          </cell>
          <cell r="C5393" t="str">
            <v/>
          </cell>
          <cell r="D5393" t="str">
            <v>NJ</v>
          </cell>
          <cell r="E5393" t="str">
            <v/>
          </cell>
          <cell r="F5393" t="str">
            <v/>
          </cell>
          <cell r="G5393" t="str">
            <v>A DVE INGENIERIA SAS</v>
          </cell>
          <cell r="H5393" t="str">
            <v>IMVE</v>
          </cell>
          <cell r="I5393" t="str">
            <v>IMPUESTO SOBRE LAS VENTAS</v>
          </cell>
          <cell r="J5393" t="str">
            <v>CR 24 37 54</v>
          </cell>
          <cell r="K5393" t="str">
            <v>11001</v>
          </cell>
          <cell r="L5393" t="str">
            <v>BOGOTA DC</v>
          </cell>
          <cell r="M5393" t="str">
            <v>4571288</v>
          </cell>
        </row>
        <row r="5394">
          <cell r="A5394">
            <v>900581542</v>
          </cell>
          <cell r="B5394" t="str">
            <v>7</v>
          </cell>
          <cell r="C5394" t="str">
            <v/>
          </cell>
          <cell r="D5394" t="str">
            <v>NJ</v>
          </cell>
          <cell r="E5394" t="str">
            <v/>
          </cell>
          <cell r="F5394" t="str">
            <v/>
          </cell>
          <cell r="G5394" t="str">
            <v>EL FARO ELECTRICO S.A.S</v>
          </cell>
          <cell r="H5394" t="str">
            <v>IMVE</v>
          </cell>
          <cell r="I5394" t="str">
            <v>IMPUESTO SOBRE LAS VENTAS</v>
          </cell>
          <cell r="J5394" t="str">
            <v>CR 16 11 77</v>
          </cell>
          <cell r="K5394" t="str">
            <v>15238</v>
          </cell>
          <cell r="L5394" t="str">
            <v>DUITAMA</v>
          </cell>
          <cell r="M5394" t="str">
            <v>3107950570</v>
          </cell>
        </row>
        <row r="5395">
          <cell r="A5395">
            <v>900582312</v>
          </cell>
          <cell r="B5395" t="str">
            <v>4</v>
          </cell>
          <cell r="C5395" t="str">
            <v/>
          </cell>
          <cell r="D5395" t="str">
            <v>NJ</v>
          </cell>
          <cell r="E5395" t="str">
            <v/>
          </cell>
          <cell r="F5395" t="str">
            <v/>
          </cell>
          <cell r="G5395" t="str">
            <v>INVERSIONES ALEXANDRA HERRERA OCHOA SAS</v>
          </cell>
          <cell r="H5395" t="str">
            <v>RECO</v>
          </cell>
          <cell r="I5395" t="str">
            <v>REGIMEN COMUN</v>
          </cell>
          <cell r="J5395" t="str">
            <v>CR 68 D   25 B 86 LC   1 30</v>
          </cell>
          <cell r="K5395" t="str">
            <v>11001</v>
          </cell>
          <cell r="L5395" t="str">
            <v>BOGOTA DC</v>
          </cell>
          <cell r="M5395" t="str">
            <v>4270933</v>
          </cell>
        </row>
        <row r="5396">
          <cell r="A5396">
            <v>900582496</v>
          </cell>
          <cell r="B5396" t="str">
            <v>0</v>
          </cell>
          <cell r="C5396" t="str">
            <v/>
          </cell>
          <cell r="D5396" t="str">
            <v>NJ</v>
          </cell>
          <cell r="E5396" t="str">
            <v/>
          </cell>
          <cell r="F5396" t="str">
            <v/>
          </cell>
          <cell r="G5396" t="str">
            <v>TERRASOS SAS</v>
          </cell>
          <cell r="H5396" t="str">
            <v>RECO</v>
          </cell>
          <cell r="I5396" t="str">
            <v>REGIMEN COMUN</v>
          </cell>
          <cell r="J5396" t="str">
            <v>CL 62 3  18  BRR CHAPINERO ALTO</v>
          </cell>
          <cell r="K5396" t="str">
            <v>11001</v>
          </cell>
          <cell r="L5396" t="str">
            <v>BOGOTA DC</v>
          </cell>
          <cell r="M5396" t="str">
            <v>3138326139</v>
          </cell>
        </row>
        <row r="5397">
          <cell r="A5397">
            <v>900582721</v>
          </cell>
          <cell r="B5397" t="str">
            <v>3</v>
          </cell>
          <cell r="C5397" t="str">
            <v/>
          </cell>
          <cell r="D5397" t="str">
            <v>NJ</v>
          </cell>
          <cell r="E5397" t="str">
            <v/>
          </cell>
          <cell r="F5397" t="str">
            <v/>
          </cell>
          <cell r="G5397" t="str">
            <v>DRENES ANCLAJES Y CIMENTACIONES S.A.S.</v>
          </cell>
          <cell r="H5397" t="str">
            <v>IMVE</v>
          </cell>
          <cell r="I5397" t="str">
            <v>IMPUESTO SOBRE LAS VENTAS</v>
          </cell>
          <cell r="J5397" t="str">
            <v xml:space="preserve"> CR 23 63 07 ED CASTILLO OF 301</v>
          </cell>
          <cell r="K5397" t="str">
            <v>17001</v>
          </cell>
          <cell r="L5397" t="str">
            <v>MANIZALES</v>
          </cell>
          <cell r="M5397" t="str">
            <v>3137959338</v>
          </cell>
        </row>
        <row r="5398">
          <cell r="A5398">
            <v>900582888</v>
          </cell>
          <cell r="B5398" t="str">
            <v>4</v>
          </cell>
          <cell r="C5398" t="str">
            <v/>
          </cell>
          <cell r="D5398" t="str">
            <v>NJ</v>
          </cell>
          <cell r="E5398" t="str">
            <v/>
          </cell>
          <cell r="F5398" t="str">
            <v/>
          </cell>
          <cell r="G5398" t="str">
            <v>FABRICACIONES MONTAJES Y TUBERIAS S.A.S</v>
          </cell>
          <cell r="H5398" t="str">
            <v>RECO</v>
          </cell>
          <cell r="I5398" t="str">
            <v>REGIMEN COMUN</v>
          </cell>
          <cell r="J5398" t="str">
            <v>BRR LA FLORIDA VIA PANAMERICANA KM  3</v>
          </cell>
          <cell r="K5398" t="str">
            <v>17001</v>
          </cell>
          <cell r="L5398" t="str">
            <v>MANIZALES</v>
          </cell>
          <cell r="M5398" t="str">
            <v>8894484</v>
          </cell>
        </row>
        <row r="5399">
          <cell r="A5399">
            <v>900582995</v>
          </cell>
          <cell r="B5399" t="str">
            <v>4</v>
          </cell>
          <cell r="C5399" t="str">
            <v/>
          </cell>
          <cell r="D5399" t="str">
            <v>NJ</v>
          </cell>
          <cell r="E5399" t="str">
            <v/>
          </cell>
          <cell r="F5399" t="str">
            <v/>
          </cell>
          <cell r="G5399" t="str">
            <v>ALMACENES ANDINO SAS</v>
          </cell>
          <cell r="H5399" t="str">
            <v>RECO</v>
          </cell>
          <cell r="I5399" t="str">
            <v>REGIMEN COMUN</v>
          </cell>
          <cell r="J5399" t="str">
            <v>CR 23 51 84</v>
          </cell>
          <cell r="K5399" t="str">
            <v>17001</v>
          </cell>
          <cell r="L5399" t="str">
            <v>MANIZALES</v>
          </cell>
          <cell r="M5399" t="str">
            <v>8813622</v>
          </cell>
        </row>
        <row r="5400">
          <cell r="A5400">
            <v>900583489</v>
          </cell>
          <cell r="B5400" t="str">
            <v>3</v>
          </cell>
          <cell r="C5400" t="str">
            <v/>
          </cell>
          <cell r="D5400" t="str">
            <v>NJ</v>
          </cell>
          <cell r="E5400" t="str">
            <v/>
          </cell>
          <cell r="F5400" t="str">
            <v/>
          </cell>
          <cell r="G5400" t="str">
            <v>INGENIERIA CALIDAD Y MEDICION LTDA</v>
          </cell>
          <cell r="H5400" t="str">
            <v>IMVE</v>
          </cell>
          <cell r="I5400" t="str">
            <v>IMPUESTO SOBRE LAS VENTAS</v>
          </cell>
          <cell r="J5400" t="str">
            <v>TV 19  BIS 46  13  BRR PALERMO</v>
          </cell>
          <cell r="K5400" t="str">
            <v>11001</v>
          </cell>
          <cell r="L5400" t="str">
            <v>BOGOTA DC</v>
          </cell>
          <cell r="M5400" t="str">
            <v>2327870</v>
          </cell>
        </row>
        <row r="5401">
          <cell r="A5401">
            <v>900584027</v>
          </cell>
          <cell r="B5401" t="str">
            <v>9</v>
          </cell>
          <cell r="C5401" t="str">
            <v/>
          </cell>
          <cell r="D5401" t="str">
            <v>NJ</v>
          </cell>
          <cell r="E5401" t="str">
            <v/>
          </cell>
          <cell r="F5401" t="str">
            <v/>
          </cell>
          <cell r="G5401" t="str">
            <v>SOCIEDAD AVELLANEDA CARBON DEL SALITRE SAS</v>
          </cell>
          <cell r="H5401" t="str">
            <v>REOR</v>
          </cell>
          <cell r="I5401" t="str">
            <v>RENTA REGIMEN ORDINARIO</v>
          </cell>
          <cell r="J5401" t="str">
            <v>VDA EL SALITRE MINA</v>
          </cell>
          <cell r="K5401" t="str">
            <v>15516</v>
          </cell>
          <cell r="L5401" t="str">
            <v>PAIPA</v>
          </cell>
          <cell r="M5401" t="str">
            <v>3156486110</v>
          </cell>
        </row>
        <row r="5402">
          <cell r="A5402">
            <v>900584380</v>
          </cell>
          <cell r="B5402" t="str">
            <v>4</v>
          </cell>
          <cell r="C5402" t="str">
            <v/>
          </cell>
          <cell r="D5402" t="str">
            <v>NJ</v>
          </cell>
          <cell r="E5402" t="str">
            <v/>
          </cell>
          <cell r="F5402" t="str">
            <v/>
          </cell>
          <cell r="G5402" t="str">
            <v>TRANSUMILLAN S.A.S</v>
          </cell>
          <cell r="H5402" t="str">
            <v>RECO</v>
          </cell>
          <cell r="I5402" t="str">
            <v>REGIMEN COMUN</v>
          </cell>
          <cell r="J5402" t="str">
            <v>CR 7 2 74</v>
          </cell>
          <cell r="K5402" t="str">
            <v>99524</v>
          </cell>
          <cell r="L5402" t="str">
            <v>LA PRIMAVERA</v>
          </cell>
          <cell r="M5402" t="str">
            <v>3214007802</v>
          </cell>
        </row>
        <row r="5403">
          <cell r="A5403">
            <v>900584973</v>
          </cell>
          <cell r="B5403" t="str">
            <v>1</v>
          </cell>
          <cell r="C5403" t="str">
            <v/>
          </cell>
          <cell r="D5403" t="str">
            <v>NJ</v>
          </cell>
          <cell r="E5403" t="str">
            <v/>
          </cell>
          <cell r="F5403" t="str">
            <v/>
          </cell>
          <cell r="G5403" t="str">
            <v>SGC CRANES SAS</v>
          </cell>
          <cell r="H5403" t="str">
            <v>IMVE</v>
          </cell>
          <cell r="I5403" t="str">
            <v>IMPUESTO SOBRE LAS VENTAS</v>
          </cell>
          <cell r="J5403" t="str">
            <v xml:space="preserve"> AUT MEDELLIN KM 3 5 VIA SIBERIA - COTA CEN EMP DE NEG P H OF B</v>
          </cell>
          <cell r="K5403" t="str">
            <v>25214</v>
          </cell>
          <cell r="L5403" t="str">
            <v>COTA</v>
          </cell>
          <cell r="M5403" t="str">
            <v>8415034</v>
          </cell>
        </row>
        <row r="5404">
          <cell r="A5404">
            <v>900585787</v>
          </cell>
          <cell r="B5404" t="str">
            <v>2</v>
          </cell>
          <cell r="C5404" t="str">
            <v/>
          </cell>
          <cell r="D5404" t="str">
            <v>NJ</v>
          </cell>
          <cell r="E5404" t="str">
            <v/>
          </cell>
          <cell r="F5404" t="str">
            <v/>
          </cell>
          <cell r="G5404" t="str">
            <v>DICOSELEC SAS</v>
          </cell>
          <cell r="H5404" t="str">
            <v>RECO</v>
          </cell>
          <cell r="I5404" t="str">
            <v>REGIMEN COMUN</v>
          </cell>
          <cell r="J5404" t="str">
            <v>CL  27  44   C  274  AP  304  BL  8 CONJ ALTOS DE VILLA CODEM</v>
          </cell>
          <cell r="K5404" t="str">
            <v>17001</v>
          </cell>
          <cell r="L5404" t="str">
            <v>MANIZALES</v>
          </cell>
          <cell r="M5404" t="str">
            <v>3143812793</v>
          </cell>
        </row>
        <row r="5405">
          <cell r="A5405">
            <v>900585956</v>
          </cell>
          <cell r="B5405" t="str">
            <v>0</v>
          </cell>
          <cell r="C5405" t="str">
            <v/>
          </cell>
          <cell r="D5405" t="str">
            <v>NJ</v>
          </cell>
          <cell r="E5405" t="str">
            <v/>
          </cell>
          <cell r="F5405" t="str">
            <v/>
          </cell>
          <cell r="G5405" t="str">
            <v>SUBWAY ATALTICO SAS</v>
          </cell>
          <cell r="H5405" t="str">
            <v>RECO</v>
          </cell>
          <cell r="I5405" t="str">
            <v>REGIMEN COMUN</v>
          </cell>
          <cell r="J5405" t="str">
            <v>BRR BOCAGRANDE CR 1   13-52</v>
          </cell>
          <cell r="K5405" t="str">
            <v>19100</v>
          </cell>
          <cell r="L5405" t="str">
            <v>BOLÍVAR</v>
          </cell>
          <cell r="M5405" t="str">
            <v>3015118833</v>
          </cell>
        </row>
        <row r="5406">
          <cell r="A5406">
            <v>900586872</v>
          </cell>
          <cell r="B5406" t="str">
            <v>5</v>
          </cell>
          <cell r="C5406" t="str">
            <v/>
          </cell>
          <cell r="D5406" t="str">
            <v>NJ</v>
          </cell>
          <cell r="E5406" t="str">
            <v/>
          </cell>
          <cell r="F5406" t="str">
            <v/>
          </cell>
          <cell r="G5406" t="str">
            <v>OPTIMA CONSULTORES SAS</v>
          </cell>
          <cell r="H5406" t="str">
            <v>IMVE</v>
          </cell>
          <cell r="I5406" t="str">
            <v>IMPUESTO SOBRE LAS VENTAS</v>
          </cell>
          <cell r="J5406" t="str">
            <v>CL 106 N 57-23 OFICINA 604</v>
          </cell>
          <cell r="K5406" t="str">
            <v>11001</v>
          </cell>
          <cell r="L5406" t="str">
            <v>BOGOTA DC</v>
          </cell>
          <cell r="M5406" t="str">
            <v>3838367</v>
          </cell>
        </row>
        <row r="5407">
          <cell r="A5407">
            <v>900587343</v>
          </cell>
          <cell r="B5407" t="str">
            <v>5</v>
          </cell>
          <cell r="C5407" t="str">
            <v/>
          </cell>
          <cell r="D5407" t="str">
            <v>NJ</v>
          </cell>
          <cell r="E5407" t="str">
            <v/>
          </cell>
          <cell r="F5407" t="str">
            <v/>
          </cell>
          <cell r="G5407" t="str">
            <v>FUNDACIÓN IMPACTO RECREACIÓN</v>
          </cell>
          <cell r="H5407" t="str">
            <v>IMVE</v>
          </cell>
          <cell r="I5407" t="str">
            <v>IMPUESTO SOBRE LAS VENTAS</v>
          </cell>
          <cell r="J5407" t="str">
            <v xml:space="preserve"> CR 27 A 49 34</v>
          </cell>
          <cell r="K5407" t="str">
            <v>17001</v>
          </cell>
          <cell r="L5407" t="str">
            <v>MANIZALES</v>
          </cell>
          <cell r="M5407" t="str">
            <v>8854559</v>
          </cell>
        </row>
        <row r="5408">
          <cell r="A5408">
            <v>900588333</v>
          </cell>
          <cell r="B5408" t="str">
            <v>6</v>
          </cell>
          <cell r="C5408" t="str">
            <v/>
          </cell>
          <cell r="D5408" t="str">
            <v>NJ</v>
          </cell>
          <cell r="E5408" t="str">
            <v/>
          </cell>
          <cell r="F5408" t="str">
            <v/>
          </cell>
          <cell r="G5408" t="str">
            <v>SOCIEDAD COMERCIALIZADORA INTEGRAL AVENDAÑO CAMARGO SAS</v>
          </cell>
          <cell r="H5408" t="str">
            <v>RECO</v>
          </cell>
          <cell r="I5408" t="str">
            <v>REGIMEN COMUN</v>
          </cell>
          <cell r="J5408" t="str">
            <v>CL 25 21 10</v>
          </cell>
          <cell r="K5408" t="str">
            <v>15516</v>
          </cell>
          <cell r="L5408" t="str">
            <v>PAIPA</v>
          </cell>
          <cell r="M5408" t="str">
            <v>7850281</v>
          </cell>
        </row>
        <row r="5409">
          <cell r="A5409">
            <v>900588970</v>
          </cell>
          <cell r="B5409" t="str">
            <v>8</v>
          </cell>
          <cell r="C5409" t="str">
            <v/>
          </cell>
          <cell r="D5409" t="str">
            <v>NJ</v>
          </cell>
          <cell r="E5409" t="str">
            <v/>
          </cell>
          <cell r="F5409" t="str">
            <v/>
          </cell>
          <cell r="G5409" t="str">
            <v>LAN INGENIERIA SAS</v>
          </cell>
          <cell r="H5409" t="str">
            <v>RECO</v>
          </cell>
          <cell r="I5409" t="str">
            <v>REGIMEN COMUN</v>
          </cell>
          <cell r="J5409" t="str">
            <v xml:space="preserve"> CR 23  55 140</v>
          </cell>
          <cell r="K5409" t="str">
            <v>17001</v>
          </cell>
          <cell r="L5409" t="str">
            <v>MANIZALES</v>
          </cell>
          <cell r="M5409" t="str">
            <v>3176363454</v>
          </cell>
        </row>
        <row r="5410">
          <cell r="A5410">
            <v>900589881</v>
          </cell>
          <cell r="B5410" t="str">
            <v>5</v>
          </cell>
          <cell r="C5410" t="str">
            <v/>
          </cell>
          <cell r="D5410" t="str">
            <v>NJ</v>
          </cell>
          <cell r="E5410" t="str">
            <v/>
          </cell>
          <cell r="F5410" t="str">
            <v/>
          </cell>
          <cell r="G5410" t="str">
            <v>GOLDEN COMPANY S.A.S</v>
          </cell>
          <cell r="H5410" t="str">
            <v>IMVE</v>
          </cell>
          <cell r="I5410" t="str">
            <v>IMPUESTO SOBRE LAS VENTAS</v>
          </cell>
          <cell r="J5410" t="str">
            <v>AV LIBERTADORES  22 01 BRR SAUSALITO</v>
          </cell>
          <cell r="K5410" t="str">
            <v>15516</v>
          </cell>
          <cell r="L5410" t="str">
            <v>PAIPA</v>
          </cell>
          <cell r="M5410" t="str">
            <v>7853216</v>
          </cell>
        </row>
        <row r="5411">
          <cell r="A5411">
            <v>900590438</v>
          </cell>
          <cell r="B5411" t="str">
            <v>7</v>
          </cell>
          <cell r="C5411" t="str">
            <v/>
          </cell>
          <cell r="D5411" t="str">
            <v>NJ</v>
          </cell>
          <cell r="E5411" t="str">
            <v/>
          </cell>
          <cell r="F5411" t="str">
            <v/>
          </cell>
          <cell r="G5411" t="str">
            <v>Prominent Colombia Sas</v>
          </cell>
          <cell r="H5411" t="str">
            <v>IMVE</v>
          </cell>
          <cell r="I5411" t="str">
            <v>IMPUESTO SOBRE LAS VENTAS</v>
          </cell>
          <cell r="J5411" t="str">
            <v>CR 23  124  87  TO 1  OF 603</v>
          </cell>
          <cell r="K5411" t="str">
            <v>11001</v>
          </cell>
          <cell r="L5411" t="str">
            <v>BOGOTA DC</v>
          </cell>
          <cell r="M5411" t="str">
            <v>3168316004</v>
          </cell>
        </row>
        <row r="5412">
          <cell r="A5412">
            <v>900590958</v>
          </cell>
          <cell r="B5412" t="str">
            <v>5</v>
          </cell>
          <cell r="C5412" t="str">
            <v/>
          </cell>
          <cell r="D5412" t="str">
            <v>NJ</v>
          </cell>
          <cell r="E5412" t="str">
            <v/>
          </cell>
          <cell r="F5412" t="str">
            <v/>
          </cell>
          <cell r="G5412" t="str">
            <v>INVERSIONES EL METRO SAS</v>
          </cell>
          <cell r="H5412" t="str">
            <v>RECO</v>
          </cell>
          <cell r="I5412" t="str">
            <v>REGIMEN COMUN</v>
          </cell>
          <cell r="J5412" t="str">
            <v>CRA 28A NO 82A-22</v>
          </cell>
          <cell r="K5412" t="str">
            <v>17001</v>
          </cell>
          <cell r="L5412" t="str">
            <v>MANIZALES</v>
          </cell>
          <cell r="M5412" t="str">
            <v>8744315</v>
          </cell>
        </row>
        <row r="5413">
          <cell r="A5413">
            <v>900591148</v>
          </cell>
          <cell r="B5413" t="str">
            <v>0</v>
          </cell>
          <cell r="C5413" t="str">
            <v/>
          </cell>
          <cell r="D5413" t="str">
            <v>NJ</v>
          </cell>
          <cell r="E5413" t="str">
            <v/>
          </cell>
          <cell r="F5413" t="str">
            <v/>
          </cell>
          <cell r="G5413" t="str">
            <v>EL PUNTO DE NISSAN S.A.S</v>
          </cell>
          <cell r="H5413" t="str">
            <v>RECO</v>
          </cell>
          <cell r="I5413" t="str">
            <v>REGIMEN COMUN</v>
          </cell>
          <cell r="J5413" t="str">
            <v>CR 26   66   49</v>
          </cell>
          <cell r="K5413" t="str">
            <v>11001</v>
          </cell>
          <cell r="L5413" t="str">
            <v>BOGOTA DC</v>
          </cell>
          <cell r="M5413" t="str">
            <v>3111780</v>
          </cell>
        </row>
        <row r="5414">
          <cell r="A5414">
            <v>900591267</v>
          </cell>
          <cell r="B5414" t="str">
            <v>9</v>
          </cell>
          <cell r="C5414" t="str">
            <v/>
          </cell>
          <cell r="D5414" t="str">
            <v>NJ</v>
          </cell>
          <cell r="E5414" t="str">
            <v/>
          </cell>
          <cell r="F5414" t="str">
            <v/>
          </cell>
          <cell r="G5414" t="str">
            <v>LUBERLLANTAS SAS</v>
          </cell>
          <cell r="H5414" t="str">
            <v>RECO</v>
          </cell>
          <cell r="I5414" t="str">
            <v>REGIMEN COMUN</v>
          </cell>
          <cell r="J5414" t="str">
            <v>CR 42  17  62</v>
          </cell>
          <cell r="K5414" t="str">
            <v>15238</v>
          </cell>
          <cell r="L5414" t="str">
            <v>DUITAMA</v>
          </cell>
          <cell r="M5414" t="str">
            <v>3123869617</v>
          </cell>
        </row>
        <row r="5415">
          <cell r="A5415">
            <v>900591316</v>
          </cell>
          <cell r="B5415" t="str">
            <v>1</v>
          </cell>
          <cell r="C5415" t="str">
            <v/>
          </cell>
          <cell r="D5415" t="str">
            <v>NJ</v>
          </cell>
          <cell r="E5415" t="str">
            <v/>
          </cell>
          <cell r="F5415" t="str">
            <v/>
          </cell>
          <cell r="G5415" t="str">
            <v>GRUPO COLOMBIA EXCELENTE SAS.</v>
          </cell>
          <cell r="H5415" t="str">
            <v>IMVE</v>
          </cell>
          <cell r="I5415" t="str">
            <v>IMPUESTO SOBRE LAS VENTAS</v>
          </cell>
          <cell r="J5415" t="str">
            <v>CR 6 115 65 ZN F OF 304 A</v>
          </cell>
          <cell r="K5415" t="str">
            <v>11001</v>
          </cell>
          <cell r="L5415" t="str">
            <v>BOGOTA DC</v>
          </cell>
          <cell r="M5415" t="str">
            <v>7038130</v>
          </cell>
        </row>
        <row r="5416">
          <cell r="A5416">
            <v>900592438</v>
          </cell>
          <cell r="B5416" t="str">
            <v>6</v>
          </cell>
          <cell r="C5416" t="str">
            <v/>
          </cell>
          <cell r="D5416" t="str">
            <v>NJ</v>
          </cell>
          <cell r="E5416" t="str">
            <v/>
          </cell>
          <cell r="F5416" t="str">
            <v/>
          </cell>
          <cell r="G5416" t="str">
            <v>TECNOCARBONES S.A.S</v>
          </cell>
          <cell r="H5416" t="str">
            <v>IMVE</v>
          </cell>
          <cell r="I5416" t="str">
            <v>IMPUESTO SOBRE LAS VENTAS</v>
          </cell>
          <cell r="J5416" t="str">
            <v>CR 11 A 58 A 33</v>
          </cell>
          <cell r="K5416" t="str">
            <v>15759</v>
          </cell>
          <cell r="L5416" t="str">
            <v>SOGAMOSO</v>
          </cell>
          <cell r="M5416" t="str">
            <v>3142995450</v>
          </cell>
        </row>
        <row r="5417">
          <cell r="A5417">
            <v>900593672</v>
          </cell>
          <cell r="B5417" t="str">
            <v>8</v>
          </cell>
          <cell r="C5417" t="str">
            <v/>
          </cell>
          <cell r="D5417" t="str">
            <v>NJ</v>
          </cell>
          <cell r="E5417" t="str">
            <v/>
          </cell>
          <cell r="F5417" t="str">
            <v/>
          </cell>
          <cell r="G5417" t="str">
            <v>SEGEN INGENIERIA SAS</v>
          </cell>
          <cell r="H5417" t="str">
            <v>IMVE</v>
          </cell>
          <cell r="I5417" t="str">
            <v>IMPUESTO SOBRE LAS VENTAS</v>
          </cell>
          <cell r="J5417" t="str">
            <v>CR 33 B  16 68 BRR LA LIBERTAD</v>
          </cell>
          <cell r="K5417" t="str">
            <v>76001</v>
          </cell>
          <cell r="L5417" t="str">
            <v>CALI</v>
          </cell>
          <cell r="M5417" t="str">
            <v>3132836467</v>
          </cell>
        </row>
        <row r="5418">
          <cell r="A5418">
            <v>900594193</v>
          </cell>
          <cell r="B5418" t="str">
            <v>6</v>
          </cell>
          <cell r="C5418" t="str">
            <v/>
          </cell>
          <cell r="D5418" t="str">
            <v>NJ</v>
          </cell>
          <cell r="E5418" t="str">
            <v/>
          </cell>
          <cell r="F5418" t="str">
            <v/>
          </cell>
          <cell r="G5418" t="str">
            <v>WORLDWIDE ENGINEERING SOLUTIONS TEAM WEST SAS</v>
          </cell>
          <cell r="H5418" t="str">
            <v>IMVE</v>
          </cell>
          <cell r="I5418" t="str">
            <v>IMPUESTO SOBRE LAS VENTAS</v>
          </cell>
          <cell r="J5418" t="str">
            <v>CR 7 127 48 OF 403</v>
          </cell>
          <cell r="K5418" t="str">
            <v>11001</v>
          </cell>
          <cell r="L5418" t="str">
            <v>BOGOTA DC</v>
          </cell>
          <cell r="M5418" t="str">
            <v>3003989</v>
          </cell>
        </row>
        <row r="5419">
          <cell r="A5419">
            <v>900594520</v>
          </cell>
          <cell r="B5419" t="str">
            <v>1</v>
          </cell>
          <cell r="C5419" t="str">
            <v/>
          </cell>
          <cell r="D5419" t="str">
            <v>NJ</v>
          </cell>
          <cell r="E5419" t="str">
            <v/>
          </cell>
          <cell r="F5419" t="str">
            <v/>
          </cell>
          <cell r="G5419" t="str">
            <v>TRADING COAL SAS</v>
          </cell>
          <cell r="H5419" t="str">
            <v>REOR</v>
          </cell>
          <cell r="I5419" t="str">
            <v>RENTA REGIMEN ORDINARIO</v>
          </cell>
          <cell r="J5419" t="str">
            <v>CL 5  8 A 16</v>
          </cell>
          <cell r="K5419" t="str">
            <v>25843</v>
          </cell>
          <cell r="L5419" t="str">
            <v>VILLA DE SAN DIEGO DE UBATE</v>
          </cell>
          <cell r="M5419" t="str">
            <v>3114487735</v>
          </cell>
        </row>
        <row r="5420">
          <cell r="A5420">
            <v>900594602</v>
          </cell>
          <cell r="B5420" t="str">
            <v>7</v>
          </cell>
          <cell r="C5420" t="str">
            <v/>
          </cell>
          <cell r="D5420" t="str">
            <v>NJ</v>
          </cell>
          <cell r="E5420" t="str">
            <v/>
          </cell>
          <cell r="F5420" t="str">
            <v/>
          </cell>
          <cell r="G5420" t="str">
            <v>PARRILLA NAPOLEON BONNA CARNE SAS</v>
          </cell>
          <cell r="H5420" t="str">
            <v>IMVE</v>
          </cell>
          <cell r="I5420" t="str">
            <v>IMPUESTO SOBRE LAS VENTAS</v>
          </cell>
          <cell r="J5420" t="str">
            <v>CR 68 D 25 B 83 C D IN 113</v>
          </cell>
          <cell r="K5420" t="str">
            <v>03</v>
          </cell>
          <cell r="L5420" t="str">
            <v>BOGOTA</v>
          </cell>
          <cell r="M5420" t="str">
            <v>4276221</v>
          </cell>
        </row>
        <row r="5421">
          <cell r="A5421">
            <v>900594734</v>
          </cell>
          <cell r="B5421" t="str">
            <v>0</v>
          </cell>
          <cell r="C5421" t="str">
            <v/>
          </cell>
          <cell r="D5421" t="str">
            <v>NJ</v>
          </cell>
          <cell r="E5421" t="str">
            <v/>
          </cell>
          <cell r="F5421" t="str">
            <v/>
          </cell>
          <cell r="G5421" t="str">
            <v>INGECAD PARTS S.A.S</v>
          </cell>
          <cell r="H5421" t="str">
            <v>RECO</v>
          </cell>
          <cell r="I5421" t="str">
            <v>REGIMEN COMUN</v>
          </cell>
          <cell r="J5421" t="str">
            <v>CL 13 14 24</v>
          </cell>
          <cell r="K5421" t="str">
            <v>68001</v>
          </cell>
          <cell r="L5421" t="str">
            <v>BUCARAMANGA</v>
          </cell>
          <cell r="M5421" t="str">
            <v>6717202</v>
          </cell>
        </row>
        <row r="5422">
          <cell r="A5422">
            <v>900595419</v>
          </cell>
          <cell r="B5422" t="str">
            <v>1</v>
          </cell>
          <cell r="C5422" t="str">
            <v/>
          </cell>
          <cell r="D5422" t="str">
            <v>NJ</v>
          </cell>
          <cell r="E5422" t="str">
            <v/>
          </cell>
          <cell r="F5422" t="str">
            <v/>
          </cell>
          <cell r="G5422" t="str">
            <v>SINDICATO SERVICIOS VARIOS DE SALUD - SERVASALUD</v>
          </cell>
          <cell r="H5422" t="str">
            <v>IMVE</v>
          </cell>
          <cell r="I5422" t="str">
            <v>IMPUESTO SOBRE LAS VENTAS</v>
          </cell>
          <cell r="J5422" t="str">
            <v>CL 137 A 72 A 65 OF 4</v>
          </cell>
          <cell r="K5422" t="str">
            <v>11001</v>
          </cell>
          <cell r="L5422" t="str">
            <v>BOGOTA DC</v>
          </cell>
          <cell r="M5422" t="str">
            <v>3143318034</v>
          </cell>
        </row>
        <row r="5423">
          <cell r="A5423">
            <v>900596406</v>
          </cell>
          <cell r="B5423" t="str">
            <v>9</v>
          </cell>
          <cell r="C5423" t="str">
            <v/>
          </cell>
          <cell r="D5423" t="str">
            <v>NJ</v>
          </cell>
          <cell r="E5423" t="str">
            <v/>
          </cell>
          <cell r="F5423" t="str">
            <v/>
          </cell>
          <cell r="G5423" t="str">
            <v>CP CONSTRUCCIONES S.A</v>
          </cell>
          <cell r="H5423" t="str">
            <v>IMVE</v>
          </cell>
          <cell r="I5423" t="str">
            <v>IMPUESTO SOBRE LAS VENTAS</v>
          </cell>
          <cell r="J5423" t="str">
            <v>CR 21 35 65 AP 101 BRR CAÑAVERAL</v>
          </cell>
          <cell r="K5423" t="str">
            <v>68276</v>
          </cell>
          <cell r="L5423" t="str">
            <v>FLORIDABLANCA</v>
          </cell>
          <cell r="M5423" t="str">
            <v>6384566</v>
          </cell>
        </row>
        <row r="5424">
          <cell r="A5424">
            <v>900597473</v>
          </cell>
          <cell r="B5424" t="str">
            <v>7</v>
          </cell>
          <cell r="C5424" t="str">
            <v/>
          </cell>
          <cell r="D5424" t="str">
            <v>NJ</v>
          </cell>
          <cell r="E5424" t="str">
            <v/>
          </cell>
          <cell r="F5424" t="str">
            <v/>
          </cell>
          <cell r="G5424" t="str">
            <v>LABORATORIO CLINICO SILVIO ALFONSO MARÍN URIBE S.A.S.</v>
          </cell>
          <cell r="H5424" t="str">
            <v>RESI</v>
          </cell>
          <cell r="I5424" t="str">
            <v>REGIMEN SIMPLIFICADO</v>
          </cell>
          <cell r="J5424" t="str">
            <v>CR 23 25 61 ED DON PEDRO OF 204</v>
          </cell>
          <cell r="K5424" t="str">
            <v>17001</v>
          </cell>
          <cell r="L5424" t="str">
            <v>MANIZALES</v>
          </cell>
          <cell r="M5424" t="str">
            <v>8849569</v>
          </cell>
        </row>
        <row r="5425">
          <cell r="A5425">
            <v>900598203</v>
          </cell>
          <cell r="B5425" t="str">
            <v>1</v>
          </cell>
          <cell r="C5425" t="str">
            <v/>
          </cell>
          <cell r="D5425" t="str">
            <v>NJ</v>
          </cell>
          <cell r="E5425" t="str">
            <v/>
          </cell>
          <cell r="F5425" t="str">
            <v/>
          </cell>
          <cell r="G5425" t="str">
            <v>MAIKO INGENIERIA SAS</v>
          </cell>
          <cell r="H5425" t="str">
            <v>IMVE</v>
          </cell>
          <cell r="I5425" t="str">
            <v>IMPUESTO SOBRE LAS VENTAS</v>
          </cell>
          <cell r="J5425" t="str">
            <v>CL 33 A N AV 2 A 73 AP 703 TO C CON PRADOS DEL CEREZO</v>
          </cell>
          <cell r="K5425" t="str">
            <v>17001</v>
          </cell>
          <cell r="L5425" t="str">
            <v>MANIZALES</v>
          </cell>
          <cell r="M5425" t="str">
            <v>3147735963</v>
          </cell>
        </row>
        <row r="5426">
          <cell r="A5426">
            <v>900600760</v>
          </cell>
          <cell r="B5426" t="str">
            <v>9</v>
          </cell>
          <cell r="C5426" t="str">
            <v/>
          </cell>
          <cell r="D5426" t="str">
            <v>NJ</v>
          </cell>
          <cell r="E5426" t="str">
            <v/>
          </cell>
          <cell r="F5426" t="str">
            <v/>
          </cell>
          <cell r="G5426" t="str">
            <v>SERVIRPLUS J.D.C  S.A.S</v>
          </cell>
          <cell r="H5426" t="str">
            <v>RECO</v>
          </cell>
          <cell r="I5426" t="str">
            <v>REGIMEN COMUN</v>
          </cell>
          <cell r="J5426" t="str">
            <v>CR 105  I  71 A  77 AP 100</v>
          </cell>
          <cell r="K5426" t="str">
            <v>11001</v>
          </cell>
          <cell r="L5426" t="str">
            <v>BOGOTA DC</v>
          </cell>
          <cell r="M5426" t="str">
            <v>3138337157</v>
          </cell>
        </row>
        <row r="5427">
          <cell r="A5427">
            <v>900600965</v>
          </cell>
          <cell r="B5427" t="str">
            <v>1</v>
          </cell>
          <cell r="C5427" t="str">
            <v/>
          </cell>
          <cell r="D5427" t="str">
            <v>NJ</v>
          </cell>
          <cell r="E5427" t="str">
            <v/>
          </cell>
          <cell r="F5427" t="str">
            <v/>
          </cell>
          <cell r="G5427" t="str">
            <v>FUNDACION GAMERO</v>
          </cell>
          <cell r="H5427" t="str">
            <v>REIC</v>
          </cell>
          <cell r="I5427" t="str">
            <v>RENTA REGIMEN ESPECIAL</v>
          </cell>
          <cell r="J5427" t="str">
            <v>CR 27 A 49 34 BRR VERSALLES</v>
          </cell>
          <cell r="K5427" t="str">
            <v>17001</v>
          </cell>
          <cell r="L5427" t="str">
            <v>MANIZALES</v>
          </cell>
          <cell r="M5427" t="str">
            <v>3122291559</v>
          </cell>
        </row>
        <row r="5428">
          <cell r="A5428">
            <v>900602811</v>
          </cell>
          <cell r="B5428" t="str">
            <v>5</v>
          </cell>
          <cell r="C5428" t="str">
            <v/>
          </cell>
          <cell r="D5428" t="str">
            <v>NJ</v>
          </cell>
          <cell r="E5428" t="str">
            <v/>
          </cell>
          <cell r="F5428" t="str">
            <v/>
          </cell>
          <cell r="G5428" t="str">
            <v>CONSORCIO IA Y TAMAYO</v>
          </cell>
          <cell r="H5428" t="str">
            <v>RECO</v>
          </cell>
          <cell r="I5428" t="str">
            <v>REGIMEN COMUN</v>
          </cell>
          <cell r="J5428" t="str">
            <v xml:space="preserve"> CR 7 15 94 BRR LOS ABETOS</v>
          </cell>
          <cell r="K5428" t="str">
            <v>23555</v>
          </cell>
          <cell r="L5428" t="str">
            <v>PLANETA RICA</v>
          </cell>
          <cell r="M5428" t="str">
            <v>7766642</v>
          </cell>
        </row>
        <row r="5429">
          <cell r="A5429">
            <v>900602813</v>
          </cell>
          <cell r="B5429" t="str">
            <v>1</v>
          </cell>
          <cell r="C5429" t="str">
            <v/>
          </cell>
          <cell r="D5429" t="str">
            <v>NJ</v>
          </cell>
          <cell r="E5429" t="str">
            <v/>
          </cell>
          <cell r="F5429" t="str">
            <v/>
          </cell>
          <cell r="G5429" t="str">
            <v>CONSORCIO IA &amp; TAMAYO LA PAZ</v>
          </cell>
          <cell r="H5429" t="str">
            <v>RECO</v>
          </cell>
          <cell r="I5429" t="str">
            <v>REGIMEN COMUN</v>
          </cell>
          <cell r="J5429" t="str">
            <v xml:space="preserve"> CR 7 15  94 BRR LOS ABETOS</v>
          </cell>
          <cell r="K5429" t="str">
            <v>23555</v>
          </cell>
          <cell r="L5429" t="str">
            <v>PLANETA RICA</v>
          </cell>
          <cell r="M5429" t="str">
            <v>7766642</v>
          </cell>
        </row>
        <row r="5430">
          <cell r="A5430">
            <v>900603705</v>
          </cell>
          <cell r="B5430" t="str">
            <v>7</v>
          </cell>
          <cell r="C5430" t="str">
            <v/>
          </cell>
          <cell r="D5430" t="str">
            <v>NJ</v>
          </cell>
          <cell r="E5430" t="str">
            <v/>
          </cell>
          <cell r="F5430" t="str">
            <v/>
          </cell>
          <cell r="G5430" t="str">
            <v>PERSE TRADE SAS</v>
          </cell>
          <cell r="H5430" t="str">
            <v>RECO</v>
          </cell>
          <cell r="I5430" t="str">
            <v>REGIMEN COMUN</v>
          </cell>
          <cell r="J5430" t="str">
            <v>AK 45   242   34</v>
          </cell>
          <cell r="K5430" t="str">
            <v>11001</v>
          </cell>
          <cell r="L5430" t="str">
            <v>BOGOTA DC</v>
          </cell>
          <cell r="M5430" t="str">
            <v>6760824</v>
          </cell>
        </row>
        <row r="5431">
          <cell r="A5431">
            <v>900604334</v>
          </cell>
          <cell r="B5431" t="str">
            <v>2</v>
          </cell>
          <cell r="C5431" t="str">
            <v/>
          </cell>
          <cell r="D5431" t="str">
            <v>NJ</v>
          </cell>
          <cell r="E5431" t="str">
            <v/>
          </cell>
          <cell r="F5431" t="str">
            <v/>
          </cell>
          <cell r="G5431" t="str">
            <v>INGELPARRA SOCIEDAD POR ACCIONES SIMPLIFICADA</v>
          </cell>
          <cell r="H5431" t="str">
            <v>IMVE</v>
          </cell>
          <cell r="I5431" t="str">
            <v>IMPUESTO SOBRE LAS VENTAS</v>
          </cell>
          <cell r="J5431" t="str">
            <v xml:space="preserve"> CL 5  18 53 BRR CANDIDO QUINTERO</v>
          </cell>
          <cell r="K5431" t="str">
            <v>15238</v>
          </cell>
          <cell r="L5431" t="str">
            <v>DUITAMA</v>
          </cell>
          <cell r="M5431" t="str">
            <v>32125410</v>
          </cell>
        </row>
        <row r="5432">
          <cell r="A5432">
            <v>900604340</v>
          </cell>
          <cell r="B5432" t="str">
            <v>7</v>
          </cell>
          <cell r="C5432" t="str">
            <v/>
          </cell>
          <cell r="D5432" t="str">
            <v>NJ</v>
          </cell>
          <cell r="E5432" t="str">
            <v/>
          </cell>
          <cell r="F5432" t="str">
            <v/>
          </cell>
          <cell r="G5432" t="str">
            <v>SOLUCIONES INTEGRALES PARA LA INDUSTRIA SAS</v>
          </cell>
          <cell r="H5432" t="str">
            <v>RECO</v>
          </cell>
          <cell r="I5432" t="str">
            <v>REGIMEN COMUN</v>
          </cell>
          <cell r="J5432" t="str">
            <v>CL 25  19   B 21  AP 604  BRR  SAN SIMON</v>
          </cell>
          <cell r="K5432" t="str">
            <v>66001</v>
          </cell>
          <cell r="L5432" t="str">
            <v>PEREIRA</v>
          </cell>
          <cell r="M5432" t="str">
            <v>3211619</v>
          </cell>
        </row>
        <row r="5433">
          <cell r="A5433">
            <v>900604350</v>
          </cell>
          <cell r="B5433" t="str">
            <v>0</v>
          </cell>
          <cell r="C5433" t="str">
            <v>923272543</v>
          </cell>
          <cell r="D5433" t="str">
            <v>NJ</v>
          </cell>
          <cell r="E5433" t="str">
            <v/>
          </cell>
          <cell r="F5433" t="str">
            <v/>
          </cell>
          <cell r="G5433" t="str">
            <v>ALIANZA MEDELLIN ANTIOQUIA EPS S.A.S.</v>
          </cell>
          <cell r="H5433" t="str">
            <v>GRCO</v>
          </cell>
          <cell r="I5433" t="str">
            <v>GRAN CONTRIBUYENTE</v>
          </cell>
          <cell r="J5433" t="str">
            <v>CL 45 55 45 P 13</v>
          </cell>
          <cell r="K5433" t="str">
            <v>05001</v>
          </cell>
          <cell r="L5433" t="str">
            <v>MEDELLÍN</v>
          </cell>
          <cell r="M5433" t="str">
            <v>4601674</v>
          </cell>
        </row>
        <row r="5434">
          <cell r="A5434">
            <v>900604791</v>
          </cell>
          <cell r="B5434" t="str">
            <v>5</v>
          </cell>
          <cell r="C5434" t="str">
            <v/>
          </cell>
          <cell r="D5434" t="str">
            <v>NJ</v>
          </cell>
          <cell r="E5434" t="str">
            <v/>
          </cell>
          <cell r="F5434" t="str">
            <v/>
          </cell>
          <cell r="G5434" t="str">
            <v>TECNOLOGIA COLOMBIANA DE PETROLEOS LTDA</v>
          </cell>
          <cell r="H5434" t="str">
            <v>IMVE</v>
          </cell>
          <cell r="I5434" t="str">
            <v>IMPUESTO SOBRE LAS VENTAS</v>
          </cell>
          <cell r="J5434" t="str">
            <v>CR 28  11 67 LC 227</v>
          </cell>
          <cell r="K5434" t="str">
            <v>11001</v>
          </cell>
          <cell r="L5434" t="str">
            <v>BOGOTA DC</v>
          </cell>
          <cell r="M5434" t="str">
            <v>2776726</v>
          </cell>
        </row>
        <row r="5435">
          <cell r="A5435">
            <v>900606142</v>
          </cell>
          <cell r="B5435" t="str">
            <v>4</v>
          </cell>
          <cell r="C5435" t="str">
            <v/>
          </cell>
          <cell r="D5435" t="str">
            <v>NJ</v>
          </cell>
          <cell r="E5435" t="str">
            <v/>
          </cell>
          <cell r="F5435" t="str">
            <v/>
          </cell>
          <cell r="G5435" t="str">
            <v>INVERSIONES LITOPRINT SAS</v>
          </cell>
          <cell r="H5435" t="str">
            <v>RECO</v>
          </cell>
          <cell r="I5435" t="str">
            <v>REGIMEN COMUN</v>
          </cell>
          <cell r="J5435" t="str">
            <v>CR 22  23 42 P 1</v>
          </cell>
          <cell r="K5435" t="str">
            <v>17001</v>
          </cell>
          <cell r="L5435" t="str">
            <v>MANIZALES</v>
          </cell>
          <cell r="M5435" t="str">
            <v>8847133</v>
          </cell>
        </row>
        <row r="5436">
          <cell r="A5436">
            <v>900606776</v>
          </cell>
          <cell r="B5436" t="str">
            <v>3</v>
          </cell>
          <cell r="C5436" t="str">
            <v/>
          </cell>
          <cell r="D5436" t="str">
            <v>NJ</v>
          </cell>
          <cell r="E5436" t="str">
            <v/>
          </cell>
          <cell r="F5436" t="str">
            <v/>
          </cell>
          <cell r="G5436" t="str">
            <v>BATIMETRÍA S.A.S</v>
          </cell>
          <cell r="H5436" t="str">
            <v>RECO</v>
          </cell>
          <cell r="I5436" t="str">
            <v>REGIMEN COMUN</v>
          </cell>
          <cell r="J5436" t="str">
            <v>CL 18 35 69 OF 439</v>
          </cell>
          <cell r="K5436" t="str">
            <v>05001</v>
          </cell>
          <cell r="L5436" t="str">
            <v>MEDELLÍN</v>
          </cell>
          <cell r="M5436" t="str">
            <v>2669465</v>
          </cell>
        </row>
        <row r="5437">
          <cell r="A5437">
            <v>900607633</v>
          </cell>
          <cell r="B5437" t="str">
            <v>3</v>
          </cell>
          <cell r="C5437" t="str">
            <v/>
          </cell>
          <cell r="D5437" t="str">
            <v>NJ</v>
          </cell>
          <cell r="E5437" t="str">
            <v/>
          </cell>
          <cell r="F5437" t="str">
            <v/>
          </cell>
          <cell r="G5437" t="str">
            <v>TRANSGEO INGENIERIA SAS</v>
          </cell>
          <cell r="H5437" t="str">
            <v>RECO</v>
          </cell>
          <cell r="I5437" t="str">
            <v>REGIMEN COMUN</v>
          </cell>
          <cell r="J5437" t="str">
            <v>CR 12  25   17</v>
          </cell>
          <cell r="K5437" t="str">
            <v>15001</v>
          </cell>
          <cell r="L5437" t="str">
            <v>TUNJA</v>
          </cell>
          <cell r="M5437" t="str">
            <v>3203388821</v>
          </cell>
        </row>
        <row r="5438">
          <cell r="A5438">
            <v>900609197</v>
          </cell>
          <cell r="B5438" t="str">
            <v>2</v>
          </cell>
          <cell r="C5438" t="str">
            <v/>
          </cell>
          <cell r="D5438" t="str">
            <v>NJ</v>
          </cell>
          <cell r="E5438" t="str">
            <v/>
          </cell>
          <cell r="F5438" t="str">
            <v/>
          </cell>
          <cell r="G5438" t="str">
            <v>INVERSIONES PARAISO CHOCOANO S.A.S</v>
          </cell>
          <cell r="H5438" t="str">
            <v>RECO</v>
          </cell>
          <cell r="I5438" t="str">
            <v>REGIMEN COMUN</v>
          </cell>
          <cell r="J5438" t="str">
            <v>CL 6   22   135 SEC EL PEÑAL</v>
          </cell>
          <cell r="K5438" t="str">
            <v>76109</v>
          </cell>
          <cell r="L5438" t="str">
            <v>BUENAVENTURA</v>
          </cell>
          <cell r="M5438" t="str">
            <v>3146178859</v>
          </cell>
        </row>
        <row r="5439">
          <cell r="A5439">
            <v>900609604</v>
          </cell>
          <cell r="B5439" t="str">
            <v>9</v>
          </cell>
          <cell r="C5439" t="str">
            <v/>
          </cell>
          <cell r="D5439" t="str">
            <v>NJ</v>
          </cell>
          <cell r="E5439" t="str">
            <v/>
          </cell>
          <cell r="F5439" t="str">
            <v/>
          </cell>
          <cell r="G5439" t="str">
            <v>BWA S.A.S</v>
          </cell>
          <cell r="H5439" t="str">
            <v>IMVE</v>
          </cell>
          <cell r="I5439" t="str">
            <v>IMPUESTO SOBRE LAS VENTAS</v>
          </cell>
          <cell r="J5439" t="str">
            <v>CL 64 A 21 50 OF 1607</v>
          </cell>
          <cell r="K5439" t="str">
            <v>17001</v>
          </cell>
          <cell r="L5439" t="str">
            <v>MANIZALES</v>
          </cell>
          <cell r="M5439" t="str">
            <v>8895040</v>
          </cell>
        </row>
        <row r="5440">
          <cell r="A5440">
            <v>900609714</v>
          </cell>
          <cell r="B5440" t="str">
            <v>0</v>
          </cell>
          <cell r="C5440" t="str">
            <v/>
          </cell>
          <cell r="D5440" t="str">
            <v>NJ</v>
          </cell>
          <cell r="E5440" t="str">
            <v/>
          </cell>
          <cell r="F5440" t="str">
            <v/>
          </cell>
          <cell r="G5440" t="str">
            <v>VESTING SOLUCIONES INTEGRALES SAS</v>
          </cell>
          <cell r="H5440" t="str">
            <v>RECO</v>
          </cell>
          <cell r="I5440" t="str">
            <v>REGIMEN COMUN</v>
          </cell>
          <cell r="J5440" t="str">
            <v>CL 150 16 56 CC CEDRITOS 151 LC 2096</v>
          </cell>
          <cell r="K5440" t="str">
            <v>11001</v>
          </cell>
          <cell r="L5440" t="str">
            <v>BOGOTA DC</v>
          </cell>
          <cell r="M5440" t="str">
            <v>3105798415</v>
          </cell>
        </row>
        <row r="5441">
          <cell r="A5441">
            <v>900611695</v>
          </cell>
          <cell r="B5441" t="str">
            <v>5</v>
          </cell>
          <cell r="C5441" t="str">
            <v/>
          </cell>
          <cell r="D5441" t="str">
            <v>NJ</v>
          </cell>
          <cell r="E5441" t="str">
            <v/>
          </cell>
          <cell r="F5441" t="str">
            <v/>
          </cell>
          <cell r="G5441" t="str">
            <v>CAMARA COLOMBIANA DE LA ENERGIA</v>
          </cell>
          <cell r="H5441" t="str">
            <v>REIC</v>
          </cell>
          <cell r="I5441" t="str">
            <v>RENTA REGIMEN ESPECIAL</v>
          </cell>
          <cell r="J5441" t="str">
            <v xml:space="preserve"> AV EL DORADO 68 C 61 OF 732 1</v>
          </cell>
          <cell r="K5441" t="str">
            <v>11001</v>
          </cell>
          <cell r="L5441" t="str">
            <v>BOGOTA DC</v>
          </cell>
          <cell r="M5441" t="str">
            <v>5719698</v>
          </cell>
        </row>
        <row r="5442">
          <cell r="A5442">
            <v>900611992</v>
          </cell>
          <cell r="B5442" t="str">
            <v>8</v>
          </cell>
          <cell r="C5442" t="str">
            <v/>
          </cell>
          <cell r="D5442" t="str">
            <v>NJ</v>
          </cell>
          <cell r="E5442" t="str">
            <v/>
          </cell>
          <cell r="F5442" t="str">
            <v/>
          </cell>
          <cell r="G5442" t="str">
            <v>TRANSPORTE FLUVIAL EL BORAL SAS</v>
          </cell>
          <cell r="H5442" t="str">
            <v>REOR</v>
          </cell>
          <cell r="I5442" t="str">
            <v>RENTA REGIMEN ORDINARIO</v>
          </cell>
          <cell r="J5442" t="str">
            <v>CR 15 11 65  BRR TRIUNFO</v>
          </cell>
          <cell r="K5442" t="str">
            <v>50568</v>
          </cell>
          <cell r="L5442" t="str">
            <v>PUERTO GAITÁN</v>
          </cell>
          <cell r="M5442" t="str">
            <v>3138199480</v>
          </cell>
        </row>
        <row r="5443">
          <cell r="A5443">
            <v>900612347</v>
          </cell>
          <cell r="B5443" t="str">
            <v>1</v>
          </cell>
          <cell r="C5443" t="str">
            <v/>
          </cell>
          <cell r="D5443" t="str">
            <v>NJ</v>
          </cell>
          <cell r="E5443" t="str">
            <v/>
          </cell>
          <cell r="F5443" t="str">
            <v/>
          </cell>
          <cell r="G5443" t="str">
            <v>SUCOM MONTERREY SAS</v>
          </cell>
          <cell r="H5443" t="str">
            <v>RECO</v>
          </cell>
          <cell r="I5443" t="str">
            <v>REGIMEN COMUN</v>
          </cell>
          <cell r="J5443" t="str">
            <v>CR 48 10 45 LC 269</v>
          </cell>
          <cell r="K5443" t="str">
            <v>05001</v>
          </cell>
          <cell r="L5443" t="str">
            <v>MEDELLÍN</v>
          </cell>
          <cell r="M5443" t="str">
            <v>2684907</v>
          </cell>
        </row>
        <row r="5444">
          <cell r="A5444">
            <v>900614305</v>
          </cell>
          <cell r="B5444" t="str">
            <v>1</v>
          </cell>
          <cell r="C5444" t="str">
            <v/>
          </cell>
          <cell r="D5444" t="str">
            <v>NJ</v>
          </cell>
          <cell r="E5444" t="str">
            <v/>
          </cell>
          <cell r="F5444" t="str">
            <v/>
          </cell>
          <cell r="G5444" t="str">
            <v>OLE PACIFIC SAS</v>
          </cell>
          <cell r="H5444" t="str">
            <v>RECO</v>
          </cell>
          <cell r="I5444" t="str">
            <v>REGIMEN COMUN</v>
          </cell>
          <cell r="J5444" t="str">
            <v>BRR EL CARMEN</v>
          </cell>
          <cell r="K5444" t="str">
            <v>27075</v>
          </cell>
          <cell r="L5444" t="str">
            <v>BAHÍA SOLANO</v>
          </cell>
          <cell r="M5444" t="str">
            <v>6044878</v>
          </cell>
        </row>
        <row r="5445">
          <cell r="A5445">
            <v>900614550</v>
          </cell>
          <cell r="B5445" t="str">
            <v>1</v>
          </cell>
          <cell r="C5445" t="str">
            <v/>
          </cell>
          <cell r="D5445" t="str">
            <v>NJ</v>
          </cell>
          <cell r="E5445" t="str">
            <v/>
          </cell>
          <cell r="F5445" t="str">
            <v/>
          </cell>
          <cell r="G5445" t="str">
            <v>TERRA PETRA SAS</v>
          </cell>
          <cell r="H5445" t="str">
            <v>RECO</v>
          </cell>
          <cell r="I5445" t="str">
            <v>REGIMEN COMUN</v>
          </cell>
          <cell r="J5445" t="str">
            <v>CL 32 E 76 11</v>
          </cell>
          <cell r="K5445" t="str">
            <v>05002</v>
          </cell>
          <cell r="L5445" t="str">
            <v>MEDELLIN</v>
          </cell>
          <cell r="M5445" t="str">
            <v>3136716929</v>
          </cell>
        </row>
        <row r="5446">
          <cell r="A5446">
            <v>900615691</v>
          </cell>
          <cell r="B5446" t="str">
            <v>4</v>
          </cell>
          <cell r="C5446" t="str">
            <v/>
          </cell>
          <cell r="D5446" t="str">
            <v>NJ</v>
          </cell>
          <cell r="E5446" t="str">
            <v/>
          </cell>
          <cell r="F5446" t="str">
            <v/>
          </cell>
          <cell r="G5446" t="str">
            <v>PROGEVENCA COLOMBIA SAS</v>
          </cell>
          <cell r="H5446" t="str">
            <v>RECO</v>
          </cell>
          <cell r="I5446" t="str">
            <v>REGIMEN COMUN</v>
          </cell>
          <cell r="J5446" t="str">
            <v>CL 22 F 82 19 OF 102</v>
          </cell>
          <cell r="K5446" t="str">
            <v>11001</v>
          </cell>
          <cell r="L5446" t="str">
            <v>BOGOTA DC</v>
          </cell>
          <cell r="M5446" t="str">
            <v>8036587</v>
          </cell>
        </row>
        <row r="5447">
          <cell r="A5447">
            <v>900616083</v>
          </cell>
          <cell r="B5447" t="str">
            <v>0</v>
          </cell>
          <cell r="C5447" t="str">
            <v/>
          </cell>
          <cell r="D5447" t="str">
            <v>NJ</v>
          </cell>
          <cell r="E5447" t="str">
            <v/>
          </cell>
          <cell r="F5447" t="str">
            <v/>
          </cell>
          <cell r="G5447" t="str">
            <v>LAVAUTOS CHIPS SAS</v>
          </cell>
          <cell r="H5447" t="str">
            <v>RECO</v>
          </cell>
          <cell r="I5447" t="str">
            <v>REGIMEN COMUN</v>
          </cell>
          <cell r="J5447" t="str">
            <v>AVANIDA KEVIN ANGEL MEJIA #63-37</v>
          </cell>
          <cell r="K5447" t="str">
            <v>17001</v>
          </cell>
          <cell r="L5447" t="str">
            <v>MANIZALES</v>
          </cell>
          <cell r="M5447" t="str">
            <v>3146018151</v>
          </cell>
        </row>
        <row r="5448">
          <cell r="A5448">
            <v>900620392</v>
          </cell>
          <cell r="B5448" t="str">
            <v>7</v>
          </cell>
          <cell r="C5448" t="str">
            <v/>
          </cell>
          <cell r="D5448" t="str">
            <v>NJ</v>
          </cell>
          <cell r="E5448" t="str">
            <v/>
          </cell>
          <cell r="F5448" t="str">
            <v/>
          </cell>
          <cell r="G5448" t="str">
            <v>IE-SEGURISAC S.A.S.</v>
          </cell>
          <cell r="H5448" t="str">
            <v>IMVE</v>
          </cell>
          <cell r="I5448" t="str">
            <v>IMPUESTO SOBRE LAS VENTAS</v>
          </cell>
          <cell r="J5448" t="str">
            <v xml:space="preserve"> CR 19 B  52 A  19</v>
          </cell>
          <cell r="K5448" t="str">
            <v>17001</v>
          </cell>
          <cell r="L5448" t="str">
            <v>MANIZALES</v>
          </cell>
          <cell r="M5448" t="str">
            <v>8857052</v>
          </cell>
        </row>
        <row r="5449">
          <cell r="A5449">
            <v>900621181</v>
          </cell>
          <cell r="B5449" t="str">
            <v>4</v>
          </cell>
          <cell r="C5449" t="str">
            <v/>
          </cell>
          <cell r="D5449" t="str">
            <v>NJ</v>
          </cell>
          <cell r="E5449" t="str">
            <v/>
          </cell>
          <cell r="F5449" t="str">
            <v/>
          </cell>
          <cell r="G5449" t="str">
            <v>GRUPO TEMAKI SAS</v>
          </cell>
          <cell r="H5449" t="str">
            <v>RECO</v>
          </cell>
          <cell r="I5449" t="str">
            <v>REGIMEN COMUN</v>
          </cell>
          <cell r="J5449" t="str">
            <v>CABLE PLAZA LOCAL 210</v>
          </cell>
          <cell r="K5449" t="str">
            <v>17001</v>
          </cell>
          <cell r="L5449" t="str">
            <v>MANIZALES</v>
          </cell>
          <cell r="M5449" t="str">
            <v>8756345</v>
          </cell>
        </row>
        <row r="5450">
          <cell r="A5450">
            <v>900621477</v>
          </cell>
          <cell r="B5450" t="str">
            <v>9</v>
          </cell>
          <cell r="C5450" t="str">
            <v/>
          </cell>
          <cell r="D5450" t="str">
            <v>NJ</v>
          </cell>
          <cell r="E5450" t="str">
            <v/>
          </cell>
          <cell r="F5450" t="str">
            <v/>
          </cell>
          <cell r="G5450" t="str">
            <v>PLANEAR COMUNICACIONES SAS</v>
          </cell>
          <cell r="H5450" t="str">
            <v>IMVE</v>
          </cell>
          <cell r="I5450" t="str">
            <v>IMPUESTO SOBRE LAS VENTAS</v>
          </cell>
          <cell r="J5450" t="str">
            <v>CR 16 A 79 48 OF 501</v>
          </cell>
          <cell r="K5450" t="str">
            <v>03</v>
          </cell>
          <cell r="L5450" t="str">
            <v>BOGOTA</v>
          </cell>
          <cell r="M5450" t="str">
            <v>4672510</v>
          </cell>
        </row>
        <row r="5451">
          <cell r="A5451">
            <v>900621681</v>
          </cell>
          <cell r="B5451" t="str">
            <v>5</v>
          </cell>
          <cell r="C5451" t="str">
            <v/>
          </cell>
          <cell r="D5451" t="str">
            <v>NJ</v>
          </cell>
          <cell r="E5451" t="str">
            <v/>
          </cell>
          <cell r="F5451" t="str">
            <v/>
          </cell>
          <cell r="G5451" t="str">
            <v>HOTELES DE NEIVA SOCIEDADPOR ACCIONES SIMPLIFICADA</v>
          </cell>
          <cell r="H5451" t="str">
            <v>RECO</v>
          </cell>
          <cell r="I5451" t="str">
            <v>REGIMEN COMUN</v>
          </cell>
          <cell r="J5451" t="str">
            <v>CR 16 42 195</v>
          </cell>
          <cell r="K5451" t="str">
            <v>41001</v>
          </cell>
          <cell r="L5451" t="str">
            <v>NEIVA</v>
          </cell>
          <cell r="M5451" t="str">
            <v>8630763</v>
          </cell>
        </row>
        <row r="5452">
          <cell r="A5452">
            <v>900622317</v>
          </cell>
          <cell r="B5452" t="str">
            <v>3</v>
          </cell>
          <cell r="C5452" t="str">
            <v/>
          </cell>
          <cell r="D5452" t="str">
            <v>NJ</v>
          </cell>
          <cell r="E5452" t="str">
            <v/>
          </cell>
          <cell r="F5452" t="str">
            <v/>
          </cell>
          <cell r="G5452" t="str">
            <v>V PUBLICACIONES S.A.S</v>
          </cell>
          <cell r="H5452" t="str">
            <v>REOR</v>
          </cell>
          <cell r="I5452" t="str">
            <v>RENTA REGIMEN ORDINARIO</v>
          </cell>
          <cell r="J5452" t="str">
            <v>CL 67 8 12 OF 601</v>
          </cell>
          <cell r="K5452" t="str">
            <v>11001</v>
          </cell>
          <cell r="L5452" t="str">
            <v>BOGOTA DC</v>
          </cell>
          <cell r="M5452" t="str">
            <v>6467983</v>
          </cell>
        </row>
        <row r="5453">
          <cell r="A5453">
            <v>900622534</v>
          </cell>
          <cell r="B5453" t="str">
            <v>5</v>
          </cell>
          <cell r="C5453" t="str">
            <v/>
          </cell>
          <cell r="D5453" t="str">
            <v>NJ</v>
          </cell>
          <cell r="E5453" t="str">
            <v/>
          </cell>
          <cell r="F5453" t="str">
            <v/>
          </cell>
          <cell r="G5453" t="str">
            <v>AUDITOOL SAS</v>
          </cell>
          <cell r="H5453" t="str">
            <v>RECO</v>
          </cell>
          <cell r="I5453" t="str">
            <v>REGIMEN COMUN</v>
          </cell>
          <cell r="J5453" t="str">
            <v>CL 150A  101 20 BL 1  602</v>
          </cell>
          <cell r="K5453" t="str">
            <v>11001</v>
          </cell>
          <cell r="L5453" t="str">
            <v>BOGOTA DC</v>
          </cell>
          <cell r="M5453" t="str">
            <v>6818530</v>
          </cell>
        </row>
        <row r="5454">
          <cell r="A5454">
            <v>900623515</v>
          </cell>
          <cell r="B5454" t="str">
            <v>1</v>
          </cell>
          <cell r="C5454" t="str">
            <v/>
          </cell>
          <cell r="D5454" t="str">
            <v>NJ</v>
          </cell>
          <cell r="E5454" t="str">
            <v/>
          </cell>
          <cell r="F5454" t="str">
            <v/>
          </cell>
          <cell r="G5454" t="str">
            <v>HOTEL MACAO COLOMBIA SAS</v>
          </cell>
          <cell r="H5454" t="str">
            <v>RECO</v>
          </cell>
          <cell r="I5454" t="str">
            <v>REGIMEN COMUN</v>
          </cell>
          <cell r="J5454" t="str">
            <v>A C 24 N 44 A 21 I N 1</v>
          </cell>
          <cell r="K5454" t="str">
            <v>17001</v>
          </cell>
          <cell r="L5454" t="str">
            <v>MANIZALES</v>
          </cell>
          <cell r="M5454" t="str">
            <v>3124741245</v>
          </cell>
        </row>
        <row r="5455">
          <cell r="A5455">
            <v>900623578</v>
          </cell>
          <cell r="B5455" t="str">
            <v>3</v>
          </cell>
          <cell r="C5455" t="str">
            <v/>
          </cell>
          <cell r="D5455" t="str">
            <v>NJ</v>
          </cell>
          <cell r="E5455" t="str">
            <v/>
          </cell>
          <cell r="F5455" t="str">
            <v/>
          </cell>
          <cell r="G5455" t="str">
            <v>L&amp;E ASESORES CONSULTORES DISEÑO Y OBRA CIVIL S.A.S.</v>
          </cell>
          <cell r="H5455" t="str">
            <v>RECO</v>
          </cell>
          <cell r="I5455" t="str">
            <v>REGIMEN COMUN</v>
          </cell>
          <cell r="J5455" t="str">
            <v>CL 69 A 1 A 45</v>
          </cell>
          <cell r="K5455" t="str">
            <v>41001</v>
          </cell>
          <cell r="L5455" t="str">
            <v>NEIVA</v>
          </cell>
          <cell r="M5455" t="str">
            <v>8627421</v>
          </cell>
        </row>
        <row r="5456">
          <cell r="A5456">
            <v>900623732</v>
          </cell>
          <cell r="B5456" t="str">
            <v>1</v>
          </cell>
          <cell r="C5456" t="str">
            <v/>
          </cell>
          <cell r="D5456" t="str">
            <v>NJ</v>
          </cell>
          <cell r="E5456" t="str">
            <v/>
          </cell>
          <cell r="F5456" t="str">
            <v/>
          </cell>
          <cell r="G5456" t="str">
            <v>HOTELES CALLE 93 SOCIEDAD POR ACCIONES SIMPLIFICADAS</v>
          </cell>
          <cell r="H5456" t="str">
            <v>RECO</v>
          </cell>
          <cell r="I5456" t="str">
            <v>REGIMEN COMUN</v>
          </cell>
          <cell r="J5456" t="str">
            <v>CL 93 11 A 31</v>
          </cell>
          <cell r="K5456" t="str">
            <v>11001</v>
          </cell>
          <cell r="L5456" t="str">
            <v>BOGOTA DC</v>
          </cell>
          <cell r="M5456" t="str">
            <v>7457924</v>
          </cell>
        </row>
        <row r="5457">
          <cell r="A5457">
            <v>900624919</v>
          </cell>
          <cell r="B5457" t="str">
            <v>6</v>
          </cell>
          <cell r="C5457" t="str">
            <v/>
          </cell>
          <cell r="D5457" t="str">
            <v>NJ</v>
          </cell>
          <cell r="E5457" t="str">
            <v/>
          </cell>
          <cell r="F5457" t="str">
            <v/>
          </cell>
          <cell r="G5457" t="str">
            <v>INVERSIONES PALUAN SAS</v>
          </cell>
          <cell r="H5457" t="str">
            <v>IMVE</v>
          </cell>
          <cell r="I5457" t="str">
            <v>IMPUESTO SOBRE LAS VENTAS</v>
          </cell>
          <cell r="J5457" t="str">
            <v>CR 22  25  05</v>
          </cell>
          <cell r="K5457" t="str">
            <v>15516</v>
          </cell>
          <cell r="L5457" t="str">
            <v>PAIPA</v>
          </cell>
          <cell r="M5457" t="str">
            <v>3137169135</v>
          </cell>
        </row>
        <row r="5458">
          <cell r="A5458">
            <v>900625770</v>
          </cell>
          <cell r="B5458" t="str">
            <v>0</v>
          </cell>
          <cell r="C5458" t="str">
            <v/>
          </cell>
          <cell r="D5458" t="str">
            <v>NJ</v>
          </cell>
          <cell r="E5458" t="str">
            <v/>
          </cell>
          <cell r="F5458" t="str">
            <v/>
          </cell>
          <cell r="G5458" t="str">
            <v>QUIMINGSOF S.A.S</v>
          </cell>
          <cell r="H5458" t="str">
            <v>RECO</v>
          </cell>
          <cell r="I5458" t="str">
            <v>REGIMEN COMUN</v>
          </cell>
          <cell r="J5458" t="str">
            <v>CR 19  13 A  95</v>
          </cell>
          <cell r="K5458" t="str">
            <v>15759</v>
          </cell>
          <cell r="L5458" t="str">
            <v>SOGAMOSO</v>
          </cell>
          <cell r="M5458" t="str">
            <v>7739386</v>
          </cell>
        </row>
        <row r="5459">
          <cell r="A5459">
            <v>900625904</v>
          </cell>
          <cell r="B5459" t="str">
            <v>0</v>
          </cell>
          <cell r="C5459" t="str">
            <v/>
          </cell>
          <cell r="D5459" t="str">
            <v>NJ</v>
          </cell>
          <cell r="E5459" t="str">
            <v/>
          </cell>
          <cell r="F5459" t="str">
            <v/>
          </cell>
          <cell r="G5459" t="str">
            <v>ELECTROVALLE SERVICIOS ELÉCTRICOS S.A.S</v>
          </cell>
          <cell r="H5459" t="str">
            <v>IMVE</v>
          </cell>
          <cell r="I5459" t="str">
            <v>IMPUESTO SOBRE LAS VENTAS</v>
          </cell>
          <cell r="J5459" t="str">
            <v>CR 8 NORTE 70 BIS 08</v>
          </cell>
          <cell r="K5459" t="str">
            <v>76001</v>
          </cell>
          <cell r="L5459" t="str">
            <v>CALI</v>
          </cell>
          <cell r="M5459" t="str">
            <v>3015036344</v>
          </cell>
        </row>
        <row r="5460">
          <cell r="A5460">
            <v>900627443</v>
          </cell>
          <cell r="B5460" t="str">
            <v>6</v>
          </cell>
          <cell r="C5460" t="str">
            <v/>
          </cell>
          <cell r="D5460" t="str">
            <v>NJ</v>
          </cell>
          <cell r="E5460" t="str">
            <v/>
          </cell>
          <cell r="F5460" t="str">
            <v/>
          </cell>
          <cell r="G5460" t="str">
            <v>SOCIEDAD INVERSIONES PF SAS</v>
          </cell>
          <cell r="H5460" t="str">
            <v>RECO</v>
          </cell>
          <cell r="I5460" t="str">
            <v>REGIMEN COMUN</v>
          </cell>
          <cell r="J5460" t="str">
            <v>CL 25 39 22</v>
          </cell>
          <cell r="K5460" t="str">
            <v>11001</v>
          </cell>
          <cell r="L5460" t="str">
            <v>BOGOTA DC</v>
          </cell>
          <cell r="M5460" t="str">
            <v>2691148</v>
          </cell>
        </row>
        <row r="5461">
          <cell r="A5461">
            <v>900628483</v>
          </cell>
          <cell r="B5461" t="str">
            <v>5</v>
          </cell>
          <cell r="C5461" t="str">
            <v/>
          </cell>
          <cell r="D5461" t="str">
            <v>NJ</v>
          </cell>
          <cell r="E5461" t="str">
            <v/>
          </cell>
          <cell r="F5461" t="str">
            <v/>
          </cell>
          <cell r="G5461" t="str">
            <v>IMPORTADORA DE TORNILLOS EL PAISITA S.A.S.</v>
          </cell>
          <cell r="H5461" t="str">
            <v>IMVE</v>
          </cell>
          <cell r="I5461" t="str">
            <v>IMPUESTO SOBRE LAS VENTAS</v>
          </cell>
          <cell r="J5461" t="str">
            <v>CR 19 5 B 36 48</v>
          </cell>
          <cell r="K5461" t="str">
            <v>11001</v>
          </cell>
          <cell r="L5461" t="str">
            <v>BOGOTA DC</v>
          </cell>
          <cell r="M5461" t="str">
            <v>6012012431</v>
          </cell>
        </row>
        <row r="5462">
          <cell r="A5462">
            <v>900631024</v>
          </cell>
          <cell r="B5462" t="str">
            <v>9</v>
          </cell>
          <cell r="C5462" t="str">
            <v/>
          </cell>
          <cell r="D5462" t="str">
            <v>NJ</v>
          </cell>
          <cell r="E5462" t="str">
            <v/>
          </cell>
          <cell r="F5462" t="str">
            <v/>
          </cell>
          <cell r="G5462" t="str">
            <v>COMPAÑIA E BARES Y RESTAURANTES 101 SAS</v>
          </cell>
          <cell r="H5462" t="str">
            <v>RECO</v>
          </cell>
          <cell r="I5462" t="str">
            <v>REGIMEN COMUN</v>
          </cell>
          <cell r="J5462" t="str">
            <v>CALLE 51  22 A 05 P2</v>
          </cell>
          <cell r="K5462" t="str">
            <v>17001</v>
          </cell>
          <cell r="L5462" t="str">
            <v>MANIZALES</v>
          </cell>
          <cell r="M5462" t="str">
            <v>8859352</v>
          </cell>
        </row>
        <row r="5463">
          <cell r="A5463">
            <v>900631415</v>
          </cell>
          <cell r="B5463" t="str">
            <v>5</v>
          </cell>
          <cell r="C5463" t="str">
            <v/>
          </cell>
          <cell r="D5463" t="str">
            <v>NJ</v>
          </cell>
          <cell r="E5463" t="str">
            <v/>
          </cell>
          <cell r="F5463" t="str">
            <v/>
          </cell>
          <cell r="G5463" t="str">
            <v>COMERCIALIZADORA DE PRODUCTOS FARMACEUTICOS COPHARMA SAS</v>
          </cell>
          <cell r="H5463" t="str">
            <v>RECO</v>
          </cell>
          <cell r="I5463" t="str">
            <v>REGIMEN COMUN</v>
          </cell>
          <cell r="J5463" t="str">
            <v xml:space="preserve"> CL 77 BIS  114 A  19</v>
          </cell>
          <cell r="K5463" t="str">
            <v>11001</v>
          </cell>
          <cell r="L5463" t="str">
            <v>BOGOTA DC</v>
          </cell>
          <cell r="M5463" t="str">
            <v>514755</v>
          </cell>
        </row>
        <row r="5464">
          <cell r="A5464">
            <v>900633283</v>
          </cell>
          <cell r="B5464" t="str">
            <v>9</v>
          </cell>
          <cell r="C5464" t="str">
            <v/>
          </cell>
          <cell r="D5464" t="str">
            <v>NJ</v>
          </cell>
          <cell r="E5464" t="str">
            <v/>
          </cell>
          <cell r="F5464" t="str">
            <v/>
          </cell>
          <cell r="G5464" t="str">
            <v>EDS SAN SEBASTIAN SAS</v>
          </cell>
          <cell r="H5464" t="str">
            <v>IMVE</v>
          </cell>
          <cell r="I5464" t="str">
            <v>IMPUESTO SOBRE LAS VENTAS</v>
          </cell>
          <cell r="J5464" t="str">
            <v>CR 7 7 11 35 C 7 7 14</v>
          </cell>
          <cell r="K5464" t="str">
            <v>73443</v>
          </cell>
          <cell r="L5464" t="str">
            <v>MARIQUITA</v>
          </cell>
          <cell r="M5464" t="str">
            <v>2522220</v>
          </cell>
        </row>
        <row r="5465">
          <cell r="A5465">
            <v>900634652</v>
          </cell>
          <cell r="B5465" t="str">
            <v>8</v>
          </cell>
          <cell r="C5465" t="str">
            <v/>
          </cell>
          <cell r="D5465" t="str">
            <v>NJ</v>
          </cell>
          <cell r="E5465" t="str">
            <v/>
          </cell>
          <cell r="F5465" t="str">
            <v/>
          </cell>
          <cell r="G5465" t="str">
            <v>KUBOZ HOTEL</v>
          </cell>
          <cell r="H5465" t="str">
            <v>RECO</v>
          </cell>
          <cell r="I5465" t="str">
            <v>REGIMEN COMUN</v>
          </cell>
          <cell r="J5465" t="str">
            <v>CL 33 66 B 93</v>
          </cell>
          <cell r="K5465" t="str">
            <v>05001</v>
          </cell>
          <cell r="L5465" t="str">
            <v>MEDELLÍN</v>
          </cell>
          <cell r="M5465" t="str">
            <v>3515641</v>
          </cell>
        </row>
        <row r="5466">
          <cell r="A5466">
            <v>900635048</v>
          </cell>
          <cell r="B5466" t="str">
            <v>3</v>
          </cell>
          <cell r="C5466" t="str">
            <v/>
          </cell>
          <cell r="D5466" t="str">
            <v>NJ</v>
          </cell>
          <cell r="E5466" t="str">
            <v/>
          </cell>
          <cell r="F5466" t="str">
            <v/>
          </cell>
          <cell r="G5466" t="str">
            <v>HOTELES DE CRESPO</v>
          </cell>
          <cell r="H5466" t="str">
            <v>GRCO</v>
          </cell>
          <cell r="I5466" t="str">
            <v>GRAN CONTRIBUYENTE</v>
          </cell>
          <cell r="J5466" t="str">
            <v>BRR CRESPO AV SANTANDER CR 1   62   198</v>
          </cell>
          <cell r="K5466" t="str">
            <v>13001</v>
          </cell>
          <cell r="L5466" t="str">
            <v>CARTAGENA</v>
          </cell>
          <cell r="M5466" t="str">
            <v>6810500</v>
          </cell>
        </row>
        <row r="5467">
          <cell r="A5467">
            <v>900636869</v>
          </cell>
          <cell r="B5467" t="str">
            <v>8</v>
          </cell>
          <cell r="C5467" t="str">
            <v/>
          </cell>
          <cell r="D5467" t="str">
            <v>NJ</v>
          </cell>
          <cell r="E5467" t="str">
            <v/>
          </cell>
          <cell r="F5467" t="str">
            <v/>
          </cell>
          <cell r="G5467" t="str">
            <v>DAMACA INGENIERIA SAS</v>
          </cell>
          <cell r="H5467" t="str">
            <v>RECO</v>
          </cell>
          <cell r="I5467" t="str">
            <v>REGIMEN COMUN</v>
          </cell>
          <cell r="J5467" t="str">
            <v>CR 30  89  02 CA 23</v>
          </cell>
          <cell r="K5467" t="str">
            <v>17001</v>
          </cell>
          <cell r="L5467" t="str">
            <v>MANIZALES</v>
          </cell>
          <cell r="M5467" t="str">
            <v>8744494</v>
          </cell>
        </row>
        <row r="5468">
          <cell r="A5468">
            <v>900637368</v>
          </cell>
          <cell r="B5468" t="str">
            <v>4</v>
          </cell>
          <cell r="C5468" t="str">
            <v/>
          </cell>
          <cell r="D5468" t="str">
            <v>NJ</v>
          </cell>
          <cell r="E5468" t="str">
            <v/>
          </cell>
          <cell r="F5468" t="str">
            <v/>
          </cell>
          <cell r="G5468" t="str">
            <v>TERMO MECHERO MORRO SAS ESP</v>
          </cell>
          <cell r="H5468" t="str">
            <v>IMVE</v>
          </cell>
          <cell r="I5468" t="str">
            <v>IMPUESTO SOBRE LAS VENTAS</v>
          </cell>
          <cell r="J5468" t="str">
            <v>CLL 91  11  29  P 7</v>
          </cell>
          <cell r="K5468" t="str">
            <v>11001</v>
          </cell>
          <cell r="L5468" t="str">
            <v>BOGOTA DC</v>
          </cell>
          <cell r="M5468" t="str">
            <v>6169840</v>
          </cell>
        </row>
        <row r="5469">
          <cell r="A5469">
            <v>900637526</v>
          </cell>
          <cell r="B5469" t="str">
            <v>1</v>
          </cell>
          <cell r="C5469" t="str">
            <v/>
          </cell>
          <cell r="D5469" t="str">
            <v>NJ</v>
          </cell>
          <cell r="E5469" t="str">
            <v/>
          </cell>
          <cell r="F5469" t="str">
            <v/>
          </cell>
          <cell r="G5469" t="str">
            <v>GEOSERVICIOS DE COLOMBIA S.A.S.</v>
          </cell>
          <cell r="H5469" t="str">
            <v>RECO</v>
          </cell>
          <cell r="I5469" t="str">
            <v>REGIMEN COMUN</v>
          </cell>
          <cell r="J5469" t="str">
            <v>CR 4 10 42 P 1 BRR SAN JORGE</v>
          </cell>
          <cell r="K5469" t="str">
            <v>76126</v>
          </cell>
          <cell r="L5469" t="str">
            <v>CALIMA</v>
          </cell>
          <cell r="M5469" t="str">
            <v>8929929</v>
          </cell>
        </row>
        <row r="5470">
          <cell r="A5470">
            <v>900641497</v>
          </cell>
          <cell r="B5470" t="str">
            <v>1</v>
          </cell>
          <cell r="C5470" t="str">
            <v/>
          </cell>
          <cell r="D5470" t="str">
            <v>NJ</v>
          </cell>
          <cell r="E5470" t="str">
            <v/>
          </cell>
          <cell r="F5470" t="str">
            <v/>
          </cell>
          <cell r="G5470" t="str">
            <v>TRADING S.A.S.</v>
          </cell>
          <cell r="H5470" t="str">
            <v>RECO</v>
          </cell>
          <cell r="I5470" t="str">
            <v>REGIMEN COMUN</v>
          </cell>
          <cell r="J5470" t="str">
            <v>CL 100 C 32 26</v>
          </cell>
          <cell r="K5470" t="str">
            <v>17001</v>
          </cell>
          <cell r="L5470" t="str">
            <v>MANIZALES</v>
          </cell>
          <cell r="M5470" t="str">
            <v>3128666728</v>
          </cell>
        </row>
        <row r="5471">
          <cell r="A5471">
            <v>900641520</v>
          </cell>
          <cell r="B5471" t="str">
            <v>3</v>
          </cell>
          <cell r="C5471" t="str">
            <v/>
          </cell>
          <cell r="D5471" t="str">
            <v>NJ</v>
          </cell>
          <cell r="E5471" t="str">
            <v/>
          </cell>
          <cell r="F5471" t="str">
            <v/>
          </cell>
          <cell r="G5471" t="str">
            <v>EAR ALTO RENDIMIENTO S.A.S</v>
          </cell>
          <cell r="H5471" t="str">
            <v>RECO</v>
          </cell>
          <cell r="I5471" t="str">
            <v>REGIMEN COMUN</v>
          </cell>
          <cell r="J5471" t="str">
            <v>CR 99 C  71 B  39</v>
          </cell>
          <cell r="K5471" t="str">
            <v>11001</v>
          </cell>
          <cell r="L5471" t="str">
            <v>BOGOTA DC</v>
          </cell>
          <cell r="M5471" t="str">
            <v>4585539</v>
          </cell>
        </row>
        <row r="5472">
          <cell r="A5472">
            <v>900641733</v>
          </cell>
          <cell r="B5472" t="str">
            <v>5</v>
          </cell>
          <cell r="C5472" t="str">
            <v/>
          </cell>
          <cell r="D5472" t="str">
            <v>NJ</v>
          </cell>
          <cell r="E5472" t="str">
            <v/>
          </cell>
          <cell r="F5472" t="str">
            <v/>
          </cell>
          <cell r="G5472" t="str">
            <v>ORGANIZACIÓN LEVIN DE ARGENTINA SA SUCURSAL EN COLOMBIA</v>
          </cell>
          <cell r="H5472" t="str">
            <v>RECO</v>
          </cell>
          <cell r="I5472" t="str">
            <v>REGIMEN COMUN</v>
          </cell>
          <cell r="J5472" t="str">
            <v>CL 108  45 30 OF 508</v>
          </cell>
          <cell r="K5472" t="str">
            <v>11001</v>
          </cell>
          <cell r="L5472" t="str">
            <v>BOGOTA DC</v>
          </cell>
          <cell r="M5472" t="str">
            <v>5897500</v>
          </cell>
        </row>
        <row r="5473">
          <cell r="A5473">
            <v>900642402</v>
          </cell>
          <cell r="B5473" t="str">
            <v>7</v>
          </cell>
          <cell r="C5473" t="str">
            <v/>
          </cell>
          <cell r="D5473" t="str">
            <v>NJ</v>
          </cell>
          <cell r="E5473" t="str">
            <v/>
          </cell>
          <cell r="F5473" t="str">
            <v/>
          </cell>
          <cell r="G5473" t="str">
            <v>TORNILLOS Y HERRAMIENTAS  777</v>
          </cell>
          <cell r="H5473" t="str">
            <v>RECO</v>
          </cell>
          <cell r="I5473" t="str">
            <v>REGIMEN COMUN</v>
          </cell>
          <cell r="J5473" t="str">
            <v>CL 13 22 92</v>
          </cell>
          <cell r="K5473" t="str">
            <v>11001</v>
          </cell>
          <cell r="L5473" t="str">
            <v>BOGOTA DC</v>
          </cell>
          <cell r="M5473" t="str">
            <v>2478667</v>
          </cell>
        </row>
        <row r="5474">
          <cell r="A5474">
            <v>900643074</v>
          </cell>
          <cell r="B5474" t="str">
            <v>9</v>
          </cell>
          <cell r="C5474" t="str">
            <v/>
          </cell>
          <cell r="D5474" t="str">
            <v>NJ</v>
          </cell>
          <cell r="E5474" t="str">
            <v/>
          </cell>
          <cell r="F5474" t="str">
            <v/>
          </cell>
          <cell r="G5474" t="str">
            <v>SIPESA COLOMBIA SAS</v>
          </cell>
          <cell r="H5474" t="str">
            <v>IMVE</v>
          </cell>
          <cell r="I5474" t="str">
            <v>IMPUESTO SOBRE LAS VENTAS</v>
          </cell>
          <cell r="J5474" t="str">
            <v xml:space="preserve"> CL 67 23 B 37 P 1</v>
          </cell>
          <cell r="K5474" t="str">
            <v>17001</v>
          </cell>
          <cell r="L5474" t="str">
            <v>MANIZALES</v>
          </cell>
          <cell r="M5474" t="str">
            <v>3013058590</v>
          </cell>
        </row>
        <row r="5475">
          <cell r="A5475">
            <v>900643865</v>
          </cell>
          <cell r="B5475" t="str">
            <v>8</v>
          </cell>
          <cell r="C5475" t="str">
            <v/>
          </cell>
          <cell r="D5475" t="str">
            <v>NJ</v>
          </cell>
          <cell r="E5475" t="str">
            <v/>
          </cell>
          <cell r="F5475" t="str">
            <v/>
          </cell>
          <cell r="G5475" t="str">
            <v>ENFOKA COACHING &amp; CONSULTORES S.A.S</v>
          </cell>
          <cell r="H5475" t="str">
            <v>RECO</v>
          </cell>
          <cell r="I5475" t="str">
            <v>REGIMEN COMUN</v>
          </cell>
          <cell r="J5475" t="str">
            <v>CR 58 152 70 TO 4 AP 203</v>
          </cell>
          <cell r="K5475" t="str">
            <v>17001</v>
          </cell>
          <cell r="L5475" t="str">
            <v>MANIZALES</v>
          </cell>
          <cell r="M5475" t="str">
            <v>5312100</v>
          </cell>
        </row>
        <row r="5476">
          <cell r="A5476">
            <v>900644505</v>
          </cell>
          <cell r="B5476" t="str">
            <v>6</v>
          </cell>
          <cell r="C5476" t="str">
            <v/>
          </cell>
          <cell r="D5476" t="str">
            <v>NJ</v>
          </cell>
          <cell r="E5476" t="str">
            <v/>
          </cell>
          <cell r="F5476" t="str">
            <v/>
          </cell>
          <cell r="G5476" t="str">
            <v>CONSULTORIA Y GESTION AMBIENTAL SAS</v>
          </cell>
          <cell r="H5476" t="str">
            <v>IMVE</v>
          </cell>
          <cell r="I5476" t="str">
            <v>IMPUESTO SOBRE LAS VENTAS</v>
          </cell>
          <cell r="J5476" t="str">
            <v>CR 16 N 79 86 OF 202</v>
          </cell>
          <cell r="K5476" t="str">
            <v>11001</v>
          </cell>
          <cell r="L5476" t="str">
            <v>BOGOTA DC</v>
          </cell>
          <cell r="M5476" t="str">
            <v>7562223</v>
          </cell>
        </row>
        <row r="5477">
          <cell r="A5477">
            <v>900645842</v>
          </cell>
          <cell r="B5477" t="str">
            <v>8</v>
          </cell>
          <cell r="C5477" t="str">
            <v/>
          </cell>
          <cell r="D5477" t="str">
            <v>NJ</v>
          </cell>
          <cell r="E5477" t="str">
            <v/>
          </cell>
          <cell r="F5477" t="str">
            <v/>
          </cell>
          <cell r="G5477" t="str">
            <v>COPYESTUDIA SAS</v>
          </cell>
          <cell r="H5477" t="str">
            <v>RECO</v>
          </cell>
          <cell r="I5477" t="str">
            <v>REGIMEN COMUN</v>
          </cell>
          <cell r="J5477" t="str">
            <v>CRA 23 NO 57-84</v>
          </cell>
          <cell r="K5477" t="str">
            <v>17001</v>
          </cell>
          <cell r="L5477" t="str">
            <v>MANIZALES</v>
          </cell>
          <cell r="M5477" t="str">
            <v>8853107</v>
          </cell>
        </row>
        <row r="5478">
          <cell r="A5478">
            <v>900646412</v>
          </cell>
          <cell r="B5478" t="str">
            <v>9</v>
          </cell>
          <cell r="C5478" t="str">
            <v/>
          </cell>
          <cell r="D5478" t="str">
            <v>NJ</v>
          </cell>
          <cell r="E5478" t="str">
            <v/>
          </cell>
          <cell r="F5478" t="str">
            <v/>
          </cell>
          <cell r="G5478" t="str">
            <v>ONG FUNDACION BIENESTAR PARA COLOMBIA</v>
          </cell>
          <cell r="H5478" t="str">
            <v>IMVE</v>
          </cell>
          <cell r="I5478" t="str">
            <v>IMPUESTO SOBRE LAS VENTAS</v>
          </cell>
          <cell r="J5478" t="str">
            <v xml:space="preserve"> CL  15 10 45 OF  402</v>
          </cell>
          <cell r="K5478" t="str">
            <v>17001</v>
          </cell>
          <cell r="L5478" t="str">
            <v>MANIZALES</v>
          </cell>
          <cell r="M5478" t="str">
            <v>3132443593</v>
          </cell>
        </row>
        <row r="5479">
          <cell r="A5479">
            <v>900648909</v>
          </cell>
          <cell r="B5479" t="str">
            <v>6</v>
          </cell>
          <cell r="C5479" t="str">
            <v/>
          </cell>
          <cell r="D5479" t="str">
            <v>NJ</v>
          </cell>
          <cell r="E5479" t="str">
            <v/>
          </cell>
          <cell r="F5479" t="str">
            <v/>
          </cell>
          <cell r="G5479" t="str">
            <v>MEGADYNE COLOMBIA SAS</v>
          </cell>
          <cell r="H5479" t="str">
            <v>IMVE</v>
          </cell>
          <cell r="I5479" t="str">
            <v>IMPUESTO SOBRE LAS VENTAS</v>
          </cell>
          <cell r="J5479" t="str">
            <v>DG 22 56 112</v>
          </cell>
          <cell r="K5479" t="str">
            <v>13001</v>
          </cell>
          <cell r="L5479" t="str">
            <v>CARTAGENA</v>
          </cell>
          <cell r="M5479" t="str">
            <v>6693604</v>
          </cell>
        </row>
        <row r="5480">
          <cell r="A5480">
            <v>900649915</v>
          </cell>
          <cell r="B5480" t="str">
            <v>5</v>
          </cell>
          <cell r="C5480" t="str">
            <v/>
          </cell>
          <cell r="D5480" t="str">
            <v>NJ</v>
          </cell>
          <cell r="E5480" t="str">
            <v/>
          </cell>
          <cell r="F5480" t="str">
            <v/>
          </cell>
          <cell r="G5480" t="str">
            <v>CORPORACION GRITA</v>
          </cell>
          <cell r="H5480" t="str">
            <v>IMVE</v>
          </cell>
          <cell r="I5480" t="str">
            <v>IMPUESTO SOBRE LAS VENTAS</v>
          </cell>
          <cell r="J5480" t="str">
            <v>CR  23 54 75 AP  901</v>
          </cell>
          <cell r="K5480" t="str">
            <v>17001</v>
          </cell>
          <cell r="L5480" t="str">
            <v>MANIZALES</v>
          </cell>
          <cell r="M5480" t="str">
            <v>8856709</v>
          </cell>
        </row>
        <row r="5481">
          <cell r="A5481">
            <v>900650580</v>
          </cell>
          <cell r="B5481" t="str">
            <v>3</v>
          </cell>
          <cell r="C5481" t="str">
            <v/>
          </cell>
          <cell r="D5481" t="str">
            <v>NJ</v>
          </cell>
          <cell r="E5481" t="str">
            <v/>
          </cell>
          <cell r="F5481" t="str">
            <v/>
          </cell>
          <cell r="G5481" t="str">
            <v>OH CONSULTORIAS Y SERVICIOS S.A.S.</v>
          </cell>
          <cell r="H5481" t="str">
            <v>IMVE</v>
          </cell>
          <cell r="I5481" t="str">
            <v>IMPUESTO SOBRE LAS VENTAS</v>
          </cell>
          <cell r="J5481" t="str">
            <v>CR 77 19 87 IN 6 AP 105 CON EL REFUGIO</v>
          </cell>
          <cell r="K5481" t="str">
            <v>11001</v>
          </cell>
          <cell r="L5481" t="str">
            <v>BOGOTA DC</v>
          </cell>
          <cell r="M5481" t="str">
            <v>3114518056</v>
          </cell>
        </row>
        <row r="5482">
          <cell r="A5482">
            <v>900651802</v>
          </cell>
          <cell r="B5482" t="str">
            <v>8</v>
          </cell>
          <cell r="C5482" t="str">
            <v/>
          </cell>
          <cell r="D5482" t="str">
            <v>NJ</v>
          </cell>
          <cell r="E5482" t="str">
            <v/>
          </cell>
          <cell r="F5482" t="str">
            <v/>
          </cell>
          <cell r="G5482" t="str">
            <v>SITECSYS S.A.S</v>
          </cell>
          <cell r="H5482" t="str">
            <v>IMVE</v>
          </cell>
          <cell r="I5482" t="str">
            <v>IMPUESTO SOBRE LAS VENTAS</v>
          </cell>
          <cell r="J5482" t="str">
            <v>CL 21  44   18</v>
          </cell>
          <cell r="K5482" t="str">
            <v>11001</v>
          </cell>
          <cell r="L5482" t="str">
            <v>BOGOTA DC</v>
          </cell>
          <cell r="M5482" t="str">
            <v>3158463837</v>
          </cell>
        </row>
        <row r="5483">
          <cell r="A5483">
            <v>900651867</v>
          </cell>
          <cell r="B5483" t="str">
            <v>6</v>
          </cell>
          <cell r="C5483" t="str">
            <v/>
          </cell>
          <cell r="D5483" t="str">
            <v>NJ</v>
          </cell>
          <cell r="E5483" t="str">
            <v/>
          </cell>
          <cell r="F5483" t="str">
            <v/>
          </cell>
          <cell r="G5483" t="str">
            <v>CENTRO DE DIAGNOSTICO AUTOMOTOR MI CARRERA SAS</v>
          </cell>
          <cell r="H5483" t="str">
            <v>RECO</v>
          </cell>
          <cell r="I5483" t="str">
            <v>REGIMEN COMUN</v>
          </cell>
          <cell r="J5483" t="str">
            <v>AC 9   50   15 LC 1056</v>
          </cell>
          <cell r="K5483" t="str">
            <v>11001</v>
          </cell>
          <cell r="L5483" t="str">
            <v>BOGOTA DC</v>
          </cell>
          <cell r="M5483" t="str">
            <v>4145393</v>
          </cell>
        </row>
        <row r="5484">
          <cell r="A5484">
            <v>900653412</v>
          </cell>
          <cell r="B5484" t="str">
            <v>8</v>
          </cell>
          <cell r="C5484" t="str">
            <v/>
          </cell>
          <cell r="D5484" t="str">
            <v>NJ</v>
          </cell>
          <cell r="E5484" t="str">
            <v/>
          </cell>
          <cell r="F5484" t="str">
            <v/>
          </cell>
          <cell r="G5484" t="str">
            <v>A2 MARKETING NEWS SAS.</v>
          </cell>
          <cell r="H5484" t="str">
            <v>IMVE</v>
          </cell>
          <cell r="I5484" t="str">
            <v>IMPUESTO SOBRE LAS VENTAS</v>
          </cell>
          <cell r="J5484" t="str">
            <v>CRA 82 25 G 84 OF 304</v>
          </cell>
          <cell r="K5484" t="str">
            <v>11001</v>
          </cell>
          <cell r="L5484" t="str">
            <v>BOGOTA DC</v>
          </cell>
          <cell r="M5484" t="str">
            <v>3166916826</v>
          </cell>
        </row>
        <row r="5485">
          <cell r="A5485">
            <v>900654279</v>
          </cell>
          <cell r="B5485" t="str">
            <v>9</v>
          </cell>
          <cell r="C5485" t="str">
            <v/>
          </cell>
          <cell r="D5485" t="str">
            <v>NJ</v>
          </cell>
          <cell r="E5485" t="str">
            <v/>
          </cell>
          <cell r="F5485" t="str">
            <v/>
          </cell>
          <cell r="G5485" t="str">
            <v>ESTACION DE SERVICIO TEXACO 40</v>
          </cell>
          <cell r="H5485" t="str">
            <v>RECO</v>
          </cell>
          <cell r="I5485" t="str">
            <v>REGIMEN COMUN</v>
          </cell>
          <cell r="J5485" t="str">
            <v>AC 26 SUR   52   57</v>
          </cell>
          <cell r="K5485" t="str">
            <v>11001</v>
          </cell>
          <cell r="L5485" t="str">
            <v>BOGOTA DC</v>
          </cell>
          <cell r="M5485" t="str">
            <v>7412258</v>
          </cell>
        </row>
        <row r="5486">
          <cell r="A5486">
            <v>900654284</v>
          </cell>
          <cell r="B5486" t="str">
            <v>6</v>
          </cell>
          <cell r="C5486" t="str">
            <v/>
          </cell>
          <cell r="D5486" t="str">
            <v>NJ</v>
          </cell>
          <cell r="E5486" t="str">
            <v/>
          </cell>
          <cell r="F5486" t="str">
            <v/>
          </cell>
          <cell r="G5486" t="str">
            <v>ITALIANISSIMO PIZZERIA RISTORANTE. S.A.S.</v>
          </cell>
          <cell r="H5486" t="str">
            <v>REOR</v>
          </cell>
          <cell r="I5486" t="str">
            <v>RENTA REGIMEN ORDINARIO</v>
          </cell>
          <cell r="J5486" t="str">
            <v>CR 23 73-9</v>
          </cell>
          <cell r="K5486" t="str">
            <v>17001</v>
          </cell>
          <cell r="L5486" t="str">
            <v>MANIZALES</v>
          </cell>
          <cell r="M5486" t="str">
            <v>8868804</v>
          </cell>
        </row>
        <row r="5487">
          <cell r="A5487">
            <v>900654933</v>
          </cell>
          <cell r="B5487" t="str">
            <v>8</v>
          </cell>
          <cell r="C5487" t="str">
            <v/>
          </cell>
          <cell r="D5487" t="str">
            <v>NJ</v>
          </cell>
          <cell r="E5487" t="str">
            <v/>
          </cell>
          <cell r="F5487" t="str">
            <v/>
          </cell>
          <cell r="G5487" t="str">
            <v>CORPORATIVO COLOMBIA SAS</v>
          </cell>
          <cell r="H5487" t="str">
            <v>RECO</v>
          </cell>
          <cell r="I5487" t="str">
            <v>REGIMEN COMUN</v>
          </cell>
          <cell r="J5487" t="str">
            <v>CL 67 21 01 AP 603</v>
          </cell>
          <cell r="K5487" t="str">
            <v>17001</v>
          </cell>
          <cell r="L5487" t="str">
            <v>MANIZALES</v>
          </cell>
          <cell r="M5487" t="str">
            <v>3122591925</v>
          </cell>
        </row>
        <row r="5488">
          <cell r="A5488">
            <v>900656700</v>
          </cell>
          <cell r="B5488" t="str">
            <v>8</v>
          </cell>
          <cell r="C5488" t="str">
            <v/>
          </cell>
          <cell r="D5488" t="str">
            <v>NJ</v>
          </cell>
          <cell r="E5488" t="str">
            <v/>
          </cell>
          <cell r="F5488" t="str">
            <v/>
          </cell>
          <cell r="G5488" t="str">
            <v>CENTRAL DE APOYOS A TRANSPORTADORES GRUPO CAT S.A.S</v>
          </cell>
          <cell r="H5488" t="str">
            <v>IMVE</v>
          </cell>
          <cell r="I5488" t="str">
            <v>IMPUESTO SOBRE LAS VENTAS</v>
          </cell>
          <cell r="J5488" t="str">
            <v xml:space="preserve"> CL 77B # 59-61 EDIFICIO LAS AMERICAS 2 OFICINA 1009</v>
          </cell>
          <cell r="K5488" t="str">
            <v>11001</v>
          </cell>
          <cell r="L5488" t="str">
            <v>BOGOTA DC</v>
          </cell>
          <cell r="M5488" t="str">
            <v>3138894767</v>
          </cell>
        </row>
        <row r="5489">
          <cell r="A5489">
            <v>900656852</v>
          </cell>
          <cell r="B5489" t="str">
            <v>9</v>
          </cell>
          <cell r="C5489" t="str">
            <v/>
          </cell>
          <cell r="D5489" t="str">
            <v>NJ</v>
          </cell>
          <cell r="E5489" t="str">
            <v/>
          </cell>
          <cell r="F5489" t="str">
            <v/>
          </cell>
          <cell r="G5489" t="str">
            <v>GLOBALSAT COLOMBIA TELECOMUNICACIONES LTDA</v>
          </cell>
          <cell r="H5489" t="str">
            <v>RECO</v>
          </cell>
          <cell r="I5489" t="str">
            <v>REGIMEN COMUN</v>
          </cell>
          <cell r="J5489" t="str">
            <v xml:space="preserve"> CR 54 106  18 OF 512</v>
          </cell>
          <cell r="K5489" t="str">
            <v>11001</v>
          </cell>
          <cell r="L5489" t="str">
            <v>BOGOTA DC</v>
          </cell>
          <cell r="M5489" t="str">
            <v>3168950153</v>
          </cell>
        </row>
        <row r="5490">
          <cell r="A5490">
            <v>900657061</v>
          </cell>
          <cell r="B5490" t="str">
            <v>4</v>
          </cell>
          <cell r="C5490" t="str">
            <v/>
          </cell>
          <cell r="D5490" t="str">
            <v>NJ</v>
          </cell>
          <cell r="E5490" t="str">
            <v/>
          </cell>
          <cell r="F5490" t="str">
            <v/>
          </cell>
          <cell r="G5490" t="str">
            <v>HIT PUBLICIDAD S.A.S</v>
          </cell>
          <cell r="H5490" t="str">
            <v>RECO</v>
          </cell>
          <cell r="I5490" t="str">
            <v>REGIMEN COMUN</v>
          </cell>
          <cell r="J5490" t="str">
            <v>CR 68 G 73 A 76</v>
          </cell>
          <cell r="K5490" t="str">
            <v>11001</v>
          </cell>
          <cell r="L5490" t="str">
            <v>BOGOTA DC</v>
          </cell>
          <cell r="M5490" t="str">
            <v>4902361</v>
          </cell>
        </row>
        <row r="5491">
          <cell r="A5491">
            <v>900658633</v>
          </cell>
          <cell r="B5491" t="str">
            <v>1</v>
          </cell>
          <cell r="C5491" t="str">
            <v/>
          </cell>
          <cell r="D5491" t="str">
            <v>NJ</v>
          </cell>
          <cell r="E5491" t="str">
            <v/>
          </cell>
          <cell r="F5491" t="str">
            <v/>
          </cell>
          <cell r="G5491" t="str">
            <v>TRANSPORTE SUPER EXPRESS S.A.S</v>
          </cell>
          <cell r="H5491" t="str">
            <v>RECO</v>
          </cell>
          <cell r="I5491" t="str">
            <v>REGIMEN COMUN</v>
          </cell>
          <cell r="J5491" t="str">
            <v>PN TERMINAL DE TRANSPORTES BL E LC 4</v>
          </cell>
          <cell r="K5491" t="str">
            <v>20001</v>
          </cell>
          <cell r="L5491" t="str">
            <v>VALLEDUPAR</v>
          </cell>
          <cell r="M5491" t="str">
            <v>3187155705</v>
          </cell>
        </row>
        <row r="5492">
          <cell r="A5492">
            <v>900659113</v>
          </cell>
          <cell r="B5492" t="str">
            <v>8</v>
          </cell>
          <cell r="C5492" t="str">
            <v/>
          </cell>
          <cell r="D5492" t="str">
            <v>NJ</v>
          </cell>
          <cell r="E5492" t="str">
            <v/>
          </cell>
          <cell r="F5492" t="str">
            <v/>
          </cell>
          <cell r="G5492" t="str">
            <v>PRAGMA MARKETING Y EVENTOS S.A.S</v>
          </cell>
          <cell r="H5492" t="str">
            <v>RECO</v>
          </cell>
          <cell r="I5492" t="str">
            <v>REGIMEN COMUN</v>
          </cell>
          <cell r="J5492" t="str">
            <v>CL 61 A 24 A  28</v>
          </cell>
          <cell r="K5492" t="str">
            <v>17001</v>
          </cell>
          <cell r="L5492" t="str">
            <v>MANIZALES</v>
          </cell>
          <cell r="M5492" t="str">
            <v>8917242</v>
          </cell>
        </row>
        <row r="5493">
          <cell r="A5493">
            <v>900659583</v>
          </cell>
          <cell r="B5493" t="str">
            <v>6</v>
          </cell>
          <cell r="C5493" t="str">
            <v/>
          </cell>
          <cell r="D5493" t="str">
            <v>NJ</v>
          </cell>
          <cell r="E5493" t="str">
            <v/>
          </cell>
          <cell r="F5493" t="str">
            <v/>
          </cell>
          <cell r="G5493" t="str">
            <v>INVERSIONES RCP SAS SUBWAY</v>
          </cell>
          <cell r="H5493" t="str">
            <v>RECO</v>
          </cell>
          <cell r="I5493" t="str">
            <v>REGIMEN COMUN</v>
          </cell>
          <cell r="J5493" t="str">
            <v>CRA 23 NO 6511 LOCAL 102 CC CABLE PLAZA</v>
          </cell>
          <cell r="K5493" t="str">
            <v>17001</v>
          </cell>
          <cell r="L5493" t="str">
            <v>MANIZALES</v>
          </cell>
          <cell r="M5493" t="str">
            <v>8756505</v>
          </cell>
        </row>
        <row r="5494">
          <cell r="A5494">
            <v>900660041</v>
          </cell>
          <cell r="B5494" t="str">
            <v>8</v>
          </cell>
          <cell r="C5494" t="str">
            <v/>
          </cell>
          <cell r="D5494" t="str">
            <v>NJ</v>
          </cell>
          <cell r="E5494" t="str">
            <v/>
          </cell>
          <cell r="F5494" t="str">
            <v/>
          </cell>
          <cell r="G5494" t="str">
            <v>CORPORACIÓN CULTURAL CABRESTERO GUAINIA</v>
          </cell>
          <cell r="H5494" t="str">
            <v>RESI</v>
          </cell>
          <cell r="I5494" t="str">
            <v>REGIMEN SIMPLIFICADO</v>
          </cell>
          <cell r="J5494" t="str">
            <v>CL 19 13 16 MZ H 2</v>
          </cell>
          <cell r="K5494" t="str">
            <v>94001</v>
          </cell>
          <cell r="L5494" t="str">
            <v>INÍRIDA</v>
          </cell>
          <cell r="M5494" t="str">
            <v>3112496935</v>
          </cell>
        </row>
        <row r="5495">
          <cell r="A5495">
            <v>900660144</v>
          </cell>
          <cell r="B5495" t="str">
            <v>8</v>
          </cell>
          <cell r="C5495" t="str">
            <v/>
          </cell>
          <cell r="D5495" t="str">
            <v>NJ</v>
          </cell>
          <cell r="E5495" t="str">
            <v/>
          </cell>
          <cell r="F5495" t="str">
            <v/>
          </cell>
          <cell r="G5495" t="str">
            <v>CARNECOL MANIZALES</v>
          </cell>
          <cell r="H5495" t="str">
            <v>RECO</v>
          </cell>
          <cell r="I5495" t="str">
            <v>REGIMEN COMUN</v>
          </cell>
          <cell r="J5495" t="str">
            <v>CR 23 44 43</v>
          </cell>
          <cell r="K5495" t="str">
            <v>17001</v>
          </cell>
          <cell r="L5495" t="str">
            <v>MANIZALES</v>
          </cell>
          <cell r="M5495" t="str">
            <v>8853555</v>
          </cell>
        </row>
        <row r="5496">
          <cell r="A5496">
            <v>900660695</v>
          </cell>
          <cell r="B5496" t="str">
            <v>4</v>
          </cell>
          <cell r="C5496" t="str">
            <v/>
          </cell>
          <cell r="D5496" t="str">
            <v>NJ</v>
          </cell>
          <cell r="E5496" t="str">
            <v/>
          </cell>
          <cell r="F5496" t="str">
            <v/>
          </cell>
          <cell r="G5496" t="str">
            <v>AIREFRITERMICA SAS</v>
          </cell>
          <cell r="H5496" t="str">
            <v>IMVE</v>
          </cell>
          <cell r="I5496" t="str">
            <v>IMPUESTO SOBRE LAS VENTAS</v>
          </cell>
          <cell r="J5496" t="str">
            <v xml:space="preserve"> CL 19  12 69 LC 12  I CC FIDUCENTRO</v>
          </cell>
          <cell r="K5496" t="str">
            <v>66001</v>
          </cell>
          <cell r="L5496" t="str">
            <v>PEREIRA</v>
          </cell>
          <cell r="M5496" t="str">
            <v>3333431</v>
          </cell>
        </row>
        <row r="5497">
          <cell r="A5497">
            <v>900662390</v>
          </cell>
          <cell r="B5497" t="str">
            <v>2</v>
          </cell>
          <cell r="C5497" t="str">
            <v/>
          </cell>
          <cell r="D5497" t="str">
            <v>NJ</v>
          </cell>
          <cell r="E5497" t="str">
            <v/>
          </cell>
          <cell r="F5497" t="str">
            <v/>
          </cell>
          <cell r="G5497" t="str">
            <v>PREVER PREVISION GENERAL S.A.S.</v>
          </cell>
          <cell r="H5497" t="str">
            <v>RECO</v>
          </cell>
          <cell r="I5497" t="str">
            <v>REGIMEN COMUN</v>
          </cell>
          <cell r="J5497" t="str">
            <v>CR 11A 98 50</v>
          </cell>
          <cell r="K5497" t="str">
            <v>11001</v>
          </cell>
          <cell r="L5497" t="str">
            <v>BOGOTA DC</v>
          </cell>
          <cell r="M5497" t="str">
            <v>7965280</v>
          </cell>
        </row>
        <row r="5498">
          <cell r="A5498">
            <v>900663360</v>
          </cell>
          <cell r="B5498" t="str">
            <v>6</v>
          </cell>
          <cell r="C5498" t="str">
            <v/>
          </cell>
          <cell r="D5498" t="str">
            <v>NJ</v>
          </cell>
          <cell r="E5498" t="str">
            <v/>
          </cell>
          <cell r="F5498" t="str">
            <v/>
          </cell>
          <cell r="G5498" t="str">
            <v>BIODYNE BOGOTA SAS</v>
          </cell>
          <cell r="H5498" t="str">
            <v>IMVE</v>
          </cell>
          <cell r="I5498" t="str">
            <v>IMPUESTO SOBRE LAS VENTAS</v>
          </cell>
          <cell r="J5498" t="str">
            <v>CR 13 15 83 IN 1</v>
          </cell>
          <cell r="K5498" t="str">
            <v>25175</v>
          </cell>
          <cell r="L5498" t="str">
            <v>CHÍA</v>
          </cell>
          <cell r="M5498" t="str">
            <v>3108563486</v>
          </cell>
        </row>
        <row r="5499">
          <cell r="A5499">
            <v>900664871</v>
          </cell>
          <cell r="B5499" t="str">
            <v>2</v>
          </cell>
          <cell r="C5499" t="str">
            <v/>
          </cell>
          <cell r="D5499" t="str">
            <v>NJ</v>
          </cell>
          <cell r="E5499" t="str">
            <v/>
          </cell>
          <cell r="F5499" t="str">
            <v/>
          </cell>
          <cell r="G5499" t="str">
            <v>DOGGER AE OLAYA HERRERA</v>
          </cell>
          <cell r="H5499" t="str">
            <v>RECO</v>
          </cell>
          <cell r="I5499" t="str">
            <v>REGIMEN COMUN</v>
          </cell>
          <cell r="J5499" t="str">
            <v>CL 40 SUR 27 04</v>
          </cell>
          <cell r="K5499" t="str">
            <v>17001</v>
          </cell>
          <cell r="L5499" t="str">
            <v>MANIZALES</v>
          </cell>
          <cell r="M5499" t="str">
            <v>no registra</v>
          </cell>
        </row>
        <row r="5500">
          <cell r="A5500">
            <v>900668702</v>
          </cell>
          <cell r="B5500" t="str">
            <v>4</v>
          </cell>
          <cell r="C5500" t="str">
            <v/>
          </cell>
          <cell r="D5500" t="str">
            <v>NJ</v>
          </cell>
          <cell r="E5500" t="str">
            <v/>
          </cell>
          <cell r="F5500" t="str">
            <v/>
          </cell>
          <cell r="G5500" t="str">
            <v>INVERSIONES TE ORIENTAMOS HOTELES S.A.S.</v>
          </cell>
          <cell r="H5500" t="str">
            <v>RECO</v>
          </cell>
          <cell r="I5500" t="str">
            <v>REGIMEN COMUN</v>
          </cell>
          <cell r="J5500" t="str">
            <v>AK 40 22 B 39 BRR QUINTA PAREDES</v>
          </cell>
          <cell r="K5500" t="str">
            <v>11001</v>
          </cell>
          <cell r="L5500" t="str">
            <v>BOGOTA DC</v>
          </cell>
          <cell r="M5500" t="str">
            <v>2680235</v>
          </cell>
        </row>
        <row r="5501">
          <cell r="A5501">
            <v>900671249</v>
          </cell>
          <cell r="B5501" t="str">
            <v>1</v>
          </cell>
          <cell r="C5501" t="str">
            <v/>
          </cell>
          <cell r="D5501" t="str">
            <v>NJ</v>
          </cell>
          <cell r="E5501" t="str">
            <v/>
          </cell>
          <cell r="F5501" t="str">
            <v/>
          </cell>
          <cell r="G5501" t="str">
            <v>POWER SYSTEMS SERVICES GLOBAL SAS</v>
          </cell>
          <cell r="H5501" t="str">
            <v>RECO</v>
          </cell>
          <cell r="I5501" t="str">
            <v>REGIMEN COMUN</v>
          </cell>
          <cell r="J5501" t="str">
            <v>AK  7 180 30 OF 604 LOS NARANJOS</v>
          </cell>
          <cell r="K5501" t="str">
            <v>11001</v>
          </cell>
          <cell r="L5501" t="str">
            <v>BOGOTA DC</v>
          </cell>
          <cell r="M5501" t="str">
            <v>8828690</v>
          </cell>
        </row>
        <row r="5502">
          <cell r="A5502">
            <v>900671438</v>
          </cell>
          <cell r="B5502" t="str">
            <v>5</v>
          </cell>
          <cell r="C5502" t="str">
            <v/>
          </cell>
          <cell r="D5502" t="str">
            <v>NJ</v>
          </cell>
          <cell r="E5502" t="str">
            <v/>
          </cell>
          <cell r="F5502" t="str">
            <v/>
          </cell>
          <cell r="G5502" t="str">
            <v>DISEÑO Y CONSTRUCCION DE PROYECTOS DE INGENIERIA SAS</v>
          </cell>
          <cell r="H5502" t="str">
            <v>IMVE</v>
          </cell>
          <cell r="I5502" t="str">
            <v>IMPUESTO SOBRE LAS VENTAS</v>
          </cell>
          <cell r="J5502" t="str">
            <v>CL 17 24 74 BRR SANTANDER</v>
          </cell>
          <cell r="K5502" t="str">
            <v>95001</v>
          </cell>
          <cell r="L5502" t="str">
            <v>SAN JOSÉ DEL GUAVIARE</v>
          </cell>
          <cell r="M5502" t="str">
            <v>3118540610</v>
          </cell>
        </row>
        <row r="5503">
          <cell r="A5503">
            <v>900672436</v>
          </cell>
          <cell r="B5503" t="str">
            <v>5</v>
          </cell>
          <cell r="C5503" t="str">
            <v/>
          </cell>
          <cell r="D5503" t="str">
            <v>NJ</v>
          </cell>
          <cell r="E5503" t="str">
            <v/>
          </cell>
          <cell r="F5503" t="str">
            <v/>
          </cell>
          <cell r="G5503" t="str">
            <v>SOCIEDAD OPERADORA CALLE 100 ROYAL S.A.S</v>
          </cell>
          <cell r="H5503" t="str">
            <v>RECO</v>
          </cell>
          <cell r="I5503" t="str">
            <v>REGIMEN COMUN</v>
          </cell>
          <cell r="J5503" t="str">
            <v>CL 100 19 A 70</v>
          </cell>
          <cell r="K5503" t="str">
            <v>11001</v>
          </cell>
          <cell r="L5503" t="str">
            <v>BOGOTA DC</v>
          </cell>
          <cell r="M5503" t="str">
            <v>7953500</v>
          </cell>
        </row>
        <row r="5504">
          <cell r="A5504">
            <v>900672554</v>
          </cell>
          <cell r="B5504" t="str">
            <v>6</v>
          </cell>
          <cell r="C5504" t="str">
            <v/>
          </cell>
          <cell r="D5504" t="str">
            <v>NJ</v>
          </cell>
          <cell r="E5504" t="str">
            <v/>
          </cell>
          <cell r="F5504" t="str">
            <v/>
          </cell>
          <cell r="G5504" t="str">
            <v>LUBRIFICANTES E COMBUSTIVELES BRASILEIROS SA</v>
          </cell>
          <cell r="H5504" t="str">
            <v>RECO</v>
          </cell>
          <cell r="I5504" t="str">
            <v>REGIMEN COMUN</v>
          </cell>
          <cell r="J5504" t="str">
            <v>AK 7  127 48 OF 601</v>
          </cell>
          <cell r="K5504" t="str">
            <v>11001</v>
          </cell>
          <cell r="L5504" t="str">
            <v>BOGOTA DC</v>
          </cell>
          <cell r="M5504" t="str">
            <v>6476284</v>
          </cell>
        </row>
        <row r="5505">
          <cell r="A5505">
            <v>900674409</v>
          </cell>
          <cell r="B5505" t="str">
            <v>5</v>
          </cell>
          <cell r="C5505" t="str">
            <v/>
          </cell>
          <cell r="D5505" t="str">
            <v>NJ</v>
          </cell>
          <cell r="E5505" t="str">
            <v/>
          </cell>
          <cell r="F5505" t="str">
            <v/>
          </cell>
          <cell r="G5505" t="str">
            <v>IN SITU SOLUTIONS SERVICES SAS</v>
          </cell>
          <cell r="H5505" t="str">
            <v>IMVE</v>
          </cell>
          <cell r="I5505" t="str">
            <v>IMPUESTO SOBRE LAS VENTAS</v>
          </cell>
          <cell r="J5505" t="str">
            <v>CL 18 A SUR 29C 48</v>
          </cell>
          <cell r="K5505" t="str">
            <v>11001</v>
          </cell>
          <cell r="L5505" t="str">
            <v>BOGOTA DC</v>
          </cell>
          <cell r="M5505" t="str">
            <v>3008884588</v>
          </cell>
        </row>
        <row r="5506">
          <cell r="A5506">
            <v>900675802</v>
          </cell>
          <cell r="B5506" t="str">
            <v>1</v>
          </cell>
          <cell r="C5506" t="str">
            <v/>
          </cell>
          <cell r="D5506" t="str">
            <v>NJ</v>
          </cell>
          <cell r="E5506" t="str">
            <v/>
          </cell>
          <cell r="F5506" t="str">
            <v/>
          </cell>
          <cell r="G5506" t="str">
            <v>OXOHOTEL YOPAL SAS</v>
          </cell>
          <cell r="H5506" t="str">
            <v>RECO</v>
          </cell>
          <cell r="I5506" t="str">
            <v>REGIMEN COMUN</v>
          </cell>
          <cell r="J5506" t="str">
            <v>CR 29   15   64</v>
          </cell>
          <cell r="K5506" t="str">
            <v>85001</v>
          </cell>
          <cell r="L5506" t="str">
            <v>YOPAL</v>
          </cell>
          <cell r="M5506" t="str">
            <v>6333505</v>
          </cell>
        </row>
        <row r="5507">
          <cell r="A5507">
            <v>900676575</v>
          </cell>
          <cell r="B5507" t="str">
            <v>9</v>
          </cell>
          <cell r="C5507" t="str">
            <v/>
          </cell>
          <cell r="D5507" t="str">
            <v>NJ</v>
          </cell>
          <cell r="E5507" t="str">
            <v/>
          </cell>
          <cell r="F5507" t="str">
            <v/>
          </cell>
          <cell r="G5507" t="str">
            <v>PROGRESEMOS UNIDOS</v>
          </cell>
          <cell r="H5507" t="str">
            <v>REIC</v>
          </cell>
          <cell r="I5507" t="str">
            <v>RENTA REGIMEN ESPECIAL</v>
          </cell>
          <cell r="J5507" t="str">
            <v>CL 2  5 23 BRR LA ESPERANZA</v>
          </cell>
          <cell r="K5507" t="str">
            <v>19318</v>
          </cell>
          <cell r="L5507" t="str">
            <v>GUAPI</v>
          </cell>
          <cell r="M5507" t="str">
            <v>3206159096</v>
          </cell>
        </row>
        <row r="5508">
          <cell r="A5508">
            <v>900677899</v>
          </cell>
          <cell r="B5508" t="str">
            <v>4</v>
          </cell>
          <cell r="C5508" t="str">
            <v/>
          </cell>
          <cell r="D5508" t="str">
            <v>NJ</v>
          </cell>
          <cell r="E5508" t="str">
            <v/>
          </cell>
          <cell r="F5508" t="str">
            <v/>
          </cell>
          <cell r="G5508" t="str">
            <v>INVERSIONES CINCO MG SAS</v>
          </cell>
          <cell r="H5508" t="str">
            <v>RECO</v>
          </cell>
          <cell r="I5508" t="str">
            <v>REGIMEN COMUN</v>
          </cell>
          <cell r="J5508" t="str">
            <v>CL 67 SUR CR 43 C 17 OF 207</v>
          </cell>
          <cell r="K5508" t="str">
            <v>17001</v>
          </cell>
          <cell r="L5508" t="str">
            <v>MANIZALES</v>
          </cell>
          <cell r="M5508" t="str">
            <v>3782348</v>
          </cell>
        </row>
        <row r="5509">
          <cell r="A5509">
            <v>900678688</v>
          </cell>
          <cell r="B5509" t="str">
            <v>1</v>
          </cell>
          <cell r="C5509" t="str">
            <v/>
          </cell>
          <cell r="D5509" t="str">
            <v>NJ</v>
          </cell>
          <cell r="E5509" t="str">
            <v/>
          </cell>
          <cell r="F5509" t="str">
            <v/>
          </cell>
          <cell r="G5509" t="str">
            <v>JUANTHOSA RED SAS</v>
          </cell>
          <cell r="H5509" t="str">
            <v>IMVE</v>
          </cell>
          <cell r="I5509" t="str">
            <v>IMPUESTO SOBRE LAS VENTAS</v>
          </cell>
          <cell r="J5509" t="str">
            <v>K 7 7 52 BRR INAYA</v>
          </cell>
          <cell r="K5509" t="str">
            <v>97001</v>
          </cell>
          <cell r="L5509" t="str">
            <v>MITÚ</v>
          </cell>
          <cell r="M5509" t="str">
            <v>3123911413</v>
          </cell>
        </row>
        <row r="5510">
          <cell r="A5510">
            <v>900679905</v>
          </cell>
          <cell r="B5510" t="str">
            <v>1</v>
          </cell>
          <cell r="C5510" t="str">
            <v/>
          </cell>
          <cell r="D5510" t="str">
            <v>NJ</v>
          </cell>
          <cell r="E5510" t="str">
            <v/>
          </cell>
          <cell r="F5510" t="str">
            <v/>
          </cell>
          <cell r="G5510" t="str">
            <v>TAXA CONSULTORES S.A.</v>
          </cell>
          <cell r="H5510" t="str">
            <v>RECO</v>
          </cell>
          <cell r="I5510" t="str">
            <v>REGIMEN COMUN</v>
          </cell>
          <cell r="J5510" t="str">
            <v>CL 20  22 27 OF 401  ED CUMANDAY</v>
          </cell>
          <cell r="K5510" t="str">
            <v>17001</v>
          </cell>
          <cell r="L5510" t="str">
            <v>MANIZALES</v>
          </cell>
          <cell r="M5510" t="str">
            <v>8828820</v>
          </cell>
        </row>
        <row r="5511">
          <cell r="A5511">
            <v>900680497</v>
          </cell>
          <cell r="B5511" t="str">
            <v>8</v>
          </cell>
          <cell r="C5511" t="str">
            <v/>
          </cell>
          <cell r="D5511" t="str">
            <v>NJ</v>
          </cell>
          <cell r="E5511" t="str">
            <v/>
          </cell>
          <cell r="F5511" t="str">
            <v/>
          </cell>
          <cell r="G5511" t="str">
            <v>ELECTRO LINE DH SAS</v>
          </cell>
          <cell r="H5511" t="str">
            <v>IMVE</v>
          </cell>
          <cell r="I5511" t="str">
            <v>IMPUESTO SOBRE LAS VENTAS</v>
          </cell>
          <cell r="J5511" t="str">
            <v>CL 104 A CR 76 74</v>
          </cell>
          <cell r="K5511" t="str">
            <v>05002</v>
          </cell>
          <cell r="L5511" t="str">
            <v>MEDELLIN</v>
          </cell>
          <cell r="M5511" t="str">
            <v>5889917</v>
          </cell>
        </row>
        <row r="5512">
          <cell r="A5512">
            <v>900680529</v>
          </cell>
          <cell r="B5512" t="str">
            <v>5</v>
          </cell>
          <cell r="C5512" t="str">
            <v/>
          </cell>
          <cell r="D5512" t="str">
            <v>NJ</v>
          </cell>
          <cell r="E5512" t="str">
            <v/>
          </cell>
          <cell r="F5512" t="str">
            <v/>
          </cell>
          <cell r="G5512" t="str">
            <v>EDITORA DIRECT NETWORK ASSOCIATES SAS</v>
          </cell>
          <cell r="H5512" t="str">
            <v>RECO</v>
          </cell>
          <cell r="I5512" t="str">
            <v>REGIMEN COMUN</v>
          </cell>
          <cell r="J5512" t="str">
            <v>CR 24 A 56 96 BRR BELEN</v>
          </cell>
          <cell r="K5512" t="str">
            <v>17001</v>
          </cell>
          <cell r="L5512" t="str">
            <v>MANIZALES</v>
          </cell>
          <cell r="M5512" t="str">
            <v>3167474827</v>
          </cell>
        </row>
        <row r="5513">
          <cell r="A5513">
            <v>900683124</v>
          </cell>
          <cell r="B5513" t="str">
            <v>1</v>
          </cell>
          <cell r="C5513" t="str">
            <v/>
          </cell>
          <cell r="D5513" t="str">
            <v>NJ</v>
          </cell>
          <cell r="E5513" t="str">
            <v/>
          </cell>
          <cell r="F5513" t="str">
            <v/>
          </cell>
          <cell r="G5513" t="str">
            <v>CARBON &amp; VINO S.A.S.</v>
          </cell>
          <cell r="H5513" t="str">
            <v>REOR</v>
          </cell>
          <cell r="I5513" t="str">
            <v>RENTA REGIMEN ORDINARIO</v>
          </cell>
          <cell r="J5513" t="str">
            <v>CL 31 5 17</v>
          </cell>
          <cell r="K5513" t="str">
            <v>85001</v>
          </cell>
          <cell r="L5513" t="str">
            <v>YOPAL</v>
          </cell>
          <cell r="M5513" t="str">
            <v>900683124</v>
          </cell>
        </row>
        <row r="5514">
          <cell r="A5514">
            <v>900683291</v>
          </cell>
          <cell r="B5514" t="str">
            <v>1</v>
          </cell>
          <cell r="C5514" t="str">
            <v/>
          </cell>
          <cell r="D5514" t="str">
            <v>NJ</v>
          </cell>
          <cell r="E5514" t="str">
            <v/>
          </cell>
          <cell r="F5514" t="str">
            <v/>
          </cell>
          <cell r="G5514" t="str">
            <v>CONSORCIO MEDIO ATRATO</v>
          </cell>
          <cell r="H5514" t="str">
            <v>RECO</v>
          </cell>
          <cell r="I5514" t="str">
            <v>REGIMEN COMUN</v>
          </cell>
          <cell r="J5514" t="str">
            <v xml:space="preserve"> CR 16 4 B 12 BRR LA FRANCIA</v>
          </cell>
          <cell r="K5514" t="str">
            <v>17001</v>
          </cell>
          <cell r="L5514" t="str">
            <v>MANIZALES</v>
          </cell>
          <cell r="M5514" t="str">
            <v>8891853</v>
          </cell>
        </row>
        <row r="5515">
          <cell r="A5515">
            <v>900683555</v>
          </cell>
          <cell r="B5515" t="str">
            <v>0</v>
          </cell>
          <cell r="C5515" t="str">
            <v/>
          </cell>
          <cell r="D5515" t="str">
            <v>NJ</v>
          </cell>
          <cell r="E5515" t="str">
            <v/>
          </cell>
          <cell r="F5515" t="str">
            <v/>
          </cell>
          <cell r="G5515" t="str">
            <v>TSUMICOL SAS</v>
          </cell>
          <cell r="H5515" t="str">
            <v>RECO</v>
          </cell>
          <cell r="I5515" t="str">
            <v>REGIMEN COMUN</v>
          </cell>
          <cell r="J5515" t="str">
            <v>CR 47 74 91</v>
          </cell>
          <cell r="K5515" t="str">
            <v>08001</v>
          </cell>
          <cell r="L5515" t="str">
            <v>BARRANQUILLA</v>
          </cell>
          <cell r="M5515" t="str">
            <v>3690273</v>
          </cell>
        </row>
        <row r="5516">
          <cell r="A5516">
            <v>900684851</v>
          </cell>
          <cell r="B5516" t="str">
            <v>0</v>
          </cell>
          <cell r="C5516" t="str">
            <v/>
          </cell>
          <cell r="D5516" t="str">
            <v>NJ</v>
          </cell>
          <cell r="E5516" t="str">
            <v/>
          </cell>
          <cell r="F5516" t="str">
            <v/>
          </cell>
          <cell r="G5516" t="str">
            <v>UNION TEMPORAL ENERGIA LEGUIZAMO</v>
          </cell>
          <cell r="H5516" t="str">
            <v>RECO</v>
          </cell>
          <cell r="I5516" t="str">
            <v>REGIMEN COMUN</v>
          </cell>
          <cell r="J5516" t="str">
            <v>CR 27 A  78 58</v>
          </cell>
          <cell r="K5516" t="str">
            <v>17001</v>
          </cell>
          <cell r="L5516" t="str">
            <v>MANIZALES</v>
          </cell>
          <cell r="M5516" t="str">
            <v>3110200</v>
          </cell>
        </row>
        <row r="5517">
          <cell r="A5517">
            <v>900685697</v>
          </cell>
          <cell r="B5517" t="str">
            <v>7</v>
          </cell>
          <cell r="C5517" t="str">
            <v/>
          </cell>
          <cell r="D5517" t="str">
            <v>NJ</v>
          </cell>
          <cell r="E5517" t="str">
            <v/>
          </cell>
          <cell r="F5517" t="str">
            <v/>
          </cell>
          <cell r="G5517" t="str">
            <v>UNION TEMPORAL LITORAL DE SAN JUAN</v>
          </cell>
          <cell r="H5517" t="str">
            <v>RECO</v>
          </cell>
          <cell r="I5517" t="str">
            <v>REGIMEN COMUN</v>
          </cell>
          <cell r="J5517" t="str">
            <v xml:space="preserve"> CL 34 N  12 08 OF 102  ED CAMPOBELLO</v>
          </cell>
          <cell r="K5517" t="str">
            <v>19001</v>
          </cell>
          <cell r="L5517" t="str">
            <v>POPAYÁN</v>
          </cell>
          <cell r="M5517" t="str">
            <v>8372910</v>
          </cell>
        </row>
        <row r="5518">
          <cell r="A5518">
            <v>900686007</v>
          </cell>
          <cell r="B5518" t="str">
            <v>1</v>
          </cell>
          <cell r="C5518" t="str">
            <v/>
          </cell>
          <cell r="D5518" t="str">
            <v>NJ</v>
          </cell>
          <cell r="E5518" t="str">
            <v/>
          </cell>
          <cell r="F5518" t="str">
            <v/>
          </cell>
          <cell r="G5518" t="str">
            <v>FERRECOPLAST S.A.S</v>
          </cell>
          <cell r="H5518" t="str">
            <v>RECO</v>
          </cell>
          <cell r="I5518" t="str">
            <v>REGIMEN COMUN</v>
          </cell>
          <cell r="J5518" t="str">
            <v>CL 14 18 75</v>
          </cell>
          <cell r="K5518" t="str">
            <v>15238</v>
          </cell>
          <cell r="L5518" t="str">
            <v>DUITAMA</v>
          </cell>
          <cell r="M5518" t="str">
            <v>3156695825</v>
          </cell>
        </row>
        <row r="5519">
          <cell r="A5519">
            <v>900687260</v>
          </cell>
          <cell r="B5519" t="str">
            <v>1</v>
          </cell>
          <cell r="C5519" t="str">
            <v/>
          </cell>
          <cell r="D5519" t="str">
            <v>NJ</v>
          </cell>
          <cell r="E5519" t="str">
            <v/>
          </cell>
          <cell r="F5519" t="str">
            <v/>
          </cell>
          <cell r="G5519" t="str">
            <v>INDUSTRIA ALIMENTARIA LA CASCADA S.A.S</v>
          </cell>
          <cell r="H5519" t="str">
            <v>RECO</v>
          </cell>
          <cell r="I5519" t="str">
            <v>REGIMEN COMUN</v>
          </cell>
          <cell r="J5519" t="str">
            <v>CL 10 A   22   70</v>
          </cell>
          <cell r="K5519" t="str">
            <v>85001</v>
          </cell>
          <cell r="L5519" t="str">
            <v>YOPAL</v>
          </cell>
          <cell r="M5519" t="str">
            <v>6340659</v>
          </cell>
        </row>
        <row r="5520">
          <cell r="A5520">
            <v>900688912</v>
          </cell>
          <cell r="B5520" t="str">
            <v>1</v>
          </cell>
          <cell r="C5520" t="str">
            <v/>
          </cell>
          <cell r="D5520" t="str">
            <v>NJ</v>
          </cell>
          <cell r="E5520" t="str">
            <v/>
          </cell>
          <cell r="F5520" t="str">
            <v/>
          </cell>
          <cell r="G5520" t="str">
            <v>RENTING DE SERVICIOS Y TURISMO S.A.S</v>
          </cell>
          <cell r="H5520" t="str">
            <v>RECO</v>
          </cell>
          <cell r="I5520" t="str">
            <v>REGIMEN COMUN</v>
          </cell>
          <cell r="J5520" t="str">
            <v>CR 70 CL 32 B 25 OF 201</v>
          </cell>
          <cell r="K5520" t="str">
            <v>05001</v>
          </cell>
          <cell r="L5520" t="str">
            <v>MEDELLÍN</v>
          </cell>
          <cell r="M5520" t="str">
            <v>4485222</v>
          </cell>
        </row>
        <row r="5521">
          <cell r="A5521">
            <v>900690067</v>
          </cell>
          <cell r="B5521" t="str">
            <v>7</v>
          </cell>
          <cell r="C5521" t="str">
            <v/>
          </cell>
          <cell r="D5521" t="str">
            <v>NJ</v>
          </cell>
          <cell r="E5521" t="str">
            <v/>
          </cell>
          <cell r="F5521" t="str">
            <v/>
          </cell>
          <cell r="G5521" t="str">
            <v>JM TECHNOLOGY SAS</v>
          </cell>
          <cell r="H5521" t="str">
            <v>RECO</v>
          </cell>
          <cell r="I5521" t="str">
            <v>REGIMEN COMUN</v>
          </cell>
          <cell r="J5521" t="str">
            <v>CL 79   15   45 LC 1   160</v>
          </cell>
          <cell r="K5521" t="str">
            <v>11001</v>
          </cell>
          <cell r="L5521" t="str">
            <v>BOGOTA DC</v>
          </cell>
          <cell r="M5521" t="str">
            <v>6163844</v>
          </cell>
        </row>
        <row r="5522">
          <cell r="A5522">
            <v>900690295</v>
          </cell>
          <cell r="B5522" t="str">
            <v>1</v>
          </cell>
          <cell r="C5522" t="str">
            <v/>
          </cell>
          <cell r="D5522" t="str">
            <v>NJ</v>
          </cell>
          <cell r="E5522" t="str">
            <v/>
          </cell>
          <cell r="F5522" t="str">
            <v/>
          </cell>
          <cell r="G5522" t="str">
            <v>EXPOCOAL SAS</v>
          </cell>
          <cell r="H5522" t="str">
            <v>RECO</v>
          </cell>
          <cell r="I5522" t="str">
            <v>REGIMEN COMUN</v>
          </cell>
          <cell r="J5522" t="str">
            <v>CON CONDOMINIO PARAISO</v>
          </cell>
          <cell r="K5522" t="str">
            <v>15806</v>
          </cell>
          <cell r="L5522" t="str">
            <v>TIBASOSA</v>
          </cell>
          <cell r="M5522" t="str">
            <v>3108088110</v>
          </cell>
        </row>
        <row r="5523">
          <cell r="A5523">
            <v>900690534</v>
          </cell>
          <cell r="B5523" t="str">
            <v>5</v>
          </cell>
          <cell r="C5523" t="str">
            <v/>
          </cell>
          <cell r="D5523" t="str">
            <v>NJ</v>
          </cell>
          <cell r="E5523" t="str">
            <v/>
          </cell>
          <cell r="F5523" t="str">
            <v/>
          </cell>
          <cell r="G5523" t="str">
            <v>VIESCOR INGENIERIA SAS</v>
          </cell>
          <cell r="H5523" t="str">
            <v>RECO</v>
          </cell>
          <cell r="I5523" t="str">
            <v>REGIMEN COMUN</v>
          </cell>
          <cell r="J5523" t="str">
            <v>CL 11 A 29 107</v>
          </cell>
          <cell r="K5523" t="str">
            <v>85001</v>
          </cell>
          <cell r="L5523" t="str">
            <v>YOPAL</v>
          </cell>
          <cell r="M5523" t="str">
            <v>6353737</v>
          </cell>
        </row>
        <row r="5524">
          <cell r="A5524">
            <v>900690537</v>
          </cell>
          <cell r="B5524" t="str">
            <v>7</v>
          </cell>
          <cell r="C5524" t="str">
            <v/>
          </cell>
          <cell r="D5524" t="str">
            <v>NJ</v>
          </cell>
          <cell r="E5524" t="str">
            <v/>
          </cell>
          <cell r="F5524" t="str">
            <v/>
          </cell>
          <cell r="G5524" t="str">
            <v>UNIÓN TEMPORAL ELECTRIFICACION PUTUMAYO</v>
          </cell>
          <cell r="H5524" t="str">
            <v>RECO</v>
          </cell>
          <cell r="I5524" t="str">
            <v>REGIMEN COMUN</v>
          </cell>
          <cell r="J5524" t="str">
            <v>CR 27 A  78 58</v>
          </cell>
          <cell r="K5524" t="str">
            <v>11001</v>
          </cell>
          <cell r="L5524" t="str">
            <v>BOGOTA DC</v>
          </cell>
          <cell r="M5524" t="str">
            <v>3110200</v>
          </cell>
        </row>
        <row r="5525">
          <cell r="A5525">
            <v>900691280</v>
          </cell>
          <cell r="B5525" t="str">
            <v>4</v>
          </cell>
          <cell r="C5525" t="str">
            <v/>
          </cell>
          <cell r="D5525" t="str">
            <v>NJ</v>
          </cell>
          <cell r="E5525" t="str">
            <v/>
          </cell>
          <cell r="F5525" t="str">
            <v/>
          </cell>
          <cell r="G5525" t="str">
            <v>NITRO ENERGY COLOMBIA SAS ESP</v>
          </cell>
          <cell r="H5525" t="str">
            <v>GRAU</v>
          </cell>
          <cell r="I5525" t="str">
            <v>GRAN CONTRIBUYENTE AUTORRETENEDO</v>
          </cell>
          <cell r="J5525" t="str">
            <v>CR 42 N° 3 SUR-81 TO 2 OF 712</v>
          </cell>
          <cell r="K5525" t="str">
            <v>05002</v>
          </cell>
          <cell r="L5525" t="str">
            <v>MEDELLIN</v>
          </cell>
          <cell r="M5525" t="str">
            <v>6043581677</v>
          </cell>
        </row>
        <row r="5526">
          <cell r="A5526">
            <v>900691598</v>
          </cell>
          <cell r="B5526" t="str">
            <v>0</v>
          </cell>
          <cell r="C5526" t="str">
            <v/>
          </cell>
          <cell r="D5526" t="str">
            <v>NJ</v>
          </cell>
          <cell r="E5526" t="str">
            <v/>
          </cell>
          <cell r="F5526" t="str">
            <v/>
          </cell>
          <cell r="G5526" t="str">
            <v>INTUITIVA CONSULTORES SAS</v>
          </cell>
          <cell r="H5526" t="str">
            <v>RECO</v>
          </cell>
          <cell r="I5526" t="str">
            <v>REGIMEN COMUN</v>
          </cell>
          <cell r="J5526" t="str">
            <v>CL PALERMO 69 24 37</v>
          </cell>
          <cell r="K5526" t="str">
            <v>17001</v>
          </cell>
          <cell r="L5526" t="str">
            <v>MANIZALES</v>
          </cell>
          <cell r="M5526" t="str">
            <v>8741207</v>
          </cell>
        </row>
        <row r="5527">
          <cell r="A5527">
            <v>900693380</v>
          </cell>
          <cell r="B5527" t="str">
            <v>1</v>
          </cell>
          <cell r="C5527" t="str">
            <v/>
          </cell>
          <cell r="D5527" t="str">
            <v>NJ</v>
          </cell>
          <cell r="E5527" t="str">
            <v/>
          </cell>
          <cell r="F5527" t="str">
            <v/>
          </cell>
          <cell r="G5527" t="str">
            <v>AMERICAN LOCKS CENTER SAS</v>
          </cell>
          <cell r="H5527" t="str">
            <v>RECO</v>
          </cell>
          <cell r="I5527" t="str">
            <v>REGIMEN COMUN</v>
          </cell>
          <cell r="J5527" t="str">
            <v>CR 11   97   15</v>
          </cell>
          <cell r="K5527" t="str">
            <v>11001</v>
          </cell>
          <cell r="L5527" t="str">
            <v>BOGOTA DC</v>
          </cell>
          <cell r="M5527" t="str">
            <v>3153934067</v>
          </cell>
        </row>
        <row r="5528">
          <cell r="A5528">
            <v>900693588</v>
          </cell>
          <cell r="B5528" t="str">
            <v>6</v>
          </cell>
          <cell r="C5528" t="str">
            <v/>
          </cell>
          <cell r="D5528" t="str">
            <v>NJ</v>
          </cell>
          <cell r="E5528" t="str">
            <v/>
          </cell>
          <cell r="F5528" t="str">
            <v/>
          </cell>
          <cell r="G5528" t="str">
            <v>ECOFASHION SAS</v>
          </cell>
          <cell r="H5528" t="str">
            <v>IMVE</v>
          </cell>
          <cell r="I5528" t="str">
            <v>IMPUESTO SOBRE LAS VENTAS</v>
          </cell>
          <cell r="J5528" t="str">
            <v>CR 28   92-10 BRR CAROLINA</v>
          </cell>
          <cell r="K5528" t="str">
            <v>66001</v>
          </cell>
          <cell r="L5528" t="str">
            <v>PEREIRA</v>
          </cell>
          <cell r="M5528" t="str">
            <v>3206969094</v>
          </cell>
        </row>
        <row r="5529">
          <cell r="A5529">
            <v>900694164</v>
          </cell>
          <cell r="B5529" t="str">
            <v>1</v>
          </cell>
          <cell r="C5529" t="str">
            <v/>
          </cell>
          <cell r="D5529" t="str">
            <v>NJ</v>
          </cell>
          <cell r="E5529" t="str">
            <v/>
          </cell>
          <cell r="F5529" t="str">
            <v/>
          </cell>
          <cell r="G5529" t="str">
            <v>HG INGENIERIA Y CONSTRUCCIONES SAS</v>
          </cell>
          <cell r="H5529" t="str">
            <v>IMVE</v>
          </cell>
          <cell r="I5529" t="str">
            <v>IMPUESTO SOBRE LAS VENTAS</v>
          </cell>
          <cell r="J5529" t="str">
            <v>CR  64 A  5 30</v>
          </cell>
          <cell r="K5529" t="str">
            <v>76001</v>
          </cell>
          <cell r="L5529" t="str">
            <v>CALI</v>
          </cell>
          <cell r="M5529" t="str">
            <v>3842963</v>
          </cell>
        </row>
        <row r="5530">
          <cell r="A5530">
            <v>900694796</v>
          </cell>
          <cell r="B5530" t="str">
            <v>6</v>
          </cell>
          <cell r="C5530" t="str">
            <v/>
          </cell>
          <cell r="D5530" t="str">
            <v>NJ</v>
          </cell>
          <cell r="E5530" t="str">
            <v/>
          </cell>
          <cell r="F5530" t="str">
            <v/>
          </cell>
          <cell r="G5530" t="str">
            <v>SOGATRANS SOLUCIONES Y SERVICIOS EMPRESARIALES SAS</v>
          </cell>
          <cell r="H5530" t="str">
            <v>IMVE</v>
          </cell>
          <cell r="I5530" t="str">
            <v>IMPUESTO SOBRE LAS VENTAS</v>
          </cell>
          <cell r="J5530" t="str">
            <v xml:space="preserve"> CR 28 2 28</v>
          </cell>
          <cell r="K5530" t="str">
            <v>15759</v>
          </cell>
          <cell r="L5530" t="str">
            <v>SOGAMOSO</v>
          </cell>
          <cell r="M5530" t="str">
            <v>3133452459</v>
          </cell>
        </row>
        <row r="5531">
          <cell r="A5531">
            <v>900695617</v>
          </cell>
          <cell r="B5531" t="str">
            <v>0</v>
          </cell>
          <cell r="C5531" t="str">
            <v/>
          </cell>
          <cell r="D5531" t="str">
            <v>NJ</v>
          </cell>
          <cell r="E5531" t="str">
            <v/>
          </cell>
          <cell r="F5531" t="str">
            <v/>
          </cell>
          <cell r="G5531" t="str">
            <v>HABITACULO COMERCIAL SAS</v>
          </cell>
          <cell r="H5531" t="str">
            <v>RECO</v>
          </cell>
          <cell r="I5531" t="str">
            <v>REGIMEN COMUN</v>
          </cell>
          <cell r="J5531" t="str">
            <v>CL 96   45 A   19</v>
          </cell>
          <cell r="K5531" t="str">
            <v>11001</v>
          </cell>
          <cell r="L5531" t="str">
            <v>BOGOTA DC</v>
          </cell>
          <cell r="M5531" t="str">
            <v>2578036</v>
          </cell>
        </row>
        <row r="5532">
          <cell r="A5532">
            <v>900696070</v>
          </cell>
          <cell r="B5532" t="str">
            <v>7</v>
          </cell>
          <cell r="C5532" t="str">
            <v/>
          </cell>
          <cell r="D5532" t="str">
            <v>NJ</v>
          </cell>
          <cell r="E5532" t="str">
            <v/>
          </cell>
          <cell r="F5532" t="str">
            <v/>
          </cell>
          <cell r="G5532" t="str">
            <v>INFORMAR PUBLICIDAD S.A.S.</v>
          </cell>
          <cell r="H5532" t="str">
            <v>RECO</v>
          </cell>
          <cell r="I5532" t="str">
            <v>REGIMEN COMUN</v>
          </cell>
          <cell r="J5532" t="str">
            <v>CL 21  10 47 OF 206</v>
          </cell>
          <cell r="K5532" t="str">
            <v>66001</v>
          </cell>
          <cell r="L5532" t="str">
            <v>PEREIRA</v>
          </cell>
          <cell r="M5532" t="str">
            <v>3170730</v>
          </cell>
        </row>
        <row r="5533">
          <cell r="A5533">
            <v>900696547</v>
          </cell>
          <cell r="B5533" t="str">
            <v>8</v>
          </cell>
          <cell r="C5533" t="str">
            <v/>
          </cell>
          <cell r="D5533" t="str">
            <v>NJ</v>
          </cell>
          <cell r="E5533" t="str">
            <v/>
          </cell>
          <cell r="F5533" t="str">
            <v/>
          </cell>
          <cell r="G5533" t="str">
            <v>AGORA ENTRETENIMIENTO Y CULTURA SAS</v>
          </cell>
          <cell r="H5533" t="str">
            <v>RECO</v>
          </cell>
          <cell r="I5533" t="str">
            <v>REGIMEN COMUN</v>
          </cell>
          <cell r="J5533" t="str">
            <v>CL 67  27 A 17</v>
          </cell>
          <cell r="K5533" t="str">
            <v>17001</v>
          </cell>
          <cell r="L5533" t="str">
            <v>MANIZALES</v>
          </cell>
          <cell r="M5533" t="str">
            <v>3216206573</v>
          </cell>
        </row>
        <row r="5534">
          <cell r="A5534">
            <v>900697626</v>
          </cell>
          <cell r="B5534" t="str">
            <v>6</v>
          </cell>
          <cell r="C5534" t="str">
            <v/>
          </cell>
          <cell r="D5534" t="str">
            <v>NJ</v>
          </cell>
          <cell r="E5534" t="str">
            <v/>
          </cell>
          <cell r="F5534" t="str">
            <v/>
          </cell>
          <cell r="G5534" t="str">
            <v>Q MANDARIN SAS</v>
          </cell>
          <cell r="H5534" t="str">
            <v>RECO</v>
          </cell>
          <cell r="I5534" t="str">
            <v>REGIMEN COMUN</v>
          </cell>
          <cell r="J5534" t="str">
            <v>CR 30 12 25</v>
          </cell>
          <cell r="K5534" t="str">
            <v>11001</v>
          </cell>
          <cell r="L5534" t="str">
            <v>BOGOTA DC</v>
          </cell>
          <cell r="M5534" t="str">
            <v>3701908</v>
          </cell>
        </row>
        <row r="5535">
          <cell r="A5535">
            <v>900699072</v>
          </cell>
          <cell r="B5535" t="str">
            <v>5</v>
          </cell>
          <cell r="C5535" t="str">
            <v/>
          </cell>
          <cell r="D5535" t="str">
            <v>NJ</v>
          </cell>
          <cell r="E5535" t="str">
            <v/>
          </cell>
          <cell r="F5535" t="str">
            <v/>
          </cell>
          <cell r="G5535" t="str">
            <v>MAGIC MARKERS PRODUCCIONES S.A.S</v>
          </cell>
          <cell r="H5535" t="str">
            <v>RECO</v>
          </cell>
          <cell r="I5535" t="str">
            <v>REGIMEN COMUN</v>
          </cell>
          <cell r="J5535" t="str">
            <v>CR 27  42  28</v>
          </cell>
          <cell r="K5535" t="str">
            <v>11001</v>
          </cell>
          <cell r="L5535" t="str">
            <v>BOGOTA DC</v>
          </cell>
          <cell r="M5535" t="str">
            <v>3208371853</v>
          </cell>
        </row>
        <row r="5536">
          <cell r="A5536">
            <v>900700248</v>
          </cell>
          <cell r="B5536" t="str">
            <v>8</v>
          </cell>
          <cell r="C5536" t="str">
            <v/>
          </cell>
          <cell r="D5536" t="str">
            <v>NJ</v>
          </cell>
          <cell r="E5536" t="str">
            <v/>
          </cell>
          <cell r="F5536" t="str">
            <v/>
          </cell>
          <cell r="G5536" t="str">
            <v>ESPACIO Y GESTION VERDE SAS</v>
          </cell>
          <cell r="H5536" t="str">
            <v>IMVE</v>
          </cell>
          <cell r="I5536" t="str">
            <v>IMPUESTO SOBRE LAS VENTAS</v>
          </cell>
          <cell r="J5536" t="str">
            <v xml:space="preserve"> CR 36 40 02</v>
          </cell>
          <cell r="K5536" t="str">
            <v>17001</v>
          </cell>
          <cell r="L5536" t="str">
            <v>MANIZALES</v>
          </cell>
          <cell r="M5536" t="str">
            <v>8797439</v>
          </cell>
        </row>
        <row r="5537">
          <cell r="A5537">
            <v>900700731</v>
          </cell>
          <cell r="B5537" t="str">
            <v>4</v>
          </cell>
          <cell r="C5537" t="str">
            <v/>
          </cell>
          <cell r="D5537" t="str">
            <v>NJ</v>
          </cell>
          <cell r="E5537" t="str">
            <v/>
          </cell>
          <cell r="F5537" t="str">
            <v/>
          </cell>
          <cell r="G5537" t="str">
            <v>GRUPO DE GERENCIA Y CONSTRUCCION ARQUITECTONICA Y CIVIL SAS</v>
          </cell>
          <cell r="H5537" t="str">
            <v>IMVE</v>
          </cell>
          <cell r="I5537" t="str">
            <v>IMPUESTO SOBRE LAS VENTAS</v>
          </cell>
          <cell r="J5537" t="str">
            <v>CL 2 93 D 30 TO 18 402</v>
          </cell>
          <cell r="K5537" t="str">
            <v>11001</v>
          </cell>
          <cell r="L5537" t="str">
            <v>BOGOTA DC</v>
          </cell>
          <cell r="M5537" t="str">
            <v>4702739</v>
          </cell>
        </row>
        <row r="5538">
          <cell r="A5538">
            <v>900701915</v>
          </cell>
          <cell r="B5538" t="str">
            <v>7</v>
          </cell>
          <cell r="C5538" t="str">
            <v/>
          </cell>
          <cell r="D5538" t="str">
            <v>NJ</v>
          </cell>
          <cell r="E5538" t="str">
            <v/>
          </cell>
          <cell r="F5538" t="str">
            <v/>
          </cell>
          <cell r="G5538" t="str">
            <v>HR EQUIPOS PARA CONSTRUCCION SAS</v>
          </cell>
          <cell r="H5538" t="str">
            <v>IMVE</v>
          </cell>
          <cell r="I5538" t="str">
            <v>IMPUESTO SOBRE LAS VENTAS</v>
          </cell>
          <cell r="J5538" t="str">
            <v>CL 9  28  169</v>
          </cell>
          <cell r="K5538" t="str">
            <v>15238</v>
          </cell>
          <cell r="L5538" t="str">
            <v>DUITAMA</v>
          </cell>
          <cell r="M5538" t="str">
            <v>3158423991</v>
          </cell>
        </row>
        <row r="5539">
          <cell r="A5539">
            <v>900701967</v>
          </cell>
          <cell r="B5539" t="str">
            <v>1</v>
          </cell>
          <cell r="C5539" t="str">
            <v/>
          </cell>
          <cell r="D5539" t="str">
            <v>NJ</v>
          </cell>
          <cell r="E5539" t="str">
            <v/>
          </cell>
          <cell r="F5539" t="str">
            <v/>
          </cell>
          <cell r="G5539" t="str">
            <v>OILRED S.A.</v>
          </cell>
          <cell r="H5539" t="str">
            <v>RECO</v>
          </cell>
          <cell r="I5539" t="str">
            <v>REGIMEN COMUN</v>
          </cell>
          <cell r="J5539" t="str">
            <v>CR 50 G 10 B SUR 97</v>
          </cell>
          <cell r="K5539" t="str">
            <v>05001</v>
          </cell>
          <cell r="L5539" t="str">
            <v>MEDELLÍN</v>
          </cell>
          <cell r="M5539" t="str">
            <v>3214241799</v>
          </cell>
        </row>
        <row r="5540">
          <cell r="A5540">
            <v>900702131</v>
          </cell>
          <cell r="B5540" t="str">
            <v>4</v>
          </cell>
          <cell r="C5540" t="str">
            <v/>
          </cell>
          <cell r="D5540" t="str">
            <v>NJ</v>
          </cell>
          <cell r="E5540" t="str">
            <v/>
          </cell>
          <cell r="F5540" t="str">
            <v/>
          </cell>
          <cell r="G5540" t="str">
            <v>KSB COLOMBIA SAS</v>
          </cell>
          <cell r="H5540" t="str">
            <v>IMVE</v>
          </cell>
          <cell r="I5540" t="str">
            <v>IMPUESTO SOBRE LAS VENTAS</v>
          </cell>
          <cell r="J5540" t="str">
            <v>CELTA TRADE PARK BD 97 C K M 7 AUT BOGOTA MEDELLIN</v>
          </cell>
          <cell r="K5540" t="str">
            <v>25286</v>
          </cell>
          <cell r="L5540" t="str">
            <v>FUNZA</v>
          </cell>
          <cell r="M5540" t="str">
            <v>8237576</v>
          </cell>
        </row>
        <row r="5541">
          <cell r="A5541">
            <v>900702974</v>
          </cell>
          <cell r="B5541" t="str">
            <v>6</v>
          </cell>
          <cell r="C5541" t="str">
            <v/>
          </cell>
          <cell r="D5541" t="str">
            <v>NJ</v>
          </cell>
          <cell r="E5541" t="str">
            <v/>
          </cell>
          <cell r="F5541" t="str">
            <v/>
          </cell>
          <cell r="G5541" t="str">
            <v>COLOMBIANA DE SERVICIOS E INGENIERIA CSI SAS</v>
          </cell>
          <cell r="H5541" t="str">
            <v>IMVE</v>
          </cell>
          <cell r="I5541" t="str">
            <v>IMPUESTO SOBRE LAS VENTAS</v>
          </cell>
          <cell r="J5541" t="str">
            <v>CL  17  53  46</v>
          </cell>
          <cell r="K5541" t="str">
            <v>11001</v>
          </cell>
          <cell r="L5541" t="str">
            <v>BOGOTA DC</v>
          </cell>
          <cell r="M5541" t="str">
            <v>2612949</v>
          </cell>
        </row>
        <row r="5542">
          <cell r="A5542">
            <v>900703887</v>
          </cell>
          <cell r="B5542" t="str">
            <v>8</v>
          </cell>
          <cell r="C5542" t="str">
            <v/>
          </cell>
          <cell r="D5542" t="str">
            <v>NJ</v>
          </cell>
          <cell r="E5542" t="str">
            <v/>
          </cell>
          <cell r="F5542" t="str">
            <v/>
          </cell>
          <cell r="G5542" t="str">
            <v>ECO-ACCION INGENIERIA SAS</v>
          </cell>
          <cell r="H5542" t="str">
            <v>RECO</v>
          </cell>
          <cell r="I5542" t="str">
            <v>REGIMEN COMUN</v>
          </cell>
          <cell r="J5542" t="str">
            <v>CIR 45 11 33</v>
          </cell>
          <cell r="K5542" t="str">
            <v>15516</v>
          </cell>
          <cell r="L5542" t="str">
            <v>PAIPA</v>
          </cell>
          <cell r="M5542" t="str">
            <v>7736217</v>
          </cell>
        </row>
        <row r="5543">
          <cell r="A5543">
            <v>900703911</v>
          </cell>
          <cell r="B5543" t="str">
            <v>7</v>
          </cell>
          <cell r="C5543" t="str">
            <v/>
          </cell>
          <cell r="D5543" t="str">
            <v>NJ</v>
          </cell>
          <cell r="E5543" t="str">
            <v/>
          </cell>
          <cell r="F5543" t="str">
            <v/>
          </cell>
          <cell r="G5543" t="str">
            <v>CONSULTORES DEL CARIBE NM SAS</v>
          </cell>
          <cell r="H5543" t="str">
            <v>RECO</v>
          </cell>
          <cell r="I5543" t="str">
            <v>REGIMEN COMUN</v>
          </cell>
          <cell r="J5543" t="str">
            <v>CR 19 120 54 AP 201</v>
          </cell>
          <cell r="K5543" t="str">
            <v>11001</v>
          </cell>
          <cell r="L5543" t="str">
            <v>BOGOTA DC</v>
          </cell>
          <cell r="M5543" t="str">
            <v>6120700</v>
          </cell>
        </row>
        <row r="5544">
          <cell r="A5544">
            <v>900704552</v>
          </cell>
          <cell r="B5544" t="str">
            <v>0</v>
          </cell>
          <cell r="C5544" t="str">
            <v/>
          </cell>
          <cell r="D5544" t="str">
            <v>NJ</v>
          </cell>
          <cell r="E5544" t="str">
            <v/>
          </cell>
          <cell r="F5544" t="str">
            <v/>
          </cell>
          <cell r="G5544" t="str">
            <v>IDEAS CON SOLUCIONES CREATIVAS SAS</v>
          </cell>
          <cell r="H5544" t="str">
            <v>RECO</v>
          </cell>
          <cell r="I5544" t="str">
            <v>REGIMEN COMUN</v>
          </cell>
          <cell r="J5544" t="str">
            <v>CL 65 24 89 av lindsay</v>
          </cell>
          <cell r="K5544" t="str">
            <v>17001</v>
          </cell>
          <cell r="L5544" t="str">
            <v>MANIZALES</v>
          </cell>
          <cell r="M5544" t="str">
            <v>3116351221</v>
          </cell>
        </row>
        <row r="5545">
          <cell r="A5545">
            <v>900704591</v>
          </cell>
          <cell r="B5545" t="str">
            <v>8</v>
          </cell>
          <cell r="C5545" t="str">
            <v/>
          </cell>
          <cell r="D5545" t="str">
            <v>NJ</v>
          </cell>
          <cell r="E5545" t="str">
            <v/>
          </cell>
          <cell r="F5545" t="str">
            <v/>
          </cell>
          <cell r="G5545" t="str">
            <v>PROCPLAG SAS</v>
          </cell>
          <cell r="H5545" t="str">
            <v>RECO</v>
          </cell>
          <cell r="I5545" t="str">
            <v>REGIMEN COMUN</v>
          </cell>
          <cell r="J5545" t="str">
            <v>CL 157 96 A 13 BRR EL SALITRE</v>
          </cell>
          <cell r="K5545" t="str">
            <v>11001</v>
          </cell>
          <cell r="L5545" t="str">
            <v>BOGOTA DC</v>
          </cell>
          <cell r="M5545" t="str">
            <v>6837122</v>
          </cell>
        </row>
        <row r="5546">
          <cell r="A5546">
            <v>900707215</v>
          </cell>
          <cell r="B5546" t="str">
            <v>7</v>
          </cell>
          <cell r="C5546" t="str">
            <v/>
          </cell>
          <cell r="D5546" t="str">
            <v>NJ</v>
          </cell>
          <cell r="E5546" t="str">
            <v/>
          </cell>
          <cell r="F5546" t="str">
            <v/>
          </cell>
          <cell r="G5546" t="str">
            <v>GRUPO EMPRESARIAL SUMA2 S.A.S.</v>
          </cell>
          <cell r="H5546" t="str">
            <v>REOR</v>
          </cell>
          <cell r="I5546" t="str">
            <v>RENTA REGIMEN ORDINARIO</v>
          </cell>
          <cell r="J5546" t="str">
            <v>TV 72 16 54 CAMINO DEL CERRO TO 5 AP A 1</v>
          </cell>
          <cell r="K5546" t="str">
            <v>17001</v>
          </cell>
          <cell r="L5546" t="str">
            <v>MANIZALES</v>
          </cell>
          <cell r="M5546" t="str">
            <v>3116057083</v>
          </cell>
        </row>
        <row r="5547">
          <cell r="A5547">
            <v>900707269</v>
          </cell>
          <cell r="B5547" t="str">
            <v>4</v>
          </cell>
          <cell r="C5547" t="str">
            <v/>
          </cell>
          <cell r="D5547" t="str">
            <v>NJ</v>
          </cell>
          <cell r="E5547" t="str">
            <v/>
          </cell>
          <cell r="F5547" t="str">
            <v/>
          </cell>
          <cell r="G5547" t="str">
            <v>BOX SOLUCIONES S.A.S.</v>
          </cell>
          <cell r="H5547" t="str">
            <v>RECO</v>
          </cell>
          <cell r="I5547" t="str">
            <v>REGIMEN COMUN</v>
          </cell>
          <cell r="J5547" t="str">
            <v>CR 18 A 13 F 60 TO 7 P 604</v>
          </cell>
          <cell r="K5547" t="str">
            <v>11001</v>
          </cell>
          <cell r="L5547" t="str">
            <v>BOGOTA DC</v>
          </cell>
          <cell r="M5547" t="str">
            <v>4664893</v>
          </cell>
        </row>
        <row r="5548">
          <cell r="A5548">
            <v>900707661</v>
          </cell>
          <cell r="B5548" t="str">
            <v>9</v>
          </cell>
          <cell r="C5548" t="str">
            <v/>
          </cell>
          <cell r="D5548" t="str">
            <v>NJ</v>
          </cell>
          <cell r="E5548" t="str">
            <v/>
          </cell>
          <cell r="F5548" t="str">
            <v/>
          </cell>
          <cell r="G5548" t="str">
            <v>PATRIMONIUM CAPITAL INVESTMENT SAS</v>
          </cell>
          <cell r="H5548" t="str">
            <v>RECO</v>
          </cell>
          <cell r="I5548" t="str">
            <v>REGIMEN COMUN</v>
          </cell>
          <cell r="J5548" t="str">
            <v>CL 69 A 27 A 60</v>
          </cell>
          <cell r="K5548" t="str">
            <v>17001</v>
          </cell>
          <cell r="L5548" t="str">
            <v>MANIZALES</v>
          </cell>
          <cell r="M5548" t="str">
            <v>3206741616</v>
          </cell>
        </row>
        <row r="5549">
          <cell r="A5549">
            <v>900708280</v>
          </cell>
          <cell r="B5549" t="str">
            <v>0</v>
          </cell>
          <cell r="C5549" t="str">
            <v/>
          </cell>
          <cell r="D5549" t="str">
            <v>NJ</v>
          </cell>
          <cell r="E5549" t="str">
            <v/>
          </cell>
          <cell r="F5549" t="str">
            <v/>
          </cell>
          <cell r="G5549" t="str">
            <v>MAQUINARIAS Y TECNOLOGIAS SAS</v>
          </cell>
          <cell r="H5549" t="str">
            <v>RECO</v>
          </cell>
          <cell r="I5549" t="str">
            <v>REGIMEN COMUN</v>
          </cell>
          <cell r="J5549" t="str">
            <v>AV CL 80 116 B 61</v>
          </cell>
          <cell r="K5549" t="str">
            <v>11001</v>
          </cell>
          <cell r="L5549" t="str">
            <v>BOGOTA DC</v>
          </cell>
          <cell r="M5549" t="str">
            <v>3126966372</v>
          </cell>
        </row>
        <row r="5550">
          <cell r="A5550">
            <v>900708613</v>
          </cell>
          <cell r="B5550" t="str">
            <v>1</v>
          </cell>
          <cell r="C5550" t="str">
            <v/>
          </cell>
          <cell r="D5550" t="str">
            <v>NJ</v>
          </cell>
          <cell r="E5550" t="str">
            <v/>
          </cell>
          <cell r="F5550" t="str">
            <v/>
          </cell>
          <cell r="G5550" t="str">
            <v>SUMINISTROS MONTAJES Y AUTOMATIZACION S.A.S.</v>
          </cell>
          <cell r="H5550" t="str">
            <v>IMVE</v>
          </cell>
          <cell r="I5550" t="str">
            <v>IMPUESTO SOBRE LAS VENTAS</v>
          </cell>
          <cell r="J5550" t="str">
            <v>CR 11 6 44</v>
          </cell>
          <cell r="K5550" t="str">
            <v>15759</v>
          </cell>
          <cell r="L5550" t="str">
            <v>SOGAMOSO</v>
          </cell>
          <cell r="M5550" t="str">
            <v>3115677469</v>
          </cell>
        </row>
        <row r="5551">
          <cell r="A5551">
            <v>900708811</v>
          </cell>
          <cell r="B5551" t="str">
            <v>1</v>
          </cell>
          <cell r="C5551" t="str">
            <v/>
          </cell>
          <cell r="D5551" t="str">
            <v>NJ</v>
          </cell>
          <cell r="E5551" t="str">
            <v/>
          </cell>
          <cell r="F5551" t="str">
            <v/>
          </cell>
          <cell r="G5551" t="str">
            <v>RECOL PINTURA S A S</v>
          </cell>
          <cell r="H5551" t="str">
            <v>RECO</v>
          </cell>
          <cell r="I5551" t="str">
            <v>REGIMEN COMUN</v>
          </cell>
          <cell r="J5551" t="str">
            <v>CR 2 56 45</v>
          </cell>
          <cell r="K5551" t="str">
            <v>25754</v>
          </cell>
          <cell r="L5551" t="str">
            <v>SOACHA</v>
          </cell>
          <cell r="M5551" t="str">
            <v>2432815</v>
          </cell>
        </row>
        <row r="5552">
          <cell r="A5552">
            <v>900709306</v>
          </cell>
          <cell r="B5552" t="str">
            <v>8</v>
          </cell>
          <cell r="C5552" t="str">
            <v/>
          </cell>
          <cell r="D5552" t="str">
            <v>NJ</v>
          </cell>
          <cell r="E5552" t="str">
            <v/>
          </cell>
          <cell r="F5552" t="str">
            <v/>
          </cell>
          <cell r="G5552" t="str">
            <v>IAR PROYECTOS SAS</v>
          </cell>
          <cell r="H5552" t="str">
            <v>IMVE</v>
          </cell>
          <cell r="I5552" t="str">
            <v>IMPUESTO SOBRE LAS VENTAS</v>
          </cell>
          <cell r="J5552" t="str">
            <v>CR 46 22 B 20 OF 507</v>
          </cell>
          <cell r="K5552" t="str">
            <v>11001</v>
          </cell>
          <cell r="L5552" t="str">
            <v>BOGOTA DC</v>
          </cell>
          <cell r="M5552" t="str">
            <v>3154541593</v>
          </cell>
        </row>
        <row r="5553">
          <cell r="A5553">
            <v>900710114</v>
          </cell>
          <cell r="B5553" t="str">
            <v>2</v>
          </cell>
          <cell r="C5553" t="str">
            <v/>
          </cell>
          <cell r="D5553" t="str">
            <v>NJ</v>
          </cell>
          <cell r="E5553" t="str">
            <v/>
          </cell>
          <cell r="F5553" t="str">
            <v/>
          </cell>
          <cell r="G5553" t="str">
            <v>MYFIMPORT S.A.S</v>
          </cell>
          <cell r="H5553" t="str">
            <v>RECO</v>
          </cell>
          <cell r="I5553" t="str">
            <v>REGIMEN COMUN</v>
          </cell>
          <cell r="J5553" t="str">
            <v>CR 23 53 08</v>
          </cell>
          <cell r="K5553" t="str">
            <v>11001</v>
          </cell>
          <cell r="L5553" t="str">
            <v>BOGOTA DC</v>
          </cell>
          <cell r="M5553" t="str">
            <v>8852528</v>
          </cell>
        </row>
        <row r="5554">
          <cell r="A5554">
            <v>900710592</v>
          </cell>
          <cell r="B5554" t="str">
            <v>1</v>
          </cell>
          <cell r="C5554" t="str">
            <v/>
          </cell>
          <cell r="D5554" t="str">
            <v>NJ</v>
          </cell>
          <cell r="E5554" t="str">
            <v/>
          </cell>
          <cell r="F5554" t="str">
            <v/>
          </cell>
          <cell r="G5554" t="str">
            <v>COMERCIALIZADORA PATIÑO GIRALDO SAS</v>
          </cell>
          <cell r="H5554" t="str">
            <v>RECO</v>
          </cell>
          <cell r="I5554" t="str">
            <v>REGIMEN COMUN</v>
          </cell>
          <cell r="J5554" t="str">
            <v>CL 12 C   5   50</v>
          </cell>
          <cell r="K5554" t="str">
            <v>11001</v>
          </cell>
          <cell r="L5554" t="str">
            <v>BOGOTA DC</v>
          </cell>
          <cell r="M5554" t="str">
            <v>3341027</v>
          </cell>
        </row>
        <row r="5555">
          <cell r="A5555">
            <v>900710768</v>
          </cell>
          <cell r="B5555" t="str">
            <v>9</v>
          </cell>
          <cell r="C5555" t="str">
            <v/>
          </cell>
          <cell r="D5555" t="str">
            <v>NJ</v>
          </cell>
          <cell r="E5555" t="str">
            <v/>
          </cell>
          <cell r="F5555" t="str">
            <v/>
          </cell>
          <cell r="G5555" t="str">
            <v>ROBERTO LONDOÑO GOMEZ  SAS</v>
          </cell>
          <cell r="H5555" t="str">
            <v>RECO</v>
          </cell>
          <cell r="I5555" t="str">
            <v>REGIMEN COMUN</v>
          </cell>
          <cell r="J5555" t="str">
            <v>CR 22 67 A 179</v>
          </cell>
          <cell r="K5555" t="str">
            <v>17001</v>
          </cell>
          <cell r="L5555" t="str">
            <v>MANIZALES</v>
          </cell>
          <cell r="M5555" t="str">
            <v>8815578</v>
          </cell>
        </row>
        <row r="5556">
          <cell r="A5556">
            <v>900711956</v>
          </cell>
          <cell r="B5556" t="str">
            <v>1</v>
          </cell>
          <cell r="C5556" t="str">
            <v/>
          </cell>
          <cell r="D5556" t="str">
            <v>NJ</v>
          </cell>
          <cell r="E5556" t="str">
            <v/>
          </cell>
          <cell r="F5556" t="str">
            <v/>
          </cell>
          <cell r="G5556" t="str">
            <v>SIGMA PROGRESS SAS</v>
          </cell>
          <cell r="H5556" t="str">
            <v>RECO</v>
          </cell>
          <cell r="I5556" t="str">
            <v>REGIMEN COMUN</v>
          </cell>
          <cell r="J5556" t="str">
            <v>CL 131 102 A 10</v>
          </cell>
          <cell r="K5556" t="str">
            <v>11001</v>
          </cell>
          <cell r="L5556" t="str">
            <v>BOGOTA DC</v>
          </cell>
          <cell r="M5556" t="str">
            <v>31155599949</v>
          </cell>
        </row>
        <row r="5557">
          <cell r="A5557">
            <v>900712032</v>
          </cell>
          <cell r="B5557" t="str">
            <v>6</v>
          </cell>
          <cell r="C5557" t="str">
            <v/>
          </cell>
          <cell r="D5557" t="str">
            <v>NJ</v>
          </cell>
          <cell r="E5557" t="str">
            <v/>
          </cell>
          <cell r="F5557" t="str">
            <v/>
          </cell>
          <cell r="G5557" t="str">
            <v>NEOCHEN CONSULTORES S.A.S</v>
          </cell>
          <cell r="H5557" t="str">
            <v>IMVE</v>
          </cell>
          <cell r="I5557" t="str">
            <v>IMPUESTO SOBRE LAS VENTAS</v>
          </cell>
          <cell r="J5557" t="str">
            <v>CR 41 15 42 BRR VILLA DE MAESTRO</v>
          </cell>
          <cell r="K5557" t="str">
            <v>17001</v>
          </cell>
          <cell r="L5557" t="str">
            <v>MANIZALES</v>
          </cell>
          <cell r="M5557" t="str">
            <v>32234460</v>
          </cell>
        </row>
        <row r="5558">
          <cell r="A5558">
            <v>900712192</v>
          </cell>
          <cell r="B5558" t="str">
            <v>6</v>
          </cell>
          <cell r="C5558" t="str">
            <v/>
          </cell>
          <cell r="D5558" t="str">
            <v>NJ</v>
          </cell>
          <cell r="E5558" t="str">
            <v/>
          </cell>
          <cell r="F5558" t="str">
            <v/>
          </cell>
          <cell r="G5558" t="str">
            <v>COLOMBIANET SOLUTIONS S.A.S</v>
          </cell>
          <cell r="H5558" t="str">
            <v>IMVE</v>
          </cell>
          <cell r="I5558" t="str">
            <v>IMPUESTO SOBRE LAS VENTAS</v>
          </cell>
          <cell r="J5558" t="str">
            <v>CR 29  67  B 60 BRR PALERMO</v>
          </cell>
          <cell r="K5558" t="str">
            <v>17001</v>
          </cell>
          <cell r="L5558" t="str">
            <v>MANIZALES</v>
          </cell>
          <cell r="M5558" t="str">
            <v>8852578</v>
          </cell>
        </row>
        <row r="5559">
          <cell r="A5559">
            <v>900713183</v>
          </cell>
          <cell r="B5559" t="str">
            <v>4</v>
          </cell>
          <cell r="C5559" t="str">
            <v/>
          </cell>
          <cell r="D5559" t="str">
            <v>NJ</v>
          </cell>
          <cell r="E5559" t="str">
            <v/>
          </cell>
          <cell r="F5559" t="str">
            <v/>
          </cell>
          <cell r="G5559" t="str">
            <v>CEREPARA SOCIEDAD POR ACCIONES SOMPLIFICADA</v>
          </cell>
          <cell r="H5559" t="str">
            <v>RECO</v>
          </cell>
          <cell r="I5559" t="str">
            <v>REGIMEN COMUN</v>
          </cell>
          <cell r="J5559" t="str">
            <v>CR 19 13 27</v>
          </cell>
          <cell r="K5559" t="str">
            <v>15238</v>
          </cell>
          <cell r="L5559" t="str">
            <v>DUITAMA</v>
          </cell>
          <cell r="M5559" t="str">
            <v>3202734522</v>
          </cell>
        </row>
        <row r="5560">
          <cell r="A5560">
            <v>900715133</v>
          </cell>
          <cell r="B5560" t="str">
            <v>5</v>
          </cell>
          <cell r="C5560" t="str">
            <v/>
          </cell>
          <cell r="D5560" t="str">
            <v>NJ</v>
          </cell>
          <cell r="E5560" t="str">
            <v/>
          </cell>
          <cell r="F5560" t="str">
            <v/>
          </cell>
          <cell r="G5560" t="str">
            <v>HUGO FRANCO INGENIERIA S.A.S.</v>
          </cell>
          <cell r="H5560" t="str">
            <v>IMVE</v>
          </cell>
          <cell r="I5560" t="str">
            <v>IMPUESTO SOBRE LAS VENTAS</v>
          </cell>
          <cell r="J5560" t="str">
            <v>CL 23 21 41 ED BCH OF 1001</v>
          </cell>
          <cell r="K5560" t="str">
            <v>17001</v>
          </cell>
          <cell r="L5560" t="str">
            <v>MANIZALES</v>
          </cell>
          <cell r="M5560" t="str">
            <v>8 8 4 2 5 5 3</v>
          </cell>
        </row>
        <row r="5561">
          <cell r="A5561">
            <v>900716210</v>
          </cell>
          <cell r="B5561" t="str">
            <v>9</v>
          </cell>
          <cell r="C5561" t="str">
            <v/>
          </cell>
          <cell r="D5561" t="str">
            <v>NJ</v>
          </cell>
          <cell r="E5561" t="str">
            <v/>
          </cell>
          <cell r="F5561" t="str">
            <v/>
          </cell>
          <cell r="G5561" t="str">
            <v>O &amp; P INGENIERIA SAS</v>
          </cell>
          <cell r="H5561" t="str">
            <v>IMVE</v>
          </cell>
          <cell r="I5561" t="str">
            <v>IMPUESTO SOBRE LAS VENTAS</v>
          </cell>
          <cell r="J5561" t="str">
            <v>CL 74 B 74 A 24</v>
          </cell>
          <cell r="K5561" t="str">
            <v>11001</v>
          </cell>
          <cell r="L5561" t="str">
            <v>BOGOTA DC</v>
          </cell>
          <cell r="M5561" t="str">
            <v>4732039</v>
          </cell>
        </row>
        <row r="5562">
          <cell r="A5562">
            <v>900717200</v>
          </cell>
          <cell r="B5562" t="str">
            <v>1</v>
          </cell>
          <cell r="C5562" t="str">
            <v/>
          </cell>
          <cell r="D5562" t="str">
            <v>NJ</v>
          </cell>
          <cell r="E5562" t="str">
            <v/>
          </cell>
          <cell r="F5562" t="str">
            <v/>
          </cell>
          <cell r="G5562" t="str">
            <v>OXO CALLE 67 SAS</v>
          </cell>
          <cell r="H5562" t="str">
            <v>RECO</v>
          </cell>
          <cell r="I5562" t="str">
            <v>REGIMEN COMUN</v>
          </cell>
          <cell r="J5562" t="str">
            <v>CR 7 67 39 HIEX</v>
          </cell>
          <cell r="K5562" t="str">
            <v>11001</v>
          </cell>
          <cell r="L5562" t="str">
            <v>BOGOTA DC</v>
          </cell>
          <cell r="M5562" t="str">
            <v>6024770</v>
          </cell>
        </row>
        <row r="5563">
          <cell r="A5563">
            <v>900718268</v>
          </cell>
          <cell r="B5563" t="str">
            <v>4</v>
          </cell>
          <cell r="C5563" t="str">
            <v/>
          </cell>
          <cell r="D5563" t="str">
            <v>NJ</v>
          </cell>
          <cell r="E5563" t="str">
            <v/>
          </cell>
          <cell r="F5563" t="str">
            <v/>
          </cell>
          <cell r="G5563" t="str">
            <v>INVERSIONES PRIETO LISBOA &amp; CIA SOCIEDAD EN COMANDITA SIMPLE</v>
          </cell>
          <cell r="H5563" t="str">
            <v>RECO</v>
          </cell>
          <cell r="I5563" t="str">
            <v>REGIMEN COMUN</v>
          </cell>
          <cell r="J5563" t="str">
            <v>CR 19  14 35</v>
          </cell>
          <cell r="K5563" t="str">
            <v>15238</v>
          </cell>
          <cell r="L5563" t="str">
            <v>DUITAMA</v>
          </cell>
          <cell r="M5563" t="str">
            <v>3134942141</v>
          </cell>
        </row>
        <row r="5564">
          <cell r="A5564">
            <v>900718445</v>
          </cell>
          <cell r="B5564" t="str">
            <v>1</v>
          </cell>
          <cell r="C5564" t="str">
            <v/>
          </cell>
          <cell r="D5564" t="str">
            <v>NJ</v>
          </cell>
          <cell r="E5564" t="str">
            <v/>
          </cell>
          <cell r="F5564" t="str">
            <v/>
          </cell>
          <cell r="G5564" t="str">
            <v>C-DEG S.A.S ESP</v>
          </cell>
          <cell r="H5564" t="str">
            <v>IMVE</v>
          </cell>
          <cell r="I5564" t="str">
            <v>IMPUESTO SOBRE LAS VENTAS</v>
          </cell>
          <cell r="J5564" t="str">
            <v>KM 26  AUT MEDELLÍN - BOGOTÁ  LC 22 MALL LOS COMUNEROS</v>
          </cell>
          <cell r="K5564" t="str">
            <v>05318</v>
          </cell>
          <cell r="L5564" t="str">
            <v>GUARNE</v>
          </cell>
          <cell r="M5564" t="str">
            <v>6043167</v>
          </cell>
        </row>
        <row r="5565">
          <cell r="A5565">
            <v>900718818</v>
          </cell>
          <cell r="B5565" t="str">
            <v>5</v>
          </cell>
          <cell r="C5565" t="str">
            <v/>
          </cell>
          <cell r="D5565" t="str">
            <v>NJ</v>
          </cell>
          <cell r="E5565" t="str">
            <v/>
          </cell>
          <cell r="F5565" t="str">
            <v/>
          </cell>
          <cell r="G5565" t="str">
            <v>WIN COLOMBIA SAS</v>
          </cell>
          <cell r="H5565" t="str">
            <v>RECO</v>
          </cell>
          <cell r="I5565" t="str">
            <v>REGIMEN COMUN</v>
          </cell>
          <cell r="J5565" t="str">
            <v>CL  14 10 43 AP 402</v>
          </cell>
          <cell r="K5565" t="str">
            <v>15759</v>
          </cell>
          <cell r="L5565" t="str">
            <v>SOGAMOSO</v>
          </cell>
          <cell r="M5565" t="str">
            <v>3134050001</v>
          </cell>
        </row>
        <row r="5566">
          <cell r="A5566">
            <v>900721717</v>
          </cell>
          <cell r="B5566" t="str">
            <v>0</v>
          </cell>
          <cell r="C5566" t="str">
            <v/>
          </cell>
          <cell r="D5566" t="str">
            <v>NJ</v>
          </cell>
          <cell r="E5566" t="str">
            <v/>
          </cell>
          <cell r="F5566" t="str">
            <v/>
          </cell>
          <cell r="G5566" t="str">
            <v>ALFA ELECTRONIC COLOMBIA SAS</v>
          </cell>
          <cell r="H5566" t="str">
            <v>IMVE</v>
          </cell>
          <cell r="I5566" t="str">
            <v>IMPUESTO SOBRE LAS VENTAS</v>
          </cell>
          <cell r="J5566" t="str">
            <v>CR 24 82 87</v>
          </cell>
          <cell r="K5566" t="str">
            <v>11001</v>
          </cell>
          <cell r="L5566" t="str">
            <v>BOGOTA DC</v>
          </cell>
          <cell r="M5566" t="str">
            <v>4884737</v>
          </cell>
        </row>
        <row r="5567">
          <cell r="A5567">
            <v>900721918</v>
          </cell>
          <cell r="B5567" t="str">
            <v>4</v>
          </cell>
          <cell r="C5567" t="str">
            <v/>
          </cell>
          <cell r="D5567" t="str">
            <v>NJ</v>
          </cell>
          <cell r="E5567" t="str">
            <v/>
          </cell>
          <cell r="F5567" t="str">
            <v/>
          </cell>
          <cell r="G5567" t="str">
            <v>DISTRIBUIDORA DE CORREAS Y MANGUERAS COLOMBIA SAS</v>
          </cell>
          <cell r="H5567" t="str">
            <v>IMVE</v>
          </cell>
          <cell r="I5567" t="str">
            <v>IMPUESTO SOBRE LAS VENTAS</v>
          </cell>
          <cell r="J5567" t="str">
            <v>CL 15 25 71</v>
          </cell>
          <cell r="K5567" t="str">
            <v>11001</v>
          </cell>
          <cell r="L5567" t="str">
            <v>BOGOTA DC</v>
          </cell>
          <cell r="M5567" t="str">
            <v>3707001</v>
          </cell>
        </row>
        <row r="5568">
          <cell r="A5568">
            <v>900723153</v>
          </cell>
          <cell r="B5568" t="str">
            <v>6</v>
          </cell>
          <cell r="C5568" t="str">
            <v/>
          </cell>
          <cell r="D5568" t="str">
            <v>NJ</v>
          </cell>
          <cell r="E5568" t="str">
            <v/>
          </cell>
          <cell r="F5568" t="str">
            <v/>
          </cell>
          <cell r="G5568" t="str">
            <v>ATD AISLAMIENTOS TERMICOS SAS</v>
          </cell>
          <cell r="H5568" t="str">
            <v>IMVE</v>
          </cell>
          <cell r="I5568" t="str">
            <v>IMPUESTO SOBRE LAS VENTAS</v>
          </cell>
          <cell r="J5568" t="str">
            <v>CR 110 A BIS N 64 18</v>
          </cell>
          <cell r="K5568" t="str">
            <v>11001</v>
          </cell>
          <cell r="L5568" t="str">
            <v>BOGOTA DC</v>
          </cell>
          <cell r="M5568" t="str">
            <v>4335121</v>
          </cell>
        </row>
        <row r="5569">
          <cell r="A5569">
            <v>900723406</v>
          </cell>
          <cell r="B5569" t="str">
            <v>4</v>
          </cell>
          <cell r="C5569" t="str">
            <v/>
          </cell>
          <cell r="D5569" t="str">
            <v>NJ</v>
          </cell>
          <cell r="E5569" t="str">
            <v/>
          </cell>
          <cell r="F5569" t="str">
            <v/>
          </cell>
          <cell r="G5569" t="str">
            <v>SERVICIOS PREDICTIVOS S.A.S.</v>
          </cell>
          <cell r="H5569" t="str">
            <v>IMVE</v>
          </cell>
          <cell r="I5569" t="str">
            <v>IMPUESTO SOBRE LAS VENTAS</v>
          </cell>
          <cell r="J5569" t="str">
            <v>CR 38 27 B 28 SUR</v>
          </cell>
          <cell r="K5569" t="str">
            <v>11001</v>
          </cell>
          <cell r="L5569" t="str">
            <v>BOGOTA DC</v>
          </cell>
          <cell r="M5569" t="str">
            <v>3108780146</v>
          </cell>
        </row>
        <row r="5570">
          <cell r="A5570">
            <v>900723439</v>
          </cell>
          <cell r="B5570" t="str">
            <v>7</v>
          </cell>
          <cell r="C5570" t="str">
            <v/>
          </cell>
          <cell r="D5570" t="str">
            <v>NJ</v>
          </cell>
          <cell r="E5570" t="str">
            <v/>
          </cell>
          <cell r="F5570" t="str">
            <v/>
          </cell>
          <cell r="G5570" t="str">
            <v>AVISOS DISEÑOS FUROR S.A.S</v>
          </cell>
          <cell r="H5570" t="str">
            <v>RECO</v>
          </cell>
          <cell r="I5570" t="str">
            <v>REGIMEN COMUN</v>
          </cell>
          <cell r="J5570" t="str">
            <v>AV PEDRO DE HEREIDA CL 32 19 132 PIE DE LA POPA</v>
          </cell>
          <cell r="K5570" t="str">
            <v>17001</v>
          </cell>
          <cell r="L5570" t="str">
            <v>MANIZALES</v>
          </cell>
          <cell r="M5570" t="str">
            <v>3002158479</v>
          </cell>
        </row>
        <row r="5571">
          <cell r="A5571">
            <v>900724450</v>
          </cell>
          <cell r="B5571" t="str">
            <v>3</v>
          </cell>
          <cell r="C5571" t="str">
            <v/>
          </cell>
          <cell r="D5571" t="str">
            <v>NJ</v>
          </cell>
          <cell r="E5571" t="str">
            <v/>
          </cell>
          <cell r="F5571" t="str">
            <v/>
          </cell>
          <cell r="G5571" t="str">
            <v>TRANDECOL S.A.S</v>
          </cell>
          <cell r="H5571" t="str">
            <v>IMVE</v>
          </cell>
          <cell r="I5571" t="str">
            <v>IMPUESTO SOBRE LAS VENTAS</v>
          </cell>
          <cell r="J5571" t="str">
            <v>CR  12 BIS 8 61 BRR LOS ROSALES</v>
          </cell>
          <cell r="K5571" t="str">
            <v>66001</v>
          </cell>
          <cell r="L5571" t="str">
            <v>PEREIRA</v>
          </cell>
          <cell r="M5571" t="str">
            <v>32178168</v>
          </cell>
        </row>
        <row r="5572">
          <cell r="A5572">
            <v>900725200</v>
          </cell>
          <cell r="B5572" t="str">
            <v>3</v>
          </cell>
          <cell r="C5572" t="str">
            <v/>
          </cell>
          <cell r="D5572" t="str">
            <v>NJ</v>
          </cell>
          <cell r="E5572" t="str">
            <v/>
          </cell>
          <cell r="F5572" t="str">
            <v/>
          </cell>
          <cell r="G5572" t="str">
            <v>TRANSPORTE LA COLINA SAS</v>
          </cell>
          <cell r="H5572" t="str">
            <v>RECO</v>
          </cell>
          <cell r="I5572" t="str">
            <v>REGIMEN COMUN</v>
          </cell>
          <cell r="J5572" t="str">
            <v>CR 42  A 9 120</v>
          </cell>
          <cell r="K5572" t="str">
            <v>15238</v>
          </cell>
          <cell r="L5572" t="str">
            <v>DUITAMA</v>
          </cell>
          <cell r="M5572" t="str">
            <v>3107662105</v>
          </cell>
        </row>
        <row r="5573">
          <cell r="A5573">
            <v>900725437</v>
          </cell>
          <cell r="B5573" t="str">
            <v>1</v>
          </cell>
          <cell r="C5573" t="str">
            <v/>
          </cell>
          <cell r="D5573" t="str">
            <v>NJ</v>
          </cell>
          <cell r="E5573" t="str">
            <v/>
          </cell>
          <cell r="F5573" t="str">
            <v/>
          </cell>
          <cell r="G5573" t="str">
            <v>BPM CONSULTING S.A.S</v>
          </cell>
          <cell r="H5573" t="str">
            <v>IMVE</v>
          </cell>
          <cell r="I5573" t="str">
            <v>IMPUESTO SOBRE LAS VENTAS</v>
          </cell>
          <cell r="J5573" t="str">
            <v>CR 18 73 A 24 BRR ALTA SUIZA</v>
          </cell>
          <cell r="K5573" t="str">
            <v>17001</v>
          </cell>
          <cell r="L5573" t="str">
            <v>MANIZALES</v>
          </cell>
          <cell r="M5573" t="str">
            <v>3167025625</v>
          </cell>
        </row>
        <row r="5574">
          <cell r="A5574">
            <v>900726034</v>
          </cell>
          <cell r="B5574" t="str">
            <v>1</v>
          </cell>
          <cell r="C5574" t="str">
            <v/>
          </cell>
          <cell r="D5574" t="str">
            <v>NJ</v>
          </cell>
          <cell r="E5574" t="str">
            <v/>
          </cell>
          <cell r="F5574" t="str">
            <v/>
          </cell>
          <cell r="G5574" t="str">
            <v>EDS TERPEL COLON</v>
          </cell>
          <cell r="H5574" t="str">
            <v>RECO</v>
          </cell>
          <cell r="I5574" t="str">
            <v>REGIMEN COMUN</v>
          </cell>
          <cell r="J5574" t="str">
            <v>CL 13   55   14</v>
          </cell>
          <cell r="K5574" t="str">
            <v>11001</v>
          </cell>
          <cell r="L5574" t="str">
            <v>BOGOTA DC</v>
          </cell>
          <cell r="M5574" t="str">
            <v>2627373</v>
          </cell>
        </row>
        <row r="5575">
          <cell r="A5575">
            <v>900726147</v>
          </cell>
          <cell r="B5575" t="str">
            <v>5</v>
          </cell>
          <cell r="C5575" t="str">
            <v/>
          </cell>
          <cell r="D5575" t="str">
            <v>NJ</v>
          </cell>
          <cell r="E5575" t="str">
            <v/>
          </cell>
          <cell r="F5575" t="str">
            <v/>
          </cell>
          <cell r="G5575" t="str">
            <v>CODICOM COMBUSTIBLES SAS</v>
          </cell>
          <cell r="H5575" t="str">
            <v>IMVE</v>
          </cell>
          <cell r="I5575" t="str">
            <v>IMPUESTO SOBRE LAS VENTAS</v>
          </cell>
          <cell r="J5575" t="str">
            <v>CL 43 65 100 ESTACION DE SERVICIOS TERMINAL DE TRASNPORTE</v>
          </cell>
          <cell r="K5575" t="str">
            <v>17001</v>
          </cell>
          <cell r="L5575" t="str">
            <v>MANIZALES</v>
          </cell>
          <cell r="M5575" t="str">
            <v>8789354</v>
          </cell>
        </row>
        <row r="5576">
          <cell r="A5576">
            <v>900726468</v>
          </cell>
          <cell r="B5576" t="str">
            <v>4</v>
          </cell>
          <cell r="C5576" t="str">
            <v/>
          </cell>
          <cell r="D5576" t="str">
            <v>NJ</v>
          </cell>
          <cell r="E5576" t="str">
            <v/>
          </cell>
          <cell r="F5576" t="str">
            <v/>
          </cell>
          <cell r="G5576" t="str">
            <v>INLOGISTIC INNOVATION LOGISTICA Y TRANPORTE DE COLOMBIA SAS.</v>
          </cell>
          <cell r="H5576" t="str">
            <v>IMVE</v>
          </cell>
          <cell r="I5576" t="str">
            <v>IMPUESTO SOBRE LAS VENTAS</v>
          </cell>
          <cell r="J5576" t="str">
            <v>CL 24 10 A 02 BRR CAMILO TORRES</v>
          </cell>
          <cell r="K5576" t="str">
            <v>99001</v>
          </cell>
          <cell r="L5576" t="str">
            <v>PUERTO CARREÑO</v>
          </cell>
          <cell r="M5576" t="str">
            <v>3502184230</v>
          </cell>
        </row>
        <row r="5577">
          <cell r="A5577">
            <v>900727531</v>
          </cell>
          <cell r="B5577" t="str">
            <v>5</v>
          </cell>
          <cell r="C5577" t="str">
            <v/>
          </cell>
          <cell r="D5577" t="str">
            <v>NJ</v>
          </cell>
          <cell r="E5577" t="str">
            <v/>
          </cell>
          <cell r="F5577" t="str">
            <v/>
          </cell>
          <cell r="G5577" t="str">
            <v>SERVICIOS INTEGRADOS PROFESIONALES</v>
          </cell>
          <cell r="H5577" t="str">
            <v>RECO</v>
          </cell>
          <cell r="I5577" t="str">
            <v>REGIMEN COMUN</v>
          </cell>
          <cell r="J5577" t="str">
            <v>AV 68 2 C 30</v>
          </cell>
          <cell r="K5577" t="str">
            <v>11001</v>
          </cell>
          <cell r="L5577" t="str">
            <v>BOGOTA DC</v>
          </cell>
          <cell r="M5577" t="str">
            <v>2610447</v>
          </cell>
        </row>
        <row r="5578">
          <cell r="A5578">
            <v>900729867</v>
          </cell>
          <cell r="B5578" t="str">
            <v>3</v>
          </cell>
          <cell r="C5578" t="str">
            <v/>
          </cell>
          <cell r="D5578" t="str">
            <v>NJ</v>
          </cell>
          <cell r="E5578" t="str">
            <v/>
          </cell>
          <cell r="F5578" t="str">
            <v/>
          </cell>
          <cell r="G5578" t="str">
            <v>SOCIEDAD OPERADORA DE HOTELES SAS</v>
          </cell>
          <cell r="H5578" t="str">
            <v>RECO</v>
          </cell>
          <cell r="I5578" t="str">
            <v>REGIMEN COMUN</v>
          </cell>
          <cell r="J5578" t="str">
            <v>CL 20 20 30 IN 108</v>
          </cell>
          <cell r="K5578" t="str">
            <v>05376</v>
          </cell>
          <cell r="L5578" t="str">
            <v>LA CEJA</v>
          </cell>
          <cell r="M5578" t="str">
            <v>5537310</v>
          </cell>
        </row>
        <row r="5579">
          <cell r="A5579">
            <v>900729995</v>
          </cell>
          <cell r="B5579" t="str">
            <v>8</v>
          </cell>
          <cell r="C5579" t="str">
            <v/>
          </cell>
          <cell r="D5579" t="str">
            <v>NJ</v>
          </cell>
          <cell r="E5579" t="str">
            <v/>
          </cell>
          <cell r="F5579" t="str">
            <v/>
          </cell>
          <cell r="G5579" t="str">
            <v>HOTELES DEL OTUN SOCIEDAD POR ACCIONES SIMPLIFICADA</v>
          </cell>
          <cell r="H5579" t="str">
            <v>IMVE</v>
          </cell>
          <cell r="I5579" t="str">
            <v>IMPUESTO SOBRE LAS VENTAS</v>
          </cell>
          <cell r="J5579" t="str">
            <v>KM 7 VTE VIA PEREIRA CARTAGO</v>
          </cell>
          <cell r="K5579" t="str">
            <v>66001</v>
          </cell>
          <cell r="L5579" t="str">
            <v>PEREIRA</v>
          </cell>
          <cell r="M5579" t="str">
            <v>3113600</v>
          </cell>
        </row>
        <row r="5580">
          <cell r="A5580">
            <v>900730479</v>
          </cell>
          <cell r="B5580" t="str">
            <v>0</v>
          </cell>
          <cell r="C5580" t="str">
            <v/>
          </cell>
          <cell r="D5580" t="str">
            <v>NJ</v>
          </cell>
          <cell r="E5580" t="str">
            <v/>
          </cell>
          <cell r="F5580" t="str">
            <v/>
          </cell>
          <cell r="G5580" t="str">
            <v>CF INGENIERIA Y MANTENIMIENTO S.A.S</v>
          </cell>
          <cell r="H5580" t="str">
            <v>RECO</v>
          </cell>
          <cell r="I5580" t="str">
            <v>REGIMEN COMUN</v>
          </cell>
          <cell r="J5580" t="str">
            <v>CR 27 A 66 30 CC SANCANCIO OF 1016</v>
          </cell>
          <cell r="K5580" t="str">
            <v>17001</v>
          </cell>
          <cell r="L5580" t="str">
            <v>MANIZALES</v>
          </cell>
          <cell r="M5580" t="str">
            <v>3105143119</v>
          </cell>
        </row>
        <row r="5581">
          <cell r="A5581">
            <v>900730554</v>
          </cell>
          <cell r="B5581" t="str">
            <v>5</v>
          </cell>
          <cell r="C5581" t="str">
            <v/>
          </cell>
          <cell r="D5581" t="str">
            <v>NJ</v>
          </cell>
          <cell r="E5581" t="str">
            <v/>
          </cell>
          <cell r="F5581" t="str">
            <v/>
          </cell>
          <cell r="G5581" t="str">
            <v>SOLAR JIENNENSE SOCIEDAD LIMITADA SUCURSAL EN COLOMBIA</v>
          </cell>
          <cell r="H5581" t="str">
            <v>RECO</v>
          </cell>
          <cell r="I5581" t="str">
            <v>REGIMEN COMUN</v>
          </cell>
          <cell r="J5581" t="str">
            <v>CR 15  19 60 IN B16  CONJ TEJAR DEL RIO</v>
          </cell>
          <cell r="K5581" t="str">
            <v>25175</v>
          </cell>
          <cell r="L5581" t="str">
            <v>CHÍA</v>
          </cell>
          <cell r="M5581" t="str">
            <v>8611843</v>
          </cell>
        </row>
        <row r="5582">
          <cell r="A5582">
            <v>900731328</v>
          </cell>
          <cell r="B5582" t="str">
            <v>1</v>
          </cell>
          <cell r="C5582" t="str">
            <v/>
          </cell>
          <cell r="D5582" t="str">
            <v>NJ</v>
          </cell>
          <cell r="E5582" t="str">
            <v/>
          </cell>
          <cell r="F5582" t="str">
            <v/>
          </cell>
          <cell r="G5582" t="str">
            <v>INVERSIONES JJC SAS</v>
          </cell>
          <cell r="H5582" t="str">
            <v>RECO</v>
          </cell>
          <cell r="I5582" t="str">
            <v>REGIMEN COMUN</v>
          </cell>
          <cell r="J5582" t="str">
            <v>CR 23   9   39</v>
          </cell>
          <cell r="K5582" t="str">
            <v>85001</v>
          </cell>
          <cell r="L5582" t="str">
            <v>YOPAL</v>
          </cell>
          <cell r="M5582" t="str">
            <v>3142986917</v>
          </cell>
        </row>
        <row r="5583">
          <cell r="A5583">
            <v>900731586</v>
          </cell>
          <cell r="B5583" t="str">
            <v>5</v>
          </cell>
          <cell r="C5583" t="str">
            <v/>
          </cell>
          <cell r="D5583" t="str">
            <v>NJ</v>
          </cell>
          <cell r="E5583" t="str">
            <v/>
          </cell>
          <cell r="F5583" t="str">
            <v/>
          </cell>
          <cell r="G5583" t="str">
            <v>HOTELES DE YOPAL SAS</v>
          </cell>
          <cell r="H5583" t="str">
            <v>RECO</v>
          </cell>
          <cell r="I5583" t="str">
            <v>REGIMEN COMUN</v>
          </cell>
          <cell r="J5583" t="str">
            <v>CL 29 28 14 CC ALCARAVAN</v>
          </cell>
          <cell r="K5583" t="str">
            <v>85001</v>
          </cell>
          <cell r="L5583" t="str">
            <v>YOPAL</v>
          </cell>
          <cell r="M5583" t="str">
            <v>3175356889</v>
          </cell>
        </row>
        <row r="5584">
          <cell r="A5584">
            <v>900732297</v>
          </cell>
          <cell r="B5584" t="str">
            <v>6</v>
          </cell>
          <cell r="C5584" t="str">
            <v/>
          </cell>
          <cell r="D5584" t="str">
            <v>NJ</v>
          </cell>
          <cell r="E5584" t="str">
            <v/>
          </cell>
          <cell r="F5584" t="str">
            <v/>
          </cell>
          <cell r="G5584" t="str">
            <v>SWISSLUB SAS</v>
          </cell>
          <cell r="H5584" t="str">
            <v>IMVE</v>
          </cell>
          <cell r="I5584" t="str">
            <v>IMPUESTO SOBRE LAS VENTAS</v>
          </cell>
          <cell r="J5584" t="str">
            <v>KM 2 VIA CAJICA - CHIA BELENUS CENTRO DE NEGOCIOS OF 408 409</v>
          </cell>
          <cell r="K5584" t="str">
            <v>11001</v>
          </cell>
          <cell r="L5584" t="str">
            <v>BOGOTA DC</v>
          </cell>
          <cell r="M5584" t="str">
            <v>3175020361</v>
          </cell>
        </row>
        <row r="5585">
          <cell r="A5585">
            <v>900732786</v>
          </cell>
          <cell r="B5585" t="str">
            <v>6</v>
          </cell>
          <cell r="C5585" t="str">
            <v/>
          </cell>
          <cell r="D5585" t="str">
            <v>NJ</v>
          </cell>
          <cell r="E5585" t="str">
            <v/>
          </cell>
          <cell r="F5585" t="str">
            <v/>
          </cell>
          <cell r="G5585" t="str">
            <v>MAS ENERGIA S.A.S</v>
          </cell>
          <cell r="H5585" t="str">
            <v>IMVE</v>
          </cell>
          <cell r="I5585" t="str">
            <v>IMPUESTO SOBRE LAS VENTAS</v>
          </cell>
          <cell r="J5585" t="str">
            <v>CL 34 18 64 OF 301 3 CC ROSEDAL</v>
          </cell>
          <cell r="K5585" t="str">
            <v>68001</v>
          </cell>
          <cell r="L5585" t="str">
            <v>BUCARAMANGA</v>
          </cell>
          <cell r="M5585" t="str">
            <v>3015237008</v>
          </cell>
        </row>
        <row r="5586">
          <cell r="A5586">
            <v>900735297</v>
          </cell>
          <cell r="B5586" t="str">
            <v>1</v>
          </cell>
          <cell r="C5586" t="str">
            <v/>
          </cell>
          <cell r="D5586" t="str">
            <v>NJ</v>
          </cell>
          <cell r="E5586" t="str">
            <v/>
          </cell>
          <cell r="F5586" t="str">
            <v/>
          </cell>
          <cell r="G5586" t="str">
            <v>BIOTA CONSULTING GROUP S.A.S.</v>
          </cell>
          <cell r="H5586" t="str">
            <v>IMVE</v>
          </cell>
          <cell r="I5586" t="str">
            <v>IMPUESTO SOBRE LAS VENTAS</v>
          </cell>
          <cell r="J5586" t="str">
            <v xml:space="preserve"> CR 65 D 32 E 32</v>
          </cell>
          <cell r="K5586" t="str">
            <v>11</v>
          </cell>
          <cell r="L5586" t="str">
            <v>ANTIOQUIA</v>
          </cell>
          <cell r="M5586" t="str">
            <v>2998012</v>
          </cell>
        </row>
        <row r="5587">
          <cell r="A5587">
            <v>900735755</v>
          </cell>
          <cell r="B5587" t="str">
            <v>1</v>
          </cell>
          <cell r="C5587" t="str">
            <v/>
          </cell>
          <cell r="D5587" t="str">
            <v>NJ</v>
          </cell>
          <cell r="E5587" t="str">
            <v/>
          </cell>
          <cell r="F5587" t="str">
            <v/>
          </cell>
          <cell r="G5587" t="str">
            <v>ORING&amp;SELLOS S.A.S</v>
          </cell>
          <cell r="H5587" t="str">
            <v>RECO</v>
          </cell>
          <cell r="I5587" t="str">
            <v>REGIMEN COMUN</v>
          </cell>
          <cell r="J5587" t="str">
            <v>CR 71 B BIS 3 A 24</v>
          </cell>
          <cell r="K5587" t="str">
            <v>11001</v>
          </cell>
          <cell r="L5587" t="str">
            <v>BOGOTA DC</v>
          </cell>
          <cell r="M5587" t="str">
            <v>4200999</v>
          </cell>
        </row>
        <row r="5588">
          <cell r="A5588">
            <v>900735769</v>
          </cell>
          <cell r="B5588" t="str">
            <v>4</v>
          </cell>
          <cell r="C5588" t="str">
            <v/>
          </cell>
          <cell r="D5588" t="str">
            <v>NJ</v>
          </cell>
          <cell r="E5588" t="str">
            <v/>
          </cell>
          <cell r="F5588" t="str">
            <v/>
          </cell>
          <cell r="G5588" t="str">
            <v>EL LABORATORIO DE CAFE S.A.S</v>
          </cell>
          <cell r="H5588" t="str">
            <v>RECO</v>
          </cell>
          <cell r="I5588" t="str">
            <v>REGIMEN COMUN</v>
          </cell>
          <cell r="J5588" t="str">
            <v>CL 10 B SUR   51   52</v>
          </cell>
          <cell r="K5588" t="str">
            <v>05001</v>
          </cell>
          <cell r="L5588" t="str">
            <v>MEDELLÍN</v>
          </cell>
          <cell r="M5588" t="str">
            <v>3225152</v>
          </cell>
        </row>
        <row r="5589">
          <cell r="A5589">
            <v>900735868</v>
          </cell>
          <cell r="B5589" t="str">
            <v>5</v>
          </cell>
          <cell r="C5589" t="str">
            <v/>
          </cell>
          <cell r="D5589" t="str">
            <v>NJ</v>
          </cell>
          <cell r="E5589" t="str">
            <v/>
          </cell>
          <cell r="F5589" t="str">
            <v/>
          </cell>
          <cell r="G5589" t="str">
            <v>INELEMEC S.A.S</v>
          </cell>
          <cell r="H5589" t="str">
            <v>IMVE</v>
          </cell>
          <cell r="I5589" t="str">
            <v>IMPUESTO SOBRE LAS VENTAS</v>
          </cell>
          <cell r="J5589" t="str">
            <v>CR 6 CL 19 A 14</v>
          </cell>
          <cell r="K5589" t="str">
            <v>15238</v>
          </cell>
          <cell r="L5589" t="str">
            <v>DUITAMA</v>
          </cell>
          <cell r="M5589" t="str">
            <v>3014623039</v>
          </cell>
        </row>
        <row r="5590">
          <cell r="A5590">
            <v>900737079</v>
          </cell>
          <cell r="B5590" t="str">
            <v>1</v>
          </cell>
          <cell r="C5590" t="str">
            <v/>
          </cell>
          <cell r="D5590" t="str">
            <v>NJ</v>
          </cell>
          <cell r="E5590" t="str">
            <v/>
          </cell>
          <cell r="F5590" t="str">
            <v/>
          </cell>
          <cell r="G5590" t="str">
            <v>HENKEL INTERNACIONAL SAS</v>
          </cell>
          <cell r="H5590" t="str">
            <v>IMVE</v>
          </cell>
          <cell r="I5590" t="str">
            <v>IMPUESTO SOBRE LAS VENTAS</v>
          </cell>
          <cell r="J5590" t="str">
            <v>CR 21 137 48</v>
          </cell>
          <cell r="K5590" t="str">
            <v>11001</v>
          </cell>
          <cell r="L5590" t="str">
            <v>BOGOTA DC</v>
          </cell>
          <cell r="M5590" t="str">
            <v>6013484459</v>
          </cell>
        </row>
        <row r="5591">
          <cell r="A5591">
            <v>900738790</v>
          </cell>
          <cell r="B5591" t="str">
            <v>3</v>
          </cell>
          <cell r="C5591" t="str">
            <v/>
          </cell>
          <cell r="D5591" t="str">
            <v>NJ</v>
          </cell>
          <cell r="E5591" t="str">
            <v/>
          </cell>
          <cell r="F5591" t="str">
            <v/>
          </cell>
          <cell r="G5591" t="str">
            <v>NG PROYECTOS Y CONSTRUCCIONES SAS</v>
          </cell>
          <cell r="H5591" t="str">
            <v>RECO</v>
          </cell>
          <cell r="I5591" t="str">
            <v>REGIMEN COMUN</v>
          </cell>
          <cell r="J5591" t="str">
            <v>CL 25  6 85 BRR VILLA PANORAMA</v>
          </cell>
          <cell r="K5591" t="str">
            <v>15516</v>
          </cell>
          <cell r="L5591" t="str">
            <v>PAIPA</v>
          </cell>
          <cell r="M5591" t="str">
            <v>3134264278</v>
          </cell>
        </row>
        <row r="5592">
          <cell r="A5592">
            <v>900738828</v>
          </cell>
          <cell r="B5592" t="str">
            <v>4</v>
          </cell>
          <cell r="C5592" t="str">
            <v/>
          </cell>
          <cell r="D5592" t="str">
            <v>NJ</v>
          </cell>
          <cell r="E5592" t="str">
            <v/>
          </cell>
          <cell r="F5592" t="str">
            <v/>
          </cell>
          <cell r="G5592" t="str">
            <v>MINA LA ZONA SAS</v>
          </cell>
          <cell r="H5592" t="str">
            <v>REOR</v>
          </cell>
          <cell r="I5592" t="str">
            <v>RENTA REGIMEN ORDINARIO</v>
          </cell>
          <cell r="J5592" t="str">
            <v>CR 11 21 90  CC IWOKA OF 310</v>
          </cell>
          <cell r="K5592" t="str">
            <v>15759</v>
          </cell>
          <cell r="L5592" t="str">
            <v>SOGAMOSO</v>
          </cell>
          <cell r="M5592" t="str">
            <v>7739779</v>
          </cell>
        </row>
        <row r="5593">
          <cell r="A5593">
            <v>900739480</v>
          </cell>
          <cell r="B5593" t="str">
            <v>1</v>
          </cell>
          <cell r="C5593" t="str">
            <v/>
          </cell>
          <cell r="D5593" t="str">
            <v>NJ</v>
          </cell>
          <cell r="E5593" t="str">
            <v/>
          </cell>
          <cell r="F5593" t="str">
            <v/>
          </cell>
          <cell r="G5593" t="str">
            <v>SOLUCIONES EN CONTROL INDUSTRIAL DE COLOMBIA S A S</v>
          </cell>
          <cell r="H5593" t="str">
            <v>IMVE</v>
          </cell>
          <cell r="I5593" t="str">
            <v>IMPUESTO SOBRE LAS VENTAS</v>
          </cell>
          <cell r="J5593" t="str">
            <v xml:space="preserve"> CL 83 A  116 A  10</v>
          </cell>
          <cell r="K5593" t="str">
            <v>11001</v>
          </cell>
          <cell r="L5593" t="str">
            <v>BOGOTA DC</v>
          </cell>
          <cell r="M5593" t="str">
            <v>3166199944</v>
          </cell>
        </row>
        <row r="5594">
          <cell r="A5594">
            <v>900739869</v>
          </cell>
          <cell r="B5594" t="str">
            <v>0</v>
          </cell>
          <cell r="C5594" t="str">
            <v/>
          </cell>
          <cell r="D5594" t="str">
            <v>NJ</v>
          </cell>
          <cell r="E5594" t="str">
            <v/>
          </cell>
          <cell r="F5594" t="str">
            <v/>
          </cell>
          <cell r="G5594" t="str">
            <v>HOTEL MALABAR BOUTIQUE</v>
          </cell>
          <cell r="H5594" t="str">
            <v>RECO</v>
          </cell>
          <cell r="I5594" t="str">
            <v>REGIMEN COMUN</v>
          </cell>
          <cell r="J5594" t="str">
            <v>KM 7 7</v>
          </cell>
          <cell r="K5594" t="str">
            <v>66001</v>
          </cell>
          <cell r="L5594" t="str">
            <v>PEREIRA</v>
          </cell>
          <cell r="M5594" t="str">
            <v>3379206</v>
          </cell>
        </row>
        <row r="5595">
          <cell r="A5595">
            <v>900740321</v>
          </cell>
          <cell r="B5595" t="str">
            <v>9</v>
          </cell>
          <cell r="C5595" t="str">
            <v/>
          </cell>
          <cell r="D5595" t="str">
            <v>NJ</v>
          </cell>
          <cell r="E5595" t="str">
            <v/>
          </cell>
          <cell r="F5595" t="str">
            <v/>
          </cell>
          <cell r="G5595" t="str">
            <v>CONSORCIO EMBERA</v>
          </cell>
          <cell r="H5595" t="str">
            <v>RECO</v>
          </cell>
          <cell r="I5595" t="str">
            <v>REGIMEN COMUN</v>
          </cell>
          <cell r="J5595" t="str">
            <v xml:space="preserve"> CR 37 4 58</v>
          </cell>
          <cell r="K5595" t="str">
            <v>76001</v>
          </cell>
          <cell r="L5595" t="str">
            <v>CALI</v>
          </cell>
          <cell r="M5595" t="str">
            <v>5541097</v>
          </cell>
        </row>
        <row r="5596">
          <cell r="A5596">
            <v>900740885</v>
          </cell>
          <cell r="B5596" t="str">
            <v>0</v>
          </cell>
          <cell r="C5596" t="str">
            <v/>
          </cell>
          <cell r="D5596" t="str">
            <v>NJ</v>
          </cell>
          <cell r="E5596" t="str">
            <v/>
          </cell>
          <cell r="F5596" t="str">
            <v/>
          </cell>
          <cell r="G5596" t="str">
            <v>SERVICIOS DE INGENIERIA SEPECOL SAS</v>
          </cell>
          <cell r="H5596" t="str">
            <v>IMVE</v>
          </cell>
          <cell r="I5596" t="str">
            <v>IMPUESTO SOBRE LAS VENTAS</v>
          </cell>
          <cell r="J5596" t="str">
            <v xml:space="preserve"> CL 34 22 46 AP 803 TO 2 ED PICASSO CUBISMO</v>
          </cell>
          <cell r="K5596" t="str">
            <v>68001</v>
          </cell>
          <cell r="L5596" t="str">
            <v>BUCARAMANGA</v>
          </cell>
          <cell r="M5596" t="str">
            <v>3177478036</v>
          </cell>
        </row>
        <row r="5597">
          <cell r="A5597">
            <v>900741543</v>
          </cell>
          <cell r="B5597" t="str">
            <v>1</v>
          </cell>
          <cell r="C5597" t="str">
            <v/>
          </cell>
          <cell r="D5597" t="str">
            <v>NJ</v>
          </cell>
          <cell r="E5597" t="str">
            <v/>
          </cell>
          <cell r="F5597" t="str">
            <v/>
          </cell>
          <cell r="G5597" t="str">
            <v>SERVICIOS DE INGENIERIA RD S.A.S</v>
          </cell>
          <cell r="H5597" t="str">
            <v>IMVE</v>
          </cell>
          <cell r="I5597" t="str">
            <v>IMPUESTO SOBRE LAS VENTAS</v>
          </cell>
          <cell r="J5597" t="str">
            <v>CL 94 33  22</v>
          </cell>
          <cell r="K5597" t="str">
            <v>17001</v>
          </cell>
          <cell r="L5597" t="str">
            <v>MANIZALES</v>
          </cell>
          <cell r="M5597" t="str">
            <v>3103836459</v>
          </cell>
        </row>
        <row r="5598">
          <cell r="A5598">
            <v>900741693</v>
          </cell>
          <cell r="B5598" t="str">
            <v>8</v>
          </cell>
          <cell r="C5598" t="str">
            <v/>
          </cell>
          <cell r="D5598" t="str">
            <v>NJ</v>
          </cell>
          <cell r="E5598" t="str">
            <v/>
          </cell>
          <cell r="F5598" t="str">
            <v/>
          </cell>
          <cell r="G5598" t="str">
            <v>HJCA INGENIERIA CONSTRUCCIONES Y CONSULTORIAS SAS</v>
          </cell>
          <cell r="H5598" t="str">
            <v>IMVE</v>
          </cell>
          <cell r="I5598" t="str">
            <v>IMPUESTO SOBRE LAS VENTAS</v>
          </cell>
          <cell r="J5598" t="str">
            <v xml:space="preserve"> CL 14 9 93 OFC 903</v>
          </cell>
          <cell r="K5598" t="str">
            <v>17001</v>
          </cell>
          <cell r="L5598" t="str">
            <v>MANIZALES</v>
          </cell>
          <cell r="M5598" t="str">
            <v>310815952</v>
          </cell>
        </row>
        <row r="5599">
          <cell r="A5599">
            <v>900742973</v>
          </cell>
          <cell r="B5599" t="str">
            <v>1</v>
          </cell>
          <cell r="C5599" t="str">
            <v/>
          </cell>
          <cell r="D5599" t="str">
            <v>NJ</v>
          </cell>
          <cell r="E5599" t="str">
            <v/>
          </cell>
          <cell r="F5599" t="str">
            <v/>
          </cell>
          <cell r="G5599" t="str">
            <v>INDUSTRIAS TEJEDOR S.A.S</v>
          </cell>
          <cell r="H5599" t="str">
            <v>IMVE</v>
          </cell>
          <cell r="I5599" t="str">
            <v>IMPUESTO SOBRE LAS VENTAS</v>
          </cell>
          <cell r="J5599" t="str">
            <v>CR 33 15 A 55</v>
          </cell>
          <cell r="K5599" t="str">
            <v>15759</v>
          </cell>
          <cell r="L5599" t="str">
            <v>SOGAMOSO</v>
          </cell>
          <cell r="M5599" t="str">
            <v>3222213009</v>
          </cell>
        </row>
        <row r="5600">
          <cell r="A5600">
            <v>900745087</v>
          </cell>
          <cell r="B5600" t="str">
            <v>2</v>
          </cell>
          <cell r="C5600" t="str">
            <v/>
          </cell>
          <cell r="D5600" t="str">
            <v>NJ</v>
          </cell>
          <cell r="E5600" t="str">
            <v/>
          </cell>
          <cell r="F5600" t="str">
            <v/>
          </cell>
          <cell r="G5600" t="str">
            <v>SUMINISTROS DE LABORATORIO KASALAB S.A.S</v>
          </cell>
          <cell r="H5600" t="str">
            <v>IMVE</v>
          </cell>
          <cell r="I5600" t="str">
            <v>IMPUESTO SOBRE LAS VENTAS</v>
          </cell>
          <cell r="J5600" t="str">
            <v>CR 81 B 51 52</v>
          </cell>
          <cell r="K5600" t="str">
            <v>11001</v>
          </cell>
          <cell r="L5600" t="str">
            <v>BOGOTA DC</v>
          </cell>
          <cell r="M5600" t="str">
            <v>3233049747</v>
          </cell>
        </row>
        <row r="5601">
          <cell r="A5601">
            <v>900746843</v>
          </cell>
          <cell r="B5601" t="str">
            <v>9</v>
          </cell>
          <cell r="C5601" t="str">
            <v/>
          </cell>
          <cell r="D5601" t="str">
            <v>NJ</v>
          </cell>
          <cell r="E5601" t="str">
            <v/>
          </cell>
          <cell r="F5601" t="str">
            <v/>
          </cell>
          <cell r="G5601" t="str">
            <v>JULIO ROBERTO CASTILLO CHAPARRO SAS</v>
          </cell>
          <cell r="H5601" t="str">
            <v>RECO</v>
          </cell>
          <cell r="I5601" t="str">
            <v>REGIMEN COMUN</v>
          </cell>
          <cell r="J5601" t="str">
            <v>AV EL SOL 9 47</v>
          </cell>
          <cell r="K5601" t="str">
            <v>15759</v>
          </cell>
          <cell r="L5601" t="str">
            <v>SOGAMOSO</v>
          </cell>
          <cell r="M5601" t="str">
            <v>3138807595</v>
          </cell>
        </row>
        <row r="5602">
          <cell r="A5602">
            <v>900746935</v>
          </cell>
          <cell r="B5602" t="str">
            <v>8</v>
          </cell>
          <cell r="C5602" t="str">
            <v/>
          </cell>
          <cell r="D5602" t="str">
            <v>NJ</v>
          </cell>
          <cell r="E5602" t="str">
            <v/>
          </cell>
          <cell r="F5602" t="str">
            <v/>
          </cell>
          <cell r="G5602" t="str">
            <v>DB ENTRETENIMIENTO SAS</v>
          </cell>
          <cell r="H5602" t="str">
            <v>IMVE</v>
          </cell>
          <cell r="I5602" t="str">
            <v>IMPUESTO SOBRE LAS VENTAS</v>
          </cell>
          <cell r="J5602" t="str">
            <v>CR 59 B BIS 128 B 61 AP 102</v>
          </cell>
          <cell r="K5602" t="str">
            <v>11001</v>
          </cell>
          <cell r="L5602" t="str">
            <v>BOGOTA DC</v>
          </cell>
          <cell r="M5602" t="str">
            <v>4574047</v>
          </cell>
        </row>
        <row r="5603">
          <cell r="A5603">
            <v>900746990</v>
          </cell>
          <cell r="B5603" t="str">
            <v>3</v>
          </cell>
          <cell r="C5603" t="str">
            <v/>
          </cell>
          <cell r="D5603" t="str">
            <v>NJ</v>
          </cell>
          <cell r="E5603" t="str">
            <v/>
          </cell>
          <cell r="F5603" t="str">
            <v/>
          </cell>
          <cell r="G5603" t="str">
            <v>PROYECTOS Y CONSTRUCCIONES INNOVA S.A.S.</v>
          </cell>
          <cell r="H5603" t="str">
            <v>RECO</v>
          </cell>
          <cell r="I5603" t="str">
            <v>REGIMEN COMUN</v>
          </cell>
          <cell r="J5603" t="str">
            <v>CR 1 ESTE 74 69</v>
          </cell>
          <cell r="K5603" t="str">
            <v>15001</v>
          </cell>
          <cell r="L5603" t="str">
            <v>TUNJA</v>
          </cell>
          <cell r="M5603" t="str">
            <v>3115336696</v>
          </cell>
        </row>
        <row r="5604">
          <cell r="A5604">
            <v>900747852</v>
          </cell>
          <cell r="B5604" t="str">
            <v>1</v>
          </cell>
          <cell r="C5604" t="str">
            <v/>
          </cell>
          <cell r="D5604" t="str">
            <v>NJ</v>
          </cell>
          <cell r="E5604" t="str">
            <v/>
          </cell>
          <cell r="F5604" t="str">
            <v/>
          </cell>
          <cell r="G5604" t="str">
            <v>PAZIONDECO S.A.S</v>
          </cell>
          <cell r="H5604" t="str">
            <v>RECO</v>
          </cell>
          <cell r="I5604" t="str">
            <v>REGIMEN COMUN</v>
          </cell>
          <cell r="J5604" t="str">
            <v>CL 50  26 02 BRR VERSALLES</v>
          </cell>
          <cell r="K5604" t="str">
            <v>17001</v>
          </cell>
          <cell r="L5604" t="str">
            <v>MANIZALES</v>
          </cell>
          <cell r="M5604" t="str">
            <v>8860087</v>
          </cell>
        </row>
        <row r="5605">
          <cell r="A5605">
            <v>900747922</v>
          </cell>
          <cell r="B5605" t="str">
            <v>7</v>
          </cell>
          <cell r="C5605" t="str">
            <v/>
          </cell>
          <cell r="D5605" t="str">
            <v>NJ</v>
          </cell>
          <cell r="E5605" t="str">
            <v/>
          </cell>
          <cell r="F5605" t="str">
            <v/>
          </cell>
          <cell r="G5605" t="str">
            <v>CMS ENSAYOS NO DESTRUCTIVOS SAS</v>
          </cell>
          <cell r="H5605" t="str">
            <v>RECO</v>
          </cell>
          <cell r="I5605" t="str">
            <v>REGIMEN COMUN</v>
          </cell>
          <cell r="J5605" t="str">
            <v>CR 84 68 A 70  402</v>
          </cell>
          <cell r="K5605" t="str">
            <v>11001</v>
          </cell>
          <cell r="L5605" t="str">
            <v>BOGOTA DC</v>
          </cell>
          <cell r="M5605" t="str">
            <v>3143500080</v>
          </cell>
        </row>
        <row r="5606">
          <cell r="A5606">
            <v>900748753</v>
          </cell>
          <cell r="B5606" t="str">
            <v>3</v>
          </cell>
          <cell r="C5606" t="str">
            <v/>
          </cell>
          <cell r="D5606" t="str">
            <v>NJ</v>
          </cell>
          <cell r="E5606" t="str">
            <v/>
          </cell>
          <cell r="F5606" t="str">
            <v/>
          </cell>
          <cell r="G5606" t="str">
            <v>WORLD COMPANY SAS</v>
          </cell>
          <cell r="H5606" t="str">
            <v>RECO</v>
          </cell>
          <cell r="I5606" t="str">
            <v>REGIMEN COMUN</v>
          </cell>
          <cell r="J5606" t="str">
            <v>CR 15 95 64 OF 204</v>
          </cell>
          <cell r="K5606" t="str">
            <v>11001</v>
          </cell>
          <cell r="L5606" t="str">
            <v>BOGOTA DC</v>
          </cell>
          <cell r="M5606" t="str">
            <v>3102304130</v>
          </cell>
        </row>
        <row r="5607">
          <cell r="A5607">
            <v>900748756</v>
          </cell>
          <cell r="B5607" t="str">
            <v>5</v>
          </cell>
          <cell r="C5607" t="str">
            <v/>
          </cell>
          <cell r="D5607" t="str">
            <v>NJ</v>
          </cell>
          <cell r="E5607" t="str">
            <v/>
          </cell>
          <cell r="F5607" t="str">
            <v/>
          </cell>
          <cell r="G5607" t="str">
            <v>INGENIERIA CONSULTORIA Y MEDIO AMBIENTE IMAC DE COLOMBIA S.A.S</v>
          </cell>
          <cell r="H5607" t="str">
            <v>IMVE</v>
          </cell>
          <cell r="I5607" t="str">
            <v>IMPUESTO SOBRE LAS VENTAS</v>
          </cell>
          <cell r="J5607" t="str">
            <v>CL 6 7 35</v>
          </cell>
          <cell r="K5607" t="str">
            <v>17662</v>
          </cell>
          <cell r="L5607" t="str">
            <v>SAMANÁ</v>
          </cell>
          <cell r="M5607" t="str">
            <v>2520897</v>
          </cell>
        </row>
        <row r="5608">
          <cell r="A5608">
            <v>900749329</v>
          </cell>
          <cell r="B5608" t="str">
            <v>8</v>
          </cell>
          <cell r="C5608" t="str">
            <v/>
          </cell>
          <cell r="D5608" t="str">
            <v>NJ</v>
          </cell>
          <cell r="E5608" t="str">
            <v/>
          </cell>
          <cell r="F5608" t="str">
            <v/>
          </cell>
          <cell r="G5608" t="str">
            <v>UNION TEMPORAL ENERCAQUETA</v>
          </cell>
          <cell r="H5608" t="str">
            <v>RECO</v>
          </cell>
          <cell r="I5608" t="str">
            <v>REGIMEN COMUN</v>
          </cell>
          <cell r="J5608" t="str">
            <v xml:space="preserve"> CL 7  62 A  45</v>
          </cell>
          <cell r="K5608" t="str">
            <v>76001</v>
          </cell>
          <cell r="L5608" t="str">
            <v>CALI</v>
          </cell>
          <cell r="M5608" t="str">
            <v>3216394562</v>
          </cell>
        </row>
        <row r="5609">
          <cell r="A5609">
            <v>900749575</v>
          </cell>
          <cell r="B5609" t="str">
            <v>3</v>
          </cell>
          <cell r="C5609" t="str">
            <v/>
          </cell>
          <cell r="D5609" t="str">
            <v>NJ</v>
          </cell>
          <cell r="E5609" t="str">
            <v/>
          </cell>
          <cell r="F5609" t="str">
            <v/>
          </cell>
          <cell r="G5609" t="str">
            <v>EDITORIAL PUBLICACIONES IMAGEN Y COMUNICACIONES SAS</v>
          </cell>
          <cell r="H5609" t="str">
            <v>RECO</v>
          </cell>
          <cell r="I5609" t="str">
            <v>REGIMEN COMUN</v>
          </cell>
          <cell r="J5609" t="str">
            <v>CL 48 C  21 44</v>
          </cell>
          <cell r="K5609" t="str">
            <v>17001</v>
          </cell>
          <cell r="L5609" t="str">
            <v>MANIZALES</v>
          </cell>
          <cell r="M5609" t="str">
            <v>8840511</v>
          </cell>
        </row>
        <row r="5610">
          <cell r="A5610">
            <v>900749820</v>
          </cell>
          <cell r="B5610" t="str">
            <v>3</v>
          </cell>
          <cell r="C5610" t="str">
            <v/>
          </cell>
          <cell r="D5610" t="str">
            <v>NJ</v>
          </cell>
          <cell r="E5610" t="str">
            <v/>
          </cell>
          <cell r="F5610" t="str">
            <v/>
          </cell>
          <cell r="G5610" t="str">
            <v>MCO GLOBAL SAS</v>
          </cell>
          <cell r="H5610" t="str">
            <v>RECO</v>
          </cell>
          <cell r="I5610" t="str">
            <v>REGIMEN COMUN</v>
          </cell>
          <cell r="J5610" t="str">
            <v>TV 19 A 98 12 OF 602</v>
          </cell>
          <cell r="K5610" t="str">
            <v>11001</v>
          </cell>
          <cell r="L5610" t="str">
            <v>BOGOTA DC</v>
          </cell>
          <cell r="M5610" t="str">
            <v>7460297</v>
          </cell>
        </row>
        <row r="5611">
          <cell r="A5611">
            <v>900750010</v>
          </cell>
          <cell r="B5611" t="str">
            <v>6</v>
          </cell>
          <cell r="C5611" t="str">
            <v/>
          </cell>
          <cell r="D5611" t="str">
            <v>NJ</v>
          </cell>
          <cell r="E5611" t="str">
            <v/>
          </cell>
          <cell r="F5611" t="str">
            <v/>
          </cell>
          <cell r="G5611" t="str">
            <v>PPC INGENIERIA S.A.S</v>
          </cell>
          <cell r="H5611" t="str">
            <v>RECO</v>
          </cell>
          <cell r="I5611" t="str">
            <v>REGIMEN COMUN</v>
          </cell>
          <cell r="J5611" t="str">
            <v>CL 10  11 A  30</v>
          </cell>
          <cell r="K5611" t="str">
            <v>19001</v>
          </cell>
          <cell r="L5611" t="str">
            <v>POPAYÁN</v>
          </cell>
          <cell r="M5611" t="str">
            <v>3150261</v>
          </cell>
        </row>
        <row r="5612">
          <cell r="A5612">
            <v>900750387</v>
          </cell>
          <cell r="B5612" t="str">
            <v>7</v>
          </cell>
          <cell r="C5612" t="str">
            <v/>
          </cell>
          <cell r="D5612" t="str">
            <v>NJ</v>
          </cell>
          <cell r="E5612" t="str">
            <v/>
          </cell>
          <cell r="F5612" t="str">
            <v/>
          </cell>
          <cell r="G5612" t="str">
            <v>TRANSPAUTO VIP S.A.S.</v>
          </cell>
          <cell r="H5612" t="str">
            <v>REOR</v>
          </cell>
          <cell r="I5612" t="str">
            <v>RENTA REGIMEN ORDINARIO</v>
          </cell>
          <cell r="J5612" t="str">
            <v>KR 12 16A 66 BARRIO LA LOPERA</v>
          </cell>
          <cell r="K5612" t="str">
            <v>20001</v>
          </cell>
          <cell r="L5612" t="str">
            <v>VALLEDUPAR</v>
          </cell>
          <cell r="M5612" t="str">
            <v>3502605377</v>
          </cell>
        </row>
        <row r="5613">
          <cell r="A5613">
            <v>900750542</v>
          </cell>
          <cell r="B5613" t="str">
            <v>2</v>
          </cell>
          <cell r="C5613" t="str">
            <v/>
          </cell>
          <cell r="D5613" t="str">
            <v>NJ</v>
          </cell>
          <cell r="E5613" t="str">
            <v/>
          </cell>
          <cell r="F5613" t="str">
            <v/>
          </cell>
          <cell r="G5613" t="str">
            <v>REVISTA EMPRESARIAL SAS</v>
          </cell>
          <cell r="H5613" t="str">
            <v>RECO</v>
          </cell>
          <cell r="I5613" t="str">
            <v>REGIMEN COMUN</v>
          </cell>
          <cell r="J5613" t="str">
            <v>CL 66 A 15  38</v>
          </cell>
          <cell r="K5613" t="str">
            <v>11001</v>
          </cell>
          <cell r="L5613" t="str">
            <v>BOGOTA DC</v>
          </cell>
          <cell r="M5613" t="str">
            <v>3152927126</v>
          </cell>
        </row>
        <row r="5614">
          <cell r="A5614">
            <v>900750916</v>
          </cell>
          <cell r="B5614" t="str">
            <v>3</v>
          </cell>
          <cell r="C5614" t="str">
            <v/>
          </cell>
          <cell r="D5614" t="str">
            <v>NJ</v>
          </cell>
          <cell r="E5614" t="str">
            <v/>
          </cell>
          <cell r="F5614" t="str">
            <v/>
          </cell>
          <cell r="G5614" t="str">
            <v>GRAFICAS DEL EJE SAS</v>
          </cell>
          <cell r="H5614" t="str">
            <v>RECO</v>
          </cell>
          <cell r="I5614" t="str">
            <v>REGIMEN COMUN</v>
          </cell>
          <cell r="J5614" t="str">
            <v>CR 21 26 48</v>
          </cell>
          <cell r="K5614" t="str">
            <v>17001</v>
          </cell>
          <cell r="L5614" t="str">
            <v>MANIZALES</v>
          </cell>
          <cell r="M5614" t="str">
            <v>3168342214</v>
          </cell>
        </row>
        <row r="5615">
          <cell r="A5615">
            <v>900752797</v>
          </cell>
          <cell r="B5615" t="str">
            <v>2</v>
          </cell>
          <cell r="C5615" t="str">
            <v/>
          </cell>
          <cell r="D5615" t="str">
            <v>NJ</v>
          </cell>
          <cell r="E5615" t="str">
            <v/>
          </cell>
          <cell r="F5615" t="str">
            <v/>
          </cell>
          <cell r="G5615" t="str">
            <v>RODAVARIOS S.A.S</v>
          </cell>
          <cell r="H5615" t="str">
            <v>RECO</v>
          </cell>
          <cell r="I5615" t="str">
            <v>REGIMEN COMUN</v>
          </cell>
          <cell r="J5615" t="str">
            <v>TER DE TRANSPORTE</v>
          </cell>
          <cell r="K5615" t="str">
            <v>17001</v>
          </cell>
          <cell r="L5615" t="str">
            <v>MANIZALES</v>
          </cell>
          <cell r="M5615" t="str">
            <v>3502021031</v>
          </cell>
        </row>
        <row r="5616">
          <cell r="A5616">
            <v>900752952</v>
          </cell>
          <cell r="B5616" t="str">
            <v>8</v>
          </cell>
          <cell r="C5616" t="str">
            <v/>
          </cell>
          <cell r="D5616" t="str">
            <v>NJ</v>
          </cell>
          <cell r="E5616" t="str">
            <v/>
          </cell>
          <cell r="F5616" t="str">
            <v/>
          </cell>
          <cell r="G5616" t="str">
            <v>INFOJUDICIAL SOCIEDAD POR ACCIONES SIMPLIFICADA</v>
          </cell>
          <cell r="H5616" t="str">
            <v>IMVE</v>
          </cell>
          <cell r="I5616" t="str">
            <v>IMPUESTO SOBRE LAS VENTAS</v>
          </cell>
          <cell r="J5616" t="str">
            <v>CL 20 21 38 OF 705 ED BANCO BOGOTA</v>
          </cell>
          <cell r="K5616" t="str">
            <v>17001</v>
          </cell>
          <cell r="L5616" t="str">
            <v>MANIZALES</v>
          </cell>
          <cell r="M5616" t="str">
            <v>6068900669</v>
          </cell>
        </row>
        <row r="5617">
          <cell r="A5617">
            <v>900754525</v>
          </cell>
          <cell r="B5617" t="str">
            <v>5</v>
          </cell>
          <cell r="C5617" t="str">
            <v/>
          </cell>
          <cell r="D5617" t="str">
            <v>NJ</v>
          </cell>
          <cell r="E5617" t="str">
            <v/>
          </cell>
          <cell r="F5617" t="str">
            <v/>
          </cell>
          <cell r="G5617" t="str">
            <v>DISTRIBUIDORA DE MATERIALES PARA LA CONSTRUCCIÓN DIAMATEC S.A.S.</v>
          </cell>
          <cell r="H5617" t="str">
            <v>IMVE</v>
          </cell>
          <cell r="I5617" t="str">
            <v>IMPUESTO SOBRE LAS VENTAS</v>
          </cell>
          <cell r="J5617" t="str">
            <v>CR 19 16 36</v>
          </cell>
          <cell r="K5617" t="str">
            <v>15238</v>
          </cell>
          <cell r="L5617" t="str">
            <v>DUITAMA</v>
          </cell>
          <cell r="M5617" t="str">
            <v>3115143746</v>
          </cell>
        </row>
        <row r="5618">
          <cell r="A5618">
            <v>900755054</v>
          </cell>
          <cell r="B5618" t="str">
            <v>2</v>
          </cell>
          <cell r="C5618" t="str">
            <v/>
          </cell>
          <cell r="D5618" t="str">
            <v>NJ</v>
          </cell>
          <cell r="E5618" t="str">
            <v/>
          </cell>
          <cell r="F5618" t="str">
            <v/>
          </cell>
          <cell r="G5618" t="str">
            <v>ALFAGUARA ASESORIAS Y NEGOCIOS S.A.S</v>
          </cell>
          <cell r="H5618" t="str">
            <v>RECO</v>
          </cell>
          <cell r="I5618" t="str">
            <v>REGIMEN COMUN</v>
          </cell>
          <cell r="J5618" t="str">
            <v>CR 11 N 93 A 37 P 2</v>
          </cell>
          <cell r="K5618" t="str">
            <v>11001</v>
          </cell>
          <cell r="L5618" t="str">
            <v>BOGOTA DC</v>
          </cell>
          <cell r="M5618" t="str">
            <v>6215409</v>
          </cell>
        </row>
        <row r="5619">
          <cell r="A5619">
            <v>900755158</v>
          </cell>
          <cell r="B5619" t="str">
            <v>1</v>
          </cell>
          <cell r="C5619" t="str">
            <v/>
          </cell>
          <cell r="D5619" t="str">
            <v>NJ</v>
          </cell>
          <cell r="E5619" t="str">
            <v/>
          </cell>
          <cell r="F5619" t="str">
            <v/>
          </cell>
          <cell r="G5619" t="str">
            <v>INVERSIONES GOLDEN BOGOTA SAS</v>
          </cell>
          <cell r="H5619" t="str">
            <v>RECO</v>
          </cell>
          <cell r="I5619" t="str">
            <v>REGIMEN COMUN</v>
          </cell>
          <cell r="J5619" t="str">
            <v>CR 100 22 J 19</v>
          </cell>
          <cell r="K5619" t="str">
            <v>11001</v>
          </cell>
          <cell r="L5619" t="str">
            <v>BOGOTA DC</v>
          </cell>
          <cell r="M5619" t="str">
            <v>4131892</v>
          </cell>
        </row>
        <row r="5620">
          <cell r="A5620">
            <v>900755371</v>
          </cell>
          <cell r="B5620" t="str">
            <v>2</v>
          </cell>
          <cell r="C5620" t="str">
            <v/>
          </cell>
          <cell r="D5620" t="str">
            <v>NJ</v>
          </cell>
          <cell r="E5620" t="str">
            <v/>
          </cell>
          <cell r="F5620" t="str">
            <v/>
          </cell>
          <cell r="G5620" t="str">
            <v>CONSORCIO CASAVI</v>
          </cell>
          <cell r="H5620" t="str">
            <v>RECO</v>
          </cell>
          <cell r="I5620" t="str">
            <v>REGIMEN COMUN</v>
          </cell>
          <cell r="J5620" t="str">
            <v>CL 33 BIS 10 48</v>
          </cell>
          <cell r="K5620" t="str">
            <v>66001</v>
          </cell>
          <cell r="L5620" t="str">
            <v>PEREIRA</v>
          </cell>
          <cell r="M5620" t="str">
            <v>3243667</v>
          </cell>
        </row>
        <row r="5621">
          <cell r="A5621">
            <v>900756873</v>
          </cell>
          <cell r="B5621" t="str">
            <v>2</v>
          </cell>
          <cell r="C5621" t="str">
            <v/>
          </cell>
          <cell r="D5621" t="str">
            <v>NJ</v>
          </cell>
          <cell r="E5621" t="str">
            <v/>
          </cell>
          <cell r="F5621" t="str">
            <v/>
          </cell>
          <cell r="G5621" t="str">
            <v>AGENCIA MASS MEDIOS SAS</v>
          </cell>
          <cell r="H5621" t="str">
            <v>RECO</v>
          </cell>
          <cell r="I5621" t="str">
            <v>REGIMEN COMUN</v>
          </cell>
          <cell r="J5621" t="str">
            <v>CR 18  71 72</v>
          </cell>
          <cell r="K5621" t="str">
            <v>17001</v>
          </cell>
          <cell r="L5621" t="str">
            <v>MANIZALES</v>
          </cell>
          <cell r="M5621" t="str">
            <v>8901391</v>
          </cell>
        </row>
        <row r="5622">
          <cell r="A5622">
            <v>900757172</v>
          </cell>
          <cell r="B5622" t="str">
            <v>2</v>
          </cell>
          <cell r="C5622" t="str">
            <v/>
          </cell>
          <cell r="D5622" t="str">
            <v>NJ</v>
          </cell>
          <cell r="E5622" t="str">
            <v/>
          </cell>
          <cell r="F5622" t="str">
            <v/>
          </cell>
          <cell r="G5622" t="str">
            <v>INDUSTRIAS JAICO SAS</v>
          </cell>
          <cell r="H5622" t="str">
            <v>RECO</v>
          </cell>
          <cell r="I5622" t="str">
            <v>REGIMEN COMUN</v>
          </cell>
          <cell r="J5622" t="str">
            <v>CR 35   2 W 179</v>
          </cell>
          <cell r="K5622" t="str">
            <v>15238</v>
          </cell>
          <cell r="L5622" t="str">
            <v>DUITAMA</v>
          </cell>
          <cell r="M5622" t="str">
            <v>3124788272</v>
          </cell>
        </row>
        <row r="5623">
          <cell r="A5623">
            <v>900759539</v>
          </cell>
          <cell r="B5623" t="str">
            <v>0</v>
          </cell>
          <cell r="C5623" t="str">
            <v/>
          </cell>
          <cell r="D5623" t="str">
            <v>NJ</v>
          </cell>
          <cell r="E5623" t="str">
            <v/>
          </cell>
          <cell r="F5623" t="str">
            <v/>
          </cell>
          <cell r="G5623" t="str">
            <v>PRINCIPAL DE INVERSIONES Y MANGUERAS S.A.S.</v>
          </cell>
          <cell r="H5623" t="str">
            <v>IMVE</v>
          </cell>
          <cell r="I5623" t="str">
            <v>IMPUESTO SOBRE LAS VENTAS</v>
          </cell>
          <cell r="J5623" t="str">
            <v>CR 19 14 45</v>
          </cell>
          <cell r="K5623" t="str">
            <v>15238</v>
          </cell>
          <cell r="L5623" t="str">
            <v>DUITAMA</v>
          </cell>
          <cell r="M5623" t="str">
            <v>3115137232</v>
          </cell>
        </row>
        <row r="5624">
          <cell r="A5624">
            <v>900760175</v>
          </cell>
          <cell r="B5624" t="str">
            <v>5</v>
          </cell>
          <cell r="C5624" t="str">
            <v/>
          </cell>
          <cell r="D5624" t="str">
            <v>NJ</v>
          </cell>
          <cell r="E5624" t="str">
            <v/>
          </cell>
          <cell r="F5624" t="str">
            <v/>
          </cell>
          <cell r="G5624" t="str">
            <v>HIDROLAVADORAS MAR S.A.S.</v>
          </cell>
          <cell r="H5624" t="str">
            <v>IMVE</v>
          </cell>
          <cell r="I5624" t="str">
            <v>IMPUESTO SOBRE LAS VENTAS</v>
          </cell>
          <cell r="J5624" t="str">
            <v>CR 54 15 85 BRR</v>
          </cell>
          <cell r="K5624" t="str">
            <v>03</v>
          </cell>
          <cell r="L5624" t="str">
            <v>BOGOTA</v>
          </cell>
          <cell r="M5624" t="str">
            <v>4051333</v>
          </cell>
        </row>
        <row r="5625">
          <cell r="A5625">
            <v>900761702</v>
          </cell>
          <cell r="B5625" t="str">
            <v>1</v>
          </cell>
          <cell r="C5625" t="str">
            <v/>
          </cell>
          <cell r="D5625" t="str">
            <v>NJ</v>
          </cell>
          <cell r="E5625" t="str">
            <v/>
          </cell>
          <cell r="F5625" t="str">
            <v/>
          </cell>
          <cell r="G5625" t="str">
            <v>MATIZ TALLER EDITORIAL S.A.S</v>
          </cell>
          <cell r="H5625" t="str">
            <v>RECO</v>
          </cell>
          <cell r="I5625" t="str">
            <v>REGIMEN COMUN</v>
          </cell>
          <cell r="J5625" t="str">
            <v>CL 65 26 10</v>
          </cell>
          <cell r="K5625" t="str">
            <v>17001</v>
          </cell>
          <cell r="L5625" t="str">
            <v>MANIZALES</v>
          </cell>
          <cell r="M5625" t="str">
            <v>3004445169</v>
          </cell>
        </row>
        <row r="5626">
          <cell r="A5626">
            <v>900763357</v>
          </cell>
          <cell r="B5626" t="str">
            <v>2</v>
          </cell>
          <cell r="C5626" t="str">
            <v/>
          </cell>
          <cell r="D5626" t="str">
            <v>NJ</v>
          </cell>
          <cell r="E5626" t="str">
            <v/>
          </cell>
          <cell r="F5626" t="str">
            <v/>
          </cell>
          <cell r="G5626" t="str">
            <v>CONCESION PACIFICO TRES SAS</v>
          </cell>
          <cell r="H5626" t="str">
            <v>RECO</v>
          </cell>
          <cell r="I5626" t="str">
            <v>REGIMEN COMUN</v>
          </cell>
          <cell r="J5626" t="str">
            <v>CL 77   21-43</v>
          </cell>
          <cell r="K5626" t="str">
            <v>17001</v>
          </cell>
          <cell r="L5626" t="str">
            <v>MANIZALES</v>
          </cell>
          <cell r="M5626" t="str">
            <v>8933766</v>
          </cell>
        </row>
        <row r="5627">
          <cell r="A5627">
            <v>900763512</v>
          </cell>
          <cell r="B5627" t="str">
            <v>8</v>
          </cell>
          <cell r="C5627" t="str">
            <v/>
          </cell>
          <cell r="D5627" t="str">
            <v>NJ</v>
          </cell>
          <cell r="E5627" t="str">
            <v/>
          </cell>
          <cell r="F5627" t="str">
            <v/>
          </cell>
          <cell r="G5627" t="str">
            <v>JUAN CARLOS PEREIRA S.A.S.</v>
          </cell>
          <cell r="H5627" t="str">
            <v>IMVE</v>
          </cell>
          <cell r="I5627" t="str">
            <v>IMPUESTO SOBRE LAS VENTAS</v>
          </cell>
          <cell r="J5627" t="str">
            <v xml:space="preserve"> CR8 B  43 A  76 O  F 301</v>
          </cell>
          <cell r="K5627" t="str">
            <v>15001</v>
          </cell>
          <cell r="L5627" t="str">
            <v>TUNJA</v>
          </cell>
          <cell r="M5627" t="str">
            <v>3103173353</v>
          </cell>
        </row>
        <row r="5628">
          <cell r="A5628">
            <v>900764571</v>
          </cell>
          <cell r="B5628" t="str">
            <v>7</v>
          </cell>
          <cell r="C5628" t="str">
            <v/>
          </cell>
          <cell r="D5628" t="str">
            <v>NJ</v>
          </cell>
          <cell r="E5628" t="str">
            <v/>
          </cell>
          <cell r="F5628" t="str">
            <v/>
          </cell>
          <cell r="G5628" t="str">
            <v>CORAL DE BELLEZA SAS</v>
          </cell>
          <cell r="H5628" t="str">
            <v>RECO</v>
          </cell>
          <cell r="I5628" t="str">
            <v>REGIMEN COMUN</v>
          </cell>
          <cell r="J5628" t="str">
            <v>CL 48 53 39 IN 1105</v>
          </cell>
          <cell r="K5628" t="str">
            <v>05001</v>
          </cell>
          <cell r="L5628" t="str">
            <v>MEDELLÍN</v>
          </cell>
          <cell r="M5628" t="str">
            <v>2319490</v>
          </cell>
        </row>
        <row r="5629">
          <cell r="A5629">
            <v>900765404</v>
          </cell>
          <cell r="B5629" t="str">
            <v>1</v>
          </cell>
          <cell r="C5629" t="str">
            <v/>
          </cell>
          <cell r="D5629" t="str">
            <v>NJ</v>
          </cell>
          <cell r="E5629" t="str">
            <v/>
          </cell>
          <cell r="F5629" t="str">
            <v/>
          </cell>
          <cell r="G5629" t="str">
            <v>EL TALLER RED CREATIVA S.A.S.</v>
          </cell>
          <cell r="H5629" t="str">
            <v>RECO</v>
          </cell>
          <cell r="I5629" t="str">
            <v>REGIMEN COMUN</v>
          </cell>
          <cell r="J5629" t="str">
            <v>VRD EL SALITRE FCA VILLA LUZ</v>
          </cell>
          <cell r="K5629" t="str">
            <v>11001</v>
          </cell>
          <cell r="L5629" t="str">
            <v>BOGOTA DC</v>
          </cell>
          <cell r="M5629" t="str">
            <v>3108526419</v>
          </cell>
        </row>
        <row r="5630">
          <cell r="A5630">
            <v>900767564</v>
          </cell>
          <cell r="B5630" t="str">
            <v>9</v>
          </cell>
          <cell r="C5630" t="str">
            <v/>
          </cell>
          <cell r="D5630" t="str">
            <v>NJ</v>
          </cell>
          <cell r="E5630" t="str">
            <v/>
          </cell>
          <cell r="F5630" t="str">
            <v/>
          </cell>
          <cell r="G5630" t="str">
            <v>HOTELES DE CORDOBA SAS</v>
          </cell>
          <cell r="H5630" t="str">
            <v>RECO</v>
          </cell>
          <cell r="I5630" t="str">
            <v>REGIMEN COMUN</v>
          </cell>
          <cell r="J5630" t="str">
            <v>CL 44 8 43</v>
          </cell>
          <cell r="K5630" t="str">
            <v>23001</v>
          </cell>
          <cell r="L5630" t="str">
            <v>MONTERÍA</v>
          </cell>
          <cell r="M5630" t="str">
            <v>7892999</v>
          </cell>
        </row>
        <row r="5631">
          <cell r="A5631">
            <v>900767830</v>
          </cell>
          <cell r="B5631" t="str">
            <v>3</v>
          </cell>
          <cell r="C5631" t="str">
            <v/>
          </cell>
          <cell r="D5631" t="str">
            <v>NJ</v>
          </cell>
          <cell r="E5631" t="str">
            <v/>
          </cell>
          <cell r="F5631" t="str">
            <v/>
          </cell>
          <cell r="G5631" t="str">
            <v>RSM ASSURANCE&amp; AUDIT SA</v>
          </cell>
          <cell r="H5631" t="str">
            <v>IMVE</v>
          </cell>
          <cell r="I5631" t="str">
            <v>IMPUESTO SOBRE LAS VENTAS</v>
          </cell>
          <cell r="J5631" t="str">
            <v>CL 16 41 210 OF 901</v>
          </cell>
          <cell r="K5631" t="str">
            <v>05001</v>
          </cell>
          <cell r="L5631" t="str">
            <v>MEDELLÍN</v>
          </cell>
          <cell r="M5631" t="str">
            <v>2666474</v>
          </cell>
        </row>
        <row r="5632">
          <cell r="A5632">
            <v>900768933</v>
          </cell>
          <cell r="B5632" t="str">
            <v>8</v>
          </cell>
          <cell r="C5632" t="str">
            <v/>
          </cell>
          <cell r="D5632" t="str">
            <v>NJ</v>
          </cell>
          <cell r="E5632" t="str">
            <v/>
          </cell>
          <cell r="F5632" t="str">
            <v/>
          </cell>
          <cell r="G5632" t="str">
            <v>BANCO MUNDO MUJER S.A. /MUNDO MUJER</v>
          </cell>
          <cell r="H5632" t="str">
            <v>GRCO</v>
          </cell>
          <cell r="I5632" t="str">
            <v>GRAN CONTRIBUYENTE</v>
          </cell>
          <cell r="J5632" t="str">
            <v>CR 11 5 56 BRR</v>
          </cell>
          <cell r="K5632" t="str">
            <v>19001</v>
          </cell>
          <cell r="L5632" t="str">
            <v>POPAYÁN</v>
          </cell>
          <cell r="M5632" t="str">
            <v>6028399900</v>
          </cell>
        </row>
        <row r="5633">
          <cell r="A5633">
            <v>900773854</v>
          </cell>
          <cell r="B5633" t="str">
            <v>4</v>
          </cell>
          <cell r="C5633" t="str">
            <v/>
          </cell>
          <cell r="D5633" t="str">
            <v>NJ</v>
          </cell>
          <cell r="E5633" t="str">
            <v/>
          </cell>
          <cell r="F5633" t="str">
            <v/>
          </cell>
          <cell r="G5633" t="str">
            <v>TRANSPORTADORA ESTRELLA FLUVIAL DE GUAINIA SAS</v>
          </cell>
          <cell r="H5633" t="str">
            <v>RECO</v>
          </cell>
          <cell r="I5633" t="str">
            <v>REGIMEN COMUN</v>
          </cell>
          <cell r="J5633" t="str">
            <v>CL 16   2   72 BRR CENTRO</v>
          </cell>
          <cell r="K5633" t="str">
            <v>94001</v>
          </cell>
          <cell r="L5633" t="str">
            <v>INÍRIDA</v>
          </cell>
          <cell r="M5633" t="str">
            <v>3172922706</v>
          </cell>
        </row>
        <row r="5634">
          <cell r="A5634">
            <v>900775577</v>
          </cell>
          <cell r="B5634" t="str">
            <v>8</v>
          </cell>
          <cell r="C5634" t="str">
            <v/>
          </cell>
          <cell r="D5634" t="str">
            <v>NJ</v>
          </cell>
          <cell r="E5634" t="str">
            <v/>
          </cell>
          <cell r="F5634" t="str">
            <v/>
          </cell>
          <cell r="G5634" t="str">
            <v>RAYTECH INGENIERÍA SAS</v>
          </cell>
          <cell r="H5634" t="str">
            <v>IMVE</v>
          </cell>
          <cell r="I5634" t="str">
            <v>IMPUESTO SOBRE LAS VENTAS</v>
          </cell>
          <cell r="J5634" t="str">
            <v>CR 113 A 78 26 AP 303</v>
          </cell>
          <cell r="K5634" t="str">
            <v>11001</v>
          </cell>
          <cell r="L5634" t="str">
            <v>BOGOTA DC</v>
          </cell>
          <cell r="M5634" t="str">
            <v>3153073735</v>
          </cell>
        </row>
        <row r="5635">
          <cell r="A5635">
            <v>900778490</v>
          </cell>
          <cell r="B5635" t="str">
            <v>1</v>
          </cell>
          <cell r="C5635" t="str">
            <v/>
          </cell>
          <cell r="D5635" t="str">
            <v>NJ</v>
          </cell>
          <cell r="E5635" t="str">
            <v/>
          </cell>
          <cell r="F5635" t="str">
            <v/>
          </cell>
          <cell r="G5635" t="str">
            <v>MERCADO MACARENA SAS</v>
          </cell>
          <cell r="H5635" t="str">
            <v>RECO</v>
          </cell>
          <cell r="I5635" t="str">
            <v>REGIMEN COMUN</v>
          </cell>
          <cell r="J5635" t="str">
            <v>CR 23 54 72</v>
          </cell>
          <cell r="K5635" t="str">
            <v>17001</v>
          </cell>
          <cell r="L5635" t="str">
            <v>MANIZALES</v>
          </cell>
          <cell r="M5635" t="str">
            <v>3017890789</v>
          </cell>
        </row>
        <row r="5636">
          <cell r="A5636">
            <v>900778518</v>
          </cell>
          <cell r="B5636" t="str">
            <v>7</v>
          </cell>
          <cell r="C5636" t="str">
            <v/>
          </cell>
          <cell r="D5636" t="str">
            <v>NJ</v>
          </cell>
          <cell r="E5636" t="str">
            <v/>
          </cell>
          <cell r="F5636" t="str">
            <v/>
          </cell>
          <cell r="G5636" t="str">
            <v>DOMISALUD DEL LLANO SAS</v>
          </cell>
          <cell r="H5636" t="str">
            <v>REOR</v>
          </cell>
          <cell r="I5636" t="str">
            <v>RENTA REGIMEN ORDINARIO</v>
          </cell>
          <cell r="J5636" t="str">
            <v>CL 12 21 22</v>
          </cell>
          <cell r="K5636" t="str">
            <v>85001</v>
          </cell>
          <cell r="L5636" t="str">
            <v>YOPAL</v>
          </cell>
          <cell r="M5636" t="str">
            <v>3118113529</v>
          </cell>
        </row>
        <row r="5637">
          <cell r="A5637">
            <v>900778588</v>
          </cell>
          <cell r="B5637" t="str">
            <v>2</v>
          </cell>
          <cell r="C5637" t="str">
            <v/>
          </cell>
          <cell r="D5637" t="str">
            <v>NJ</v>
          </cell>
          <cell r="E5637" t="str">
            <v/>
          </cell>
          <cell r="F5637" t="str">
            <v/>
          </cell>
          <cell r="G5637" t="str">
            <v>BRICKS CONSTRUCTIONS &amp; PROYECTOS INMOBILIARIOS S.A.S</v>
          </cell>
          <cell r="H5637" t="str">
            <v>RECO</v>
          </cell>
          <cell r="I5637" t="str">
            <v>REGIMEN COMUN</v>
          </cell>
          <cell r="J5637" t="str">
            <v>CR 72 B BIS   7 B 49</v>
          </cell>
          <cell r="K5637" t="str">
            <v>11001</v>
          </cell>
          <cell r="L5637" t="str">
            <v>BOGOTA DC</v>
          </cell>
          <cell r="M5637" t="str">
            <v>3209175764</v>
          </cell>
        </row>
        <row r="5638">
          <cell r="A5638">
            <v>900779365</v>
          </cell>
          <cell r="B5638" t="str">
            <v>1</v>
          </cell>
          <cell r="C5638" t="str">
            <v/>
          </cell>
          <cell r="D5638" t="str">
            <v>NJ</v>
          </cell>
          <cell r="E5638" t="str">
            <v/>
          </cell>
          <cell r="F5638" t="str">
            <v/>
          </cell>
          <cell r="G5638" t="str">
            <v>INGENIERIA SEGURIDAD SALUD Y AMBIENTE SAS</v>
          </cell>
          <cell r="H5638" t="str">
            <v>IMVE</v>
          </cell>
          <cell r="I5638" t="str">
            <v>IMPUESTO SOBRE LAS VENTAS</v>
          </cell>
          <cell r="J5638" t="str">
            <v>CR 10 15 36</v>
          </cell>
          <cell r="K5638" t="str">
            <v>15104</v>
          </cell>
          <cell r="L5638" t="str">
            <v>BOYACA</v>
          </cell>
          <cell r="M5638" t="str">
            <v>3123142964</v>
          </cell>
        </row>
        <row r="5639">
          <cell r="A5639">
            <v>900779555</v>
          </cell>
          <cell r="B5639" t="str">
            <v>4</v>
          </cell>
          <cell r="C5639" t="str">
            <v/>
          </cell>
          <cell r="D5639" t="str">
            <v>NJ</v>
          </cell>
          <cell r="E5639" t="str">
            <v/>
          </cell>
          <cell r="F5639" t="str">
            <v/>
          </cell>
          <cell r="G5639" t="str">
            <v>SOLUCIONES ARQUITECTONICAS TECNOHABITAT S.A.S</v>
          </cell>
          <cell r="H5639" t="str">
            <v>RECO</v>
          </cell>
          <cell r="I5639" t="str">
            <v>REGIMEN COMUN</v>
          </cell>
          <cell r="J5639" t="str">
            <v>CL 17 7 12 OF 703 ED CENTRO EMPRESARIAL</v>
          </cell>
          <cell r="K5639" t="str">
            <v>66001</v>
          </cell>
          <cell r="L5639" t="str">
            <v>PEREIRA</v>
          </cell>
          <cell r="M5639" t="str">
            <v>3266565</v>
          </cell>
        </row>
        <row r="5640">
          <cell r="A5640">
            <v>900779576</v>
          </cell>
          <cell r="B5640" t="str">
            <v>9</v>
          </cell>
          <cell r="C5640" t="str">
            <v/>
          </cell>
          <cell r="D5640" t="str">
            <v>NJ</v>
          </cell>
          <cell r="E5640" t="str">
            <v/>
          </cell>
          <cell r="F5640" t="str">
            <v/>
          </cell>
          <cell r="G5640" t="str">
            <v>YOKOGAWA COLOMBIA S.A.S.</v>
          </cell>
          <cell r="H5640" t="str">
            <v>IMVE</v>
          </cell>
          <cell r="I5640" t="str">
            <v>IMPUESTO SOBRE LAS VENTAS</v>
          </cell>
          <cell r="J5640" t="str">
            <v xml:space="preserve"> AC 80  69 70 BG 11</v>
          </cell>
          <cell r="K5640" t="str">
            <v>11001</v>
          </cell>
          <cell r="L5640" t="str">
            <v>BOGOTA DC</v>
          </cell>
          <cell r="M5640" t="str">
            <v>7560075</v>
          </cell>
        </row>
        <row r="5641">
          <cell r="A5641">
            <v>900780705</v>
          </cell>
          <cell r="B5641" t="str">
            <v>4</v>
          </cell>
          <cell r="C5641" t="str">
            <v/>
          </cell>
          <cell r="D5641" t="str">
            <v>NJ</v>
          </cell>
          <cell r="E5641" t="str">
            <v/>
          </cell>
          <cell r="F5641" t="str">
            <v/>
          </cell>
          <cell r="G5641" t="str">
            <v>PRODUCTOS TECNOLOGICOS CARPAR S.A.S.</v>
          </cell>
          <cell r="H5641" t="str">
            <v>IMVE</v>
          </cell>
          <cell r="I5641" t="str">
            <v>IMPUESTO SOBRE LAS VENTAS</v>
          </cell>
          <cell r="J5641" t="str">
            <v>CL 41 1 C 48 LC 18 ED GRAN RESERVA</v>
          </cell>
          <cell r="K5641" t="str">
            <v>15001</v>
          </cell>
          <cell r="L5641" t="str">
            <v>TUNJA</v>
          </cell>
          <cell r="M5641" t="str">
            <v>7431650</v>
          </cell>
        </row>
        <row r="5642">
          <cell r="A5642">
            <v>900782276</v>
          </cell>
          <cell r="B5642" t="str">
            <v>5</v>
          </cell>
          <cell r="C5642" t="str">
            <v/>
          </cell>
          <cell r="D5642" t="str">
            <v>NJ</v>
          </cell>
          <cell r="E5642" t="str">
            <v/>
          </cell>
          <cell r="F5642" t="str">
            <v/>
          </cell>
          <cell r="G5642" t="str">
            <v>LILIANA SERNA PROTOCOLOS &amp; EVENTOS S,A,S</v>
          </cell>
          <cell r="H5642" t="str">
            <v>RST</v>
          </cell>
          <cell r="I5642" t="str">
            <v>REGIMEN SIMPLE DE TRIBUTACION</v>
          </cell>
          <cell r="J5642" t="str">
            <v>CR 17 B 48 D 17</v>
          </cell>
          <cell r="K5642" t="str">
            <v>17001</v>
          </cell>
          <cell r="L5642" t="str">
            <v>MANIZALES</v>
          </cell>
          <cell r="M5642" t="str">
            <v>3147941079</v>
          </cell>
        </row>
        <row r="5643">
          <cell r="A5643">
            <v>900783984</v>
          </cell>
          <cell r="B5643" t="str">
            <v>6</v>
          </cell>
          <cell r="C5643" t="str">
            <v/>
          </cell>
          <cell r="D5643" t="str">
            <v>NJ</v>
          </cell>
          <cell r="E5643" t="str">
            <v/>
          </cell>
          <cell r="F5643" t="str">
            <v/>
          </cell>
          <cell r="G5643" t="str">
            <v>CELDAS Y COFRES DE COLOMBIA SAS</v>
          </cell>
          <cell r="H5643" t="str">
            <v>IMVE</v>
          </cell>
          <cell r="I5643" t="str">
            <v>IMPUESTO SOBRE LAS VENTAS</v>
          </cell>
          <cell r="J5643" t="str">
            <v>CRA 129 15 A 78</v>
          </cell>
          <cell r="K5643" t="str">
            <v>11001</v>
          </cell>
          <cell r="L5643" t="str">
            <v>BOGOTA DC</v>
          </cell>
          <cell r="M5643" t="str">
            <v>7446197</v>
          </cell>
        </row>
        <row r="5644">
          <cell r="A5644">
            <v>900786719</v>
          </cell>
          <cell r="B5644" t="str">
            <v>4</v>
          </cell>
          <cell r="C5644" t="str">
            <v/>
          </cell>
          <cell r="D5644" t="str">
            <v>NJ</v>
          </cell>
          <cell r="E5644" t="str">
            <v/>
          </cell>
          <cell r="F5644" t="str">
            <v/>
          </cell>
          <cell r="G5644" t="str">
            <v>FUNDACION ONCE CALDAS</v>
          </cell>
          <cell r="H5644" t="str">
            <v>REIC</v>
          </cell>
          <cell r="I5644" t="str">
            <v>RENTA REGIMEN ESPECIAL</v>
          </cell>
          <cell r="J5644" t="str">
            <v>ESTADIO PALOGRANDE PUERTA 18</v>
          </cell>
          <cell r="K5644" t="str">
            <v>17001</v>
          </cell>
          <cell r="L5644" t="str">
            <v>MANIZALES</v>
          </cell>
          <cell r="M5644" t="str">
            <v>8813482</v>
          </cell>
        </row>
        <row r="5645">
          <cell r="A5645">
            <v>900788057</v>
          </cell>
          <cell r="B5645" t="str">
            <v>6</v>
          </cell>
          <cell r="C5645" t="str">
            <v/>
          </cell>
          <cell r="D5645" t="str">
            <v>NJ</v>
          </cell>
          <cell r="E5645" t="str">
            <v/>
          </cell>
          <cell r="F5645" t="str">
            <v/>
          </cell>
          <cell r="G5645" t="str">
            <v>GESTION INTEGRAL Y TECNOLOGIA S.A.S.</v>
          </cell>
          <cell r="H5645" t="str">
            <v>RECO</v>
          </cell>
          <cell r="I5645" t="str">
            <v>REGIMEN COMUN</v>
          </cell>
          <cell r="J5645" t="str">
            <v>CR 23 C 64 05 BRR PALOGRANDE</v>
          </cell>
          <cell r="K5645" t="str">
            <v>17001</v>
          </cell>
          <cell r="L5645" t="str">
            <v>MANIZALES</v>
          </cell>
          <cell r="M5645" t="str">
            <v>8933190</v>
          </cell>
        </row>
        <row r="5646">
          <cell r="A5646">
            <v>900788957</v>
          </cell>
          <cell r="B5646" t="str">
            <v>1</v>
          </cell>
          <cell r="C5646" t="str">
            <v/>
          </cell>
          <cell r="D5646" t="str">
            <v>NJ</v>
          </cell>
          <cell r="E5646" t="str">
            <v/>
          </cell>
          <cell r="F5646" t="str">
            <v/>
          </cell>
          <cell r="G5646" t="str">
            <v>MINERALES SANTAMARIA S.A.S.</v>
          </cell>
          <cell r="H5646" t="str">
            <v>REOR</v>
          </cell>
          <cell r="I5646" t="str">
            <v>RENTA REGIMEN ORDINARIO</v>
          </cell>
          <cell r="J5646" t="str">
            <v>CR 11 B 58 B 16</v>
          </cell>
          <cell r="K5646" t="str">
            <v>15759</v>
          </cell>
          <cell r="L5646" t="str">
            <v>SOGAMOSO</v>
          </cell>
          <cell r="M5646" t="str">
            <v>7732732</v>
          </cell>
        </row>
        <row r="5647">
          <cell r="A5647">
            <v>900788967</v>
          </cell>
          <cell r="B5647" t="str">
            <v>3</v>
          </cell>
          <cell r="C5647" t="str">
            <v/>
          </cell>
          <cell r="D5647" t="str">
            <v>NJ</v>
          </cell>
          <cell r="E5647" t="str">
            <v/>
          </cell>
          <cell r="F5647" t="str">
            <v/>
          </cell>
          <cell r="G5647" t="str">
            <v xml:space="preserve"> AVISTAR INGENIERIA SAS</v>
          </cell>
          <cell r="H5647" t="str">
            <v>IMVE</v>
          </cell>
          <cell r="I5647" t="str">
            <v>IMPUESTO SOBRE LAS VENTAS</v>
          </cell>
          <cell r="J5647" t="str">
            <v>CR 23 62 39 OF 1201 ED CAPITALIA</v>
          </cell>
          <cell r="K5647" t="str">
            <v>17001</v>
          </cell>
          <cell r="L5647" t="str">
            <v>MANIZALES</v>
          </cell>
          <cell r="M5647" t="str">
            <v>8855614</v>
          </cell>
        </row>
        <row r="5648">
          <cell r="A5648">
            <v>900790471</v>
          </cell>
          <cell r="B5648" t="str">
            <v>9</v>
          </cell>
          <cell r="C5648" t="str">
            <v/>
          </cell>
          <cell r="D5648" t="str">
            <v>NJ</v>
          </cell>
          <cell r="E5648" t="str">
            <v/>
          </cell>
          <cell r="F5648" t="str">
            <v/>
          </cell>
          <cell r="G5648" t="str">
            <v>CACTUS GUAJIRO S.A.S</v>
          </cell>
          <cell r="H5648" t="str">
            <v>RECO</v>
          </cell>
          <cell r="I5648" t="str">
            <v>REGIMEN COMUN</v>
          </cell>
          <cell r="J5648" t="str">
            <v>CR 11 A 14 B 30</v>
          </cell>
          <cell r="K5648" t="str">
            <v>44001</v>
          </cell>
          <cell r="L5648" t="str">
            <v>RIOHACHA</v>
          </cell>
          <cell r="M5648" t="str">
            <v>7283179</v>
          </cell>
        </row>
        <row r="5649">
          <cell r="A5649">
            <v>900790934</v>
          </cell>
          <cell r="B5649" t="str">
            <v>7</v>
          </cell>
          <cell r="C5649" t="str">
            <v/>
          </cell>
          <cell r="D5649" t="str">
            <v>NJ</v>
          </cell>
          <cell r="E5649" t="str">
            <v/>
          </cell>
          <cell r="F5649" t="str">
            <v/>
          </cell>
          <cell r="G5649" t="str">
            <v>COOPERATIVA DE AHORRO Y CREDITO SUCREDITO</v>
          </cell>
          <cell r="H5649" t="str">
            <v>RECO</v>
          </cell>
          <cell r="I5649" t="str">
            <v>REGIMEN COMUN</v>
          </cell>
          <cell r="J5649" t="str">
            <v>CL 10   24   47 LC 6</v>
          </cell>
          <cell r="K5649" t="str">
            <v>17001</v>
          </cell>
          <cell r="L5649" t="str">
            <v>MANIZALES</v>
          </cell>
          <cell r="M5649" t="str">
            <v>8838495</v>
          </cell>
        </row>
        <row r="5650">
          <cell r="A5650">
            <v>900791011</v>
          </cell>
          <cell r="B5650" t="str">
            <v>9</v>
          </cell>
          <cell r="C5650" t="str">
            <v/>
          </cell>
          <cell r="D5650" t="str">
            <v>NJ</v>
          </cell>
          <cell r="E5650" t="str">
            <v/>
          </cell>
          <cell r="F5650" t="str">
            <v/>
          </cell>
          <cell r="G5650" t="str">
            <v>AARCON S.A.S</v>
          </cell>
          <cell r="H5650" t="str">
            <v>RECO</v>
          </cell>
          <cell r="I5650" t="str">
            <v>REGIMEN COMUN</v>
          </cell>
          <cell r="J5650" t="str">
            <v>CALLE 19 8 34 OFICINA 704 CENTRO</v>
          </cell>
          <cell r="K5650" t="str">
            <v>66001</v>
          </cell>
          <cell r="L5650" t="str">
            <v>PEREIRA</v>
          </cell>
          <cell r="M5650" t="str">
            <v>3353037</v>
          </cell>
        </row>
        <row r="5651">
          <cell r="A5651">
            <v>900791096</v>
          </cell>
          <cell r="B5651" t="str">
            <v>4</v>
          </cell>
          <cell r="C5651" t="str">
            <v/>
          </cell>
          <cell r="D5651" t="str">
            <v>NJ</v>
          </cell>
          <cell r="E5651" t="str">
            <v/>
          </cell>
          <cell r="F5651" t="str">
            <v/>
          </cell>
          <cell r="G5651" t="str">
            <v>OBRAS Y PROYECTOS ELECTRICOS Y CIVILES SAS</v>
          </cell>
          <cell r="H5651" t="str">
            <v>RECO</v>
          </cell>
          <cell r="I5651" t="str">
            <v>REGIMEN COMUN</v>
          </cell>
          <cell r="J5651" t="str">
            <v>CR 24 17 08</v>
          </cell>
          <cell r="K5651" t="str">
            <v>85001</v>
          </cell>
          <cell r="L5651" t="str">
            <v>YOPAL</v>
          </cell>
          <cell r="M5651" t="str">
            <v>6358866</v>
          </cell>
        </row>
        <row r="5652">
          <cell r="A5652">
            <v>900791793</v>
          </cell>
          <cell r="B5652" t="str">
            <v>1</v>
          </cell>
          <cell r="C5652" t="str">
            <v/>
          </cell>
          <cell r="D5652" t="str">
            <v>NJ</v>
          </cell>
          <cell r="E5652" t="str">
            <v/>
          </cell>
          <cell r="F5652" t="str">
            <v/>
          </cell>
          <cell r="G5652" t="str">
            <v>PROYECTOS Y SOLUCIONES INDUSTRIALES S.A.S</v>
          </cell>
          <cell r="H5652" t="str">
            <v>IMVE</v>
          </cell>
          <cell r="I5652" t="str">
            <v>IMPUESTO SOBRE LAS VENTAS</v>
          </cell>
          <cell r="J5652" t="str">
            <v xml:space="preserve"> CL 10 A 72 C 77 BRR VILLA ALSACIA</v>
          </cell>
          <cell r="K5652" t="str">
            <v>11001</v>
          </cell>
          <cell r="L5652" t="str">
            <v>BOGOTA DC</v>
          </cell>
          <cell r="M5652" t="str">
            <v>4824019</v>
          </cell>
        </row>
        <row r="5653">
          <cell r="A5653">
            <v>900794654</v>
          </cell>
          <cell r="B5653" t="str">
            <v>8</v>
          </cell>
          <cell r="C5653" t="str">
            <v/>
          </cell>
          <cell r="D5653" t="str">
            <v>NJ</v>
          </cell>
          <cell r="E5653" t="str">
            <v/>
          </cell>
          <cell r="F5653" t="str">
            <v/>
          </cell>
          <cell r="G5653" t="str">
            <v>CAJAS METALICAS MODEVER E.M. S.A.S</v>
          </cell>
          <cell r="H5653" t="str">
            <v>IMVE</v>
          </cell>
          <cell r="I5653" t="str">
            <v>IMPUESTO SOBRE LAS VENTAS</v>
          </cell>
          <cell r="J5653" t="str">
            <v>CR 18 B 60 G 92 SUR</v>
          </cell>
          <cell r="K5653" t="str">
            <v>03</v>
          </cell>
          <cell r="L5653" t="str">
            <v>BOGOTA</v>
          </cell>
          <cell r="M5653" t="str">
            <v>7651903</v>
          </cell>
        </row>
        <row r="5654">
          <cell r="A5654">
            <v>900794750</v>
          </cell>
          <cell r="B5654" t="str">
            <v>7</v>
          </cell>
          <cell r="C5654" t="str">
            <v/>
          </cell>
          <cell r="D5654" t="str">
            <v>NJ</v>
          </cell>
          <cell r="E5654" t="str">
            <v/>
          </cell>
          <cell r="F5654" t="str">
            <v/>
          </cell>
          <cell r="G5654" t="str">
            <v>SISCOAX S.A.S.</v>
          </cell>
          <cell r="H5654" t="str">
            <v>IMVE</v>
          </cell>
          <cell r="I5654" t="str">
            <v>IMPUESTO SOBRE LAS VENTAS</v>
          </cell>
          <cell r="J5654" t="str">
            <v>CR 45 A 67 B 153</v>
          </cell>
          <cell r="K5654" t="str">
            <v>05360</v>
          </cell>
          <cell r="L5654" t="str">
            <v>ITAGUI</v>
          </cell>
          <cell r="M5654" t="str">
            <v>3103312130</v>
          </cell>
        </row>
        <row r="5655">
          <cell r="A5655">
            <v>900797389</v>
          </cell>
          <cell r="B5655" t="str">
            <v>4</v>
          </cell>
          <cell r="C5655" t="str">
            <v/>
          </cell>
          <cell r="D5655" t="str">
            <v>NJ</v>
          </cell>
          <cell r="E5655" t="str">
            <v/>
          </cell>
          <cell r="F5655" t="str">
            <v/>
          </cell>
          <cell r="G5655" t="str">
            <v>COMERCIO LLANOSELVA MOTOS Y PARTES S.A.S</v>
          </cell>
          <cell r="H5655" t="str">
            <v>RECO</v>
          </cell>
          <cell r="I5655" t="str">
            <v>REGIMEN COMUN</v>
          </cell>
          <cell r="J5655" t="str">
            <v>CL 14 T V 7 BRR AEROPUERTO</v>
          </cell>
          <cell r="K5655" t="str">
            <v>97001</v>
          </cell>
          <cell r="L5655" t="str">
            <v>MITÚ</v>
          </cell>
          <cell r="M5655" t="str">
            <v>3213099059</v>
          </cell>
        </row>
        <row r="5656">
          <cell r="A5656">
            <v>900797732</v>
          </cell>
          <cell r="B5656" t="str">
            <v>8</v>
          </cell>
          <cell r="C5656" t="str">
            <v/>
          </cell>
          <cell r="D5656" t="str">
            <v>NJ</v>
          </cell>
          <cell r="E5656" t="str">
            <v/>
          </cell>
          <cell r="F5656" t="str">
            <v/>
          </cell>
          <cell r="G5656" t="str">
            <v>SBI INTERNATIONAL HOLDINGS AG</v>
          </cell>
          <cell r="H5656" t="str">
            <v>RECO</v>
          </cell>
          <cell r="I5656" t="str">
            <v>REGIMEN COMUN</v>
          </cell>
          <cell r="J5656" t="str">
            <v>CL 93 13 45 OF 601</v>
          </cell>
          <cell r="K5656" t="str">
            <v>11001</v>
          </cell>
          <cell r="L5656" t="str">
            <v>BOGOTA DC</v>
          </cell>
          <cell r="M5656" t="str">
            <v>3506251537</v>
          </cell>
        </row>
        <row r="5657">
          <cell r="A5657">
            <v>900800798</v>
          </cell>
          <cell r="B5657" t="str">
            <v>6</v>
          </cell>
          <cell r="C5657" t="str">
            <v/>
          </cell>
          <cell r="D5657" t="str">
            <v>NJ</v>
          </cell>
          <cell r="E5657" t="str">
            <v/>
          </cell>
          <cell r="F5657" t="str">
            <v/>
          </cell>
          <cell r="G5657" t="str">
            <v>CONSTRUPEN SAS</v>
          </cell>
          <cell r="H5657" t="str">
            <v>RECO</v>
          </cell>
          <cell r="I5657" t="str">
            <v>REGIMEN COMUN</v>
          </cell>
          <cell r="J5657" t="str">
            <v>CL 35 A N 2 A N 95 APTO 404 B</v>
          </cell>
          <cell r="K5657" t="str">
            <v>76001</v>
          </cell>
          <cell r="L5657" t="str">
            <v>CALI</v>
          </cell>
          <cell r="M5657" t="str">
            <v>3113165570</v>
          </cell>
        </row>
        <row r="5658">
          <cell r="A5658">
            <v>900801689</v>
          </cell>
          <cell r="B5658" t="str">
            <v>6</v>
          </cell>
          <cell r="C5658" t="str">
            <v/>
          </cell>
          <cell r="D5658" t="str">
            <v>NJ</v>
          </cell>
          <cell r="E5658" t="str">
            <v/>
          </cell>
          <cell r="F5658" t="str">
            <v/>
          </cell>
          <cell r="G5658" t="str">
            <v>ATTON BOGOTA 93 S A S</v>
          </cell>
          <cell r="H5658" t="str">
            <v>IMVE</v>
          </cell>
          <cell r="I5658" t="str">
            <v>IMPUESTO SOBRE LAS VENTAS</v>
          </cell>
          <cell r="J5658" t="str">
            <v>CL 93 12 41</v>
          </cell>
          <cell r="K5658" t="str">
            <v>11001</v>
          </cell>
          <cell r="L5658" t="str">
            <v>BOGOTA DC</v>
          </cell>
          <cell r="M5658" t="str">
            <v>5897744</v>
          </cell>
        </row>
        <row r="5659">
          <cell r="A5659">
            <v>900802440</v>
          </cell>
          <cell r="B5659" t="str">
            <v>4</v>
          </cell>
          <cell r="C5659" t="str">
            <v/>
          </cell>
          <cell r="D5659" t="str">
            <v>NJ</v>
          </cell>
          <cell r="E5659" t="str">
            <v/>
          </cell>
          <cell r="F5659" t="str">
            <v/>
          </cell>
          <cell r="G5659" t="str">
            <v>GERIZIN-NEAPOLIS SAS</v>
          </cell>
          <cell r="H5659" t="str">
            <v>IMVE</v>
          </cell>
          <cell r="I5659" t="str">
            <v>IMPUESTO SOBRE LAS VENTAS</v>
          </cell>
          <cell r="J5659" t="str">
            <v>CL 23 21 24</v>
          </cell>
          <cell r="K5659" t="str">
            <v>15238</v>
          </cell>
          <cell r="L5659" t="str">
            <v>DUITAMA</v>
          </cell>
          <cell r="M5659" t="str">
            <v>7601326</v>
          </cell>
        </row>
        <row r="5660">
          <cell r="A5660">
            <v>900803240</v>
          </cell>
          <cell r="B5660" t="str">
            <v>2</v>
          </cell>
          <cell r="C5660" t="str">
            <v/>
          </cell>
          <cell r="D5660" t="str">
            <v>NJ</v>
          </cell>
          <cell r="E5660" t="str">
            <v/>
          </cell>
          <cell r="F5660" t="str">
            <v/>
          </cell>
          <cell r="G5660" t="str">
            <v>GRUPO PA HOTELES SAS</v>
          </cell>
          <cell r="H5660" t="str">
            <v>RECO</v>
          </cell>
          <cell r="I5660" t="str">
            <v>REGIMEN COMUN</v>
          </cell>
          <cell r="J5660" t="str">
            <v>CR 36 2 SUR 60</v>
          </cell>
          <cell r="K5660" t="str">
            <v>17001</v>
          </cell>
          <cell r="L5660" t="str">
            <v>MANIZALES</v>
          </cell>
          <cell r="M5660" t="str">
            <v>3182000</v>
          </cell>
        </row>
        <row r="5661">
          <cell r="A5661">
            <v>900804041</v>
          </cell>
          <cell r="B5661" t="str">
            <v>8</v>
          </cell>
          <cell r="C5661" t="str">
            <v/>
          </cell>
          <cell r="D5661" t="str">
            <v>NJ</v>
          </cell>
          <cell r="E5661" t="str">
            <v/>
          </cell>
          <cell r="F5661" t="str">
            <v/>
          </cell>
          <cell r="G5661" t="str">
            <v>MINEROS Y MINERALES DE BOYACA S.A.S.</v>
          </cell>
          <cell r="H5661" t="str">
            <v>REOR</v>
          </cell>
          <cell r="I5661" t="str">
            <v>RENTA REGIMEN ORDINARIO</v>
          </cell>
          <cell r="J5661" t="str">
            <v>VDA REYES PATRIA</v>
          </cell>
          <cell r="K5661" t="str">
            <v>15215</v>
          </cell>
          <cell r="L5661" t="str">
            <v>CORRALES</v>
          </cell>
          <cell r="M5661" t="str">
            <v>3202346077</v>
          </cell>
        </row>
        <row r="5662">
          <cell r="A5662">
            <v>900804048</v>
          </cell>
          <cell r="B5662" t="str">
            <v>9</v>
          </cell>
          <cell r="C5662" t="str">
            <v/>
          </cell>
          <cell r="D5662" t="str">
            <v>NJ</v>
          </cell>
          <cell r="E5662" t="str">
            <v/>
          </cell>
          <cell r="F5662" t="str">
            <v/>
          </cell>
          <cell r="G5662" t="str">
            <v>CONSTRUCCIONES Y SOLUCIONES ENERGETICAS (CONSENER) S.A.S</v>
          </cell>
          <cell r="H5662" t="str">
            <v>IMVE</v>
          </cell>
          <cell r="I5662" t="str">
            <v>IMPUESTO SOBRE LAS VENTAS</v>
          </cell>
          <cell r="J5662" t="str">
            <v>CR 29 17 59 CA F 30</v>
          </cell>
          <cell r="K5662" t="str">
            <v>85001</v>
          </cell>
          <cell r="L5662" t="str">
            <v>YOPAL</v>
          </cell>
          <cell r="M5662" t="str">
            <v>6330279</v>
          </cell>
        </row>
        <row r="5663">
          <cell r="A5663">
            <v>900804056</v>
          </cell>
          <cell r="B5663" t="str">
            <v>8</v>
          </cell>
          <cell r="C5663" t="str">
            <v/>
          </cell>
          <cell r="D5663" t="str">
            <v>NJ</v>
          </cell>
          <cell r="E5663" t="str">
            <v/>
          </cell>
          <cell r="F5663" t="str">
            <v/>
          </cell>
          <cell r="G5663" t="str">
            <v>COMPA¿IA PRODUCTORA DE MINERALES LA ROCA S.A.S</v>
          </cell>
          <cell r="H5663" t="str">
            <v>RECO</v>
          </cell>
          <cell r="I5663" t="str">
            <v>REGIMEN COMUN</v>
          </cell>
          <cell r="J5663" t="str">
            <v>CL 35 10 B 61</v>
          </cell>
          <cell r="K5663" t="str">
            <v>15759</v>
          </cell>
          <cell r="L5663" t="str">
            <v>SOGAMOSO</v>
          </cell>
          <cell r="M5663" t="str">
            <v>3203034497</v>
          </cell>
        </row>
        <row r="5664">
          <cell r="A5664">
            <v>900804127</v>
          </cell>
          <cell r="B5664" t="str">
            <v>2</v>
          </cell>
          <cell r="C5664" t="str">
            <v/>
          </cell>
          <cell r="D5664" t="str">
            <v>NJ</v>
          </cell>
          <cell r="E5664" t="str">
            <v/>
          </cell>
          <cell r="F5664" t="str">
            <v/>
          </cell>
          <cell r="G5664" t="str">
            <v>ENERGY &amp; COMPANY SAS</v>
          </cell>
          <cell r="H5664" t="str">
            <v>IMVE</v>
          </cell>
          <cell r="I5664" t="str">
            <v>IMPUESTO SOBRE LAS VENTAS</v>
          </cell>
          <cell r="J5664" t="str">
            <v>CR 46 171 45</v>
          </cell>
          <cell r="K5664" t="str">
            <v>11001</v>
          </cell>
          <cell r="L5664" t="str">
            <v>BOGOTA DC</v>
          </cell>
          <cell r="M5664" t="str">
            <v>3203461923</v>
          </cell>
        </row>
        <row r="5665">
          <cell r="A5665">
            <v>900805341</v>
          </cell>
          <cell r="B5665" t="str">
            <v>7</v>
          </cell>
          <cell r="C5665" t="str">
            <v/>
          </cell>
          <cell r="D5665" t="str">
            <v>NJ</v>
          </cell>
          <cell r="E5665" t="str">
            <v/>
          </cell>
          <cell r="F5665" t="str">
            <v/>
          </cell>
          <cell r="G5665" t="str">
            <v>GÓMEZ DELGADO INGENIEROS SAS</v>
          </cell>
          <cell r="H5665" t="str">
            <v>RECO</v>
          </cell>
          <cell r="I5665" t="str">
            <v>REGIMEN COMUN</v>
          </cell>
          <cell r="J5665" t="str">
            <v>CL 9 14 17 P 2</v>
          </cell>
          <cell r="K5665" t="str">
            <v>15759</v>
          </cell>
          <cell r="L5665" t="str">
            <v>SOGAMOSO</v>
          </cell>
          <cell r="M5665" t="str">
            <v>3112417342</v>
          </cell>
        </row>
        <row r="5666">
          <cell r="A5666">
            <v>900805611</v>
          </cell>
          <cell r="B5666" t="str">
            <v>0</v>
          </cell>
          <cell r="C5666" t="str">
            <v/>
          </cell>
          <cell r="D5666" t="str">
            <v>NJ</v>
          </cell>
          <cell r="E5666" t="str">
            <v/>
          </cell>
          <cell r="F5666" t="str">
            <v/>
          </cell>
          <cell r="G5666" t="str">
            <v>VALDERRAMA PAZ SAS</v>
          </cell>
          <cell r="H5666" t="str">
            <v>RECO</v>
          </cell>
          <cell r="I5666" t="str">
            <v>REGIMEN COMUN</v>
          </cell>
          <cell r="J5666" t="str">
            <v>AV 5  39 N 16</v>
          </cell>
          <cell r="K5666" t="str">
            <v>76001</v>
          </cell>
          <cell r="L5666" t="str">
            <v>CALI</v>
          </cell>
          <cell r="M5666" t="str">
            <v>3827813</v>
          </cell>
        </row>
        <row r="5667">
          <cell r="A5667">
            <v>900806877</v>
          </cell>
          <cell r="B5667" t="str">
            <v>7</v>
          </cell>
          <cell r="C5667" t="str">
            <v/>
          </cell>
          <cell r="D5667" t="str">
            <v>NJ</v>
          </cell>
          <cell r="E5667" t="str">
            <v/>
          </cell>
          <cell r="F5667" t="str">
            <v/>
          </cell>
          <cell r="G5667" t="str">
            <v>JIMENEZ CASTRO SAS</v>
          </cell>
          <cell r="H5667" t="str">
            <v>IMVE</v>
          </cell>
          <cell r="I5667" t="str">
            <v>IMPUESTO SOBRE LAS VENTAS</v>
          </cell>
          <cell r="J5667" t="str">
            <v>CL 45 20 21</v>
          </cell>
          <cell r="K5667" t="str">
            <v>17001</v>
          </cell>
          <cell r="L5667" t="str">
            <v>MANIZALES</v>
          </cell>
          <cell r="M5667" t="str">
            <v>8851167</v>
          </cell>
        </row>
        <row r="5668">
          <cell r="A5668">
            <v>900807700</v>
          </cell>
          <cell r="B5668" t="str">
            <v>7</v>
          </cell>
          <cell r="C5668" t="str">
            <v/>
          </cell>
          <cell r="D5668" t="str">
            <v>NJ</v>
          </cell>
          <cell r="E5668" t="str">
            <v/>
          </cell>
          <cell r="F5668" t="str">
            <v/>
          </cell>
          <cell r="G5668" t="str">
            <v>MEDIOS INFORMATIVOS EJE SAS</v>
          </cell>
          <cell r="H5668" t="str">
            <v>RECO</v>
          </cell>
          <cell r="I5668" t="str">
            <v>REGIMEN COMUN</v>
          </cell>
          <cell r="J5668" t="str">
            <v>CL 23 23 55</v>
          </cell>
          <cell r="K5668" t="str">
            <v>17001</v>
          </cell>
          <cell r="L5668" t="str">
            <v>MANIZALES</v>
          </cell>
          <cell r="M5668" t="str">
            <v>8840480</v>
          </cell>
        </row>
        <row r="5669">
          <cell r="A5669">
            <v>900807732</v>
          </cell>
          <cell r="B5669" t="str">
            <v>2</v>
          </cell>
          <cell r="C5669" t="str">
            <v/>
          </cell>
          <cell r="D5669" t="str">
            <v>NJ</v>
          </cell>
          <cell r="E5669" t="str">
            <v/>
          </cell>
          <cell r="F5669" t="str">
            <v/>
          </cell>
          <cell r="G5669" t="str">
            <v>UNION TEMPORAL SVDC</v>
          </cell>
          <cell r="H5669" t="str">
            <v>RECO</v>
          </cell>
          <cell r="I5669" t="str">
            <v>REGIMEN COMUN</v>
          </cell>
          <cell r="J5669" t="str">
            <v xml:space="preserve"> CR 17  13 C 15</v>
          </cell>
          <cell r="K5669" t="str">
            <v>19001</v>
          </cell>
          <cell r="L5669" t="str">
            <v>POPAYÁN</v>
          </cell>
          <cell r="M5669" t="str">
            <v>8222906</v>
          </cell>
        </row>
        <row r="5670">
          <cell r="A5670">
            <v>900808636</v>
          </cell>
          <cell r="B5670" t="str">
            <v>8</v>
          </cell>
          <cell r="C5670" t="str">
            <v/>
          </cell>
          <cell r="D5670" t="str">
            <v>NJ</v>
          </cell>
          <cell r="E5670" t="str">
            <v/>
          </cell>
          <cell r="F5670" t="str">
            <v/>
          </cell>
          <cell r="G5670" t="str">
            <v>INGOSER INGENIERIA DE OBRAS Y SERVICIOS SAS</v>
          </cell>
          <cell r="H5670" t="str">
            <v>IMVE</v>
          </cell>
          <cell r="I5670" t="str">
            <v>IMPUESTO SOBRE LAS VENTAS</v>
          </cell>
          <cell r="J5670" t="str">
            <v xml:space="preserve"> CL 10 16 95 BRR LAS FLORES</v>
          </cell>
          <cell r="K5670" t="str">
            <v>44279</v>
          </cell>
          <cell r="L5670" t="str">
            <v>FONSECA</v>
          </cell>
          <cell r="M5670" t="str">
            <v>7756020</v>
          </cell>
        </row>
        <row r="5671">
          <cell r="A5671">
            <v>900809154</v>
          </cell>
          <cell r="B5671" t="str">
            <v>4</v>
          </cell>
          <cell r="C5671" t="str">
            <v/>
          </cell>
          <cell r="D5671" t="str">
            <v>NJ</v>
          </cell>
          <cell r="E5671" t="str">
            <v/>
          </cell>
          <cell r="F5671" t="str">
            <v/>
          </cell>
          <cell r="G5671" t="str">
            <v>MUEBLES, DECORACION Y ACABADOS SAS</v>
          </cell>
          <cell r="H5671" t="str">
            <v>RECO</v>
          </cell>
          <cell r="I5671" t="str">
            <v>REGIMEN COMUN</v>
          </cell>
          <cell r="J5671" t="str">
            <v>CR 27 36 39 BRR CERVANTES</v>
          </cell>
          <cell r="K5671" t="str">
            <v>17001</v>
          </cell>
          <cell r="L5671" t="str">
            <v>MANIZALES</v>
          </cell>
          <cell r="M5671" t="str">
            <v>8904200</v>
          </cell>
        </row>
        <row r="5672">
          <cell r="A5672">
            <v>900809597</v>
          </cell>
          <cell r="B5672" t="str">
            <v>3</v>
          </cell>
          <cell r="C5672" t="str">
            <v/>
          </cell>
          <cell r="D5672" t="str">
            <v>NJ</v>
          </cell>
          <cell r="E5672" t="str">
            <v/>
          </cell>
          <cell r="F5672" t="str">
            <v/>
          </cell>
          <cell r="G5672" t="str">
            <v>CIRCO DE LA RUA CORPORACIÓN CULTURAL</v>
          </cell>
          <cell r="H5672" t="str">
            <v>RECO</v>
          </cell>
          <cell r="I5672" t="str">
            <v>REGIMEN COMUN</v>
          </cell>
          <cell r="J5672" t="str">
            <v>CL 97A  76 30</v>
          </cell>
          <cell r="K5672" t="str">
            <v>05001</v>
          </cell>
          <cell r="L5672" t="str">
            <v>MEDELLÍN</v>
          </cell>
          <cell r="M5672" t="str">
            <v>4710269</v>
          </cell>
        </row>
        <row r="5673">
          <cell r="A5673">
            <v>900810254</v>
          </cell>
          <cell r="B5673" t="str">
            <v>4</v>
          </cell>
          <cell r="C5673" t="str">
            <v/>
          </cell>
          <cell r="D5673" t="str">
            <v>NJ</v>
          </cell>
          <cell r="E5673" t="str">
            <v/>
          </cell>
          <cell r="F5673" t="str">
            <v/>
          </cell>
          <cell r="G5673" t="str">
            <v>ZIVIL SAS</v>
          </cell>
          <cell r="H5673" t="str">
            <v>IMVE</v>
          </cell>
          <cell r="I5673" t="str">
            <v>IMPUESTO SOBRE LAS VENTAS</v>
          </cell>
          <cell r="J5673" t="str">
            <v>CL 94 21 68 IN 604</v>
          </cell>
          <cell r="K5673" t="str">
            <v>11001</v>
          </cell>
          <cell r="L5673" t="str">
            <v>BOGOTA DC</v>
          </cell>
          <cell r="M5673" t="str">
            <v>3017890999</v>
          </cell>
        </row>
        <row r="5674">
          <cell r="A5674">
            <v>900810806</v>
          </cell>
          <cell r="B5674" t="str">
            <v>1</v>
          </cell>
          <cell r="C5674" t="str">
            <v/>
          </cell>
          <cell r="D5674" t="str">
            <v>NJ</v>
          </cell>
          <cell r="E5674" t="str">
            <v/>
          </cell>
          <cell r="F5674" t="str">
            <v/>
          </cell>
          <cell r="G5674" t="str">
            <v>ESTACION DE SERVICIO EL NUEVO NAVEGANTE VIA AEROPUERTO S.A.S.</v>
          </cell>
          <cell r="H5674" t="str">
            <v>RECO</v>
          </cell>
          <cell r="I5674" t="str">
            <v>REGIMEN COMUN</v>
          </cell>
          <cell r="J5674" t="str">
            <v>CL 15 14 40 BRR LA ESPERANZA</v>
          </cell>
          <cell r="K5674" t="str">
            <v>94001</v>
          </cell>
          <cell r="L5674" t="str">
            <v>INÍRIDA</v>
          </cell>
          <cell r="M5674" t="str">
            <v>5657081</v>
          </cell>
        </row>
        <row r="5675">
          <cell r="A5675">
            <v>900811556</v>
          </cell>
          <cell r="B5675" t="str">
            <v>8</v>
          </cell>
          <cell r="C5675" t="str">
            <v/>
          </cell>
          <cell r="D5675" t="str">
            <v>NJ</v>
          </cell>
          <cell r="E5675" t="str">
            <v/>
          </cell>
          <cell r="F5675" t="str">
            <v/>
          </cell>
          <cell r="G5675" t="str">
            <v>ANDAMIOS GLOBAL S.A.S</v>
          </cell>
          <cell r="H5675" t="str">
            <v>RECO</v>
          </cell>
          <cell r="I5675" t="str">
            <v>REGIMEN COMUN</v>
          </cell>
          <cell r="J5675" t="str">
            <v>CL 19  43 G  80</v>
          </cell>
          <cell r="K5675" t="str">
            <v>05001</v>
          </cell>
          <cell r="L5675" t="str">
            <v>MEDELLÍN</v>
          </cell>
          <cell r="M5675" t="str">
            <v>3505460389</v>
          </cell>
        </row>
        <row r="5676">
          <cell r="A5676">
            <v>900812064</v>
          </cell>
          <cell r="B5676" t="str">
            <v>0</v>
          </cell>
          <cell r="C5676" t="str">
            <v/>
          </cell>
          <cell r="D5676" t="str">
            <v>NJ</v>
          </cell>
          <cell r="E5676" t="str">
            <v/>
          </cell>
          <cell r="F5676" t="str">
            <v/>
          </cell>
          <cell r="G5676" t="str">
            <v>JIMENEZ ASOCIADOS ASESORES Y CONSULTORES S.A.S.</v>
          </cell>
          <cell r="H5676" t="str">
            <v>RST</v>
          </cell>
          <cell r="I5676" t="str">
            <v>REGIMEN SIMPLE DE TRIBUTACION</v>
          </cell>
          <cell r="J5676" t="str">
            <v>CL 20 22 27 OF 706 ED CUMANDAY</v>
          </cell>
          <cell r="K5676" t="str">
            <v>17001</v>
          </cell>
          <cell r="L5676" t="str">
            <v>MANIZALES</v>
          </cell>
          <cell r="M5676" t="str">
            <v>3148042151</v>
          </cell>
        </row>
        <row r="5677">
          <cell r="A5677">
            <v>900812569</v>
          </cell>
          <cell r="B5677" t="str">
            <v>8</v>
          </cell>
          <cell r="C5677" t="str">
            <v/>
          </cell>
          <cell r="D5677" t="str">
            <v>NJ</v>
          </cell>
          <cell r="E5677" t="str">
            <v/>
          </cell>
          <cell r="F5677" t="str">
            <v/>
          </cell>
          <cell r="G5677" t="str">
            <v>TRANSPORTES ESPECIALES LA ESTRELLA SAS</v>
          </cell>
          <cell r="H5677" t="str">
            <v>RECO</v>
          </cell>
          <cell r="I5677" t="str">
            <v>REGIMEN COMUN</v>
          </cell>
          <cell r="J5677" t="str">
            <v>MZ 92 CA 1 FCA SAN LUIS BRR MANACACIAS</v>
          </cell>
          <cell r="K5677" t="str">
            <v>50568</v>
          </cell>
          <cell r="L5677" t="str">
            <v>PUERTO GAITÁN</v>
          </cell>
          <cell r="M5677" t="str">
            <v>3167572582</v>
          </cell>
        </row>
        <row r="5678">
          <cell r="A5678">
            <v>900813640</v>
          </cell>
          <cell r="B5678" t="str">
            <v>8</v>
          </cell>
          <cell r="C5678" t="str">
            <v/>
          </cell>
          <cell r="D5678" t="str">
            <v>NJ</v>
          </cell>
          <cell r="E5678" t="str">
            <v/>
          </cell>
          <cell r="F5678" t="str">
            <v/>
          </cell>
          <cell r="G5678" t="str">
            <v>FUNDACION COLOMBIA CARDIOSEGURA</v>
          </cell>
          <cell r="H5678" t="str">
            <v>IMVE</v>
          </cell>
          <cell r="I5678" t="str">
            <v>IMPUESTO SOBRE LAS VENTAS</v>
          </cell>
          <cell r="J5678" t="str">
            <v>CR 1 F 40 195 OF 321 ED ENTERPRISE BRR SANTA INES</v>
          </cell>
          <cell r="K5678" t="str">
            <v>15001</v>
          </cell>
          <cell r="L5678" t="str">
            <v>TUNJA</v>
          </cell>
          <cell r="M5678" t="str">
            <v>3023971078</v>
          </cell>
        </row>
        <row r="5679">
          <cell r="A5679">
            <v>900813668</v>
          </cell>
          <cell r="B5679" t="str">
            <v>3</v>
          </cell>
          <cell r="C5679" t="str">
            <v/>
          </cell>
          <cell r="D5679" t="str">
            <v>NJ</v>
          </cell>
          <cell r="E5679" t="str">
            <v/>
          </cell>
          <cell r="F5679" t="str">
            <v/>
          </cell>
          <cell r="G5679" t="str">
            <v>AMERICANA DE TECNOLOGÍA Y COMUNICACIONES S.A.S.</v>
          </cell>
          <cell r="H5679" t="str">
            <v>IMVE</v>
          </cell>
          <cell r="I5679" t="str">
            <v>IMPUESTO SOBRE LAS VENTAS</v>
          </cell>
          <cell r="J5679" t="str">
            <v>CL 24 25 52 BRR LOS ROSALES</v>
          </cell>
          <cell r="K5679" t="str">
            <v>15516</v>
          </cell>
          <cell r="L5679" t="str">
            <v>PAIPA</v>
          </cell>
          <cell r="M5679" t="str">
            <v>7852123</v>
          </cell>
        </row>
        <row r="5680">
          <cell r="A5680">
            <v>900814916</v>
          </cell>
          <cell r="B5680" t="str">
            <v>1</v>
          </cell>
          <cell r="C5680" t="str">
            <v/>
          </cell>
          <cell r="D5680" t="str">
            <v>NJ</v>
          </cell>
          <cell r="E5680" t="str">
            <v/>
          </cell>
          <cell r="F5680" t="str">
            <v/>
          </cell>
          <cell r="G5680" t="str">
            <v>BERKLEY INTERNACIONAL SEGUROS COLOMBIA SA</v>
          </cell>
          <cell r="H5680" t="str">
            <v>IMVE</v>
          </cell>
          <cell r="I5680" t="str">
            <v>IMPUESTO SOBRE LAS VENTAS</v>
          </cell>
          <cell r="J5680" t="str">
            <v>CR 7 71 21 TO B OF 1002</v>
          </cell>
          <cell r="K5680" t="str">
            <v>17001</v>
          </cell>
          <cell r="L5680" t="str">
            <v>MANIZALES</v>
          </cell>
          <cell r="M5680" t="str">
            <v>3572727</v>
          </cell>
        </row>
        <row r="5681">
          <cell r="A5681">
            <v>900816083</v>
          </cell>
          <cell r="B5681" t="str">
            <v>9</v>
          </cell>
          <cell r="C5681" t="str">
            <v/>
          </cell>
          <cell r="D5681" t="str">
            <v>NJ</v>
          </cell>
          <cell r="E5681" t="str">
            <v/>
          </cell>
          <cell r="F5681" t="str">
            <v/>
          </cell>
          <cell r="G5681" t="str">
            <v>LAVAUTOS CHIPS SAS</v>
          </cell>
          <cell r="H5681" t="str">
            <v>RECO</v>
          </cell>
          <cell r="I5681" t="str">
            <v>REGIMEN COMUN</v>
          </cell>
          <cell r="J5681" t="str">
            <v>AV KEVIN ANGEL N 63-37</v>
          </cell>
          <cell r="K5681" t="str">
            <v>17001</v>
          </cell>
          <cell r="L5681" t="str">
            <v>MANIZALES</v>
          </cell>
          <cell r="M5681" t="str">
            <v>3146018151</v>
          </cell>
        </row>
        <row r="5682">
          <cell r="A5682">
            <v>900816226</v>
          </cell>
          <cell r="B5682" t="str">
            <v>5</v>
          </cell>
          <cell r="C5682" t="str">
            <v/>
          </cell>
          <cell r="D5682" t="str">
            <v>NJ</v>
          </cell>
          <cell r="E5682" t="str">
            <v/>
          </cell>
          <cell r="F5682" t="str">
            <v/>
          </cell>
          <cell r="G5682" t="str">
            <v>GIRALDO Y GARCIA INGENIERIA S.A.S.</v>
          </cell>
          <cell r="H5682" t="str">
            <v>IMVE</v>
          </cell>
          <cell r="I5682" t="str">
            <v>IMPUESTO SOBRE LAS VENTAS</v>
          </cell>
          <cell r="J5682" t="str">
            <v xml:space="preserve"> CL 46 6 33 P 2 URB VILLA MARLEN I</v>
          </cell>
          <cell r="K5682" t="str">
            <v>73001</v>
          </cell>
          <cell r="L5682" t="str">
            <v>IBAGUÉ</v>
          </cell>
          <cell r="M5682" t="str">
            <v>3176413173</v>
          </cell>
        </row>
        <row r="5683">
          <cell r="A5683">
            <v>900816677</v>
          </cell>
          <cell r="B5683" t="str">
            <v>3</v>
          </cell>
          <cell r="C5683" t="str">
            <v/>
          </cell>
          <cell r="D5683" t="str">
            <v>NJ</v>
          </cell>
          <cell r="E5683" t="str">
            <v/>
          </cell>
          <cell r="F5683" t="str">
            <v/>
          </cell>
          <cell r="G5683" t="str">
            <v>E M &amp; M EQUIPOS Y MINERÍA S.A.S.</v>
          </cell>
          <cell r="H5683" t="str">
            <v>IMVE</v>
          </cell>
          <cell r="I5683" t="str">
            <v>IMPUESTO SOBRE LAS VENTAS</v>
          </cell>
          <cell r="J5683" t="str">
            <v>CL 76 73 80 LC 7</v>
          </cell>
          <cell r="K5683" t="str">
            <v>08001</v>
          </cell>
          <cell r="L5683" t="str">
            <v>BARRANQUILLA</v>
          </cell>
          <cell r="M5683" t="str">
            <v>3135740335</v>
          </cell>
        </row>
        <row r="5684">
          <cell r="A5684">
            <v>900818861</v>
          </cell>
          <cell r="B5684" t="str">
            <v>1</v>
          </cell>
          <cell r="C5684" t="str">
            <v/>
          </cell>
          <cell r="D5684" t="str">
            <v>NJ</v>
          </cell>
          <cell r="E5684" t="str">
            <v/>
          </cell>
          <cell r="F5684" t="str">
            <v/>
          </cell>
          <cell r="G5684" t="str">
            <v>OPYPARUS SAS</v>
          </cell>
          <cell r="H5684" t="str">
            <v>IMVE</v>
          </cell>
          <cell r="I5684" t="str">
            <v>IMPUESTO SOBRE LAS VENTAS</v>
          </cell>
          <cell r="J5684" t="str">
            <v>CL 63 46 75</v>
          </cell>
          <cell r="K5684" t="str">
            <v>08001</v>
          </cell>
          <cell r="L5684" t="str">
            <v>BARRANQUILLA</v>
          </cell>
          <cell r="M5684" t="str">
            <v>3600167</v>
          </cell>
        </row>
        <row r="5685">
          <cell r="A5685">
            <v>900819366</v>
          </cell>
          <cell r="B5685" t="str">
            <v>1</v>
          </cell>
          <cell r="C5685" t="str">
            <v/>
          </cell>
          <cell r="D5685" t="str">
            <v>NJ</v>
          </cell>
          <cell r="E5685" t="str">
            <v/>
          </cell>
          <cell r="F5685" t="str">
            <v/>
          </cell>
          <cell r="G5685" t="str">
            <v>RAMS ENGINEERING GROUP SAS</v>
          </cell>
          <cell r="H5685" t="str">
            <v>IMVE</v>
          </cell>
          <cell r="I5685" t="str">
            <v>IMPUESTO SOBRE LAS VENTAS</v>
          </cell>
          <cell r="J5685" t="str">
            <v xml:space="preserve"> CL 173 45 97</v>
          </cell>
          <cell r="K5685" t="str">
            <v>11001</v>
          </cell>
          <cell r="L5685" t="str">
            <v>BOGOTA DC</v>
          </cell>
          <cell r="M5685" t="str">
            <v>6770581</v>
          </cell>
        </row>
        <row r="5686">
          <cell r="A5686">
            <v>900821337</v>
          </cell>
          <cell r="B5686" t="str">
            <v>4</v>
          </cell>
          <cell r="C5686" t="str">
            <v/>
          </cell>
          <cell r="D5686" t="str">
            <v>NJ</v>
          </cell>
          <cell r="E5686" t="str">
            <v/>
          </cell>
          <cell r="F5686" t="str">
            <v/>
          </cell>
          <cell r="G5686" t="str">
            <v>DAE CONSTRUCTION SAS</v>
          </cell>
          <cell r="H5686" t="str">
            <v>RECO</v>
          </cell>
          <cell r="I5686" t="str">
            <v>REGIMEN COMUN</v>
          </cell>
          <cell r="J5686" t="str">
            <v>CR 71 63 A 32</v>
          </cell>
          <cell r="K5686" t="str">
            <v>11001</v>
          </cell>
          <cell r="L5686" t="str">
            <v>BOGOTA DC</v>
          </cell>
          <cell r="M5686" t="str">
            <v>2765609</v>
          </cell>
        </row>
        <row r="5687">
          <cell r="A5687">
            <v>900821382</v>
          </cell>
          <cell r="B5687" t="str">
            <v>6</v>
          </cell>
          <cell r="C5687" t="str">
            <v/>
          </cell>
          <cell r="D5687" t="str">
            <v>NJ</v>
          </cell>
          <cell r="E5687" t="str">
            <v/>
          </cell>
          <cell r="F5687" t="str">
            <v/>
          </cell>
          <cell r="G5687" t="str">
            <v>ELECTRO REDES DEL CAQUETÁ S.A.S</v>
          </cell>
          <cell r="H5687" t="str">
            <v>IMVE</v>
          </cell>
          <cell r="I5687" t="str">
            <v>IMPUESTO SOBRE LAS VENTAS</v>
          </cell>
          <cell r="J5687" t="str">
            <v>CL 96 A SUR 14 Q 50</v>
          </cell>
          <cell r="K5687" t="str">
            <v>03</v>
          </cell>
          <cell r="L5687" t="str">
            <v>BOGOTA</v>
          </cell>
          <cell r="M5687" t="str">
            <v>4377181</v>
          </cell>
        </row>
        <row r="5688">
          <cell r="A5688">
            <v>900821688</v>
          </cell>
          <cell r="B5688" t="str">
            <v>4</v>
          </cell>
          <cell r="C5688" t="str">
            <v/>
          </cell>
          <cell r="D5688" t="str">
            <v>NJ</v>
          </cell>
          <cell r="E5688" t="str">
            <v/>
          </cell>
          <cell r="F5688" t="str">
            <v/>
          </cell>
          <cell r="G5688" t="str">
            <v>SOLUCIONES EN SISTEMAS DE SEGURIDAD ELECTRONICA S.A.S</v>
          </cell>
          <cell r="H5688" t="str">
            <v>RECO</v>
          </cell>
          <cell r="I5688" t="str">
            <v>REGIMEN COMUN</v>
          </cell>
          <cell r="J5688" t="str">
            <v>CR 22 70 A 101 AP S302 A</v>
          </cell>
          <cell r="K5688" t="str">
            <v>17001</v>
          </cell>
          <cell r="L5688" t="str">
            <v>MANIZALES</v>
          </cell>
          <cell r="M5688" t="str">
            <v>8815633</v>
          </cell>
        </row>
        <row r="5689">
          <cell r="A5689">
            <v>900823366</v>
          </cell>
          <cell r="B5689" t="str">
            <v>7</v>
          </cell>
          <cell r="C5689" t="str">
            <v/>
          </cell>
          <cell r="D5689" t="str">
            <v>NJ</v>
          </cell>
          <cell r="E5689" t="str">
            <v/>
          </cell>
          <cell r="F5689" t="str">
            <v/>
          </cell>
          <cell r="G5689" t="str">
            <v>SEPPAT S A S</v>
          </cell>
          <cell r="H5689" t="str">
            <v>IMVE</v>
          </cell>
          <cell r="I5689" t="str">
            <v>IMPUESTO SOBRE LAS VENTAS</v>
          </cell>
          <cell r="J5689" t="str">
            <v>CL 26 92 32 ED GOLD DOS OF 4 130</v>
          </cell>
          <cell r="K5689" t="str">
            <v>11001</v>
          </cell>
          <cell r="L5689" t="str">
            <v>BOGOTA DC</v>
          </cell>
          <cell r="M5689" t="str">
            <v>3162494870</v>
          </cell>
        </row>
        <row r="5690">
          <cell r="A5690">
            <v>900823403</v>
          </cell>
          <cell r="B5690" t="str">
            <v>1</v>
          </cell>
          <cell r="C5690" t="str">
            <v/>
          </cell>
          <cell r="D5690" t="str">
            <v>NJ</v>
          </cell>
          <cell r="E5690" t="str">
            <v/>
          </cell>
          <cell r="F5690" t="str">
            <v/>
          </cell>
          <cell r="G5690" t="str">
            <v>DISREMAQ SAS</v>
          </cell>
          <cell r="H5690" t="str">
            <v>IMVE</v>
          </cell>
          <cell r="I5690" t="str">
            <v>IMPUESTO SOBRE LAS VENTAS</v>
          </cell>
          <cell r="J5690" t="str">
            <v>CL 5 B 28 A 57</v>
          </cell>
          <cell r="K5690" t="str">
            <v>11001</v>
          </cell>
          <cell r="L5690" t="str">
            <v>BOGOTA DC</v>
          </cell>
          <cell r="M5690" t="str">
            <v>3105662052</v>
          </cell>
        </row>
        <row r="5691">
          <cell r="A5691">
            <v>900823513</v>
          </cell>
          <cell r="B5691" t="str">
            <v>3</v>
          </cell>
          <cell r="C5691" t="str">
            <v/>
          </cell>
          <cell r="D5691" t="str">
            <v>NJ</v>
          </cell>
          <cell r="E5691" t="str">
            <v/>
          </cell>
          <cell r="F5691" t="str">
            <v/>
          </cell>
          <cell r="G5691" t="str">
            <v>PARALELO 94 SAS</v>
          </cell>
          <cell r="H5691" t="str">
            <v>RECO</v>
          </cell>
          <cell r="I5691" t="str">
            <v>REGIMEN COMUN</v>
          </cell>
          <cell r="J5691" t="str">
            <v>CR 18 93 B 52</v>
          </cell>
          <cell r="K5691" t="str">
            <v>11001</v>
          </cell>
          <cell r="L5691" t="str">
            <v>BOGOTA DC</v>
          </cell>
          <cell r="M5691" t="str">
            <v>7432199</v>
          </cell>
        </row>
        <row r="5692">
          <cell r="A5692">
            <v>900823820</v>
          </cell>
          <cell r="B5692" t="str">
            <v>1</v>
          </cell>
          <cell r="C5692" t="str">
            <v/>
          </cell>
          <cell r="D5692" t="str">
            <v>NJ</v>
          </cell>
          <cell r="E5692" t="str">
            <v/>
          </cell>
          <cell r="F5692" t="str">
            <v/>
          </cell>
          <cell r="G5692" t="str">
            <v>SOLAR PLUS SAS</v>
          </cell>
          <cell r="H5692" t="str">
            <v>IMVE</v>
          </cell>
          <cell r="I5692" t="str">
            <v>IMPUESTO SOBRE LAS VENTAS</v>
          </cell>
          <cell r="J5692" t="str">
            <v>VIA 40  71  197  B  O  422</v>
          </cell>
          <cell r="K5692" t="str">
            <v>08001</v>
          </cell>
          <cell r="L5692" t="str">
            <v>BARRANQUILLA</v>
          </cell>
          <cell r="M5692" t="str">
            <v>3187376</v>
          </cell>
        </row>
        <row r="5693">
          <cell r="A5693">
            <v>900824504</v>
          </cell>
          <cell r="B5693" t="str">
            <v>1</v>
          </cell>
          <cell r="C5693" t="str">
            <v/>
          </cell>
          <cell r="D5693" t="str">
            <v>NJ</v>
          </cell>
          <cell r="E5693" t="str">
            <v/>
          </cell>
          <cell r="F5693" t="str">
            <v/>
          </cell>
          <cell r="G5693" t="str">
            <v>SERVICIOS ELECTROMECANICOS INTEGRALES DEL VAUPES SAS</v>
          </cell>
          <cell r="H5693" t="str">
            <v>RECO</v>
          </cell>
          <cell r="I5693" t="str">
            <v>REGIMEN COMUN</v>
          </cell>
          <cell r="J5693" t="str">
            <v xml:space="preserve"> CL 10  8 96 BRR NAYA</v>
          </cell>
          <cell r="K5693" t="str">
            <v>17001</v>
          </cell>
          <cell r="L5693" t="str">
            <v>MANIZALES</v>
          </cell>
          <cell r="M5693" t="str">
            <v>3108738007</v>
          </cell>
        </row>
        <row r="5694">
          <cell r="A5694">
            <v>900824649</v>
          </cell>
          <cell r="B5694" t="str">
            <v>0</v>
          </cell>
          <cell r="C5694" t="str">
            <v/>
          </cell>
          <cell r="D5694" t="str">
            <v>NJ</v>
          </cell>
          <cell r="E5694" t="str">
            <v/>
          </cell>
          <cell r="F5694" t="str">
            <v/>
          </cell>
          <cell r="G5694" t="str">
            <v>TOPO PACIFICO SAS</v>
          </cell>
          <cell r="H5694" t="str">
            <v>RECO</v>
          </cell>
          <cell r="I5694" t="str">
            <v>REGIMEN COMUN</v>
          </cell>
          <cell r="J5694" t="str">
            <v>CL 38  A  34 10</v>
          </cell>
          <cell r="K5694" t="str">
            <v>17001</v>
          </cell>
          <cell r="L5694" t="str">
            <v>MANIZALES</v>
          </cell>
          <cell r="M5694" t="str">
            <v>8882097</v>
          </cell>
        </row>
        <row r="5695">
          <cell r="A5695">
            <v>900826257</v>
          </cell>
          <cell r="B5695" t="str">
            <v>6</v>
          </cell>
          <cell r="C5695" t="str">
            <v/>
          </cell>
          <cell r="D5695" t="str">
            <v>NJ</v>
          </cell>
          <cell r="E5695" t="str">
            <v/>
          </cell>
          <cell r="F5695" t="str">
            <v/>
          </cell>
          <cell r="G5695" t="str">
            <v>TALLERES TITANIUM SOCIEDAD POR ACCIONES SIMPLIFICADA</v>
          </cell>
          <cell r="H5695" t="str">
            <v>IMVE</v>
          </cell>
          <cell r="I5695" t="str">
            <v>IMPUESTO SOBRE LAS VENTAS</v>
          </cell>
          <cell r="J5695" t="str">
            <v>CR 30 - 9 A 07</v>
          </cell>
          <cell r="K5695" t="str">
            <v>15238</v>
          </cell>
          <cell r="L5695" t="str">
            <v>DUITAMA</v>
          </cell>
          <cell r="M5695" t="str">
            <v>3124334383</v>
          </cell>
        </row>
        <row r="5696">
          <cell r="A5696">
            <v>900826545</v>
          </cell>
          <cell r="B5696" t="str">
            <v>2</v>
          </cell>
          <cell r="C5696" t="str">
            <v/>
          </cell>
          <cell r="D5696" t="str">
            <v>NJ</v>
          </cell>
          <cell r="E5696" t="str">
            <v/>
          </cell>
          <cell r="F5696" t="str">
            <v/>
          </cell>
          <cell r="G5696" t="str">
            <v>GREENLED COLOMBIA S.A.S</v>
          </cell>
          <cell r="H5696" t="str">
            <v>RECO</v>
          </cell>
          <cell r="I5696" t="str">
            <v>REGIMEN COMUN</v>
          </cell>
          <cell r="J5696" t="str">
            <v>CL 65 A 23 B 29 LC 2</v>
          </cell>
          <cell r="K5696" t="str">
            <v>17001</v>
          </cell>
          <cell r="L5696" t="str">
            <v>MANIZALES</v>
          </cell>
          <cell r="M5696" t="str">
            <v>8815516</v>
          </cell>
        </row>
        <row r="5697">
          <cell r="A5697">
            <v>900827976</v>
          </cell>
          <cell r="B5697" t="str">
            <v>8</v>
          </cell>
          <cell r="C5697" t="str">
            <v/>
          </cell>
          <cell r="D5697" t="str">
            <v>NJ</v>
          </cell>
          <cell r="E5697" t="str">
            <v/>
          </cell>
          <cell r="F5697" t="str">
            <v/>
          </cell>
          <cell r="G5697" t="str">
            <v>CARVAR INDUSTRIES SOLUCIONES ENERGETICAS Y EMPRESARIALES S.A.S</v>
          </cell>
          <cell r="H5697" t="str">
            <v>RECO</v>
          </cell>
          <cell r="I5697" t="str">
            <v>REGIMEN COMUN</v>
          </cell>
          <cell r="J5697" t="str">
            <v>CR 24 53 49 BRR ARBOLEDA</v>
          </cell>
          <cell r="K5697" t="str">
            <v>17001</v>
          </cell>
          <cell r="L5697" t="str">
            <v>MANIZALES</v>
          </cell>
          <cell r="M5697" t="str">
            <v>3103733992</v>
          </cell>
        </row>
        <row r="5698">
          <cell r="A5698">
            <v>900828380</v>
          </cell>
          <cell r="B5698" t="str">
            <v>3</v>
          </cell>
          <cell r="C5698" t="str">
            <v/>
          </cell>
          <cell r="D5698" t="str">
            <v>NJ</v>
          </cell>
          <cell r="E5698" t="str">
            <v/>
          </cell>
          <cell r="F5698" t="str">
            <v/>
          </cell>
          <cell r="G5698" t="str">
            <v>GRUPO SAN GERMAN EXPRESS S.A.S</v>
          </cell>
          <cell r="H5698" t="str">
            <v>RECO</v>
          </cell>
          <cell r="I5698" t="str">
            <v>REGIMEN COMUN</v>
          </cell>
          <cell r="J5698" t="str">
            <v>CR 65 G 14 71</v>
          </cell>
          <cell r="K5698" t="str">
            <v>05001</v>
          </cell>
          <cell r="L5698" t="str">
            <v>MEDELLÍN</v>
          </cell>
          <cell r="M5698" t="str">
            <v>3183231155</v>
          </cell>
        </row>
        <row r="5699">
          <cell r="A5699">
            <v>900830383</v>
          </cell>
          <cell r="B5699" t="str">
            <v>1</v>
          </cell>
          <cell r="C5699" t="str">
            <v/>
          </cell>
          <cell r="D5699" t="str">
            <v>NJ</v>
          </cell>
          <cell r="E5699" t="str">
            <v/>
          </cell>
          <cell r="F5699" t="str">
            <v/>
          </cell>
          <cell r="G5699" t="str">
            <v>ASESORÍAS EMPRESARIALES ABA SAS</v>
          </cell>
          <cell r="H5699" t="str">
            <v>RECO</v>
          </cell>
          <cell r="I5699" t="str">
            <v>REGIMEN COMUN</v>
          </cell>
          <cell r="J5699" t="str">
            <v>CR 28C  69 63 AP 204</v>
          </cell>
          <cell r="K5699" t="str">
            <v>17001</v>
          </cell>
          <cell r="L5699" t="str">
            <v>MANIZALES</v>
          </cell>
          <cell r="M5699" t="str">
            <v>3113594494</v>
          </cell>
        </row>
        <row r="5700">
          <cell r="A5700">
            <v>900830397</v>
          </cell>
          <cell r="B5700" t="str">
            <v>4</v>
          </cell>
          <cell r="C5700" t="str">
            <v/>
          </cell>
          <cell r="D5700" t="str">
            <v>NJ</v>
          </cell>
          <cell r="E5700" t="str">
            <v/>
          </cell>
          <cell r="F5700" t="str">
            <v/>
          </cell>
          <cell r="G5700" t="str">
            <v>EDITORIAL UNIVERSO SAS</v>
          </cell>
          <cell r="H5700" t="str">
            <v>RECO</v>
          </cell>
          <cell r="I5700" t="str">
            <v>REGIMEN COMUN</v>
          </cell>
          <cell r="J5700" t="str">
            <v>CR 19 A 24 20 P 1</v>
          </cell>
          <cell r="K5700" t="str">
            <v>17001</v>
          </cell>
          <cell r="L5700" t="str">
            <v>MANIZALES</v>
          </cell>
          <cell r="M5700" t="str">
            <v>3104153976</v>
          </cell>
        </row>
        <row r="5701">
          <cell r="A5701">
            <v>900833758</v>
          </cell>
          <cell r="B5701" t="str">
            <v>3</v>
          </cell>
          <cell r="C5701" t="str">
            <v/>
          </cell>
          <cell r="D5701" t="str">
            <v>NJ</v>
          </cell>
          <cell r="E5701" t="str">
            <v/>
          </cell>
          <cell r="F5701" t="str">
            <v/>
          </cell>
          <cell r="G5701" t="str">
            <v>RL. INVERSIONES SANTACRUZ SAS</v>
          </cell>
          <cell r="H5701" t="str">
            <v>RECO</v>
          </cell>
          <cell r="I5701" t="str">
            <v>REGIMEN COMUN</v>
          </cell>
          <cell r="J5701" t="str">
            <v>CL 22 BIS 43 B 05</v>
          </cell>
          <cell r="K5701" t="str">
            <v>11001</v>
          </cell>
          <cell r="L5701" t="str">
            <v>BOGOTA DC</v>
          </cell>
          <cell r="M5701" t="str">
            <v>3112268552</v>
          </cell>
        </row>
        <row r="5702">
          <cell r="A5702">
            <v>900834208</v>
          </cell>
          <cell r="B5702" t="str">
            <v>9</v>
          </cell>
          <cell r="C5702" t="str">
            <v/>
          </cell>
          <cell r="D5702" t="str">
            <v>NJ</v>
          </cell>
          <cell r="E5702" t="str">
            <v/>
          </cell>
          <cell r="F5702" t="str">
            <v/>
          </cell>
          <cell r="G5702" t="str">
            <v>CLUB DEPORTIVO FELINOS INDEPENDIENTE MANIZALES</v>
          </cell>
          <cell r="H5702" t="str">
            <v>REIC</v>
          </cell>
          <cell r="I5702" t="str">
            <v>RENTA REGIMEN ESPECIAL</v>
          </cell>
          <cell r="J5702" t="str">
            <v xml:space="preserve"> CL 37  A  32 A  52 BRR ARRAYANES</v>
          </cell>
          <cell r="K5702" t="str">
            <v>17001</v>
          </cell>
          <cell r="L5702" t="str">
            <v>MANIZALES</v>
          </cell>
          <cell r="M5702" t="str">
            <v>3206055645</v>
          </cell>
        </row>
        <row r="5703">
          <cell r="A5703">
            <v>900834719</v>
          </cell>
          <cell r="B5703" t="str">
            <v>0</v>
          </cell>
          <cell r="C5703" t="str">
            <v/>
          </cell>
          <cell r="D5703" t="str">
            <v>NJ</v>
          </cell>
          <cell r="E5703" t="str">
            <v/>
          </cell>
          <cell r="F5703" t="str">
            <v/>
          </cell>
          <cell r="G5703" t="str">
            <v>DATASERVICIOS Y COMUNICACIONES SAS</v>
          </cell>
          <cell r="H5703" t="str">
            <v>RECO</v>
          </cell>
          <cell r="I5703" t="str">
            <v>REGIMEN COMUN</v>
          </cell>
          <cell r="J5703" t="str">
            <v>CR 16 76 42 OF 406</v>
          </cell>
          <cell r="K5703" t="str">
            <v>11001</v>
          </cell>
          <cell r="L5703" t="str">
            <v>BOGOTA DC</v>
          </cell>
          <cell r="M5703" t="str">
            <v>3202164997</v>
          </cell>
        </row>
        <row r="5704">
          <cell r="A5704">
            <v>900836351</v>
          </cell>
          <cell r="B5704" t="str">
            <v>3</v>
          </cell>
          <cell r="C5704" t="str">
            <v/>
          </cell>
          <cell r="D5704" t="str">
            <v>NJ</v>
          </cell>
          <cell r="E5704" t="str">
            <v/>
          </cell>
          <cell r="F5704" t="str">
            <v/>
          </cell>
          <cell r="G5704" t="str">
            <v>INVERSIONES INDUSTRIALES Y COMERCIALES SAGAR S.A.S.</v>
          </cell>
          <cell r="H5704" t="str">
            <v>RECO</v>
          </cell>
          <cell r="I5704" t="str">
            <v>REGIMEN COMUN</v>
          </cell>
          <cell r="J5704" t="str">
            <v>CL 14 15 67 P 3</v>
          </cell>
          <cell r="K5704" t="str">
            <v>15238</v>
          </cell>
          <cell r="L5704" t="str">
            <v>DUITAMA</v>
          </cell>
          <cell r="M5704" t="str">
            <v>3115925663</v>
          </cell>
        </row>
        <row r="5705">
          <cell r="A5705">
            <v>900837647</v>
          </cell>
          <cell r="B5705" t="str">
            <v>2</v>
          </cell>
          <cell r="C5705" t="str">
            <v/>
          </cell>
          <cell r="D5705" t="str">
            <v>NJ</v>
          </cell>
          <cell r="E5705" t="str">
            <v/>
          </cell>
          <cell r="F5705" t="str">
            <v/>
          </cell>
          <cell r="G5705" t="str">
            <v>QHSES SAS ASESORIAS DOTACIONES Y SERVICIOS</v>
          </cell>
          <cell r="H5705" t="str">
            <v>RECO</v>
          </cell>
          <cell r="I5705" t="str">
            <v>REGIMEN COMUN</v>
          </cell>
          <cell r="J5705" t="str">
            <v>CR 19 14 37</v>
          </cell>
          <cell r="K5705" t="str">
            <v>15238</v>
          </cell>
          <cell r="L5705" t="str">
            <v>DUITAMA</v>
          </cell>
          <cell r="M5705" t="str">
            <v>3114771030</v>
          </cell>
        </row>
        <row r="5706">
          <cell r="A5706">
            <v>900838200</v>
          </cell>
          <cell r="B5706" t="str">
            <v>9</v>
          </cell>
          <cell r="C5706" t="str">
            <v/>
          </cell>
          <cell r="D5706" t="str">
            <v>NJ</v>
          </cell>
          <cell r="E5706" t="str">
            <v/>
          </cell>
          <cell r="F5706" t="str">
            <v/>
          </cell>
          <cell r="G5706" t="str">
            <v>COMPAÑIA DE TECNOLOGIAS APLICADAS SAS</v>
          </cell>
          <cell r="H5706" t="str">
            <v>RECO</v>
          </cell>
          <cell r="I5706" t="str">
            <v>REGIMEN COMUN</v>
          </cell>
          <cell r="J5706" t="str">
            <v>CL 17  1 A  76 P 1</v>
          </cell>
          <cell r="K5706" t="str">
            <v>15238</v>
          </cell>
          <cell r="L5706" t="str">
            <v>DUITAMA</v>
          </cell>
          <cell r="M5706" t="str">
            <v>3014205601</v>
          </cell>
        </row>
        <row r="5707">
          <cell r="A5707">
            <v>900838560</v>
          </cell>
          <cell r="B5707" t="str">
            <v>5</v>
          </cell>
          <cell r="C5707" t="str">
            <v/>
          </cell>
          <cell r="D5707" t="str">
            <v>NJ</v>
          </cell>
          <cell r="E5707" t="str">
            <v/>
          </cell>
          <cell r="F5707" t="str">
            <v/>
          </cell>
          <cell r="G5707" t="str">
            <v>AUDIMED COLOMBIA SAS</v>
          </cell>
          <cell r="H5707" t="str">
            <v>RECO</v>
          </cell>
          <cell r="I5707" t="str">
            <v>REGIMEN COMUN</v>
          </cell>
          <cell r="J5707" t="str">
            <v>CL 48 C 67 33</v>
          </cell>
          <cell r="K5707" t="str">
            <v>05001</v>
          </cell>
          <cell r="L5707" t="str">
            <v>MEDELLÍN</v>
          </cell>
          <cell r="M5707" t="str">
            <v>2604651</v>
          </cell>
        </row>
        <row r="5708">
          <cell r="A5708">
            <v>900839160</v>
          </cell>
          <cell r="B5708" t="str">
            <v>7</v>
          </cell>
          <cell r="C5708" t="str">
            <v/>
          </cell>
          <cell r="D5708" t="str">
            <v>NJ</v>
          </cell>
          <cell r="E5708" t="str">
            <v/>
          </cell>
          <cell r="F5708" t="str">
            <v/>
          </cell>
          <cell r="G5708" t="str">
            <v>HL INFRAESTRUCTURA SAS</v>
          </cell>
          <cell r="H5708" t="str">
            <v>IMVE</v>
          </cell>
          <cell r="I5708" t="str">
            <v>IMPUESTO SOBRE LAS VENTAS</v>
          </cell>
          <cell r="J5708" t="str">
            <v xml:space="preserve"> CL  127 A 53 A 45 OF 1002 TO 2</v>
          </cell>
          <cell r="K5708" t="str">
            <v>11001</v>
          </cell>
          <cell r="L5708" t="str">
            <v>BOGOTA DC</v>
          </cell>
          <cell r="M5708" t="str">
            <v>5922777</v>
          </cell>
        </row>
        <row r="5709">
          <cell r="A5709">
            <v>900840859</v>
          </cell>
          <cell r="B5709" t="str">
            <v>8</v>
          </cell>
          <cell r="C5709" t="str">
            <v/>
          </cell>
          <cell r="D5709" t="str">
            <v>NJ</v>
          </cell>
          <cell r="E5709" t="str">
            <v/>
          </cell>
          <cell r="F5709" t="str">
            <v/>
          </cell>
          <cell r="G5709" t="str">
            <v>REDUCOL S.A.S</v>
          </cell>
          <cell r="H5709" t="str">
            <v>IMVE</v>
          </cell>
          <cell r="I5709" t="str">
            <v>IMPUESTO SOBRE LAS VENTAS</v>
          </cell>
          <cell r="J5709" t="str">
            <v>CL 79 51 34</v>
          </cell>
          <cell r="K5709" t="str">
            <v>05002</v>
          </cell>
          <cell r="L5709" t="str">
            <v>MEDELLIN</v>
          </cell>
          <cell r="M5709" t="str">
            <v>3004049179</v>
          </cell>
        </row>
        <row r="5710">
          <cell r="A5710">
            <v>900841429</v>
          </cell>
          <cell r="B5710" t="str">
            <v>9</v>
          </cell>
          <cell r="C5710" t="str">
            <v/>
          </cell>
          <cell r="D5710" t="str">
            <v>NJ</v>
          </cell>
          <cell r="E5710" t="str">
            <v/>
          </cell>
          <cell r="F5710" t="str">
            <v/>
          </cell>
          <cell r="G5710" t="str">
            <v>ALTERNATIVAS FINANCIERAS DE COLOMBIA S.A.S.</v>
          </cell>
          <cell r="H5710" t="str">
            <v>IMVE</v>
          </cell>
          <cell r="I5710" t="str">
            <v>IMPUESTO SOBRE LAS VENTAS</v>
          </cell>
          <cell r="J5710" t="str">
            <v>CL 5 38 25 OF 318</v>
          </cell>
          <cell r="K5710" t="str">
            <v>76001</v>
          </cell>
          <cell r="L5710" t="str">
            <v>CALI</v>
          </cell>
          <cell r="M5710" t="str">
            <v>3108264573</v>
          </cell>
        </row>
        <row r="5711">
          <cell r="A5711">
            <v>900841821</v>
          </cell>
          <cell r="B5711" t="str">
            <v>3</v>
          </cell>
          <cell r="C5711" t="str">
            <v/>
          </cell>
          <cell r="D5711" t="str">
            <v>NJ</v>
          </cell>
          <cell r="E5711" t="str">
            <v/>
          </cell>
          <cell r="F5711" t="str">
            <v/>
          </cell>
          <cell r="G5711" t="str">
            <v>HOTEL CHN S.A.S.</v>
          </cell>
          <cell r="H5711" t="str">
            <v>RECO</v>
          </cell>
          <cell r="I5711" t="str">
            <v>REGIMEN COMUN</v>
          </cell>
          <cell r="J5711" t="str">
            <v>CL 52 A CR 50 46</v>
          </cell>
          <cell r="K5711" t="str">
            <v>05001</v>
          </cell>
          <cell r="L5711" t="str">
            <v>MEDELLÍN</v>
          </cell>
          <cell r="M5711" t="str">
            <v>5115111</v>
          </cell>
        </row>
        <row r="5712">
          <cell r="A5712">
            <v>900842585</v>
          </cell>
          <cell r="B5712" t="str">
            <v>4</v>
          </cell>
          <cell r="C5712" t="str">
            <v/>
          </cell>
          <cell r="D5712" t="str">
            <v>NJ</v>
          </cell>
          <cell r="E5712" t="str">
            <v/>
          </cell>
          <cell r="F5712" t="str">
            <v/>
          </cell>
          <cell r="G5712" t="str">
            <v>OPERADOR LOGÍSTICO TRANSPORTAMOS S.A.S.</v>
          </cell>
          <cell r="H5712" t="str">
            <v>RECO</v>
          </cell>
          <cell r="I5712" t="str">
            <v>REGIMEN COMUN</v>
          </cell>
          <cell r="J5712" t="str">
            <v>CR 21 23 21 OF 108 ED TAMANACO</v>
          </cell>
          <cell r="K5712" t="str">
            <v>17001</v>
          </cell>
          <cell r="L5712" t="str">
            <v>MANIZALES</v>
          </cell>
          <cell r="M5712" t="str">
            <v>8808952</v>
          </cell>
        </row>
        <row r="5713">
          <cell r="A5713">
            <v>900844069</v>
          </cell>
          <cell r="B5713" t="str">
            <v>4</v>
          </cell>
          <cell r="C5713" t="str">
            <v/>
          </cell>
          <cell r="D5713" t="str">
            <v>NJ</v>
          </cell>
          <cell r="E5713" t="str">
            <v/>
          </cell>
          <cell r="F5713" t="str">
            <v/>
          </cell>
          <cell r="G5713" t="str">
            <v>FUNDACION SOCIAL VOCES UNIDAS</v>
          </cell>
          <cell r="H5713" t="str">
            <v>IMVE</v>
          </cell>
          <cell r="I5713" t="str">
            <v>IMPUESTO SOBRE LAS VENTAS</v>
          </cell>
          <cell r="J5713" t="str">
            <v>KM 1 VIA CLUB MILITAR VEREDA MIRABAL</v>
          </cell>
          <cell r="K5713" t="str">
            <v>15516</v>
          </cell>
          <cell r="L5713" t="str">
            <v>PAIPA</v>
          </cell>
          <cell r="M5713" t="str">
            <v>3117061653</v>
          </cell>
        </row>
        <row r="5714">
          <cell r="A5714">
            <v>900847716</v>
          </cell>
          <cell r="B5714" t="str">
            <v>5</v>
          </cell>
          <cell r="C5714" t="str">
            <v/>
          </cell>
          <cell r="D5714" t="str">
            <v>NJ</v>
          </cell>
          <cell r="E5714" t="str">
            <v/>
          </cell>
          <cell r="F5714" t="str">
            <v/>
          </cell>
          <cell r="G5714" t="str">
            <v>FERRETERIA FERROLAMINA S.A.S.</v>
          </cell>
          <cell r="H5714" t="str">
            <v>IMVE</v>
          </cell>
          <cell r="I5714" t="str">
            <v>IMPUESTO SOBRE LAS VENTAS</v>
          </cell>
          <cell r="J5714" t="str">
            <v>CL 11 18 37</v>
          </cell>
          <cell r="K5714" t="str">
            <v>15759</v>
          </cell>
          <cell r="L5714" t="str">
            <v>SOGAMOSO</v>
          </cell>
          <cell r="M5714" t="str">
            <v>3212141274</v>
          </cell>
        </row>
        <row r="5715">
          <cell r="A5715">
            <v>900848198</v>
          </cell>
          <cell r="B5715" t="str">
            <v>4</v>
          </cell>
          <cell r="C5715" t="str">
            <v/>
          </cell>
          <cell r="D5715" t="str">
            <v>NJ</v>
          </cell>
          <cell r="E5715" t="str">
            <v/>
          </cell>
          <cell r="F5715" t="str">
            <v/>
          </cell>
          <cell r="G5715" t="str">
            <v>INGENIERIA &amp; DISEÑOS INTEGRALES S.A.S.</v>
          </cell>
          <cell r="H5715" t="str">
            <v>IMVE</v>
          </cell>
          <cell r="I5715" t="str">
            <v>IMPUESTO SOBRE LAS VENTAS</v>
          </cell>
          <cell r="J5715" t="str">
            <v>CL 47 A 18 11</v>
          </cell>
          <cell r="K5715" t="str">
            <v>17001</v>
          </cell>
          <cell r="L5715" t="str">
            <v>MANIZALES</v>
          </cell>
          <cell r="M5715" t="str">
            <v>3006126814</v>
          </cell>
        </row>
        <row r="5716">
          <cell r="A5716">
            <v>900849702</v>
          </cell>
          <cell r="B5716" t="str">
            <v>1</v>
          </cell>
          <cell r="C5716" t="str">
            <v/>
          </cell>
          <cell r="D5716" t="str">
            <v>NJ</v>
          </cell>
          <cell r="E5716" t="str">
            <v/>
          </cell>
          <cell r="F5716" t="str">
            <v/>
          </cell>
          <cell r="G5716" t="str">
            <v>ALZATE INGENIERIA SAS</v>
          </cell>
          <cell r="H5716" t="str">
            <v>IMVE</v>
          </cell>
          <cell r="I5716" t="str">
            <v>IMPUESTO SOBRE LAS VENTAS</v>
          </cell>
          <cell r="J5716" t="str">
            <v>CL 68 A 9 65 AP 3 B TO 3</v>
          </cell>
          <cell r="K5716" t="str">
            <v>17001</v>
          </cell>
          <cell r="L5716" t="str">
            <v>MANIZALES</v>
          </cell>
          <cell r="M5716" t="str">
            <v>3113007317</v>
          </cell>
        </row>
        <row r="5717">
          <cell r="A5717">
            <v>900850150</v>
          </cell>
          <cell r="B5717" t="str">
            <v>8</v>
          </cell>
          <cell r="C5717" t="str">
            <v/>
          </cell>
          <cell r="D5717" t="str">
            <v>NJ</v>
          </cell>
          <cell r="E5717" t="str">
            <v/>
          </cell>
          <cell r="F5717" t="str">
            <v/>
          </cell>
          <cell r="G5717" t="str">
            <v>LEGIS INFORMACIÓN PROFESIONAL S.A.</v>
          </cell>
          <cell r="H5717" t="str">
            <v>IMVE</v>
          </cell>
          <cell r="I5717" t="str">
            <v>IMPUESTO SOBRE LAS VENTAS</v>
          </cell>
          <cell r="J5717" t="str">
            <v xml:space="preserve"> AV CL 26  82 70</v>
          </cell>
          <cell r="K5717" t="str">
            <v>11001</v>
          </cell>
          <cell r="L5717" t="str">
            <v>BOGOTA DC</v>
          </cell>
          <cell r="M5717" t="str">
            <v>4255255</v>
          </cell>
        </row>
        <row r="5718">
          <cell r="A5718">
            <v>900850565</v>
          </cell>
          <cell r="B5718" t="str">
            <v>0</v>
          </cell>
          <cell r="C5718" t="str">
            <v/>
          </cell>
          <cell r="D5718" t="str">
            <v>NJ</v>
          </cell>
          <cell r="E5718" t="str">
            <v/>
          </cell>
          <cell r="F5718" t="str">
            <v/>
          </cell>
          <cell r="G5718" t="str">
            <v>SCORPYNT PARA EL DESARROLLO SOCIAL AMBIENTAL MINERO Y SUMINISTR</v>
          </cell>
          <cell r="H5718" t="str">
            <v>IMVE</v>
          </cell>
          <cell r="I5718" t="str">
            <v>IMPUESTO SOBRE LAS VENTAS</v>
          </cell>
          <cell r="J5718" t="str">
            <v>CR 8 CA 17 BIS 01 BRR CUERVO ARAOZ</v>
          </cell>
          <cell r="K5718" t="str">
            <v>97001</v>
          </cell>
          <cell r="L5718" t="str">
            <v>MITÚ</v>
          </cell>
          <cell r="M5718" t="str">
            <v>3132017730</v>
          </cell>
        </row>
        <row r="5719">
          <cell r="A5719">
            <v>900852065</v>
          </cell>
          <cell r="B5719" t="str">
            <v>9</v>
          </cell>
          <cell r="C5719" t="str">
            <v/>
          </cell>
          <cell r="D5719" t="str">
            <v>NJ</v>
          </cell>
          <cell r="E5719" t="str">
            <v/>
          </cell>
          <cell r="F5719" t="str">
            <v/>
          </cell>
          <cell r="G5719" t="str">
            <v>GRUPO LAZUL S.A.S</v>
          </cell>
          <cell r="H5719" t="str">
            <v>RECO</v>
          </cell>
          <cell r="I5719" t="str">
            <v>REGIMEN COMUN</v>
          </cell>
          <cell r="J5719" t="str">
            <v>BRR GETSEMANI CL TRIPITA Y MEDIA  31   32</v>
          </cell>
          <cell r="K5719" t="str">
            <v>13001</v>
          </cell>
          <cell r="L5719" t="str">
            <v>CARTAGENA</v>
          </cell>
          <cell r="M5719" t="str">
            <v>3013782675</v>
          </cell>
        </row>
        <row r="5720">
          <cell r="A5720">
            <v>900853087</v>
          </cell>
          <cell r="B5720" t="str">
            <v>5</v>
          </cell>
          <cell r="C5720" t="str">
            <v/>
          </cell>
          <cell r="D5720" t="str">
            <v>NJ</v>
          </cell>
          <cell r="E5720" t="str">
            <v/>
          </cell>
          <cell r="F5720" t="str">
            <v/>
          </cell>
          <cell r="G5720" t="str">
            <v>CERLLANTAS S A S</v>
          </cell>
          <cell r="H5720" t="str">
            <v>RECO</v>
          </cell>
          <cell r="I5720" t="str">
            <v>REGIMEN COMUN</v>
          </cell>
          <cell r="J5720" t="str">
            <v>CL 185  A 55 B 72 P 1</v>
          </cell>
          <cell r="K5720" t="str">
            <v>11001</v>
          </cell>
          <cell r="L5720" t="str">
            <v>BOGOTA DC</v>
          </cell>
          <cell r="M5720" t="str">
            <v>2749781</v>
          </cell>
        </row>
        <row r="5721">
          <cell r="A5721">
            <v>900853469</v>
          </cell>
          <cell r="B5721" t="str">
            <v>5</v>
          </cell>
          <cell r="C5721" t="str">
            <v/>
          </cell>
          <cell r="D5721" t="str">
            <v>NJ</v>
          </cell>
          <cell r="E5721" t="str">
            <v/>
          </cell>
          <cell r="F5721" t="str">
            <v/>
          </cell>
          <cell r="G5721" t="str">
            <v>HOTEL BALBOA INN SAS</v>
          </cell>
          <cell r="H5721" t="str">
            <v>RECO</v>
          </cell>
          <cell r="I5721" t="str">
            <v>REGIMEN COMUN</v>
          </cell>
          <cell r="J5721" t="str">
            <v>AK 45 114 OF 804</v>
          </cell>
          <cell r="K5721" t="str">
            <v>27075</v>
          </cell>
          <cell r="L5721" t="str">
            <v>BAHÍA SOLANO</v>
          </cell>
          <cell r="M5721" t="str">
            <v>6347368</v>
          </cell>
        </row>
        <row r="5722">
          <cell r="A5722">
            <v>900854472</v>
          </cell>
          <cell r="B5722" t="str">
            <v>2</v>
          </cell>
          <cell r="C5722" t="str">
            <v/>
          </cell>
          <cell r="D5722" t="str">
            <v>NJ</v>
          </cell>
          <cell r="E5722" t="str">
            <v/>
          </cell>
          <cell r="F5722" t="str">
            <v/>
          </cell>
          <cell r="G5722" t="str">
            <v>SMART &amp; GREEN ENERGY SAS</v>
          </cell>
          <cell r="H5722" t="str">
            <v>RECO</v>
          </cell>
          <cell r="I5722" t="str">
            <v>REGIMEN COMUN</v>
          </cell>
          <cell r="J5722" t="str">
            <v>CL 61  14  59</v>
          </cell>
          <cell r="K5722" t="str">
            <v>11001</v>
          </cell>
          <cell r="L5722" t="str">
            <v>BOGOTA DC</v>
          </cell>
          <cell r="M5722" t="str">
            <v>3472388</v>
          </cell>
        </row>
        <row r="5723">
          <cell r="A5723">
            <v>900854641</v>
          </cell>
          <cell r="B5723" t="str">
            <v>0</v>
          </cell>
          <cell r="C5723" t="str">
            <v/>
          </cell>
          <cell r="D5723" t="str">
            <v>NJ</v>
          </cell>
          <cell r="E5723" t="str">
            <v/>
          </cell>
          <cell r="F5723" t="str">
            <v/>
          </cell>
          <cell r="G5723" t="str">
            <v>GEOMETRIK INGENIERÍA S.A.S.</v>
          </cell>
          <cell r="H5723" t="str">
            <v>IMVE</v>
          </cell>
          <cell r="I5723" t="str">
            <v>IMPUESTO SOBRE LAS VENTAS</v>
          </cell>
          <cell r="J5723" t="str">
            <v xml:space="preserve"> AV  BERNARDO ARANGO 9 15</v>
          </cell>
          <cell r="K5723" t="str">
            <v>15131</v>
          </cell>
          <cell r="L5723" t="str">
            <v>CALDAS</v>
          </cell>
          <cell r="M5723" t="str">
            <v>3147552560</v>
          </cell>
        </row>
        <row r="5724">
          <cell r="A5724">
            <v>900854721</v>
          </cell>
          <cell r="B5724" t="str">
            <v>1</v>
          </cell>
          <cell r="C5724" t="str">
            <v/>
          </cell>
          <cell r="D5724" t="str">
            <v>NJ</v>
          </cell>
          <cell r="E5724" t="str">
            <v/>
          </cell>
          <cell r="F5724" t="str">
            <v/>
          </cell>
          <cell r="G5724" t="str">
            <v>TECE PROYECTOS Y CONSULTORIAS SAS</v>
          </cell>
          <cell r="H5724" t="str">
            <v>IMVE</v>
          </cell>
          <cell r="I5724" t="str">
            <v>IMPUESTO SOBRE LAS VENTAS</v>
          </cell>
          <cell r="J5724" t="str">
            <v>CL 36 10 A 30 BRR CENTRO</v>
          </cell>
          <cell r="K5724" t="str">
            <v>23001</v>
          </cell>
          <cell r="L5724" t="str">
            <v>MONTERÍA</v>
          </cell>
          <cell r="M5724" t="str">
            <v>3207478205</v>
          </cell>
        </row>
        <row r="5725">
          <cell r="A5725">
            <v>900856660</v>
          </cell>
          <cell r="B5725" t="str">
            <v>1</v>
          </cell>
          <cell r="C5725" t="str">
            <v/>
          </cell>
          <cell r="D5725" t="str">
            <v>NJ</v>
          </cell>
          <cell r="E5725" t="str">
            <v/>
          </cell>
          <cell r="F5725" t="str">
            <v/>
          </cell>
          <cell r="G5725" t="str">
            <v>GRUPO CIVILEC SAS</v>
          </cell>
          <cell r="H5725" t="str">
            <v>IMVE</v>
          </cell>
          <cell r="I5725" t="str">
            <v>IMPUESTO SOBRE LAS VENTAS</v>
          </cell>
          <cell r="J5725" t="str">
            <v xml:space="preserve"> CL  24 A  59 59</v>
          </cell>
          <cell r="K5725" t="str">
            <v>11001</v>
          </cell>
          <cell r="L5725" t="str">
            <v>BOGOTA DC</v>
          </cell>
          <cell r="M5725" t="str">
            <v>3147460599</v>
          </cell>
        </row>
        <row r="5726">
          <cell r="A5726">
            <v>900856859</v>
          </cell>
          <cell r="B5726" t="str">
            <v>8</v>
          </cell>
          <cell r="C5726" t="str">
            <v/>
          </cell>
          <cell r="D5726" t="str">
            <v>NJ</v>
          </cell>
          <cell r="E5726" t="str">
            <v/>
          </cell>
          <cell r="F5726" t="str">
            <v/>
          </cell>
          <cell r="G5726" t="str">
            <v>IMPORLED S.A.S.</v>
          </cell>
          <cell r="H5726" t="str">
            <v>IMVE</v>
          </cell>
          <cell r="I5726" t="str">
            <v>IMPUESTO SOBRE LAS VENTAS</v>
          </cell>
          <cell r="J5726" t="str">
            <v>CR 28 D 29 10</v>
          </cell>
          <cell r="K5726" t="str">
            <v>17001</v>
          </cell>
          <cell r="L5726" t="str">
            <v>MANIZALES</v>
          </cell>
          <cell r="M5726" t="str">
            <v>3104940973</v>
          </cell>
        </row>
        <row r="5727">
          <cell r="A5727">
            <v>900857515</v>
          </cell>
          <cell r="B5727" t="str">
            <v>4</v>
          </cell>
          <cell r="C5727" t="str">
            <v/>
          </cell>
          <cell r="D5727" t="str">
            <v>NJ</v>
          </cell>
          <cell r="E5727" t="str">
            <v/>
          </cell>
          <cell r="F5727" t="str">
            <v/>
          </cell>
          <cell r="G5727" t="str">
            <v>MAQUITIERRA S.A.S.</v>
          </cell>
          <cell r="H5727" t="str">
            <v>IMVE</v>
          </cell>
          <cell r="I5727" t="str">
            <v>IMPUESTO SOBRE LAS VENTAS</v>
          </cell>
          <cell r="J5727" t="str">
            <v xml:space="preserve"> KM 6 5 CARR SIBERIA TENJO ESTACION EL GATO BG 104</v>
          </cell>
          <cell r="K5727" t="str">
            <v>25799</v>
          </cell>
          <cell r="L5727" t="str">
            <v>TENJO</v>
          </cell>
          <cell r="M5727" t="str">
            <v>4742290</v>
          </cell>
        </row>
        <row r="5728">
          <cell r="A5728">
            <v>900857585</v>
          </cell>
          <cell r="B5728" t="str">
            <v>1</v>
          </cell>
          <cell r="C5728" t="str">
            <v/>
          </cell>
          <cell r="D5728" t="str">
            <v>NJ</v>
          </cell>
          <cell r="E5728" t="str">
            <v/>
          </cell>
          <cell r="F5728" t="str">
            <v/>
          </cell>
          <cell r="G5728" t="str">
            <v>4 EJES - MOVILIZADORES SAS</v>
          </cell>
          <cell r="H5728" t="str">
            <v>RECO</v>
          </cell>
          <cell r="I5728" t="str">
            <v>REGIMEN COMUN</v>
          </cell>
          <cell r="J5728" t="str">
            <v>CL 93 A 19 50 A P 607</v>
          </cell>
          <cell r="K5728" t="str">
            <v>11001</v>
          </cell>
          <cell r="L5728" t="str">
            <v>BOGOTA DC</v>
          </cell>
          <cell r="M5728" t="str">
            <v>7502547</v>
          </cell>
        </row>
        <row r="5729">
          <cell r="A5729">
            <v>900858667</v>
          </cell>
          <cell r="B5729" t="str">
            <v>1</v>
          </cell>
          <cell r="C5729" t="str">
            <v/>
          </cell>
          <cell r="D5729" t="str">
            <v>NJ</v>
          </cell>
          <cell r="E5729" t="str">
            <v/>
          </cell>
          <cell r="F5729" t="str">
            <v/>
          </cell>
          <cell r="G5729" t="str">
            <v>UNIVERSO CONSULTORES S.A.S.</v>
          </cell>
          <cell r="H5729" t="str">
            <v>IMVE</v>
          </cell>
          <cell r="I5729" t="str">
            <v>IMPUESTO SOBRE LAS VENTAS</v>
          </cell>
          <cell r="J5729" t="str">
            <v xml:space="preserve"> KM 10 VIA CERRITOS A PEREIRA HC VERACRUZ CA 2</v>
          </cell>
          <cell r="K5729" t="str">
            <v>66001</v>
          </cell>
          <cell r="L5729" t="str">
            <v>PEREIRA</v>
          </cell>
          <cell r="M5729" t="str">
            <v>3154981360</v>
          </cell>
        </row>
        <row r="5730">
          <cell r="A5730">
            <v>900859427</v>
          </cell>
          <cell r="B5730" t="str">
            <v>3</v>
          </cell>
          <cell r="C5730" t="str">
            <v/>
          </cell>
          <cell r="D5730" t="str">
            <v>NJ</v>
          </cell>
          <cell r="E5730" t="str">
            <v/>
          </cell>
          <cell r="F5730" t="str">
            <v/>
          </cell>
          <cell r="G5730" t="str">
            <v>MINAS EL ARRAYAN COAL SAS</v>
          </cell>
          <cell r="H5730" t="str">
            <v>REOR</v>
          </cell>
          <cell r="I5730" t="str">
            <v>RENTA REGIMEN ORDINARIO</v>
          </cell>
          <cell r="J5730" t="str">
            <v>VDA REYES PATRIA</v>
          </cell>
          <cell r="K5730" t="str">
            <v>15215</v>
          </cell>
          <cell r="L5730" t="str">
            <v>CORRALES</v>
          </cell>
          <cell r="M5730" t="str">
            <v>3163979617</v>
          </cell>
        </row>
        <row r="5731">
          <cell r="A5731">
            <v>900860029</v>
          </cell>
          <cell r="B5731" t="str">
            <v>7</v>
          </cell>
          <cell r="C5731" t="str">
            <v/>
          </cell>
          <cell r="D5731" t="str">
            <v>NJ</v>
          </cell>
          <cell r="E5731" t="str">
            <v/>
          </cell>
          <cell r="F5731" t="str">
            <v/>
          </cell>
          <cell r="G5731" t="str">
            <v>CREATIVA MEDIOS PUBLICITARIOS SAS</v>
          </cell>
          <cell r="H5731" t="str">
            <v>RECO</v>
          </cell>
          <cell r="I5731" t="str">
            <v>REGIMEN COMUN</v>
          </cell>
          <cell r="J5731" t="str">
            <v>CR 34 106 13</v>
          </cell>
          <cell r="K5731" t="str">
            <v>17001</v>
          </cell>
          <cell r="L5731" t="str">
            <v>MANIZALES</v>
          </cell>
          <cell r="M5731" t="str">
            <v>3218609475</v>
          </cell>
        </row>
        <row r="5732">
          <cell r="A5732">
            <v>900860284</v>
          </cell>
          <cell r="B5732" t="str">
            <v>9</v>
          </cell>
          <cell r="C5732" t="str">
            <v/>
          </cell>
          <cell r="D5732" t="str">
            <v>NJ</v>
          </cell>
          <cell r="E5732" t="str">
            <v/>
          </cell>
          <cell r="F5732" t="str">
            <v/>
          </cell>
          <cell r="G5732" t="str">
            <v>BBI COLOMBIA S A S</v>
          </cell>
          <cell r="H5732" t="str">
            <v>GRCO</v>
          </cell>
          <cell r="I5732" t="str">
            <v>GRAN CONTRIBUYENTE</v>
          </cell>
          <cell r="J5732" t="str">
            <v>AGP CELTA AUT MEDELLIN- BOGOTA KM 7  5 BL D BG47 4</v>
          </cell>
          <cell r="K5732" t="str">
            <v>25286</v>
          </cell>
          <cell r="L5732" t="str">
            <v>FUNZA</v>
          </cell>
          <cell r="M5732" t="str">
            <v>8269761</v>
          </cell>
        </row>
        <row r="5733">
          <cell r="A5733">
            <v>900861432</v>
          </cell>
          <cell r="B5733" t="str">
            <v>7</v>
          </cell>
          <cell r="C5733" t="str">
            <v/>
          </cell>
          <cell r="D5733" t="str">
            <v>NJ</v>
          </cell>
          <cell r="E5733" t="str">
            <v/>
          </cell>
          <cell r="F5733" t="str">
            <v/>
          </cell>
          <cell r="G5733" t="str">
            <v>SERVICIOS ESPECIALIZADOS Y CONSULTORÍAS S.A.S.</v>
          </cell>
          <cell r="H5733" t="str">
            <v>REOR</v>
          </cell>
          <cell r="I5733" t="str">
            <v>RENTA REGIMEN ORDINARIO</v>
          </cell>
          <cell r="J5733" t="str">
            <v>CR 2 ESTE 5 20 TO 15 AP 201</v>
          </cell>
          <cell r="K5733" t="str">
            <v>25430</v>
          </cell>
          <cell r="L5733" t="str">
            <v>MADRID</v>
          </cell>
          <cell r="M5733" t="str">
            <v>573012636291</v>
          </cell>
        </row>
        <row r="5734">
          <cell r="A5734">
            <v>900862664</v>
          </cell>
          <cell r="B5734" t="str">
            <v>3</v>
          </cell>
          <cell r="C5734" t="str">
            <v/>
          </cell>
          <cell r="D5734" t="str">
            <v>NJ</v>
          </cell>
          <cell r="E5734" t="str">
            <v/>
          </cell>
          <cell r="F5734" t="str">
            <v/>
          </cell>
          <cell r="G5734" t="str">
            <v>ETS INGENIERIA SAS</v>
          </cell>
          <cell r="H5734" t="str">
            <v>IMVE</v>
          </cell>
          <cell r="I5734" t="str">
            <v>IMPUESTO SOBRE LAS VENTAS</v>
          </cell>
          <cell r="J5734" t="str">
            <v>CL 143 46 64</v>
          </cell>
          <cell r="K5734" t="str">
            <v>11001</v>
          </cell>
          <cell r="L5734" t="str">
            <v>BOGOTA DC</v>
          </cell>
          <cell r="M5734" t="str">
            <v>3157067505</v>
          </cell>
        </row>
        <row r="5735">
          <cell r="A5735">
            <v>900863308</v>
          </cell>
          <cell r="B5735" t="str">
            <v>0</v>
          </cell>
          <cell r="C5735" t="str">
            <v/>
          </cell>
          <cell r="D5735" t="str">
            <v>NJ</v>
          </cell>
          <cell r="E5735" t="str">
            <v/>
          </cell>
          <cell r="F5735" t="str">
            <v/>
          </cell>
          <cell r="G5735" t="str">
            <v>CONSULTORIA INGENIERIA CIVIL  AMBIENTE- CICMA SAS</v>
          </cell>
          <cell r="H5735" t="str">
            <v>IMVE</v>
          </cell>
          <cell r="I5735" t="str">
            <v>IMPUESTO SOBRE LAS VENTAS</v>
          </cell>
          <cell r="J5735" t="str">
            <v xml:space="preserve"> CL 11 32 A  109</v>
          </cell>
          <cell r="K5735" t="str">
            <v>17001</v>
          </cell>
          <cell r="L5735" t="str">
            <v>MANIZALES</v>
          </cell>
          <cell r="M5735" t="str">
            <v>3137325086</v>
          </cell>
        </row>
        <row r="5736">
          <cell r="A5736">
            <v>900863954</v>
          </cell>
          <cell r="B5736" t="str">
            <v>9</v>
          </cell>
          <cell r="C5736" t="str">
            <v/>
          </cell>
          <cell r="D5736" t="str">
            <v>NJ</v>
          </cell>
          <cell r="E5736" t="str">
            <v/>
          </cell>
          <cell r="F5736" t="str">
            <v/>
          </cell>
          <cell r="G5736" t="str">
            <v>TECNOMEDIDA SAS</v>
          </cell>
          <cell r="H5736" t="str">
            <v>IMVE</v>
          </cell>
          <cell r="I5736" t="str">
            <v>IMPUESTO SOBRE LAS VENTAS</v>
          </cell>
          <cell r="J5736" t="str">
            <v>CR 67 167 61 OF 613</v>
          </cell>
          <cell r="K5736" t="str">
            <v>03</v>
          </cell>
          <cell r="L5736" t="str">
            <v>BOGOTA</v>
          </cell>
          <cell r="M5736" t="str">
            <v>3185480457</v>
          </cell>
        </row>
        <row r="5737">
          <cell r="A5737">
            <v>900864150</v>
          </cell>
          <cell r="B5737" t="str">
            <v>9</v>
          </cell>
          <cell r="C5737" t="str">
            <v/>
          </cell>
          <cell r="D5737" t="str">
            <v>NJ</v>
          </cell>
          <cell r="E5737" t="str">
            <v/>
          </cell>
          <cell r="F5737" t="str">
            <v/>
          </cell>
          <cell r="G5737" t="str">
            <v>CONCESIONES ALTERNATIVAS VIALES S.A.S.</v>
          </cell>
          <cell r="H5737" t="str">
            <v>IMVE</v>
          </cell>
          <cell r="I5737" t="str">
            <v>IMPUESTO SOBRE LAS VENTAS</v>
          </cell>
          <cell r="J5737" t="str">
            <v>CL 100 8 A 55 TO C OF 215</v>
          </cell>
          <cell r="K5737" t="str">
            <v>11001</v>
          </cell>
          <cell r="L5737" t="str">
            <v>BOGOTA DC</v>
          </cell>
          <cell r="M5737" t="str">
            <v>7446656</v>
          </cell>
        </row>
        <row r="5738">
          <cell r="A5738">
            <v>900865120</v>
          </cell>
          <cell r="B5738" t="str">
            <v>2</v>
          </cell>
          <cell r="C5738" t="str">
            <v/>
          </cell>
          <cell r="D5738" t="str">
            <v>NJ</v>
          </cell>
          <cell r="E5738" t="str">
            <v/>
          </cell>
          <cell r="F5738" t="str">
            <v/>
          </cell>
          <cell r="G5738" t="str">
            <v>TOOL BOX CENTER SAS</v>
          </cell>
          <cell r="H5738" t="str">
            <v>IMVE</v>
          </cell>
          <cell r="I5738" t="str">
            <v>IMPUESTO SOBRE LAS VENTAS</v>
          </cell>
          <cell r="J5738" t="str">
            <v>AV PRIMERA DE MAYO 50 B 71 SUR</v>
          </cell>
          <cell r="K5738" t="str">
            <v>11001</v>
          </cell>
          <cell r="L5738" t="str">
            <v>BOGOTA DC</v>
          </cell>
          <cell r="M5738" t="str">
            <v>9279909</v>
          </cell>
        </row>
        <row r="5739">
          <cell r="A5739">
            <v>900866471</v>
          </cell>
          <cell r="B5739" t="str">
            <v>7</v>
          </cell>
          <cell r="C5739" t="str">
            <v/>
          </cell>
          <cell r="D5739" t="str">
            <v>NJ</v>
          </cell>
          <cell r="E5739" t="str">
            <v/>
          </cell>
          <cell r="F5739" t="str">
            <v/>
          </cell>
          <cell r="G5739" t="str">
            <v>FRANJA SOLUCIONES OCUPACIONALES S.A.S</v>
          </cell>
          <cell r="H5739" t="str">
            <v>IMVE</v>
          </cell>
          <cell r="I5739" t="str">
            <v>IMPUESTO SOBRE LAS VENTAS</v>
          </cell>
          <cell r="J5739" t="str">
            <v>VRD LA PRADERA SEC EL MIRADOR FCA LAS CRUCES</v>
          </cell>
          <cell r="K5739" t="str">
            <v>15238</v>
          </cell>
          <cell r="L5739" t="str">
            <v>DUITAMA</v>
          </cell>
          <cell r="M5739" t="str">
            <v>3108589312</v>
          </cell>
        </row>
        <row r="5740">
          <cell r="A5740">
            <v>900866624</v>
          </cell>
          <cell r="B5740" t="str">
            <v>7</v>
          </cell>
          <cell r="C5740" t="str">
            <v/>
          </cell>
          <cell r="D5740" t="str">
            <v>NJ</v>
          </cell>
          <cell r="E5740" t="str">
            <v/>
          </cell>
          <cell r="F5740" t="str">
            <v/>
          </cell>
          <cell r="G5740" t="str">
            <v>SEPCOM COMUNICACIONES S.A.S</v>
          </cell>
          <cell r="H5740" t="str">
            <v>RECO</v>
          </cell>
          <cell r="I5740" t="str">
            <v>REGIMEN COMUN</v>
          </cell>
          <cell r="J5740" t="str">
            <v>CL 3 NORTE 9  43</v>
          </cell>
          <cell r="K5740" t="str">
            <v>19001</v>
          </cell>
          <cell r="L5740" t="str">
            <v>POPAYÁN</v>
          </cell>
          <cell r="M5740" t="str">
            <v>336061</v>
          </cell>
        </row>
        <row r="5741">
          <cell r="A5741">
            <v>900872050</v>
          </cell>
          <cell r="B5741" t="str">
            <v>4</v>
          </cell>
          <cell r="C5741" t="str">
            <v/>
          </cell>
          <cell r="D5741" t="str">
            <v>NJ</v>
          </cell>
          <cell r="E5741" t="str">
            <v/>
          </cell>
          <cell r="F5741" t="str">
            <v/>
          </cell>
          <cell r="G5741" t="str">
            <v>CALES Y TERMICOS BOYACA S.A.S</v>
          </cell>
          <cell r="H5741" t="str">
            <v>RECO</v>
          </cell>
          <cell r="I5741" t="str">
            <v>REGIMEN COMUN</v>
          </cell>
          <cell r="J5741" t="str">
            <v xml:space="preserve"> CR 3 1 116 VRD CHAMEZA MAYOR</v>
          </cell>
          <cell r="K5741" t="str">
            <v>15491</v>
          </cell>
          <cell r="L5741" t="str">
            <v>NOBSA</v>
          </cell>
          <cell r="M5741" t="str">
            <v>3114628169</v>
          </cell>
        </row>
        <row r="5742">
          <cell r="A5742">
            <v>900874397</v>
          </cell>
          <cell r="B5742" t="str">
            <v>3</v>
          </cell>
          <cell r="C5742" t="str">
            <v/>
          </cell>
          <cell r="D5742" t="str">
            <v>NJ</v>
          </cell>
          <cell r="E5742" t="str">
            <v/>
          </cell>
          <cell r="F5742" t="str">
            <v/>
          </cell>
          <cell r="G5742" t="str">
            <v>FUNDACION EMPALME ASESORES</v>
          </cell>
          <cell r="H5742" t="str">
            <v>RECO</v>
          </cell>
          <cell r="I5742" t="str">
            <v>REGIMEN COMUN</v>
          </cell>
          <cell r="J5742" t="str">
            <v>CL 15 8 14 P 1</v>
          </cell>
          <cell r="K5742" t="str">
            <v>17174</v>
          </cell>
          <cell r="L5742" t="str">
            <v>CHINCHINÁ</v>
          </cell>
          <cell r="M5742" t="str">
            <v>3164654699</v>
          </cell>
        </row>
        <row r="5743">
          <cell r="A5743">
            <v>900877763</v>
          </cell>
          <cell r="B5743" t="str">
            <v>1</v>
          </cell>
          <cell r="C5743" t="str">
            <v/>
          </cell>
          <cell r="D5743" t="str">
            <v>NJ</v>
          </cell>
          <cell r="E5743" t="str">
            <v/>
          </cell>
          <cell r="F5743" t="str">
            <v/>
          </cell>
          <cell r="G5743" t="str">
            <v>MINERALES INDUSTRIALES DE LOS ANDES SAS</v>
          </cell>
          <cell r="H5743" t="str">
            <v>IMVE</v>
          </cell>
          <cell r="I5743" t="str">
            <v>IMPUESTO SOBRE LAS VENTAS</v>
          </cell>
          <cell r="J5743" t="str">
            <v>CALLE 50 # 10 A 62</v>
          </cell>
          <cell r="K5743" t="str">
            <v>15104</v>
          </cell>
          <cell r="L5743" t="str">
            <v>BOYACA</v>
          </cell>
          <cell r="M5743" t="str">
            <v>3208026096</v>
          </cell>
        </row>
        <row r="5744">
          <cell r="A5744">
            <v>900877781</v>
          </cell>
          <cell r="B5744" t="str">
            <v>2</v>
          </cell>
          <cell r="C5744" t="str">
            <v/>
          </cell>
          <cell r="D5744" t="str">
            <v>NJ</v>
          </cell>
          <cell r="E5744" t="str">
            <v/>
          </cell>
          <cell r="F5744" t="str">
            <v/>
          </cell>
          <cell r="G5744" t="str">
            <v>UNION TEMPORAL TITIZA ENERGIA SOLAR</v>
          </cell>
          <cell r="H5744" t="str">
            <v>RECO</v>
          </cell>
          <cell r="I5744" t="str">
            <v>REGIMEN COMUN</v>
          </cell>
          <cell r="J5744" t="str">
            <v>CR 84  13B  11  AP 302  BRR EL INGENIO</v>
          </cell>
          <cell r="K5744" t="str">
            <v>76001</v>
          </cell>
          <cell r="L5744" t="str">
            <v>CALI</v>
          </cell>
          <cell r="M5744" t="str">
            <v>53150261</v>
          </cell>
        </row>
        <row r="5745">
          <cell r="A5745">
            <v>900878764</v>
          </cell>
          <cell r="B5745" t="str">
            <v>1</v>
          </cell>
          <cell r="C5745" t="str">
            <v/>
          </cell>
          <cell r="D5745" t="str">
            <v>NJ</v>
          </cell>
          <cell r="E5745" t="str">
            <v/>
          </cell>
          <cell r="F5745" t="str">
            <v/>
          </cell>
          <cell r="G5745" t="str">
            <v>CONSORCIO 046</v>
          </cell>
          <cell r="H5745" t="str">
            <v>RECO</v>
          </cell>
          <cell r="I5745" t="str">
            <v>REGIMEN COMUN</v>
          </cell>
          <cell r="J5745" t="str">
            <v>CL 66  30  02 BRR FATIMA</v>
          </cell>
          <cell r="K5745" t="str">
            <v>17001</v>
          </cell>
          <cell r="L5745" t="str">
            <v>MANIZALES</v>
          </cell>
          <cell r="M5745" t="str">
            <v>8910745</v>
          </cell>
        </row>
        <row r="5746">
          <cell r="A5746">
            <v>900878765</v>
          </cell>
          <cell r="B5746" t="str">
            <v>9</v>
          </cell>
          <cell r="C5746" t="str">
            <v/>
          </cell>
          <cell r="D5746" t="str">
            <v>NJ</v>
          </cell>
          <cell r="E5746" t="str">
            <v/>
          </cell>
          <cell r="F5746" t="str">
            <v/>
          </cell>
          <cell r="G5746" t="str">
            <v>CONSORCIO 047</v>
          </cell>
          <cell r="H5746" t="str">
            <v>RECO</v>
          </cell>
          <cell r="I5746" t="str">
            <v>REGIMEN COMUN</v>
          </cell>
          <cell r="J5746" t="str">
            <v>CL  66  30  02 BRR FATIMA</v>
          </cell>
          <cell r="K5746" t="str">
            <v>17001</v>
          </cell>
          <cell r="L5746" t="str">
            <v>MANIZALES</v>
          </cell>
          <cell r="M5746" t="str">
            <v>8910745</v>
          </cell>
        </row>
        <row r="5747">
          <cell r="A5747">
            <v>900879186</v>
          </cell>
          <cell r="B5747" t="str">
            <v>9</v>
          </cell>
          <cell r="C5747" t="str">
            <v/>
          </cell>
          <cell r="D5747" t="str">
            <v>NJ</v>
          </cell>
          <cell r="E5747" t="str">
            <v/>
          </cell>
          <cell r="F5747" t="str">
            <v/>
          </cell>
          <cell r="G5747" t="str">
            <v>CONSORCIO SOLUCIONES FOTOVOLTAICAS</v>
          </cell>
          <cell r="H5747" t="str">
            <v>RECO</v>
          </cell>
          <cell r="I5747" t="str">
            <v>REGIMEN COMUN</v>
          </cell>
          <cell r="J5747" t="str">
            <v>CL  11  100  121 OF 809</v>
          </cell>
          <cell r="K5747" t="str">
            <v>76001</v>
          </cell>
          <cell r="L5747" t="str">
            <v>CALI</v>
          </cell>
          <cell r="M5747" t="str">
            <v>3314820</v>
          </cell>
        </row>
        <row r="5748">
          <cell r="A5748">
            <v>900879594</v>
          </cell>
          <cell r="B5748" t="str">
            <v>0</v>
          </cell>
          <cell r="C5748" t="str">
            <v/>
          </cell>
          <cell r="D5748" t="str">
            <v>NJ</v>
          </cell>
          <cell r="E5748" t="str">
            <v/>
          </cell>
          <cell r="F5748" t="str">
            <v/>
          </cell>
          <cell r="G5748" t="str">
            <v>FUJI RELIABLE TURBINE SERVICES S.A.S.</v>
          </cell>
          <cell r="H5748" t="str">
            <v>IMVE</v>
          </cell>
          <cell r="I5748" t="str">
            <v>IMPUESTO SOBRE LAS VENTAS</v>
          </cell>
          <cell r="J5748" t="str">
            <v xml:space="preserve"> CL 5 A 39 194 OF 701</v>
          </cell>
          <cell r="K5748" t="str">
            <v>11</v>
          </cell>
          <cell r="L5748" t="str">
            <v>ANTIOQUIA</v>
          </cell>
          <cell r="M5748" t="str">
            <v>4031622</v>
          </cell>
        </row>
        <row r="5749">
          <cell r="A5749">
            <v>900880105</v>
          </cell>
          <cell r="B5749" t="str">
            <v>4</v>
          </cell>
          <cell r="C5749" t="str">
            <v/>
          </cell>
          <cell r="D5749" t="str">
            <v>NJ</v>
          </cell>
          <cell r="E5749" t="str">
            <v/>
          </cell>
          <cell r="F5749" t="str">
            <v/>
          </cell>
          <cell r="G5749" t="str">
            <v>CONSORCIO ALTA GUAJIRA</v>
          </cell>
          <cell r="H5749" t="str">
            <v>RECO</v>
          </cell>
          <cell r="I5749" t="str">
            <v>REGIMEN COMUN</v>
          </cell>
          <cell r="J5749" t="str">
            <v>CL 2  22  175  OF 305 CC ALFAGUARA</v>
          </cell>
          <cell r="K5749" t="str">
            <v>76364</v>
          </cell>
          <cell r="L5749" t="str">
            <v>JAMUNDÍ</v>
          </cell>
          <cell r="M5749" t="str">
            <v>5151515</v>
          </cell>
        </row>
        <row r="5750">
          <cell r="A5750">
            <v>900880643</v>
          </cell>
          <cell r="B5750" t="str">
            <v>5</v>
          </cell>
          <cell r="C5750" t="str">
            <v/>
          </cell>
          <cell r="D5750" t="str">
            <v>NJ</v>
          </cell>
          <cell r="E5750" t="str">
            <v/>
          </cell>
          <cell r="F5750" t="str">
            <v/>
          </cell>
          <cell r="G5750" t="str">
            <v>CONSORCIO ELITE SOLAR</v>
          </cell>
          <cell r="H5750" t="str">
            <v>RECO</v>
          </cell>
          <cell r="I5750" t="str">
            <v>REGIMEN COMUN</v>
          </cell>
          <cell r="J5750" t="str">
            <v>CR 17 A N  14  33  BRR MACHANGARA</v>
          </cell>
          <cell r="K5750" t="str">
            <v>19001</v>
          </cell>
          <cell r="L5750" t="str">
            <v>POPAYÁN</v>
          </cell>
          <cell r="M5750" t="str">
            <v>8237527</v>
          </cell>
        </row>
        <row r="5751">
          <cell r="A5751">
            <v>900880858</v>
          </cell>
          <cell r="B5751" t="str">
            <v>1</v>
          </cell>
          <cell r="C5751" t="str">
            <v/>
          </cell>
          <cell r="D5751" t="str">
            <v>NJ</v>
          </cell>
          <cell r="E5751" t="str">
            <v/>
          </cell>
          <cell r="F5751" t="str">
            <v/>
          </cell>
          <cell r="G5751" t="str">
            <v>IPS BIO-SINERGIA SOCIEDAD POR ACCIONES SIMPLIFICADA</v>
          </cell>
          <cell r="H5751" t="str">
            <v>RECO</v>
          </cell>
          <cell r="I5751" t="str">
            <v>REGIMEN COMUN</v>
          </cell>
          <cell r="J5751" t="str">
            <v>CR 16 14 68 OF 310 315</v>
          </cell>
          <cell r="K5751" t="str">
            <v>15238</v>
          </cell>
          <cell r="L5751" t="str">
            <v>DUITAMA</v>
          </cell>
          <cell r="M5751" t="str">
            <v>3112043423</v>
          </cell>
        </row>
        <row r="5752">
          <cell r="A5752">
            <v>900887622</v>
          </cell>
          <cell r="B5752" t="str">
            <v>2</v>
          </cell>
          <cell r="C5752" t="str">
            <v/>
          </cell>
          <cell r="D5752" t="str">
            <v>NJ</v>
          </cell>
          <cell r="E5752" t="str">
            <v/>
          </cell>
          <cell r="F5752" t="str">
            <v/>
          </cell>
          <cell r="G5752" t="str">
            <v>TECNOLOGIA EN PROYECTOS INDUSTRIALES SAS</v>
          </cell>
          <cell r="H5752" t="str">
            <v>IMVE</v>
          </cell>
          <cell r="I5752" t="str">
            <v>IMPUESTO SOBRE LAS VENTAS</v>
          </cell>
          <cell r="J5752" t="str">
            <v>CALLE 64 103 A  69</v>
          </cell>
          <cell r="K5752" t="str">
            <v>11001</v>
          </cell>
          <cell r="L5752" t="str">
            <v>BOGOTA DC</v>
          </cell>
          <cell r="M5752" t="str">
            <v>6941075</v>
          </cell>
        </row>
        <row r="5753">
          <cell r="A5753">
            <v>900887931</v>
          </cell>
          <cell r="B5753" t="str">
            <v>3</v>
          </cell>
          <cell r="C5753" t="str">
            <v/>
          </cell>
          <cell r="D5753" t="str">
            <v>NJ</v>
          </cell>
          <cell r="E5753" t="str">
            <v/>
          </cell>
          <cell r="F5753" t="str">
            <v/>
          </cell>
          <cell r="G5753" t="str">
            <v>GONZALEZ PE¿A INGENIERIA SAS</v>
          </cell>
          <cell r="H5753" t="str">
            <v>RECO</v>
          </cell>
          <cell r="I5753" t="str">
            <v>REGIMEN COMUN</v>
          </cell>
          <cell r="J5753" t="str">
            <v>CR 28 D 69 78</v>
          </cell>
          <cell r="K5753" t="str">
            <v>17001</v>
          </cell>
          <cell r="L5753" t="str">
            <v>MANIZALES</v>
          </cell>
          <cell r="M5753" t="str">
            <v>3155905925</v>
          </cell>
        </row>
        <row r="5754">
          <cell r="A5754">
            <v>900891104</v>
          </cell>
          <cell r="B5754" t="str">
            <v>4</v>
          </cell>
          <cell r="C5754" t="str">
            <v/>
          </cell>
          <cell r="D5754" t="str">
            <v>NJ</v>
          </cell>
          <cell r="E5754" t="str">
            <v/>
          </cell>
          <cell r="F5754" t="str">
            <v/>
          </cell>
          <cell r="G5754" t="str">
            <v>EMERGENTE ENERGÍA SOSTENIBLE S.A.S.</v>
          </cell>
          <cell r="H5754" t="str">
            <v>RECO</v>
          </cell>
          <cell r="I5754" t="str">
            <v>REGIMEN COMUN</v>
          </cell>
          <cell r="J5754" t="str">
            <v>CR 27 G 35 SUR 150IN 519</v>
          </cell>
          <cell r="K5754" t="str">
            <v>05266</v>
          </cell>
          <cell r="L5754" t="str">
            <v>ENVIGADO</v>
          </cell>
          <cell r="M5754" t="str">
            <v>3004817207</v>
          </cell>
        </row>
        <row r="5755">
          <cell r="A5755">
            <v>900891613</v>
          </cell>
          <cell r="B5755" t="str">
            <v>1</v>
          </cell>
          <cell r="C5755" t="str">
            <v/>
          </cell>
          <cell r="D5755" t="str">
            <v>NJ</v>
          </cell>
          <cell r="E5755" t="str">
            <v/>
          </cell>
          <cell r="F5755" t="str">
            <v/>
          </cell>
          <cell r="G5755" t="str">
            <v>MPS INGENIERÍA Y CONSTRUCCIÓN S.A.S</v>
          </cell>
          <cell r="H5755" t="str">
            <v>RECO</v>
          </cell>
          <cell r="I5755" t="str">
            <v>REGIMEN COMUN</v>
          </cell>
          <cell r="J5755" t="str">
            <v>CL 12 3 97 BRR VILLA PILAR</v>
          </cell>
          <cell r="K5755" t="str">
            <v>17001</v>
          </cell>
          <cell r="L5755" t="str">
            <v>MANIZALES</v>
          </cell>
          <cell r="M5755" t="str">
            <v>3207970958</v>
          </cell>
        </row>
        <row r="5756">
          <cell r="A5756">
            <v>900895488</v>
          </cell>
          <cell r="B5756" t="str">
            <v>5</v>
          </cell>
          <cell r="C5756" t="str">
            <v/>
          </cell>
          <cell r="D5756" t="str">
            <v>NJ</v>
          </cell>
          <cell r="E5756" t="str">
            <v/>
          </cell>
          <cell r="F5756" t="str">
            <v/>
          </cell>
          <cell r="G5756" t="str">
            <v>INGENIERIA SOLUCIONES Y CONTROL SAS</v>
          </cell>
          <cell r="H5756" t="str">
            <v>IMVE</v>
          </cell>
          <cell r="I5756" t="str">
            <v>IMPUESTO SOBRE LAS VENTAS</v>
          </cell>
          <cell r="J5756" t="str">
            <v>CR 12 14 59 AP 503</v>
          </cell>
          <cell r="K5756" t="str">
            <v>15759</v>
          </cell>
          <cell r="L5756" t="str">
            <v>SOGAMOSO</v>
          </cell>
          <cell r="M5756" t="str">
            <v>3013316593</v>
          </cell>
        </row>
        <row r="5757">
          <cell r="A5757">
            <v>900896533</v>
          </cell>
          <cell r="B5757" t="str">
            <v>3</v>
          </cell>
          <cell r="C5757" t="str">
            <v/>
          </cell>
          <cell r="D5757" t="str">
            <v>NJ</v>
          </cell>
          <cell r="E5757" t="str">
            <v/>
          </cell>
          <cell r="F5757" t="str">
            <v/>
          </cell>
          <cell r="G5757" t="str">
            <v>COMERCIALIZADORA ELECTRICA INDUSTRIAL S.A.S</v>
          </cell>
          <cell r="H5757" t="str">
            <v>RECO</v>
          </cell>
          <cell r="I5757" t="str">
            <v>REGIMEN COMUN</v>
          </cell>
          <cell r="J5757" t="str">
            <v>CR 13 13 17</v>
          </cell>
          <cell r="K5757" t="str">
            <v>11001</v>
          </cell>
          <cell r="L5757" t="str">
            <v>BOGOTA DC</v>
          </cell>
          <cell r="M5757" t="str">
            <v>2431641</v>
          </cell>
        </row>
        <row r="5758">
          <cell r="A5758">
            <v>900896981</v>
          </cell>
          <cell r="B5758" t="str">
            <v>1</v>
          </cell>
          <cell r="C5758" t="str">
            <v/>
          </cell>
          <cell r="D5758" t="str">
            <v>NJ</v>
          </cell>
          <cell r="E5758" t="str">
            <v/>
          </cell>
          <cell r="F5758" t="str">
            <v/>
          </cell>
          <cell r="G5758" t="str">
            <v>ENDRESS + HAUSER (COLOMBIA) S.A.S</v>
          </cell>
          <cell r="H5758" t="str">
            <v>RCAU</v>
          </cell>
          <cell r="I5758" t="str">
            <v>RESPONSABLE IVA - AUTORETENEDOR</v>
          </cell>
          <cell r="J5758" t="str">
            <v>CR 17 93 09 OF 201</v>
          </cell>
          <cell r="K5758" t="str">
            <v>11001</v>
          </cell>
          <cell r="L5758" t="str">
            <v>BOGOTA DC</v>
          </cell>
          <cell r="M5758" t="str">
            <v>3153005158</v>
          </cell>
        </row>
        <row r="5759">
          <cell r="A5759">
            <v>900897653</v>
          </cell>
          <cell r="B5759" t="str">
            <v>3</v>
          </cell>
          <cell r="C5759" t="str">
            <v/>
          </cell>
          <cell r="D5759" t="str">
            <v>NJ</v>
          </cell>
          <cell r="E5759" t="str">
            <v/>
          </cell>
          <cell r="F5759" t="str">
            <v/>
          </cell>
          <cell r="G5759" t="str">
            <v>3INNOVA S.A.S.</v>
          </cell>
          <cell r="H5759" t="str">
            <v>IMVE</v>
          </cell>
          <cell r="I5759" t="str">
            <v>IMPUESTO SOBRE LAS VENTAS</v>
          </cell>
          <cell r="J5759" t="str">
            <v>CL 23 74 B  03</v>
          </cell>
          <cell r="K5759" t="str">
            <v>11001</v>
          </cell>
          <cell r="L5759" t="str">
            <v>BOGOTA DC</v>
          </cell>
          <cell r="M5759" t="str">
            <v>3124786719</v>
          </cell>
        </row>
        <row r="5760">
          <cell r="A5760">
            <v>900898982</v>
          </cell>
          <cell r="B5760" t="str">
            <v>6</v>
          </cell>
          <cell r="C5760" t="str">
            <v/>
          </cell>
          <cell r="D5760" t="str">
            <v>NJ</v>
          </cell>
          <cell r="E5760" t="str">
            <v/>
          </cell>
          <cell r="F5760" t="str">
            <v/>
          </cell>
          <cell r="G5760" t="str">
            <v>SOLUCIONES ENERGÉTICAS Y CONSTRUCTIVAS LASS SAS</v>
          </cell>
          <cell r="H5760" t="str">
            <v>IMVE</v>
          </cell>
          <cell r="I5760" t="str">
            <v>IMPUESTO SOBRE LAS VENTAS</v>
          </cell>
          <cell r="J5760" t="str">
            <v>CL 5 A 71 G 30 LC 4</v>
          </cell>
          <cell r="K5760" t="str">
            <v>03</v>
          </cell>
          <cell r="L5760" t="str">
            <v>BOGOTA</v>
          </cell>
          <cell r="M5760" t="str">
            <v>3143003200</v>
          </cell>
        </row>
        <row r="5761">
          <cell r="A5761">
            <v>900899782</v>
          </cell>
          <cell r="B5761" t="str">
            <v>4</v>
          </cell>
          <cell r="C5761" t="str">
            <v/>
          </cell>
          <cell r="D5761" t="str">
            <v>NJ</v>
          </cell>
          <cell r="E5761" t="str">
            <v/>
          </cell>
          <cell r="F5761" t="str">
            <v/>
          </cell>
          <cell r="G5761" t="str">
            <v>SIIA INGENIEROS SAS</v>
          </cell>
          <cell r="H5761" t="str">
            <v>IMVE</v>
          </cell>
          <cell r="I5761" t="str">
            <v>IMPUESTO SOBRE LAS VENTAS</v>
          </cell>
          <cell r="J5761" t="str">
            <v xml:space="preserve"> CL 150 A  53 04</v>
          </cell>
          <cell r="K5761" t="str">
            <v>11001</v>
          </cell>
          <cell r="L5761" t="str">
            <v>BOGOTA DC</v>
          </cell>
          <cell r="M5761" t="str">
            <v>3103239457</v>
          </cell>
        </row>
        <row r="5762">
          <cell r="A5762">
            <v>900900852</v>
          </cell>
          <cell r="B5762" t="str">
            <v>5</v>
          </cell>
          <cell r="C5762" t="str">
            <v/>
          </cell>
          <cell r="D5762" t="str">
            <v>NJ</v>
          </cell>
          <cell r="E5762" t="str">
            <v/>
          </cell>
          <cell r="F5762" t="str">
            <v/>
          </cell>
          <cell r="G5762" t="str">
            <v>FUNDACIÓN MORICHALES DE COLOMBIA</v>
          </cell>
          <cell r="H5762" t="str">
            <v>IMVE</v>
          </cell>
          <cell r="I5762" t="str">
            <v>IMPUESTO SOBRE LAS VENTAS</v>
          </cell>
          <cell r="J5762" t="str">
            <v>CR 10 11 34 BRR LIBERTADOR</v>
          </cell>
          <cell r="K5762" t="str">
            <v>85139</v>
          </cell>
          <cell r="L5762" t="str">
            <v>MANÍ</v>
          </cell>
          <cell r="M5762" t="str">
            <v>315 351 4200</v>
          </cell>
        </row>
        <row r="5763">
          <cell r="A5763">
            <v>900901373</v>
          </cell>
          <cell r="B5763" t="str">
            <v>3</v>
          </cell>
          <cell r="C5763" t="str">
            <v/>
          </cell>
          <cell r="D5763" t="str">
            <v>NJ</v>
          </cell>
          <cell r="E5763" t="str">
            <v/>
          </cell>
          <cell r="F5763" t="str">
            <v/>
          </cell>
          <cell r="G5763" t="str">
            <v>HOTELES CASA VICTORIA SAS</v>
          </cell>
          <cell r="H5763" t="str">
            <v>RECO</v>
          </cell>
          <cell r="I5763" t="str">
            <v>REGIMEN COMUN</v>
          </cell>
          <cell r="J5763" t="str">
            <v>CR 50 94 C 68 OF 203</v>
          </cell>
          <cell r="K5763" t="str">
            <v>11001</v>
          </cell>
          <cell r="L5763" t="str">
            <v>BOGOTA DC</v>
          </cell>
          <cell r="M5763" t="str">
            <v>6169664</v>
          </cell>
        </row>
        <row r="5764">
          <cell r="A5764">
            <v>900902403</v>
          </cell>
          <cell r="B5764" t="str">
            <v>0</v>
          </cell>
          <cell r="C5764" t="str">
            <v/>
          </cell>
          <cell r="D5764" t="str">
            <v>NJ</v>
          </cell>
          <cell r="E5764" t="str">
            <v/>
          </cell>
          <cell r="F5764" t="str">
            <v/>
          </cell>
          <cell r="G5764" t="str">
            <v>HOTEL BARRANQUILLA BUENAVISTA S A S</v>
          </cell>
          <cell r="H5764" t="str">
            <v>RECO</v>
          </cell>
          <cell r="I5764" t="str">
            <v>REGIMEN COMUN</v>
          </cell>
          <cell r="J5764" t="str">
            <v>CR 53   106   280</v>
          </cell>
          <cell r="K5764" t="str">
            <v>08001</v>
          </cell>
          <cell r="L5764" t="str">
            <v>BARRANQUILLA</v>
          </cell>
          <cell r="M5764" t="str">
            <v>3222163252</v>
          </cell>
        </row>
        <row r="5765">
          <cell r="A5765">
            <v>900905273</v>
          </cell>
          <cell r="B5765" t="str">
            <v>3</v>
          </cell>
          <cell r="C5765" t="str">
            <v/>
          </cell>
          <cell r="D5765" t="str">
            <v>NJ</v>
          </cell>
          <cell r="E5765" t="str">
            <v/>
          </cell>
          <cell r="F5765" t="str">
            <v/>
          </cell>
          <cell r="G5765" t="str">
            <v>AMBAR INGENIERÍA S.A.S.</v>
          </cell>
          <cell r="H5765" t="str">
            <v>IMVE</v>
          </cell>
          <cell r="I5765" t="str">
            <v>IMPUESTO SOBRE LAS VENTAS</v>
          </cell>
          <cell r="J5765" t="str">
            <v>CR 43 B 76 74</v>
          </cell>
          <cell r="K5765" t="str">
            <v>08001</v>
          </cell>
          <cell r="L5765" t="str">
            <v>BARRANQUILLA</v>
          </cell>
          <cell r="M5765" t="str">
            <v>3007334431</v>
          </cell>
        </row>
        <row r="5766">
          <cell r="A5766">
            <v>900906164</v>
          </cell>
          <cell r="B5766" t="str">
            <v>3</v>
          </cell>
          <cell r="C5766" t="str">
            <v/>
          </cell>
          <cell r="D5766" t="str">
            <v>NJ</v>
          </cell>
          <cell r="E5766" t="str">
            <v/>
          </cell>
          <cell r="F5766" t="str">
            <v/>
          </cell>
          <cell r="G5766" t="str">
            <v>TRANSPORTES CASTAÑEDA PEREZ SAS</v>
          </cell>
          <cell r="H5766" t="str">
            <v>REOR</v>
          </cell>
          <cell r="I5766" t="str">
            <v>RENTA REGIMEN ORDINARIO</v>
          </cell>
          <cell r="J5766" t="str">
            <v>CL 2 - 9 61 BRR CENTRO</v>
          </cell>
          <cell r="K5766" t="str">
            <v>85325</v>
          </cell>
          <cell r="L5766" t="str">
            <v>SAN LUIS DE PALENQUE</v>
          </cell>
          <cell r="M5766" t="str">
            <v>3222170286</v>
          </cell>
        </row>
        <row r="5767">
          <cell r="A5767">
            <v>900906315</v>
          </cell>
          <cell r="B5767" t="str">
            <v>9</v>
          </cell>
          <cell r="C5767" t="str">
            <v/>
          </cell>
          <cell r="D5767" t="str">
            <v>NJ</v>
          </cell>
          <cell r="E5767" t="str">
            <v/>
          </cell>
          <cell r="F5767" t="str">
            <v/>
          </cell>
          <cell r="G5767" t="str">
            <v>ERA PATRIMONIO CULTURA Y SOCIEDAD S.A.S</v>
          </cell>
          <cell r="H5767" t="str">
            <v>RECO</v>
          </cell>
          <cell r="I5767" t="str">
            <v>REGIMEN COMUN</v>
          </cell>
          <cell r="J5767" t="str">
            <v>CR 90 22 C 59 IN 1 A P 406</v>
          </cell>
          <cell r="K5767" t="str">
            <v>11001</v>
          </cell>
          <cell r="L5767" t="str">
            <v>BOGOTA DC</v>
          </cell>
          <cell r="M5767" t="str">
            <v>3002130341</v>
          </cell>
        </row>
        <row r="5768">
          <cell r="A5768">
            <v>900908454</v>
          </cell>
          <cell r="B5768" t="str">
            <v>3</v>
          </cell>
          <cell r="C5768" t="str">
            <v/>
          </cell>
          <cell r="D5768" t="str">
            <v>NJ</v>
          </cell>
          <cell r="E5768" t="str">
            <v/>
          </cell>
          <cell r="F5768" t="str">
            <v/>
          </cell>
          <cell r="G5768" t="str">
            <v>PLASTI RIMUEBLES SAS</v>
          </cell>
          <cell r="H5768" t="str">
            <v>REOR</v>
          </cell>
          <cell r="I5768" t="str">
            <v>RENTA REGIMEN ORDINARIO</v>
          </cell>
          <cell r="J5768" t="str">
            <v>CARRERA 27 #  12 B 21</v>
          </cell>
          <cell r="K5768" t="str">
            <v>17001</v>
          </cell>
          <cell r="L5768" t="str">
            <v>MANIZALES</v>
          </cell>
          <cell r="M5768" t="str">
            <v>2375007</v>
          </cell>
        </row>
        <row r="5769">
          <cell r="A5769">
            <v>900908734</v>
          </cell>
          <cell r="B5769" t="str">
            <v>0</v>
          </cell>
          <cell r="C5769" t="str">
            <v/>
          </cell>
          <cell r="D5769" t="str">
            <v>NJ</v>
          </cell>
          <cell r="E5769" t="str">
            <v/>
          </cell>
          <cell r="F5769" t="str">
            <v/>
          </cell>
          <cell r="G5769" t="str">
            <v>CASO AUDITORIAS Y CONSULTORIAS SAS</v>
          </cell>
          <cell r="H5769" t="str">
            <v>RST</v>
          </cell>
          <cell r="I5769" t="str">
            <v>REGIMEN SIMPLE DE TRIBUTACION</v>
          </cell>
          <cell r="J5769" t="str">
            <v>CL 29 41 105 OF 7001 ED SOHO</v>
          </cell>
          <cell r="K5769" t="str">
            <v>05001</v>
          </cell>
          <cell r="L5769" t="str">
            <v>MEDELLÍN</v>
          </cell>
          <cell r="M5769" t="str">
            <v>3122360633</v>
          </cell>
        </row>
        <row r="5770">
          <cell r="A5770">
            <v>900912699</v>
          </cell>
          <cell r="B5770" t="str">
            <v>6</v>
          </cell>
          <cell r="C5770" t="str">
            <v/>
          </cell>
          <cell r="D5770" t="str">
            <v>NJ</v>
          </cell>
          <cell r="E5770" t="str">
            <v/>
          </cell>
          <cell r="F5770" t="str">
            <v/>
          </cell>
          <cell r="G5770" t="str">
            <v>EDS ESTACION DE SERVICIO PONTEVEDRA</v>
          </cell>
          <cell r="H5770" t="str">
            <v>RECO</v>
          </cell>
          <cell r="I5770" t="str">
            <v>REGIMEN COMUN</v>
          </cell>
          <cell r="J5770" t="str">
            <v>AK 72   73   92</v>
          </cell>
          <cell r="K5770" t="str">
            <v>11001</v>
          </cell>
          <cell r="L5770" t="str">
            <v>BOGOTA DC</v>
          </cell>
          <cell r="M5770" t="str">
            <v>3267878</v>
          </cell>
        </row>
        <row r="5771">
          <cell r="A5771">
            <v>900913131</v>
          </cell>
          <cell r="B5771" t="str">
            <v>1</v>
          </cell>
          <cell r="C5771" t="str">
            <v/>
          </cell>
          <cell r="D5771" t="str">
            <v>NJ</v>
          </cell>
          <cell r="E5771" t="str">
            <v/>
          </cell>
          <cell r="F5771" t="str">
            <v/>
          </cell>
          <cell r="G5771" t="str">
            <v>A&amp;CI MOTION S.A.S.</v>
          </cell>
          <cell r="H5771" t="str">
            <v>RECO</v>
          </cell>
          <cell r="I5771" t="str">
            <v>REGIMEN COMUN</v>
          </cell>
          <cell r="J5771" t="str">
            <v>CR 81 D 25 D 19</v>
          </cell>
          <cell r="K5771" t="str">
            <v>11001</v>
          </cell>
          <cell r="L5771" t="str">
            <v>BOGOTA DC</v>
          </cell>
          <cell r="M5771" t="str">
            <v>3142947200</v>
          </cell>
        </row>
        <row r="5772">
          <cell r="A5772">
            <v>900914418</v>
          </cell>
          <cell r="B5772" t="str">
            <v>2</v>
          </cell>
          <cell r="C5772" t="str">
            <v/>
          </cell>
          <cell r="D5772" t="str">
            <v>NJ</v>
          </cell>
          <cell r="E5772" t="str">
            <v/>
          </cell>
          <cell r="F5772" t="str">
            <v/>
          </cell>
          <cell r="G5772" t="str">
            <v>OBRASCON HUARTE LAIN S.A. SUCURSAL COLOMBIA</v>
          </cell>
          <cell r="H5772" t="str">
            <v>IMVE</v>
          </cell>
          <cell r="I5772" t="str">
            <v>IMPUESTO SOBRE LAS VENTAS</v>
          </cell>
          <cell r="J5772" t="str">
            <v>CR 17 93 09 P 8</v>
          </cell>
          <cell r="K5772" t="str">
            <v>11001</v>
          </cell>
          <cell r="L5772" t="str">
            <v>BOGOTA DC</v>
          </cell>
          <cell r="M5772" t="str">
            <v>5188500</v>
          </cell>
        </row>
        <row r="5773">
          <cell r="A5773">
            <v>900915689</v>
          </cell>
          <cell r="B5773" t="str">
            <v>6</v>
          </cell>
          <cell r="C5773" t="str">
            <v/>
          </cell>
          <cell r="D5773" t="str">
            <v>NJ</v>
          </cell>
          <cell r="E5773" t="str">
            <v/>
          </cell>
          <cell r="F5773" t="str">
            <v/>
          </cell>
          <cell r="G5773" t="str">
            <v>INGENIERIA MASTER S.A.S.</v>
          </cell>
          <cell r="H5773" t="str">
            <v>IMVE</v>
          </cell>
          <cell r="I5773" t="str">
            <v>IMPUESTO SOBRE LAS VENTAS</v>
          </cell>
          <cell r="J5773" t="str">
            <v xml:space="preserve"> AV CARRERA 57 99 A  65</v>
          </cell>
          <cell r="K5773" t="str">
            <v>08001</v>
          </cell>
          <cell r="L5773" t="str">
            <v>BARRANQUILLA</v>
          </cell>
          <cell r="M5773" t="str">
            <v>3133780</v>
          </cell>
        </row>
        <row r="5774">
          <cell r="A5774">
            <v>900916608</v>
          </cell>
          <cell r="B5774" t="str">
            <v>4</v>
          </cell>
          <cell r="C5774" t="str">
            <v/>
          </cell>
          <cell r="D5774" t="str">
            <v>NJ</v>
          </cell>
          <cell r="E5774" t="str">
            <v/>
          </cell>
          <cell r="F5774" t="str">
            <v/>
          </cell>
          <cell r="G5774" t="str">
            <v>GAVINCO INGENIEROS CONSULTORES S.A.S</v>
          </cell>
          <cell r="H5774" t="str">
            <v>IMVE</v>
          </cell>
          <cell r="I5774" t="str">
            <v>IMPUESTO SOBRE LAS VENTAS</v>
          </cell>
          <cell r="J5774" t="str">
            <v>CR 48 101 A  29</v>
          </cell>
          <cell r="K5774" t="str">
            <v>11001</v>
          </cell>
          <cell r="L5774" t="str">
            <v>BOGOTA DC</v>
          </cell>
          <cell r="M5774" t="str">
            <v>2367974</v>
          </cell>
        </row>
        <row r="5775">
          <cell r="A5775">
            <v>900918979</v>
          </cell>
          <cell r="B5775" t="str">
            <v>0</v>
          </cell>
          <cell r="C5775" t="str">
            <v/>
          </cell>
          <cell r="D5775" t="str">
            <v>NJ</v>
          </cell>
          <cell r="E5775" t="str">
            <v/>
          </cell>
          <cell r="F5775" t="str">
            <v/>
          </cell>
          <cell r="G5775" t="str">
            <v>ONFA SAS</v>
          </cell>
          <cell r="H5775" t="str">
            <v>RECO</v>
          </cell>
          <cell r="I5775" t="str">
            <v>REGIMEN COMUN</v>
          </cell>
          <cell r="J5775" t="str">
            <v>CR 4  72  35  BRR LOS ROSALES</v>
          </cell>
          <cell r="K5775" t="str">
            <v>11001</v>
          </cell>
          <cell r="L5775" t="str">
            <v>BOGOTA DC</v>
          </cell>
          <cell r="M5775" t="str">
            <v>7041531</v>
          </cell>
        </row>
        <row r="5776">
          <cell r="A5776">
            <v>900920349</v>
          </cell>
          <cell r="B5776" t="str">
            <v>7</v>
          </cell>
          <cell r="C5776" t="str">
            <v/>
          </cell>
          <cell r="D5776" t="str">
            <v>NJ</v>
          </cell>
          <cell r="E5776" t="str">
            <v/>
          </cell>
          <cell r="F5776" t="str">
            <v/>
          </cell>
          <cell r="G5776" t="str">
            <v>JCB INGENIERÍA SAS</v>
          </cell>
          <cell r="H5776" t="str">
            <v>RECO</v>
          </cell>
          <cell r="I5776" t="str">
            <v>REGIMEN COMUN</v>
          </cell>
          <cell r="J5776" t="str">
            <v>CL 150 16  56 LC 1074 CC CEDRITOS</v>
          </cell>
          <cell r="K5776" t="str">
            <v>11001</v>
          </cell>
          <cell r="L5776" t="str">
            <v>BOGOTA DC</v>
          </cell>
          <cell r="M5776" t="str">
            <v>3102608525</v>
          </cell>
        </row>
        <row r="5777">
          <cell r="A5777">
            <v>900922472</v>
          </cell>
          <cell r="B5777" t="str">
            <v>4</v>
          </cell>
          <cell r="C5777" t="str">
            <v/>
          </cell>
          <cell r="D5777" t="str">
            <v>NJ</v>
          </cell>
          <cell r="E5777" t="str">
            <v/>
          </cell>
          <cell r="F5777" t="str">
            <v/>
          </cell>
          <cell r="G5777" t="str">
            <v>PROYECTOS DISEÑO ELÉCTRICO Y CONSTRUCCIÓN</v>
          </cell>
          <cell r="H5777" t="str">
            <v>IMVE</v>
          </cell>
          <cell r="I5777" t="str">
            <v>IMPUESTO SOBRE LAS VENTAS</v>
          </cell>
          <cell r="J5777" t="str">
            <v xml:space="preserve"> AC 53 73 A 36</v>
          </cell>
          <cell r="K5777" t="str">
            <v>11001</v>
          </cell>
          <cell r="L5777" t="str">
            <v>BOGOTA DC</v>
          </cell>
          <cell r="M5777" t="str">
            <v>3114855003</v>
          </cell>
        </row>
        <row r="5778">
          <cell r="A5778">
            <v>900923100</v>
          </cell>
          <cell r="B5778" t="str">
            <v>4</v>
          </cell>
          <cell r="C5778" t="str">
            <v/>
          </cell>
          <cell r="D5778" t="str">
            <v>NJ</v>
          </cell>
          <cell r="E5778" t="str">
            <v/>
          </cell>
          <cell r="F5778" t="str">
            <v/>
          </cell>
          <cell r="G5778" t="str">
            <v>ANDINA DE TRANSMISIONES S.A.S</v>
          </cell>
          <cell r="H5778" t="str">
            <v>RECO</v>
          </cell>
          <cell r="I5778" t="str">
            <v>REGIMEN COMUN</v>
          </cell>
          <cell r="J5778" t="str">
            <v>CR 28 11 67 OF 341</v>
          </cell>
          <cell r="K5778" t="str">
            <v>11001</v>
          </cell>
          <cell r="L5778" t="str">
            <v>BOGOTA DC</v>
          </cell>
          <cell r="M5778" t="str">
            <v>3134830743</v>
          </cell>
        </row>
        <row r="5779">
          <cell r="A5779">
            <v>900924041</v>
          </cell>
          <cell r="B5779" t="str">
            <v>2</v>
          </cell>
          <cell r="C5779" t="str">
            <v/>
          </cell>
          <cell r="D5779" t="str">
            <v>NJ</v>
          </cell>
          <cell r="E5779" t="str">
            <v/>
          </cell>
          <cell r="F5779" t="str">
            <v/>
          </cell>
          <cell r="G5779" t="str">
            <v>FRABELCO SAS</v>
          </cell>
          <cell r="H5779" t="str">
            <v>RECO</v>
          </cell>
          <cell r="I5779" t="str">
            <v>REGIMEN COMUN</v>
          </cell>
          <cell r="J5779" t="str">
            <v>CL 23 B NORTE 5 N 14 BRR VERSALLES</v>
          </cell>
          <cell r="K5779" t="str">
            <v>76001</v>
          </cell>
          <cell r="L5779" t="str">
            <v>CALI</v>
          </cell>
          <cell r="M5779" t="str">
            <v>6613745</v>
          </cell>
        </row>
        <row r="5780">
          <cell r="A5780">
            <v>900926080</v>
          </cell>
          <cell r="B5780" t="str">
            <v>9</v>
          </cell>
          <cell r="C5780" t="str">
            <v/>
          </cell>
          <cell r="D5780" t="str">
            <v>NJ</v>
          </cell>
          <cell r="E5780" t="str">
            <v/>
          </cell>
          <cell r="F5780" t="str">
            <v/>
          </cell>
          <cell r="G5780" t="str">
            <v>INGENIERIA EN PROTECCION CONTRA INCENDIOS SAS</v>
          </cell>
          <cell r="H5780" t="str">
            <v>IMVE</v>
          </cell>
          <cell r="I5780" t="str">
            <v>IMPUESTO SOBRE LAS VENTAS</v>
          </cell>
          <cell r="J5780" t="str">
            <v xml:space="preserve"> CR 53 70 66</v>
          </cell>
          <cell r="K5780" t="str">
            <v>11001</v>
          </cell>
          <cell r="L5780" t="str">
            <v>BOGOTA DC</v>
          </cell>
          <cell r="M5780" t="str">
            <v>3134815632</v>
          </cell>
        </row>
        <row r="5781">
          <cell r="A5781">
            <v>900926508</v>
          </cell>
          <cell r="B5781" t="str">
            <v>9</v>
          </cell>
          <cell r="C5781" t="str">
            <v/>
          </cell>
          <cell r="D5781" t="str">
            <v>NJ</v>
          </cell>
          <cell r="E5781" t="str">
            <v/>
          </cell>
          <cell r="F5781" t="str">
            <v/>
          </cell>
          <cell r="G5781" t="str">
            <v>AGRO ALEJO S.A</v>
          </cell>
          <cell r="H5781" t="str">
            <v>RECO</v>
          </cell>
          <cell r="I5781" t="str">
            <v>REGIMEN COMUN</v>
          </cell>
          <cell r="J5781" t="str">
            <v>CL 24 24 45</v>
          </cell>
          <cell r="K5781" t="str">
            <v>15516</v>
          </cell>
          <cell r="L5781" t="str">
            <v>PAIPA</v>
          </cell>
          <cell r="M5781" t="str">
            <v>7853092</v>
          </cell>
        </row>
        <row r="5782">
          <cell r="A5782">
            <v>900927112</v>
          </cell>
          <cell r="B5782" t="str">
            <v>0</v>
          </cell>
          <cell r="C5782" t="str">
            <v/>
          </cell>
          <cell r="D5782" t="str">
            <v>NJ</v>
          </cell>
          <cell r="E5782" t="str">
            <v/>
          </cell>
          <cell r="F5782" t="str">
            <v/>
          </cell>
          <cell r="G5782" t="str">
            <v>FUNDACION ALMAS CORALINAS</v>
          </cell>
          <cell r="H5782" t="str">
            <v>IMVE</v>
          </cell>
          <cell r="I5782" t="str">
            <v>IMPUESTO SOBRE LAS VENTAS</v>
          </cell>
          <cell r="J5782" t="str">
            <v>CR 4 24 25 ED CENTRO COMERCIAL CINEMA P2 OF 212</v>
          </cell>
          <cell r="K5782" t="str">
            <v>27001</v>
          </cell>
          <cell r="L5782" t="str">
            <v>QUIBDO</v>
          </cell>
          <cell r="M5782" t="str">
            <v>3113597630</v>
          </cell>
        </row>
        <row r="5783">
          <cell r="A5783">
            <v>900927135</v>
          </cell>
          <cell r="B5783" t="str">
            <v>1</v>
          </cell>
          <cell r="C5783" t="str">
            <v/>
          </cell>
          <cell r="D5783" t="str">
            <v>NJ</v>
          </cell>
          <cell r="E5783" t="str">
            <v/>
          </cell>
          <cell r="F5783" t="str">
            <v/>
          </cell>
          <cell r="G5783" t="str">
            <v>ELECTRICAL INDUSTRY VOLTA SAS</v>
          </cell>
          <cell r="H5783" t="str">
            <v>RECO</v>
          </cell>
          <cell r="I5783" t="str">
            <v>REGIMEN COMUN</v>
          </cell>
          <cell r="J5783" t="str">
            <v>CR 47 A 118  08  IN 2  AP 412</v>
          </cell>
          <cell r="K5783" t="str">
            <v>11001</v>
          </cell>
          <cell r="L5783" t="str">
            <v>BOGOTA DC</v>
          </cell>
          <cell r="M5783" t="str">
            <v>2158647</v>
          </cell>
        </row>
        <row r="5784">
          <cell r="A5784">
            <v>900927217</v>
          </cell>
          <cell r="B5784" t="str">
            <v>5</v>
          </cell>
          <cell r="C5784" t="str">
            <v/>
          </cell>
          <cell r="D5784" t="str">
            <v>NJ</v>
          </cell>
          <cell r="E5784" t="str">
            <v/>
          </cell>
          <cell r="F5784" t="str">
            <v/>
          </cell>
          <cell r="G5784" t="str">
            <v>COMPAÑIA INTEGRAL DE SERVICIOS PARA COLOMBIA SAS</v>
          </cell>
          <cell r="H5784" t="str">
            <v>RECO</v>
          </cell>
          <cell r="I5784" t="str">
            <v>REGIMEN COMUN</v>
          </cell>
          <cell r="J5784" t="str">
            <v>CR 1  5  47</v>
          </cell>
          <cell r="K5784" t="str">
            <v>85430</v>
          </cell>
          <cell r="L5784" t="str">
            <v>TRINIDAD</v>
          </cell>
          <cell r="M5784" t="str">
            <v>3214828041</v>
          </cell>
        </row>
        <row r="5785">
          <cell r="A5785">
            <v>900927260</v>
          </cell>
          <cell r="B5785" t="str">
            <v>2</v>
          </cell>
          <cell r="C5785" t="str">
            <v/>
          </cell>
          <cell r="D5785" t="str">
            <v>NJ</v>
          </cell>
          <cell r="E5785" t="str">
            <v/>
          </cell>
          <cell r="F5785" t="str">
            <v/>
          </cell>
          <cell r="G5785" t="str">
            <v>SMART INSTRUMENTS SAS</v>
          </cell>
          <cell r="H5785" t="str">
            <v>IMVE</v>
          </cell>
          <cell r="I5785" t="str">
            <v>IMPUESTO SOBRE LAS VENTAS</v>
          </cell>
          <cell r="J5785" t="str">
            <v>CL 105 70 B 35</v>
          </cell>
          <cell r="K5785" t="str">
            <v>11001</v>
          </cell>
          <cell r="L5785" t="str">
            <v>BOGOTA DC</v>
          </cell>
          <cell r="M5785" t="str">
            <v>3008574566</v>
          </cell>
        </row>
        <row r="5786">
          <cell r="A5786">
            <v>900928219</v>
          </cell>
          <cell r="B5786" t="str">
            <v>4</v>
          </cell>
          <cell r="C5786" t="str">
            <v/>
          </cell>
          <cell r="D5786" t="str">
            <v>NJ</v>
          </cell>
          <cell r="E5786" t="str">
            <v/>
          </cell>
          <cell r="F5786" t="str">
            <v/>
          </cell>
          <cell r="G5786" t="str">
            <v>HERMANOS MOGOLLON BARRIOS S.A.S</v>
          </cell>
          <cell r="H5786" t="str">
            <v>RECO</v>
          </cell>
          <cell r="I5786" t="str">
            <v>REGIMEN COMUN</v>
          </cell>
          <cell r="J5786" t="str">
            <v>BRR GETSEMANI CL SAN ANDRES 30 60</v>
          </cell>
          <cell r="K5786" t="str">
            <v>13001</v>
          </cell>
          <cell r="L5786" t="str">
            <v>CARTAGENA</v>
          </cell>
          <cell r="M5786" t="str">
            <v>6601225</v>
          </cell>
        </row>
        <row r="5787">
          <cell r="A5787">
            <v>900931035</v>
          </cell>
          <cell r="B5787" t="str">
            <v>7</v>
          </cell>
          <cell r="C5787" t="str">
            <v/>
          </cell>
          <cell r="D5787" t="str">
            <v>NJ</v>
          </cell>
          <cell r="E5787" t="str">
            <v/>
          </cell>
          <cell r="F5787" t="str">
            <v/>
          </cell>
          <cell r="G5787" t="str">
            <v>CVG SEGURIDAD INDUSTRIAL S.A.S</v>
          </cell>
          <cell r="H5787" t="str">
            <v>IMVE</v>
          </cell>
          <cell r="I5787" t="str">
            <v>IMPUESTO SOBRE LAS VENTAS</v>
          </cell>
          <cell r="J5787" t="str">
            <v xml:space="preserve"> CR 27 A 67 41</v>
          </cell>
          <cell r="K5787" t="str">
            <v>17001</v>
          </cell>
          <cell r="L5787" t="str">
            <v>MANIZALES</v>
          </cell>
          <cell r="M5787" t="str">
            <v>8816057</v>
          </cell>
        </row>
        <row r="5788">
          <cell r="A5788">
            <v>900931524</v>
          </cell>
          <cell r="B5788" t="str">
            <v>7</v>
          </cell>
          <cell r="C5788" t="str">
            <v/>
          </cell>
          <cell r="D5788" t="str">
            <v>NJ</v>
          </cell>
          <cell r="E5788" t="str">
            <v/>
          </cell>
          <cell r="F5788" t="str">
            <v/>
          </cell>
          <cell r="G5788" t="str">
            <v>SOLAR EFFICIENCY SAS</v>
          </cell>
          <cell r="H5788" t="str">
            <v>IMVE</v>
          </cell>
          <cell r="I5788" t="str">
            <v>IMPUESTO SOBRE LAS VENTAS</v>
          </cell>
          <cell r="J5788" t="str">
            <v>CL 128 B 50 20</v>
          </cell>
          <cell r="K5788" t="str">
            <v>03</v>
          </cell>
          <cell r="L5788" t="str">
            <v>BOGOTA</v>
          </cell>
          <cell r="M5788" t="str">
            <v>3508794464</v>
          </cell>
        </row>
        <row r="5789">
          <cell r="A5789">
            <v>900933131</v>
          </cell>
          <cell r="B5789" t="str">
            <v>5</v>
          </cell>
          <cell r="C5789" t="str">
            <v/>
          </cell>
          <cell r="D5789" t="str">
            <v>NJ</v>
          </cell>
          <cell r="E5789" t="str">
            <v/>
          </cell>
          <cell r="F5789" t="str">
            <v/>
          </cell>
          <cell r="G5789" t="str">
            <v>INGENIERIA R&amp;A SAS</v>
          </cell>
          <cell r="H5789" t="str">
            <v>IMVE</v>
          </cell>
          <cell r="I5789" t="str">
            <v>IMPUESTO SOBRE LAS VENTAS</v>
          </cell>
          <cell r="J5789" t="str">
            <v>CL 6  9  43</v>
          </cell>
          <cell r="K5789" t="str">
            <v>25899</v>
          </cell>
          <cell r="L5789" t="str">
            <v>ZIPAQUIRÁ</v>
          </cell>
          <cell r="M5789" t="str">
            <v>3103070236</v>
          </cell>
        </row>
        <row r="5790">
          <cell r="A5790">
            <v>900934851</v>
          </cell>
          <cell r="B5790" t="str">
            <v>4</v>
          </cell>
          <cell r="C5790" t="str">
            <v/>
          </cell>
          <cell r="D5790" t="str">
            <v>NJ</v>
          </cell>
          <cell r="E5790" t="str">
            <v/>
          </cell>
          <cell r="F5790" t="str">
            <v/>
          </cell>
          <cell r="G5790" t="str">
            <v>GASTRONIMIA ITALIANA EN COLOMBIA SAS</v>
          </cell>
          <cell r="H5790" t="str">
            <v>GRCO</v>
          </cell>
          <cell r="I5790" t="str">
            <v>GRAN CONTRIBUYENTE</v>
          </cell>
          <cell r="J5790" t="str">
            <v>CARRERA 9 A 99 - 02 OFICINA 501</v>
          </cell>
          <cell r="K5790" t="str">
            <v>11001</v>
          </cell>
          <cell r="L5790" t="str">
            <v>BOGOTA DC</v>
          </cell>
          <cell r="M5790" t="str">
            <v>7460045</v>
          </cell>
        </row>
        <row r="5791">
          <cell r="A5791">
            <v>900935069</v>
          </cell>
          <cell r="B5791" t="str">
            <v>5</v>
          </cell>
          <cell r="C5791" t="str">
            <v/>
          </cell>
          <cell r="D5791" t="str">
            <v>NJ</v>
          </cell>
          <cell r="E5791" t="str">
            <v/>
          </cell>
          <cell r="F5791" t="str">
            <v/>
          </cell>
          <cell r="G5791" t="str">
            <v>COTES ABOGADOS ASESORES &amp; CONSULTORES ESPECIALIZADOS SAS</v>
          </cell>
          <cell r="H5791" t="str">
            <v>IMVE</v>
          </cell>
          <cell r="I5791" t="str">
            <v>IMPUESTO SOBRE LAS VENTAS</v>
          </cell>
          <cell r="J5791" t="str">
            <v>AK 13 65 20 AP 307</v>
          </cell>
          <cell r="K5791" t="str">
            <v>11001</v>
          </cell>
          <cell r="L5791" t="str">
            <v>BOGOTA DC</v>
          </cell>
          <cell r="M5791" t="str">
            <v>3006982696</v>
          </cell>
        </row>
        <row r="5792">
          <cell r="A5792">
            <v>900935126</v>
          </cell>
          <cell r="B5792" t="str">
            <v>7</v>
          </cell>
          <cell r="C5792" t="str">
            <v/>
          </cell>
          <cell r="D5792" t="str">
            <v>NJ</v>
          </cell>
          <cell r="E5792" t="str">
            <v/>
          </cell>
          <cell r="F5792" t="str">
            <v/>
          </cell>
          <cell r="G5792" t="str">
            <v>ASMET SALUD EPS SAS</v>
          </cell>
          <cell r="H5792" t="str">
            <v>GRCO</v>
          </cell>
          <cell r="I5792" t="str">
            <v>GRAN CONTRIBUYENTE</v>
          </cell>
          <cell r="J5792" t="str">
            <v>CR 4 18 N 46 BRR LA ESTANCIA</v>
          </cell>
          <cell r="K5792" t="str">
            <v>19001</v>
          </cell>
          <cell r="L5792" t="str">
            <v>POPAYÁN</v>
          </cell>
          <cell r="M5792" t="str">
            <v>8312000</v>
          </cell>
        </row>
        <row r="5793">
          <cell r="A5793">
            <v>900938215</v>
          </cell>
          <cell r="B5793" t="str">
            <v>8</v>
          </cell>
          <cell r="C5793" t="str">
            <v/>
          </cell>
          <cell r="D5793" t="str">
            <v>NJ</v>
          </cell>
          <cell r="E5793" t="str">
            <v/>
          </cell>
          <cell r="F5793" t="str">
            <v/>
          </cell>
          <cell r="G5793" t="str">
            <v>GMCOMUNICACIONES Y ELECTRONICA SAS</v>
          </cell>
          <cell r="H5793" t="str">
            <v>RECO</v>
          </cell>
          <cell r="I5793" t="str">
            <v>REGIMEN COMUN</v>
          </cell>
          <cell r="J5793" t="str">
            <v>CR 38 12 A 47 OF 218 CC EXPO 38</v>
          </cell>
          <cell r="K5793" t="str">
            <v>11001</v>
          </cell>
          <cell r="L5793" t="str">
            <v>BOGOTA DC</v>
          </cell>
          <cell r="M5793" t="str">
            <v>3514674</v>
          </cell>
        </row>
        <row r="5794">
          <cell r="A5794">
            <v>900938523</v>
          </cell>
          <cell r="B5794" t="str">
            <v>1</v>
          </cell>
          <cell r="C5794" t="str">
            <v/>
          </cell>
          <cell r="D5794" t="str">
            <v>NJ</v>
          </cell>
          <cell r="E5794" t="str">
            <v/>
          </cell>
          <cell r="F5794" t="str">
            <v/>
          </cell>
          <cell r="G5794" t="str">
            <v>MINERIA Y GENERACION DE ENERGIA S.A.S. E.S.P.</v>
          </cell>
          <cell r="H5794" t="str">
            <v>RECO</v>
          </cell>
          <cell r="I5794" t="str">
            <v>REGIMEN COMUN</v>
          </cell>
          <cell r="J5794" t="str">
            <v>CL 70 A 21 A 14 BRR LAURELES</v>
          </cell>
          <cell r="K5794" t="str">
            <v>17001</v>
          </cell>
          <cell r="L5794" t="str">
            <v>MANIZALES</v>
          </cell>
          <cell r="M5794" t="str">
            <v>3108102839</v>
          </cell>
        </row>
        <row r="5795">
          <cell r="A5795">
            <v>900938626</v>
          </cell>
          <cell r="B5795" t="str">
            <v>1</v>
          </cell>
          <cell r="C5795" t="str">
            <v/>
          </cell>
          <cell r="D5795" t="str">
            <v>NJ</v>
          </cell>
          <cell r="E5795" t="str">
            <v/>
          </cell>
          <cell r="F5795" t="str">
            <v/>
          </cell>
          <cell r="G5795" t="str">
            <v>M &amp; L LAW FIRM CONSULTORES S.A.S.</v>
          </cell>
          <cell r="H5795" t="str">
            <v>IMVE</v>
          </cell>
          <cell r="I5795" t="str">
            <v>IMPUESTO SOBRE LAS VENTAS</v>
          </cell>
          <cell r="J5795" t="str">
            <v>CL 12 8 42 LC 301 A</v>
          </cell>
          <cell r="K5795" t="str">
            <v>20001</v>
          </cell>
          <cell r="L5795" t="str">
            <v>VALLEDUPAR</v>
          </cell>
          <cell r="M5795" t="str">
            <v>3013649270</v>
          </cell>
        </row>
        <row r="5796">
          <cell r="A5796">
            <v>900940623</v>
          </cell>
          <cell r="B5796" t="str">
            <v>6</v>
          </cell>
          <cell r="C5796" t="str">
            <v/>
          </cell>
          <cell r="D5796" t="str">
            <v>NJ</v>
          </cell>
          <cell r="E5796" t="str">
            <v/>
          </cell>
          <cell r="F5796" t="str">
            <v/>
          </cell>
          <cell r="G5796" t="str">
            <v>AUTOMATIZAR Y COMPAÑIA SAS</v>
          </cell>
          <cell r="H5796" t="str">
            <v>IMVE</v>
          </cell>
          <cell r="I5796" t="str">
            <v>IMPUESTO SOBRE LAS VENTAS</v>
          </cell>
          <cell r="J5796" t="str">
            <v>KM 4 VIA PANAMERICANA PARQUE CENTRO BG 7 D</v>
          </cell>
          <cell r="K5796" t="str">
            <v>17873</v>
          </cell>
          <cell r="L5796" t="str">
            <v>VILLAMARÍA</v>
          </cell>
          <cell r="M5796" t="str">
            <v>8864507</v>
          </cell>
        </row>
        <row r="5797">
          <cell r="A5797">
            <v>900941671</v>
          </cell>
          <cell r="B5797" t="str">
            <v>4</v>
          </cell>
          <cell r="C5797" t="str">
            <v/>
          </cell>
          <cell r="D5797" t="str">
            <v>NJ</v>
          </cell>
          <cell r="E5797" t="str">
            <v/>
          </cell>
          <cell r="F5797" t="str">
            <v/>
          </cell>
          <cell r="G5797" t="str">
            <v>INVERSIONES L Y L ASOCIADOS SAS</v>
          </cell>
          <cell r="H5797" t="str">
            <v>RECO</v>
          </cell>
          <cell r="I5797" t="str">
            <v>REGIMEN COMUN</v>
          </cell>
          <cell r="J5797" t="str">
            <v>AV BOYACA   52   04</v>
          </cell>
          <cell r="K5797" t="str">
            <v>11001</v>
          </cell>
          <cell r="L5797" t="str">
            <v>BOGOTA DC</v>
          </cell>
          <cell r="M5797" t="str">
            <v>2630358</v>
          </cell>
        </row>
        <row r="5798">
          <cell r="A5798">
            <v>900942764</v>
          </cell>
          <cell r="B5798" t="str">
            <v>5</v>
          </cell>
          <cell r="C5798" t="str">
            <v/>
          </cell>
          <cell r="D5798" t="str">
            <v>NJ</v>
          </cell>
          <cell r="E5798" t="str">
            <v/>
          </cell>
          <cell r="F5798" t="str">
            <v/>
          </cell>
          <cell r="G5798" t="str">
            <v>HOTEL CAQUETA REAL S.A.S</v>
          </cell>
          <cell r="H5798" t="str">
            <v>RECO</v>
          </cell>
          <cell r="I5798" t="str">
            <v>REGIMEN COMUN</v>
          </cell>
          <cell r="J5798" t="str">
            <v>CL 18   9   49 BRR CENTRO</v>
          </cell>
          <cell r="K5798" t="str">
            <v>19290</v>
          </cell>
          <cell r="L5798" t="str">
            <v>FLORENCIA</v>
          </cell>
          <cell r="M5798" t="str">
            <v>4351040</v>
          </cell>
        </row>
        <row r="5799">
          <cell r="A5799">
            <v>900943212</v>
          </cell>
          <cell r="B5799" t="str">
            <v>6</v>
          </cell>
          <cell r="C5799" t="str">
            <v/>
          </cell>
          <cell r="D5799" t="str">
            <v>NJ</v>
          </cell>
          <cell r="E5799" t="str">
            <v/>
          </cell>
          <cell r="F5799" t="str">
            <v/>
          </cell>
          <cell r="G5799" t="str">
            <v>SCALE INGENIERIA SAS</v>
          </cell>
          <cell r="H5799" t="str">
            <v>IMVE</v>
          </cell>
          <cell r="I5799" t="str">
            <v>IMPUESTO SOBRE LAS VENTAS</v>
          </cell>
          <cell r="J5799" t="str">
            <v>40 B  1 H 54</v>
          </cell>
          <cell r="K5799" t="str">
            <v>11001</v>
          </cell>
          <cell r="L5799" t="str">
            <v>BOGOTA DC</v>
          </cell>
          <cell r="M5799" t="str">
            <v>3164801631</v>
          </cell>
        </row>
        <row r="5800">
          <cell r="A5800">
            <v>900943243</v>
          </cell>
          <cell r="B5800" t="str">
            <v>4</v>
          </cell>
          <cell r="C5800" t="str">
            <v/>
          </cell>
          <cell r="D5800" t="str">
            <v>NJ</v>
          </cell>
          <cell r="E5800" t="str">
            <v/>
          </cell>
          <cell r="F5800" t="str">
            <v/>
          </cell>
          <cell r="G5800" t="str">
            <v>SURAMERICA COMERCIAL S.A.S</v>
          </cell>
          <cell r="H5800" t="str">
            <v>GRCO</v>
          </cell>
          <cell r="I5800" t="str">
            <v>GRAN CONTRIBUYENTE</v>
          </cell>
          <cell r="J5800" t="str">
            <v>AV 3 N 57 N 30</v>
          </cell>
          <cell r="K5800" t="str">
            <v>76001</v>
          </cell>
          <cell r="L5800" t="str">
            <v>CALI</v>
          </cell>
          <cell r="M5800" t="str">
            <v>6040433</v>
          </cell>
        </row>
        <row r="5801">
          <cell r="A5801">
            <v>900945036</v>
          </cell>
          <cell r="B5801" t="str">
            <v>5</v>
          </cell>
          <cell r="C5801" t="str">
            <v/>
          </cell>
          <cell r="D5801" t="str">
            <v>NJ</v>
          </cell>
          <cell r="E5801" t="str">
            <v/>
          </cell>
          <cell r="F5801" t="str">
            <v/>
          </cell>
          <cell r="G5801" t="str">
            <v>FUENTE DEL GUAINIA HOTEL DE LUJO SAS</v>
          </cell>
          <cell r="H5801" t="str">
            <v>RECO</v>
          </cell>
          <cell r="I5801" t="str">
            <v>REGIMEN COMUN</v>
          </cell>
          <cell r="J5801" t="str">
            <v>CL 18 10 99 MZ K 1 2 VIA AEROPUERTO</v>
          </cell>
          <cell r="K5801" t="str">
            <v>94001</v>
          </cell>
          <cell r="L5801" t="str">
            <v>INÍRIDA</v>
          </cell>
          <cell r="M5801" t="str">
            <v>3158833946</v>
          </cell>
        </row>
        <row r="5802">
          <cell r="A5802">
            <v>900945395</v>
          </cell>
          <cell r="B5802" t="str">
            <v>4</v>
          </cell>
          <cell r="C5802" t="str">
            <v/>
          </cell>
          <cell r="D5802" t="str">
            <v>NJ</v>
          </cell>
          <cell r="E5802" t="str">
            <v/>
          </cell>
          <cell r="F5802" t="str">
            <v/>
          </cell>
          <cell r="G5802" t="str">
            <v>SERVI SUMINITROS FENIX SAS</v>
          </cell>
          <cell r="H5802" t="str">
            <v>RECO</v>
          </cell>
          <cell r="I5802" t="str">
            <v>REGIMEN COMUN</v>
          </cell>
          <cell r="J5802" t="str">
            <v>cl 22 21 40 of 309</v>
          </cell>
          <cell r="K5802" t="str">
            <v>17001</v>
          </cell>
          <cell r="L5802" t="str">
            <v>MANIZALES</v>
          </cell>
          <cell r="M5802" t="str">
            <v>3116229977</v>
          </cell>
        </row>
        <row r="5803">
          <cell r="A5803">
            <v>900946973</v>
          </cell>
          <cell r="B5803" t="str">
            <v>6</v>
          </cell>
          <cell r="C5803" t="str">
            <v/>
          </cell>
          <cell r="D5803" t="str">
            <v>NJ</v>
          </cell>
          <cell r="E5803" t="str">
            <v/>
          </cell>
          <cell r="F5803" t="str">
            <v/>
          </cell>
          <cell r="G5803" t="str">
            <v>EMERSON PROCESS MANAGEMENT DE COLOMBIA SAS</v>
          </cell>
          <cell r="H5803" t="str">
            <v>RECO</v>
          </cell>
          <cell r="I5803" t="str">
            <v>REGIMEN COMUN</v>
          </cell>
          <cell r="J5803" t="str">
            <v>CL 100  13  76  P  6</v>
          </cell>
          <cell r="K5803" t="str">
            <v>11001</v>
          </cell>
          <cell r="L5803" t="str">
            <v>BOGOTA DC</v>
          </cell>
          <cell r="M5803" t="str">
            <v>3176613628</v>
          </cell>
        </row>
        <row r="5804">
          <cell r="A5804">
            <v>900947201</v>
          </cell>
          <cell r="B5804" t="str">
            <v>3</v>
          </cell>
          <cell r="C5804" t="str">
            <v/>
          </cell>
          <cell r="D5804" t="str">
            <v>NJ</v>
          </cell>
          <cell r="E5804" t="str">
            <v/>
          </cell>
          <cell r="F5804" t="str">
            <v/>
          </cell>
          <cell r="G5804" t="str">
            <v>TOTTAL ENGINEERING ENERGY GROUP SAS</v>
          </cell>
          <cell r="H5804" t="str">
            <v>IMVE</v>
          </cell>
          <cell r="I5804" t="str">
            <v>IMPUESTO SOBRE LAS VENTAS</v>
          </cell>
          <cell r="J5804" t="str">
            <v>CL 7 36 B 14</v>
          </cell>
          <cell r="K5804" t="str">
            <v>15238</v>
          </cell>
          <cell r="L5804" t="str">
            <v>DUITAMA</v>
          </cell>
          <cell r="M5804" t="str">
            <v>3142746859</v>
          </cell>
        </row>
        <row r="5805">
          <cell r="A5805">
            <v>900948263</v>
          </cell>
          <cell r="B5805" t="str">
            <v>4</v>
          </cell>
          <cell r="C5805" t="str">
            <v/>
          </cell>
          <cell r="D5805" t="str">
            <v>NJ</v>
          </cell>
          <cell r="E5805" t="str">
            <v/>
          </cell>
          <cell r="F5805" t="str">
            <v/>
          </cell>
          <cell r="G5805" t="str">
            <v>TRANSPORTE EQUIPOS Y LOGISTICA SAS</v>
          </cell>
          <cell r="H5805" t="str">
            <v>IMVE</v>
          </cell>
          <cell r="I5805" t="str">
            <v>IMPUESTO SOBRE LAS VENTAS</v>
          </cell>
          <cell r="J5805" t="str">
            <v>CR 6 CL 52 01 BRR HECTOR DUQUE</v>
          </cell>
          <cell r="K5805" t="str">
            <v>05585</v>
          </cell>
          <cell r="L5805" t="str">
            <v>PUERTO NARE</v>
          </cell>
          <cell r="M5805" t="str">
            <v>3214921385</v>
          </cell>
        </row>
        <row r="5806">
          <cell r="A5806">
            <v>900948453</v>
          </cell>
          <cell r="B5806" t="str">
            <v>7</v>
          </cell>
          <cell r="C5806" t="str">
            <v/>
          </cell>
          <cell r="D5806" t="str">
            <v>NJ</v>
          </cell>
          <cell r="E5806" t="str">
            <v/>
          </cell>
          <cell r="F5806" t="str">
            <v/>
          </cell>
          <cell r="G5806" t="str">
            <v>FUNDACIÓN 24-0</v>
          </cell>
          <cell r="H5806" t="str">
            <v>RECO</v>
          </cell>
          <cell r="I5806" t="str">
            <v>REGIMEN COMUN</v>
          </cell>
          <cell r="J5806" t="str">
            <v>CR 25 39 A 45</v>
          </cell>
          <cell r="K5806" t="str">
            <v>11001</v>
          </cell>
          <cell r="L5806" t="str">
            <v>BOGOTA DC</v>
          </cell>
          <cell r="M5806" t="str">
            <v>3143942304</v>
          </cell>
        </row>
        <row r="5807">
          <cell r="A5807">
            <v>900949400</v>
          </cell>
          <cell r="B5807" t="str">
            <v>1</v>
          </cell>
          <cell r="C5807" t="str">
            <v/>
          </cell>
          <cell r="D5807" t="str">
            <v>NJ</v>
          </cell>
          <cell r="E5807" t="str">
            <v/>
          </cell>
          <cell r="F5807" t="str">
            <v/>
          </cell>
          <cell r="G5807" t="str">
            <v>ALVAREZ, LIEVANO, LASERNA S.A.S.</v>
          </cell>
          <cell r="H5807" t="str">
            <v>IMVE</v>
          </cell>
          <cell r="I5807" t="str">
            <v>IMPUESTO SOBRE LAS VENTAS</v>
          </cell>
          <cell r="J5807" t="str">
            <v xml:space="preserve"> CR 14 94 44 TO B OF 201</v>
          </cell>
          <cell r="K5807" t="str">
            <v>11001</v>
          </cell>
          <cell r="L5807" t="str">
            <v>BOGOTA DC</v>
          </cell>
          <cell r="M5807" t="str">
            <v>2362411</v>
          </cell>
        </row>
        <row r="5808">
          <cell r="A5808">
            <v>900949585</v>
          </cell>
          <cell r="B5808" t="str">
            <v>5</v>
          </cell>
          <cell r="C5808" t="str">
            <v/>
          </cell>
          <cell r="D5808" t="str">
            <v>NJ</v>
          </cell>
          <cell r="E5808" t="str">
            <v/>
          </cell>
          <cell r="F5808" t="str">
            <v/>
          </cell>
          <cell r="G5808" t="str">
            <v>EBARA BOMBAS COLOMBIA SAS</v>
          </cell>
          <cell r="H5808" t="str">
            <v>RECO</v>
          </cell>
          <cell r="I5808" t="str">
            <v>REGIMEN COMUN</v>
          </cell>
          <cell r="J5808" t="str">
            <v>CL 98 70 91 P 10 OF 1016 CENTRO EMPRESARIAL PONTEVEDRA</v>
          </cell>
          <cell r="K5808" t="str">
            <v>11001</v>
          </cell>
          <cell r="L5808" t="str">
            <v>BOGOTA DC</v>
          </cell>
          <cell r="M5808" t="str">
            <v>8269865</v>
          </cell>
        </row>
        <row r="5809">
          <cell r="A5809">
            <v>900949673</v>
          </cell>
          <cell r="B5809" t="str">
            <v>5</v>
          </cell>
          <cell r="C5809" t="str">
            <v/>
          </cell>
          <cell r="D5809" t="str">
            <v>NJ</v>
          </cell>
          <cell r="E5809" t="str">
            <v/>
          </cell>
          <cell r="F5809" t="str">
            <v/>
          </cell>
          <cell r="G5809" t="str">
            <v>SMARTEN  SA ESP</v>
          </cell>
          <cell r="H5809" t="str">
            <v>RECO</v>
          </cell>
          <cell r="I5809" t="str">
            <v>REGIMEN COMUN</v>
          </cell>
          <cell r="J5809" t="str">
            <v>CR 11 A 96 51 OF 309</v>
          </cell>
          <cell r="K5809" t="str">
            <v>11001</v>
          </cell>
          <cell r="L5809" t="str">
            <v>BOGOTA DC</v>
          </cell>
          <cell r="M5809" t="str">
            <v>3187116154</v>
          </cell>
        </row>
        <row r="5810">
          <cell r="A5810">
            <v>900951243</v>
          </cell>
          <cell r="B5810" t="str">
            <v>8</v>
          </cell>
          <cell r="C5810" t="str">
            <v/>
          </cell>
          <cell r="D5810" t="str">
            <v>NJ</v>
          </cell>
          <cell r="E5810" t="str">
            <v/>
          </cell>
          <cell r="F5810" t="str">
            <v/>
          </cell>
          <cell r="G5810" t="str">
            <v>XANTIA-XAMUELS S.A.S.</v>
          </cell>
          <cell r="H5810" t="str">
            <v>RECO</v>
          </cell>
          <cell r="I5810" t="str">
            <v>REGIMEN COMUN</v>
          </cell>
          <cell r="J5810" t="str">
            <v>CR 11 A 69 52</v>
          </cell>
          <cell r="K5810" t="str">
            <v>11001</v>
          </cell>
          <cell r="L5810" t="str">
            <v>BOGOTA DC</v>
          </cell>
          <cell r="M5810" t="str">
            <v>3207135010</v>
          </cell>
        </row>
        <row r="5811">
          <cell r="A5811">
            <v>900952473</v>
          </cell>
          <cell r="B5811" t="str">
            <v>1</v>
          </cell>
          <cell r="C5811" t="str">
            <v/>
          </cell>
          <cell r="D5811" t="str">
            <v>NJ</v>
          </cell>
          <cell r="E5811" t="str">
            <v/>
          </cell>
          <cell r="F5811" t="str">
            <v/>
          </cell>
          <cell r="G5811" t="str">
            <v>FUNDACIÓN DE PARAMÉDICOS BÚSQUEDA Y RESCATE SER-BYR</v>
          </cell>
          <cell r="H5811" t="str">
            <v>REIC</v>
          </cell>
          <cell r="I5811" t="str">
            <v>RENTA REGIMEN ESPECIAL</v>
          </cell>
          <cell r="J5811" t="str">
            <v>CL 81 B 25 41 CA 61 CONJ BOSQUES DELA SIERRA</v>
          </cell>
          <cell r="K5811" t="str">
            <v>17001</v>
          </cell>
          <cell r="L5811" t="str">
            <v>MANIZALES</v>
          </cell>
          <cell r="M5811" t="str">
            <v>3206954222</v>
          </cell>
        </row>
        <row r="5812">
          <cell r="A5812">
            <v>900953086</v>
          </cell>
          <cell r="B5812" t="str">
            <v>7</v>
          </cell>
          <cell r="C5812" t="str">
            <v/>
          </cell>
          <cell r="D5812" t="str">
            <v>NJ</v>
          </cell>
          <cell r="E5812" t="str">
            <v/>
          </cell>
          <cell r="F5812" t="str">
            <v/>
          </cell>
          <cell r="G5812" t="str">
            <v>SERKET SAS</v>
          </cell>
          <cell r="H5812" t="str">
            <v>RECO</v>
          </cell>
          <cell r="I5812" t="str">
            <v>REGIMEN COMUN</v>
          </cell>
          <cell r="J5812" t="str">
            <v>CL 70 A 23 B 42</v>
          </cell>
          <cell r="K5812" t="str">
            <v>17001</v>
          </cell>
          <cell r="L5812" t="str">
            <v>MANIZALES</v>
          </cell>
          <cell r="M5812" t="str">
            <v>3206851281</v>
          </cell>
        </row>
        <row r="5813">
          <cell r="A5813">
            <v>900953378</v>
          </cell>
          <cell r="B5813" t="str">
            <v>2</v>
          </cell>
          <cell r="C5813" t="str">
            <v/>
          </cell>
          <cell r="D5813" t="str">
            <v>NJ</v>
          </cell>
          <cell r="E5813" t="str">
            <v/>
          </cell>
          <cell r="F5813" t="str">
            <v/>
          </cell>
          <cell r="G5813" t="str">
            <v>INDUSTRIA CARBONERA LA MANGA S.A.S.</v>
          </cell>
          <cell r="H5813" t="str">
            <v>REOR</v>
          </cell>
          <cell r="I5813" t="str">
            <v>RENTA REGIMEN ORDINARIO</v>
          </cell>
          <cell r="J5813" t="str">
            <v xml:space="preserve"> VRD CANELAS KM 22 VIA SOGAMOSO TASCO SEC LA FRAGUA</v>
          </cell>
          <cell r="K5813" t="str">
            <v>15790</v>
          </cell>
          <cell r="L5813" t="str">
            <v>TASCO</v>
          </cell>
          <cell r="M5813" t="str">
            <v>3203591638</v>
          </cell>
        </row>
        <row r="5814">
          <cell r="A5814">
            <v>900953591</v>
          </cell>
          <cell r="B5814" t="str">
            <v>5</v>
          </cell>
          <cell r="C5814" t="str">
            <v/>
          </cell>
          <cell r="D5814" t="str">
            <v>NJ</v>
          </cell>
          <cell r="E5814" t="str">
            <v/>
          </cell>
          <cell r="F5814" t="str">
            <v/>
          </cell>
          <cell r="G5814" t="str">
            <v>J P G TOOLS &amp; TOOLS S.A.S</v>
          </cell>
          <cell r="H5814" t="str">
            <v>IMVE</v>
          </cell>
          <cell r="I5814" t="str">
            <v>IMPUESTO SOBRE LAS VENTAS</v>
          </cell>
          <cell r="J5814" t="str">
            <v xml:space="preserve"> CL 39 4 B 40</v>
          </cell>
          <cell r="K5814" t="str">
            <v>76001</v>
          </cell>
          <cell r="L5814" t="str">
            <v>CALI</v>
          </cell>
          <cell r="M5814" t="str">
            <v>3183926998</v>
          </cell>
        </row>
        <row r="5815">
          <cell r="A5815">
            <v>900954350</v>
          </cell>
          <cell r="B5815" t="str">
            <v>1</v>
          </cell>
          <cell r="C5815" t="str">
            <v/>
          </cell>
          <cell r="D5815" t="str">
            <v>NJ</v>
          </cell>
          <cell r="E5815" t="str">
            <v/>
          </cell>
          <cell r="F5815" t="str">
            <v/>
          </cell>
          <cell r="G5815" t="str">
            <v>FC MECATRONICA SAS</v>
          </cell>
          <cell r="H5815" t="str">
            <v>RST</v>
          </cell>
          <cell r="I5815" t="str">
            <v>REGIMEN SIMPLE DE TRIBUTACION</v>
          </cell>
          <cell r="J5815" t="str">
            <v>CL 10  24  43 AV CENTENARIO</v>
          </cell>
          <cell r="K5815" t="str">
            <v>17001</v>
          </cell>
          <cell r="L5815" t="str">
            <v>MANIZALES</v>
          </cell>
          <cell r="M5815" t="str">
            <v>3177820968</v>
          </cell>
        </row>
        <row r="5816">
          <cell r="A5816">
            <v>900955290</v>
          </cell>
          <cell r="B5816" t="str">
            <v>2</v>
          </cell>
          <cell r="C5816" t="str">
            <v/>
          </cell>
          <cell r="D5816" t="str">
            <v>NJ</v>
          </cell>
          <cell r="E5816" t="str">
            <v/>
          </cell>
          <cell r="F5816" t="str">
            <v/>
          </cell>
          <cell r="G5816" t="str">
            <v>CEPILLOS TECNICOS INDUSTRIALES SAS</v>
          </cell>
          <cell r="H5816" t="str">
            <v>IMVE</v>
          </cell>
          <cell r="I5816" t="str">
            <v>IMPUESTO SOBRE LAS VENTAS</v>
          </cell>
          <cell r="J5816" t="str">
            <v>CR 7 B 9 24 SUR IN 2 BRR NARIÑO SUR</v>
          </cell>
          <cell r="K5816" t="str">
            <v>11001</v>
          </cell>
          <cell r="L5816" t="str">
            <v>BOGOTA DC</v>
          </cell>
          <cell r="M5816" t="str">
            <v>31078806</v>
          </cell>
        </row>
        <row r="5817">
          <cell r="A5817">
            <v>900955644</v>
          </cell>
          <cell r="B5817" t="str">
            <v>6</v>
          </cell>
          <cell r="C5817" t="str">
            <v/>
          </cell>
          <cell r="D5817" t="str">
            <v>NJ</v>
          </cell>
          <cell r="E5817" t="str">
            <v/>
          </cell>
          <cell r="F5817" t="str">
            <v/>
          </cell>
          <cell r="G5817" t="str">
            <v>REMOTEK SERVICIOS INDUSTRIALES SAS</v>
          </cell>
          <cell r="H5817" t="str">
            <v>IMVE</v>
          </cell>
          <cell r="I5817" t="str">
            <v>IMPUESTO SOBRE LAS VENTAS</v>
          </cell>
          <cell r="J5817" t="str">
            <v>CR 81 36 91 LC 101</v>
          </cell>
          <cell r="K5817" t="str">
            <v>05002</v>
          </cell>
          <cell r="L5817" t="str">
            <v>MEDELLIN</v>
          </cell>
          <cell r="M5817" t="str">
            <v>3222903</v>
          </cell>
        </row>
        <row r="5818">
          <cell r="A5818">
            <v>900956142</v>
          </cell>
          <cell r="B5818" t="str">
            <v>5</v>
          </cell>
          <cell r="C5818" t="str">
            <v/>
          </cell>
          <cell r="D5818" t="str">
            <v>NJ</v>
          </cell>
          <cell r="E5818" t="str">
            <v/>
          </cell>
          <cell r="F5818" t="str">
            <v/>
          </cell>
          <cell r="G5818" t="str">
            <v>CONSULTORIA Y OBRAS CIVILES S.A.S.</v>
          </cell>
          <cell r="H5818" t="str">
            <v>IMVE</v>
          </cell>
          <cell r="I5818" t="str">
            <v>IMPUESTO SOBRE LAS VENTAS</v>
          </cell>
          <cell r="J5818" t="str">
            <v>CL 151 111 A 25 CA 156</v>
          </cell>
          <cell r="K5818" t="str">
            <v>11001</v>
          </cell>
          <cell r="L5818" t="str">
            <v>BOGOTA DC</v>
          </cell>
          <cell r="M5818" t="str">
            <v>3115815780</v>
          </cell>
        </row>
        <row r="5819">
          <cell r="A5819">
            <v>900956918</v>
          </cell>
          <cell r="B5819" t="str">
            <v>3</v>
          </cell>
          <cell r="C5819" t="str">
            <v/>
          </cell>
          <cell r="D5819" t="str">
            <v>NJ</v>
          </cell>
          <cell r="E5819" t="str">
            <v/>
          </cell>
          <cell r="F5819" t="str">
            <v/>
          </cell>
          <cell r="G5819" t="str">
            <v>4FENIX SAS</v>
          </cell>
          <cell r="H5819" t="str">
            <v>RECO</v>
          </cell>
          <cell r="I5819" t="str">
            <v>REGIMEN COMUN</v>
          </cell>
          <cell r="J5819" t="str">
            <v>CL 71 20 39</v>
          </cell>
          <cell r="K5819" t="str">
            <v>11001</v>
          </cell>
          <cell r="L5819" t="str">
            <v>BOGOTA DC</v>
          </cell>
          <cell r="M5819" t="str">
            <v>7457773</v>
          </cell>
        </row>
        <row r="5820">
          <cell r="A5820">
            <v>900959110</v>
          </cell>
          <cell r="B5820" t="str">
            <v>3</v>
          </cell>
          <cell r="C5820" t="str">
            <v/>
          </cell>
          <cell r="D5820" t="str">
            <v>NJ</v>
          </cell>
          <cell r="E5820" t="str">
            <v/>
          </cell>
          <cell r="F5820" t="str">
            <v/>
          </cell>
          <cell r="G5820" t="str">
            <v>LLANOS INGENIERIA ELECTRICA SAS</v>
          </cell>
          <cell r="H5820" t="str">
            <v>RECO</v>
          </cell>
          <cell r="I5820" t="str">
            <v>REGIMEN COMUN</v>
          </cell>
          <cell r="J5820" t="str">
            <v>CL 9 12 17 BRR SAN NICOLAS</v>
          </cell>
          <cell r="K5820" t="str">
            <v>76147</v>
          </cell>
          <cell r="L5820" t="str">
            <v>CARTAGO</v>
          </cell>
          <cell r="M5820" t="str">
            <v>3103929048</v>
          </cell>
        </row>
        <row r="5821">
          <cell r="A5821">
            <v>900959347</v>
          </cell>
          <cell r="B5821" t="str">
            <v>1</v>
          </cell>
          <cell r="C5821" t="str">
            <v/>
          </cell>
          <cell r="D5821" t="str">
            <v>NJ</v>
          </cell>
          <cell r="E5821" t="str">
            <v/>
          </cell>
          <cell r="F5821" t="str">
            <v/>
          </cell>
          <cell r="G5821" t="str">
            <v>DESCO SERVICIOS SAS</v>
          </cell>
          <cell r="H5821" t="str">
            <v>RECO</v>
          </cell>
          <cell r="I5821" t="str">
            <v>REGIMEN COMUN</v>
          </cell>
          <cell r="J5821" t="str">
            <v>AV BOYACA   77 A   51</v>
          </cell>
          <cell r="K5821" t="str">
            <v>11001</v>
          </cell>
          <cell r="L5821" t="str">
            <v>BOGOTA DC</v>
          </cell>
          <cell r="M5821" t="str">
            <v>4308194</v>
          </cell>
        </row>
        <row r="5822">
          <cell r="A5822">
            <v>900961532</v>
          </cell>
          <cell r="B5822" t="str">
            <v>4</v>
          </cell>
          <cell r="C5822" t="str">
            <v/>
          </cell>
          <cell r="D5822" t="str">
            <v>NJ</v>
          </cell>
          <cell r="E5822" t="str">
            <v/>
          </cell>
          <cell r="F5822" t="str">
            <v/>
          </cell>
          <cell r="G5822" t="str">
            <v>DANIPLAST COMERCIALIZADORA SAS</v>
          </cell>
          <cell r="H5822" t="str">
            <v>IMVE</v>
          </cell>
          <cell r="I5822" t="str">
            <v>IMPUESTO SOBRE LAS VENTAS</v>
          </cell>
          <cell r="J5822" t="str">
            <v xml:space="preserve"> AV CARACAS 18  07</v>
          </cell>
          <cell r="K5822" t="str">
            <v>11001</v>
          </cell>
          <cell r="L5822" t="str">
            <v>BOGOTA DC</v>
          </cell>
          <cell r="M5822" t="str">
            <v>3178169352</v>
          </cell>
        </row>
        <row r="5823">
          <cell r="A5823">
            <v>900961885</v>
          </cell>
          <cell r="B5823" t="str">
            <v>9</v>
          </cell>
          <cell r="C5823" t="str">
            <v/>
          </cell>
          <cell r="D5823" t="str">
            <v>NJ</v>
          </cell>
          <cell r="E5823" t="str">
            <v/>
          </cell>
          <cell r="F5823" t="str">
            <v/>
          </cell>
          <cell r="G5823" t="str">
            <v>ALMACENES GUTEMBERTO SAS</v>
          </cell>
          <cell r="H5823" t="str">
            <v>RECO</v>
          </cell>
          <cell r="I5823" t="str">
            <v>REGIMEN COMUN</v>
          </cell>
          <cell r="J5823" t="str">
            <v>CL 18 SUR 28  21</v>
          </cell>
          <cell r="K5823" t="str">
            <v>11001</v>
          </cell>
          <cell r="L5823" t="str">
            <v>BOGOTA DC</v>
          </cell>
          <cell r="M5823" t="str">
            <v>3166932912</v>
          </cell>
        </row>
        <row r="5824">
          <cell r="A5824">
            <v>900964711</v>
          </cell>
          <cell r="B5824" t="str">
            <v>1</v>
          </cell>
          <cell r="C5824" t="str">
            <v/>
          </cell>
          <cell r="D5824" t="str">
            <v>NJ</v>
          </cell>
          <cell r="E5824" t="str">
            <v/>
          </cell>
          <cell r="F5824" t="str">
            <v/>
          </cell>
          <cell r="G5824" t="str">
            <v>SOCIEDAD ANONIMA DE OBRAS Y SERVICIOS, COPASA, SUCURSAL DE COLOM</v>
          </cell>
          <cell r="H5824" t="str">
            <v>RECO</v>
          </cell>
          <cell r="I5824" t="str">
            <v>REGIMEN COMUN</v>
          </cell>
          <cell r="J5824" t="str">
            <v>CL 93 12 14 OF 601</v>
          </cell>
          <cell r="K5824" t="str">
            <v>11001</v>
          </cell>
          <cell r="L5824" t="str">
            <v>BOGOTA DC</v>
          </cell>
          <cell r="M5824" t="str">
            <v>3166260490</v>
          </cell>
        </row>
        <row r="5825">
          <cell r="A5825">
            <v>900965296</v>
          </cell>
          <cell r="B5825" t="str">
            <v>9</v>
          </cell>
          <cell r="C5825" t="str">
            <v/>
          </cell>
          <cell r="D5825" t="str">
            <v>NJ</v>
          </cell>
          <cell r="E5825" t="str">
            <v/>
          </cell>
          <cell r="F5825" t="str">
            <v/>
          </cell>
          <cell r="G5825" t="str">
            <v>CONSULTORIAS &amp; ASEGURAMIENTO SAS</v>
          </cell>
          <cell r="H5825" t="str">
            <v>RECO</v>
          </cell>
          <cell r="I5825" t="str">
            <v>REGIMEN COMUN</v>
          </cell>
          <cell r="J5825" t="str">
            <v>URB MOCAWA CA 104 BRR LA FLORIDA</v>
          </cell>
          <cell r="K5825" t="str">
            <v>17873</v>
          </cell>
          <cell r="L5825" t="str">
            <v>VILLAMARÍA</v>
          </cell>
          <cell r="M5825" t="str">
            <v>8957281</v>
          </cell>
        </row>
        <row r="5826">
          <cell r="A5826">
            <v>900965718</v>
          </cell>
          <cell r="B5826" t="str">
            <v>5</v>
          </cell>
          <cell r="C5826" t="str">
            <v/>
          </cell>
          <cell r="D5826" t="str">
            <v>NJ</v>
          </cell>
          <cell r="E5826" t="str">
            <v/>
          </cell>
          <cell r="F5826" t="str">
            <v/>
          </cell>
          <cell r="G5826" t="str">
            <v>VALVULAS Y SERVICIOS INDUSTRIALES S.A.S.</v>
          </cell>
          <cell r="H5826" t="str">
            <v>RST</v>
          </cell>
          <cell r="I5826" t="str">
            <v>REGIMEN SIMPLE DE TRIBUTACION</v>
          </cell>
          <cell r="J5826" t="str">
            <v>CR 62 76 25</v>
          </cell>
          <cell r="K5826" t="str">
            <v>11001</v>
          </cell>
          <cell r="L5826" t="str">
            <v>BOGOTA DC</v>
          </cell>
          <cell r="M5826" t="str">
            <v>3203547722</v>
          </cell>
        </row>
        <row r="5827">
          <cell r="A5827">
            <v>900966616</v>
          </cell>
          <cell r="B5827" t="str">
            <v>7</v>
          </cell>
          <cell r="C5827" t="str">
            <v/>
          </cell>
          <cell r="D5827" t="str">
            <v>NJ</v>
          </cell>
          <cell r="E5827" t="str">
            <v/>
          </cell>
          <cell r="F5827" t="str">
            <v/>
          </cell>
          <cell r="G5827" t="str">
            <v>RISK SOLUTION GROUP SAS</v>
          </cell>
          <cell r="H5827" t="str">
            <v>IMVE</v>
          </cell>
          <cell r="I5827" t="str">
            <v>IMPUESTO SOBRE LAS VENTAS</v>
          </cell>
          <cell r="J5827" t="str">
            <v>CL 15 A 79 366 BL 4 IN 413</v>
          </cell>
          <cell r="K5827" t="str">
            <v>05002</v>
          </cell>
          <cell r="L5827" t="str">
            <v>MEDELLIN</v>
          </cell>
          <cell r="M5827" t="str">
            <v>3104473509</v>
          </cell>
        </row>
        <row r="5828">
          <cell r="A5828">
            <v>900968325</v>
          </cell>
          <cell r="B5828" t="str">
            <v>8</v>
          </cell>
          <cell r="C5828" t="str">
            <v/>
          </cell>
          <cell r="D5828" t="str">
            <v>NJ</v>
          </cell>
          <cell r="E5828" t="str">
            <v/>
          </cell>
          <cell r="F5828" t="str">
            <v/>
          </cell>
          <cell r="G5828" t="str">
            <v>CONSTRUCTORRES E INGENIERIA SAS</v>
          </cell>
          <cell r="H5828" t="str">
            <v>IMVE</v>
          </cell>
          <cell r="I5828" t="str">
            <v>IMPUESTO SOBRE LAS VENTAS</v>
          </cell>
          <cell r="J5828" t="str">
            <v>CL 78 A 69 T 20</v>
          </cell>
          <cell r="K5828" t="str">
            <v>11001</v>
          </cell>
          <cell r="L5828" t="str">
            <v>BOGOTA DC</v>
          </cell>
          <cell r="M5828" t="str">
            <v>3108766988</v>
          </cell>
        </row>
        <row r="5829">
          <cell r="A5829">
            <v>900968583</v>
          </cell>
          <cell r="B5829" t="str">
            <v>1</v>
          </cell>
          <cell r="C5829" t="str">
            <v/>
          </cell>
          <cell r="D5829" t="str">
            <v>NJ</v>
          </cell>
          <cell r="E5829" t="str">
            <v/>
          </cell>
          <cell r="F5829" t="str">
            <v/>
          </cell>
          <cell r="G5829" t="str">
            <v>CONSORCIO REDES EL CHARCO</v>
          </cell>
          <cell r="H5829" t="str">
            <v>RECO</v>
          </cell>
          <cell r="I5829" t="str">
            <v>REGIMEN COMUN</v>
          </cell>
          <cell r="J5829" t="str">
            <v>CR 35 A 20 BRR LA RIVERA</v>
          </cell>
          <cell r="K5829" t="str">
            <v>05483</v>
          </cell>
          <cell r="L5829" t="str">
            <v>NARIÑO</v>
          </cell>
          <cell r="M5829" t="str">
            <v>7312434</v>
          </cell>
        </row>
        <row r="5830">
          <cell r="A5830">
            <v>900969028</v>
          </cell>
          <cell r="B5830" t="str">
            <v>1</v>
          </cell>
          <cell r="C5830" t="str">
            <v/>
          </cell>
          <cell r="D5830" t="str">
            <v>NJ</v>
          </cell>
          <cell r="E5830" t="str">
            <v/>
          </cell>
          <cell r="F5830" t="str">
            <v/>
          </cell>
          <cell r="G5830" t="str">
            <v>F&amp;L INGENIERIA Y SUMINISTROS SAS</v>
          </cell>
          <cell r="H5830" t="str">
            <v>RECO</v>
          </cell>
          <cell r="I5830" t="str">
            <v>REGIMEN COMUN</v>
          </cell>
          <cell r="J5830" t="str">
            <v>CR 10 A 38 A 68 BRR CHAPINERO ALTO</v>
          </cell>
          <cell r="K5830" t="str">
            <v>15759</v>
          </cell>
          <cell r="L5830" t="str">
            <v>SOGAMOSO</v>
          </cell>
          <cell r="M5830" t="str">
            <v>3187489944</v>
          </cell>
        </row>
        <row r="5831">
          <cell r="A5831">
            <v>900969061</v>
          </cell>
          <cell r="B5831" t="str">
            <v>3</v>
          </cell>
          <cell r="C5831" t="str">
            <v/>
          </cell>
          <cell r="D5831" t="str">
            <v>NJ</v>
          </cell>
          <cell r="E5831" t="str">
            <v/>
          </cell>
          <cell r="F5831" t="str">
            <v/>
          </cell>
          <cell r="G5831" t="str">
            <v>CLUB DEPORTIVO INDEPENDIENTE FC</v>
          </cell>
          <cell r="H5831" t="str">
            <v>REIC</v>
          </cell>
          <cell r="I5831" t="str">
            <v>RENTA REGIMEN ESPECIAL</v>
          </cell>
          <cell r="J5831" t="str">
            <v>CR 11 A 3 40</v>
          </cell>
          <cell r="K5831" t="str">
            <v>17873</v>
          </cell>
          <cell r="L5831" t="str">
            <v>VILLAMARÍA</v>
          </cell>
          <cell r="M5831" t="str">
            <v>3103711552</v>
          </cell>
        </row>
        <row r="5832">
          <cell r="A5832">
            <v>900970088</v>
          </cell>
          <cell r="B5832" t="str">
            <v>3</v>
          </cell>
          <cell r="C5832" t="str">
            <v/>
          </cell>
          <cell r="D5832" t="str">
            <v>NJ</v>
          </cell>
          <cell r="E5832" t="str">
            <v/>
          </cell>
          <cell r="F5832" t="str">
            <v/>
          </cell>
          <cell r="G5832" t="str">
            <v>CONSTRUCTORES Y CONSULTORES ELECTRO RIMVOL  S.A.S</v>
          </cell>
          <cell r="H5832" t="str">
            <v>RECO</v>
          </cell>
          <cell r="I5832" t="str">
            <v>REGIMEN COMUN</v>
          </cell>
          <cell r="J5832" t="str">
            <v>AV LIBERTADORES 27 27</v>
          </cell>
          <cell r="K5832" t="str">
            <v>15516</v>
          </cell>
          <cell r="L5832" t="str">
            <v>PAIPA</v>
          </cell>
          <cell r="M5832" t="str">
            <v>3202320487</v>
          </cell>
        </row>
        <row r="5833">
          <cell r="A5833">
            <v>900971153</v>
          </cell>
          <cell r="B5833" t="str">
            <v>9</v>
          </cell>
          <cell r="C5833" t="str">
            <v/>
          </cell>
          <cell r="D5833" t="str">
            <v>NJ</v>
          </cell>
          <cell r="E5833" t="str">
            <v/>
          </cell>
          <cell r="F5833" t="str">
            <v/>
          </cell>
          <cell r="G5833" t="str">
            <v>LA BODEGA INDUSTRIAL SAS</v>
          </cell>
          <cell r="H5833" t="str">
            <v>RECO</v>
          </cell>
          <cell r="I5833" t="str">
            <v>REGIMEN COMUN</v>
          </cell>
          <cell r="J5833" t="str">
            <v>CR 25 15 16</v>
          </cell>
          <cell r="K5833" t="str">
            <v>11001</v>
          </cell>
          <cell r="L5833" t="str">
            <v>BOGOTA DC</v>
          </cell>
          <cell r="M5833" t="str">
            <v>3125167424</v>
          </cell>
        </row>
        <row r="5834">
          <cell r="A5834">
            <v>900971424</v>
          </cell>
          <cell r="B5834" t="str">
            <v>1</v>
          </cell>
          <cell r="C5834" t="str">
            <v/>
          </cell>
          <cell r="D5834" t="str">
            <v>NJ</v>
          </cell>
          <cell r="E5834" t="str">
            <v/>
          </cell>
          <cell r="F5834" t="str">
            <v/>
          </cell>
          <cell r="G5834" t="str">
            <v>OPERADOR TURISTICO LAS MARGARITAS S.A.S</v>
          </cell>
          <cell r="H5834" t="str">
            <v>RECO</v>
          </cell>
          <cell r="I5834" t="str">
            <v>REGIMEN COMUN</v>
          </cell>
          <cell r="J5834" t="str">
            <v>CL 24   16   17 BRR LAS QUINTAS</v>
          </cell>
          <cell r="K5834" t="str">
            <v>15516</v>
          </cell>
          <cell r="L5834" t="str">
            <v>PAIPA</v>
          </cell>
          <cell r="M5834" t="str">
            <v>3144738180</v>
          </cell>
        </row>
        <row r="5835">
          <cell r="A5835">
            <v>900972825</v>
          </cell>
          <cell r="B5835" t="str">
            <v>4</v>
          </cell>
          <cell r="C5835" t="str">
            <v/>
          </cell>
          <cell r="D5835" t="str">
            <v>NJ</v>
          </cell>
          <cell r="E5835" t="str">
            <v/>
          </cell>
          <cell r="F5835" t="str">
            <v/>
          </cell>
          <cell r="G5835" t="str">
            <v>CONSORCIO INTERCONEXION META-VICHADA</v>
          </cell>
          <cell r="H5835" t="str">
            <v>RECO</v>
          </cell>
          <cell r="I5835" t="str">
            <v>REGIMEN COMUN</v>
          </cell>
          <cell r="J5835" t="str">
            <v>CL 11 37 59</v>
          </cell>
          <cell r="K5835" t="str">
            <v>50001</v>
          </cell>
          <cell r="L5835" t="str">
            <v>VILLAVICENCIO</v>
          </cell>
          <cell r="M5835" t="str">
            <v>6836360</v>
          </cell>
        </row>
        <row r="5836">
          <cell r="A5836">
            <v>900974300</v>
          </cell>
          <cell r="B5836" t="str">
            <v>9</v>
          </cell>
          <cell r="C5836" t="str">
            <v/>
          </cell>
          <cell r="D5836" t="str">
            <v>NJ</v>
          </cell>
          <cell r="E5836" t="str">
            <v/>
          </cell>
          <cell r="F5836" t="str">
            <v/>
          </cell>
          <cell r="G5836" t="str">
            <v>ABSICOL SAS</v>
          </cell>
          <cell r="H5836" t="str">
            <v>IMVE</v>
          </cell>
          <cell r="I5836" t="str">
            <v>IMPUESTO SOBRE LAS VENTAS</v>
          </cell>
          <cell r="J5836" t="str">
            <v>CR 72 J 37 D 08 SUR</v>
          </cell>
          <cell r="K5836" t="str">
            <v>11001</v>
          </cell>
          <cell r="L5836" t="str">
            <v>BOGOTA DC</v>
          </cell>
          <cell r="M5836" t="str">
            <v>32294844797</v>
          </cell>
        </row>
        <row r="5837">
          <cell r="A5837">
            <v>900974316</v>
          </cell>
          <cell r="B5837" t="str">
            <v>6</v>
          </cell>
          <cell r="C5837" t="str">
            <v/>
          </cell>
          <cell r="D5837" t="str">
            <v>NJ</v>
          </cell>
          <cell r="E5837" t="str">
            <v/>
          </cell>
          <cell r="F5837" t="str">
            <v/>
          </cell>
          <cell r="G5837" t="str">
            <v>TRANSCOQUE SAS</v>
          </cell>
          <cell r="H5837" t="str">
            <v>RECO</v>
          </cell>
          <cell r="I5837" t="str">
            <v>REGIMEN COMUN</v>
          </cell>
          <cell r="J5837" t="str">
            <v>CL 1 0 50 IN C 9 BRR LA FLORIDA SAN LUIS</v>
          </cell>
          <cell r="K5837" t="str">
            <v>54001</v>
          </cell>
          <cell r="L5837" t="str">
            <v>CÚCUTA</v>
          </cell>
          <cell r="M5837" t="str">
            <v>3043555908</v>
          </cell>
        </row>
        <row r="5838">
          <cell r="A5838">
            <v>900975803</v>
          </cell>
          <cell r="B5838" t="str">
            <v>6</v>
          </cell>
          <cell r="C5838" t="str">
            <v/>
          </cell>
          <cell r="D5838" t="str">
            <v>NJ</v>
          </cell>
          <cell r="E5838" t="str">
            <v/>
          </cell>
          <cell r="F5838" t="str">
            <v/>
          </cell>
          <cell r="G5838" t="str">
            <v>INGENIERIA Y EQUIPOS PARA LA INDUSTRAI SAS</v>
          </cell>
          <cell r="H5838" t="str">
            <v>IMVE</v>
          </cell>
          <cell r="I5838" t="str">
            <v>IMPUESTO SOBRE LAS VENTAS</v>
          </cell>
          <cell r="J5838" t="str">
            <v>CL 16 A 121 A 214 OF 406 ED PALO ALTO</v>
          </cell>
          <cell r="K5838" t="str">
            <v>76001</v>
          </cell>
          <cell r="L5838" t="str">
            <v>CALI</v>
          </cell>
          <cell r="M5838" t="str">
            <v>3481899</v>
          </cell>
        </row>
        <row r="5839">
          <cell r="A5839">
            <v>900976834</v>
          </cell>
          <cell r="B5839" t="str">
            <v>9</v>
          </cell>
          <cell r="C5839" t="str">
            <v/>
          </cell>
          <cell r="D5839" t="str">
            <v>NJ</v>
          </cell>
          <cell r="E5839" t="str">
            <v/>
          </cell>
          <cell r="F5839" t="str">
            <v/>
          </cell>
          <cell r="G5839" t="str">
            <v>INGENIERÍA Y DESARROLLOS INTEGRALES METALMECÁNICOS DE COLOMBIA S</v>
          </cell>
          <cell r="H5839" t="str">
            <v>RECO</v>
          </cell>
          <cell r="I5839" t="str">
            <v>REGIMEN COMUN</v>
          </cell>
          <cell r="J5839" t="str">
            <v>CL 26 11  05 BRR GIRARDOT</v>
          </cell>
          <cell r="K5839" t="str">
            <v>68001</v>
          </cell>
          <cell r="L5839" t="str">
            <v>BUCARAMANGA</v>
          </cell>
          <cell r="M5839" t="str">
            <v>3164468484</v>
          </cell>
        </row>
        <row r="5840">
          <cell r="A5840">
            <v>900977426</v>
          </cell>
          <cell r="B5840" t="str">
            <v>1</v>
          </cell>
          <cell r="C5840" t="str">
            <v/>
          </cell>
          <cell r="D5840" t="str">
            <v>NJ</v>
          </cell>
          <cell r="E5840" t="str">
            <v/>
          </cell>
          <cell r="F5840" t="str">
            <v/>
          </cell>
          <cell r="G5840" t="str">
            <v>LUBRISABANA SAS</v>
          </cell>
          <cell r="H5840" t="str">
            <v>IMVE</v>
          </cell>
          <cell r="I5840" t="str">
            <v>IMPUESTO SOBRE LAS VENTAS</v>
          </cell>
          <cell r="J5840" t="str">
            <v>CL 3 17 03 PAR INDUSTRIAL SAN JORGE BG C 2</v>
          </cell>
          <cell r="K5840" t="str">
            <v>30</v>
          </cell>
          <cell r="L5840" t="str">
            <v>CUNDINAMARCA</v>
          </cell>
          <cell r="M5840" t="str">
            <v>3125880003</v>
          </cell>
        </row>
        <row r="5841">
          <cell r="A5841">
            <v>900977777</v>
          </cell>
          <cell r="B5841" t="str">
            <v>1</v>
          </cell>
          <cell r="C5841" t="str">
            <v/>
          </cell>
          <cell r="D5841" t="str">
            <v>NJ</v>
          </cell>
          <cell r="E5841" t="str">
            <v/>
          </cell>
          <cell r="F5841" t="str">
            <v/>
          </cell>
          <cell r="G5841" t="str">
            <v>LA PIPA COMERCIALIZADORA S.A.S</v>
          </cell>
          <cell r="H5841" t="str">
            <v>RECO</v>
          </cell>
          <cell r="I5841" t="str">
            <v>REGIMEN COMUN</v>
          </cell>
          <cell r="J5841" t="str">
            <v>CR 18 22 38</v>
          </cell>
          <cell r="K5841" t="str">
            <v>17001</v>
          </cell>
          <cell r="L5841" t="str">
            <v>MANIZALES</v>
          </cell>
          <cell r="M5841" t="str">
            <v>8801010</v>
          </cell>
        </row>
        <row r="5842">
          <cell r="A5842">
            <v>900978611</v>
          </cell>
          <cell r="B5842" t="str">
            <v>2</v>
          </cell>
          <cell r="C5842" t="str">
            <v/>
          </cell>
          <cell r="D5842" t="str">
            <v>NJ</v>
          </cell>
          <cell r="E5842" t="str">
            <v/>
          </cell>
          <cell r="F5842" t="str">
            <v/>
          </cell>
          <cell r="G5842" t="str">
            <v>COMUNICACION E IMAGEN AUDIOVISUAL SAS</v>
          </cell>
          <cell r="H5842" t="str">
            <v>RECO</v>
          </cell>
          <cell r="I5842" t="str">
            <v>REGIMEN COMUN</v>
          </cell>
          <cell r="J5842" t="str">
            <v>CL 10 14 06</v>
          </cell>
          <cell r="K5842" t="str">
            <v>97001</v>
          </cell>
          <cell r="L5842" t="str">
            <v>MITÚ</v>
          </cell>
          <cell r="M5842" t="str">
            <v>3138010926</v>
          </cell>
        </row>
        <row r="5843">
          <cell r="A5843">
            <v>900981312</v>
          </cell>
          <cell r="B5843" t="str">
            <v>6</v>
          </cell>
          <cell r="C5843" t="str">
            <v/>
          </cell>
          <cell r="D5843" t="str">
            <v>NJ</v>
          </cell>
          <cell r="E5843" t="str">
            <v/>
          </cell>
          <cell r="F5843" t="str">
            <v/>
          </cell>
          <cell r="G5843" t="str">
            <v>QUANTITEC DERECHO &amp; TIC`S S.A.S.</v>
          </cell>
          <cell r="H5843" t="str">
            <v>RECO</v>
          </cell>
          <cell r="I5843" t="str">
            <v>REGIMEN COMUN</v>
          </cell>
          <cell r="J5843" t="str">
            <v>CR 23 70 43 AV SANTANDER</v>
          </cell>
          <cell r="K5843" t="str">
            <v>17001</v>
          </cell>
          <cell r="L5843" t="str">
            <v>MANIZALES</v>
          </cell>
          <cell r="M5843" t="str">
            <v>3206953976</v>
          </cell>
        </row>
        <row r="5844">
          <cell r="A5844">
            <v>900982553</v>
          </cell>
          <cell r="B5844" t="str">
            <v>9</v>
          </cell>
          <cell r="C5844" t="str">
            <v/>
          </cell>
          <cell r="D5844" t="str">
            <v>NJ</v>
          </cell>
          <cell r="E5844" t="str">
            <v/>
          </cell>
          <cell r="F5844" t="str">
            <v/>
          </cell>
          <cell r="G5844" t="str">
            <v>SIELCO INGENIERIA Y OBRAS SAS</v>
          </cell>
          <cell r="H5844" t="str">
            <v>RECO</v>
          </cell>
          <cell r="I5844" t="str">
            <v>REGIMEN COMUN</v>
          </cell>
          <cell r="J5844" t="str">
            <v>CR 34 18 A 02</v>
          </cell>
          <cell r="K5844" t="str">
            <v>17001</v>
          </cell>
          <cell r="L5844" t="str">
            <v>MANIZALES</v>
          </cell>
          <cell r="M5844" t="str">
            <v>8840475</v>
          </cell>
        </row>
        <row r="5845">
          <cell r="A5845">
            <v>900982846</v>
          </cell>
          <cell r="B5845" t="str">
            <v>1</v>
          </cell>
          <cell r="C5845" t="str">
            <v/>
          </cell>
          <cell r="D5845" t="str">
            <v>NJ</v>
          </cell>
          <cell r="E5845" t="str">
            <v/>
          </cell>
          <cell r="F5845" t="str">
            <v/>
          </cell>
          <cell r="G5845" t="str">
            <v>COLOMBIANA DE SUMINISTROS Y SOLUCIONES SAS</v>
          </cell>
          <cell r="H5845" t="str">
            <v>RECO</v>
          </cell>
          <cell r="I5845" t="str">
            <v>REGIMEN COMUN</v>
          </cell>
          <cell r="J5845" t="str">
            <v>CL 20 B 17 A BIS 20 MZ 0 CA 2 URB LA ESTACION</v>
          </cell>
          <cell r="K5845" t="str">
            <v>15516</v>
          </cell>
          <cell r="L5845" t="str">
            <v>PAIPA</v>
          </cell>
          <cell r="M5845" t="str">
            <v>3203008215</v>
          </cell>
        </row>
        <row r="5846">
          <cell r="A5846">
            <v>900983707</v>
          </cell>
          <cell r="B5846" t="str">
            <v>0</v>
          </cell>
          <cell r="C5846" t="str">
            <v/>
          </cell>
          <cell r="D5846" t="str">
            <v>NJ</v>
          </cell>
          <cell r="E5846" t="str">
            <v/>
          </cell>
          <cell r="F5846" t="str">
            <v/>
          </cell>
          <cell r="G5846" t="str">
            <v>LASERPLOTS S.A.S</v>
          </cell>
          <cell r="H5846" t="str">
            <v>IMVE</v>
          </cell>
          <cell r="I5846" t="str">
            <v>IMPUESTO SOBRE LAS VENTAS</v>
          </cell>
          <cell r="J5846" t="str">
            <v>CR 23 60 70</v>
          </cell>
          <cell r="K5846" t="str">
            <v>17001</v>
          </cell>
          <cell r="L5846" t="str">
            <v>MANIZALES</v>
          </cell>
          <cell r="M5846" t="str">
            <v>3165534581</v>
          </cell>
        </row>
        <row r="5847">
          <cell r="A5847">
            <v>900984551</v>
          </cell>
          <cell r="B5847" t="str">
            <v>3</v>
          </cell>
          <cell r="C5847" t="str">
            <v/>
          </cell>
          <cell r="D5847" t="str">
            <v>NJ</v>
          </cell>
          <cell r="E5847" t="str">
            <v/>
          </cell>
          <cell r="F5847" t="str">
            <v/>
          </cell>
          <cell r="G5847" t="str">
            <v>JGP INGENIEROS SAS</v>
          </cell>
          <cell r="H5847" t="str">
            <v>RECO</v>
          </cell>
          <cell r="I5847" t="str">
            <v>REGIMEN COMUN</v>
          </cell>
          <cell r="J5847" t="str">
            <v>TV 15 B 41 C 20</v>
          </cell>
          <cell r="K5847" t="str">
            <v>25754</v>
          </cell>
          <cell r="L5847" t="str">
            <v>SOACHA</v>
          </cell>
          <cell r="M5847" t="str">
            <v>3153167561</v>
          </cell>
        </row>
        <row r="5848">
          <cell r="A5848">
            <v>900984657</v>
          </cell>
          <cell r="B5848" t="str">
            <v>5</v>
          </cell>
          <cell r="C5848" t="str">
            <v/>
          </cell>
          <cell r="D5848" t="str">
            <v>NJ</v>
          </cell>
          <cell r="E5848" t="str">
            <v/>
          </cell>
          <cell r="F5848" t="str">
            <v/>
          </cell>
          <cell r="G5848" t="str">
            <v>TOP INGENIERIA SAS</v>
          </cell>
          <cell r="H5848" t="str">
            <v>IMVE</v>
          </cell>
          <cell r="I5848" t="str">
            <v>IMPUESTO SOBRE LAS VENTAS</v>
          </cell>
          <cell r="J5848" t="str">
            <v xml:space="preserve"> C  E  L  U  L  A 15  N  U  C  L  E  O  1 A  P 1 D 27  V  I  L</v>
          </cell>
          <cell r="K5848" t="str">
            <v>17001</v>
          </cell>
          <cell r="L5848" t="str">
            <v>MANIZALES</v>
          </cell>
          <cell r="M5848" t="str">
            <v>8714099</v>
          </cell>
        </row>
        <row r="5849">
          <cell r="A5849">
            <v>900985367</v>
          </cell>
          <cell r="B5849" t="str">
            <v>9</v>
          </cell>
          <cell r="C5849" t="str">
            <v/>
          </cell>
          <cell r="D5849" t="str">
            <v>NJ</v>
          </cell>
          <cell r="E5849" t="str">
            <v/>
          </cell>
          <cell r="F5849" t="str">
            <v/>
          </cell>
          <cell r="G5849" t="str">
            <v>MACROFUN SAS</v>
          </cell>
          <cell r="H5849" t="str">
            <v>RECO</v>
          </cell>
          <cell r="I5849" t="str">
            <v>REGIMEN COMUN</v>
          </cell>
          <cell r="J5849" t="str">
            <v>CR 32 11 A 16</v>
          </cell>
          <cell r="K5849" t="str">
            <v>17001</v>
          </cell>
          <cell r="L5849" t="str">
            <v>MANIZALES</v>
          </cell>
          <cell r="M5849" t="str">
            <v>3214246578</v>
          </cell>
        </row>
        <row r="5850">
          <cell r="A5850">
            <v>900988556</v>
          </cell>
          <cell r="B5850" t="str">
            <v>8</v>
          </cell>
          <cell r="C5850" t="str">
            <v/>
          </cell>
          <cell r="D5850" t="str">
            <v>NJ</v>
          </cell>
          <cell r="E5850" t="str">
            <v/>
          </cell>
          <cell r="F5850" t="str">
            <v/>
          </cell>
          <cell r="G5850" t="str">
            <v>GLOBAL ELECTRICAL WORK SAS</v>
          </cell>
          <cell r="H5850" t="str">
            <v>RECO</v>
          </cell>
          <cell r="I5850" t="str">
            <v>REGIMEN COMUN</v>
          </cell>
          <cell r="J5850" t="str">
            <v>CR 57 72 25 P 13 OF 1</v>
          </cell>
          <cell r="K5850" t="str">
            <v>08001</v>
          </cell>
          <cell r="L5850" t="str">
            <v>BARRANQUILLA</v>
          </cell>
          <cell r="M5850" t="str">
            <v>3188881137</v>
          </cell>
        </row>
        <row r="5851">
          <cell r="A5851">
            <v>900989116</v>
          </cell>
          <cell r="B5851" t="str">
            <v>5</v>
          </cell>
          <cell r="C5851" t="str">
            <v/>
          </cell>
          <cell r="D5851" t="str">
            <v>NJ</v>
          </cell>
          <cell r="E5851" t="str">
            <v/>
          </cell>
          <cell r="F5851" t="str">
            <v/>
          </cell>
          <cell r="G5851" t="str">
            <v>GREEN-ECO INGENIERIA AMBIENTAL SAS</v>
          </cell>
          <cell r="H5851" t="str">
            <v>IMVE</v>
          </cell>
          <cell r="I5851" t="str">
            <v>IMPUESTO SOBRE LAS VENTAS</v>
          </cell>
          <cell r="J5851" t="str">
            <v>CL 67 A 22 64 AP 1 BRR LAURELES</v>
          </cell>
          <cell r="K5851" t="str">
            <v>17001</v>
          </cell>
          <cell r="L5851" t="str">
            <v>MANIZALES</v>
          </cell>
          <cell r="M5851" t="str">
            <v>3158709372</v>
          </cell>
        </row>
        <row r="5852">
          <cell r="A5852">
            <v>900990014</v>
          </cell>
          <cell r="B5852" t="str">
            <v>4</v>
          </cell>
          <cell r="C5852" t="str">
            <v/>
          </cell>
          <cell r="D5852" t="str">
            <v>NJ</v>
          </cell>
          <cell r="E5852" t="str">
            <v/>
          </cell>
          <cell r="F5852" t="str">
            <v/>
          </cell>
          <cell r="G5852" t="str">
            <v>VITA E CUORE S.A.S.</v>
          </cell>
          <cell r="H5852" t="str">
            <v>REOR</v>
          </cell>
          <cell r="I5852" t="str">
            <v>RENTA REGIMEN ORDINARIO</v>
          </cell>
          <cell r="J5852" t="str">
            <v>CL 173 A 63 34</v>
          </cell>
          <cell r="K5852" t="str">
            <v>03</v>
          </cell>
          <cell r="L5852" t="str">
            <v>BOGOTA</v>
          </cell>
          <cell r="M5852" t="str">
            <v>3154585146</v>
          </cell>
        </row>
        <row r="5853">
          <cell r="A5853">
            <v>900990746</v>
          </cell>
          <cell r="B5853" t="str">
            <v>7</v>
          </cell>
          <cell r="C5853" t="str">
            <v/>
          </cell>
          <cell r="D5853" t="str">
            <v>NJ</v>
          </cell>
          <cell r="E5853" t="str">
            <v/>
          </cell>
          <cell r="F5853" t="str">
            <v/>
          </cell>
          <cell r="G5853" t="str">
            <v>PROTECCION SOCIAL GR SAS</v>
          </cell>
          <cell r="H5853" t="str">
            <v>IMVE</v>
          </cell>
          <cell r="I5853" t="str">
            <v>IMPUESTO SOBRE LAS VENTAS</v>
          </cell>
          <cell r="J5853" t="str">
            <v>CL 14 4 34</v>
          </cell>
          <cell r="K5853" t="str">
            <v>25214</v>
          </cell>
          <cell r="L5853" t="str">
            <v>COTA</v>
          </cell>
          <cell r="M5853" t="str">
            <v>3102162190</v>
          </cell>
        </row>
        <row r="5854">
          <cell r="A5854">
            <v>900991717</v>
          </cell>
          <cell r="B5854" t="str">
            <v>8</v>
          </cell>
          <cell r="C5854" t="str">
            <v/>
          </cell>
          <cell r="D5854" t="str">
            <v>NJ</v>
          </cell>
          <cell r="E5854" t="str">
            <v/>
          </cell>
          <cell r="F5854" t="str">
            <v/>
          </cell>
          <cell r="G5854" t="str">
            <v>INFORTEC SOLUCIONES S.A.S.</v>
          </cell>
          <cell r="H5854" t="str">
            <v>IMVE</v>
          </cell>
          <cell r="I5854" t="str">
            <v>IMPUESTO SOBRE LAS VENTAS</v>
          </cell>
          <cell r="J5854" t="str">
            <v xml:space="preserve"> CR 7 NUMERO 18-21  OF 310 EDF ANTONIO CORREA</v>
          </cell>
          <cell r="K5854" t="str">
            <v>66001</v>
          </cell>
          <cell r="L5854" t="str">
            <v>PEREIRA</v>
          </cell>
          <cell r="M5854" t="str">
            <v>3357504</v>
          </cell>
        </row>
        <row r="5855">
          <cell r="A5855">
            <v>900992803</v>
          </cell>
          <cell r="B5855" t="str">
            <v>8</v>
          </cell>
          <cell r="C5855" t="str">
            <v/>
          </cell>
          <cell r="D5855" t="str">
            <v>NJ</v>
          </cell>
          <cell r="E5855" t="str">
            <v/>
          </cell>
          <cell r="F5855" t="str">
            <v/>
          </cell>
          <cell r="G5855" t="str">
            <v>EXTRAMINERALS SAS</v>
          </cell>
          <cell r="H5855" t="str">
            <v>RECO</v>
          </cell>
          <cell r="I5855" t="str">
            <v>REGIMEN COMUN</v>
          </cell>
          <cell r="J5855" t="str">
            <v>CR 9 11  24 OF 201</v>
          </cell>
          <cell r="K5855" t="str">
            <v>15759</v>
          </cell>
          <cell r="L5855" t="str">
            <v>SOGAMOSO</v>
          </cell>
          <cell r="M5855" t="str">
            <v>3143528001</v>
          </cell>
        </row>
        <row r="5856">
          <cell r="A5856">
            <v>900993762</v>
          </cell>
          <cell r="B5856" t="str">
            <v>9</v>
          </cell>
          <cell r="C5856" t="str">
            <v/>
          </cell>
          <cell r="D5856" t="str">
            <v>NJ</v>
          </cell>
          <cell r="E5856" t="str">
            <v/>
          </cell>
          <cell r="F5856" t="str">
            <v/>
          </cell>
          <cell r="G5856" t="str">
            <v>TIC TAC INGENIERIA S.A.S</v>
          </cell>
          <cell r="H5856" t="str">
            <v>IMVE</v>
          </cell>
          <cell r="I5856" t="str">
            <v>IMPUESTO SOBRE LAS VENTAS</v>
          </cell>
          <cell r="J5856" t="str">
            <v>CR 61 100 78</v>
          </cell>
          <cell r="K5856" t="str">
            <v>11001</v>
          </cell>
          <cell r="L5856" t="str">
            <v>BOGOTA DC</v>
          </cell>
          <cell r="M5856" t="str">
            <v>4898307</v>
          </cell>
        </row>
        <row r="5857">
          <cell r="A5857">
            <v>900999347</v>
          </cell>
          <cell r="B5857" t="str">
            <v>2</v>
          </cell>
          <cell r="C5857" t="str">
            <v/>
          </cell>
          <cell r="D5857" t="str">
            <v>NJ</v>
          </cell>
          <cell r="E5857" t="str">
            <v/>
          </cell>
          <cell r="F5857" t="str">
            <v/>
          </cell>
          <cell r="G5857" t="str">
            <v>INGENIERIA Y SERVICIOS TECNICOS RINCON RUIZ S.A.S</v>
          </cell>
          <cell r="H5857" t="str">
            <v>RECO</v>
          </cell>
          <cell r="I5857" t="str">
            <v>REGIMEN COMUN</v>
          </cell>
          <cell r="J5857" t="str">
            <v>DG 59   11 A 47 BRR GUSTAVO JIMENEZ</v>
          </cell>
          <cell r="K5857" t="str">
            <v>15759</v>
          </cell>
          <cell r="L5857" t="str">
            <v>SOGAMOSO</v>
          </cell>
          <cell r="M5857" t="str">
            <v>3132758023</v>
          </cell>
        </row>
        <row r="5858">
          <cell r="A5858">
            <v>900999611</v>
          </cell>
          <cell r="B5858" t="str">
            <v>2</v>
          </cell>
          <cell r="C5858" t="str">
            <v/>
          </cell>
          <cell r="D5858" t="str">
            <v>NJ</v>
          </cell>
          <cell r="E5858" t="str">
            <v/>
          </cell>
          <cell r="F5858" t="str">
            <v/>
          </cell>
          <cell r="G5858" t="str">
            <v>CONSORCIO ACUSTICA  HMO</v>
          </cell>
          <cell r="H5858" t="str">
            <v>RECO</v>
          </cell>
          <cell r="I5858" t="str">
            <v>REGIMEN COMUN</v>
          </cell>
          <cell r="J5858" t="str">
            <v>CL 4 1  10 OF 305 EDIFICIO MERCURIO</v>
          </cell>
          <cell r="K5858" t="str">
            <v>17001</v>
          </cell>
          <cell r="L5858" t="str">
            <v>MANIZALES</v>
          </cell>
          <cell r="M5858" t="str">
            <v>3103880599</v>
          </cell>
        </row>
        <row r="5859">
          <cell r="A5859">
            <v>901000157</v>
          </cell>
          <cell r="B5859" t="str">
            <v>6</v>
          </cell>
          <cell r="C5859" t="str">
            <v/>
          </cell>
          <cell r="D5859" t="str">
            <v>NJ</v>
          </cell>
          <cell r="E5859" t="str">
            <v/>
          </cell>
          <cell r="F5859" t="str">
            <v/>
          </cell>
          <cell r="G5859" t="str">
            <v>STANZIA META SAS</v>
          </cell>
          <cell r="H5859" t="str">
            <v>RECO</v>
          </cell>
          <cell r="I5859" t="str">
            <v>REGIMEN COMUN</v>
          </cell>
          <cell r="J5859" t="str">
            <v>LT 1 MZ 207 URB FLOR AMARILLO</v>
          </cell>
          <cell r="K5859" t="str">
            <v>50568</v>
          </cell>
          <cell r="L5859" t="str">
            <v>PUERTO GAITÁN</v>
          </cell>
          <cell r="M5859" t="str">
            <v>3182403471</v>
          </cell>
        </row>
        <row r="5860">
          <cell r="A5860">
            <v>901000330</v>
          </cell>
          <cell r="B5860" t="str">
            <v>4</v>
          </cell>
          <cell r="C5860" t="str">
            <v/>
          </cell>
          <cell r="D5860" t="str">
            <v>NJ</v>
          </cell>
          <cell r="E5860" t="str">
            <v/>
          </cell>
          <cell r="F5860" t="str">
            <v/>
          </cell>
          <cell r="G5860" t="str">
            <v>KUSHKI COLOMBIA S.A.S.</v>
          </cell>
          <cell r="H5860" t="str">
            <v>IMVE</v>
          </cell>
          <cell r="I5860" t="str">
            <v>IMPUESTO SOBRE LAS VENTAS</v>
          </cell>
          <cell r="J5860" t="str">
            <v>CL 80 11 42 P 5 ED OCHENTA TO SUR</v>
          </cell>
          <cell r="K5860" t="str">
            <v>11001</v>
          </cell>
          <cell r="L5860" t="str">
            <v>BOGOTA DC</v>
          </cell>
          <cell r="M5860" t="str">
            <v>7433588</v>
          </cell>
        </row>
        <row r="5861">
          <cell r="A5861">
            <v>901000756</v>
          </cell>
          <cell r="B5861" t="str">
            <v>8</v>
          </cell>
          <cell r="C5861" t="str">
            <v/>
          </cell>
          <cell r="D5861" t="str">
            <v>NJ</v>
          </cell>
          <cell r="E5861" t="str">
            <v/>
          </cell>
          <cell r="F5861" t="str">
            <v/>
          </cell>
          <cell r="G5861" t="str">
            <v>COMERCIALIZADORA MARITIMA Y FLUBIAL EL CARIBE SAS</v>
          </cell>
          <cell r="H5861" t="str">
            <v>RECO</v>
          </cell>
          <cell r="I5861" t="str">
            <v>REGIMEN COMUN</v>
          </cell>
          <cell r="J5861" t="str">
            <v>CL 51 45 54 BRR EL CENTRO</v>
          </cell>
          <cell r="K5861" t="str">
            <v>05490</v>
          </cell>
          <cell r="L5861" t="str">
            <v>NECOCLÍ</v>
          </cell>
          <cell r="M5861" t="str">
            <v>3137644472</v>
          </cell>
        </row>
        <row r="5862">
          <cell r="A5862">
            <v>901001451</v>
          </cell>
          <cell r="B5862" t="str">
            <v>1</v>
          </cell>
          <cell r="C5862" t="str">
            <v/>
          </cell>
          <cell r="D5862" t="str">
            <v>NJ</v>
          </cell>
          <cell r="E5862" t="str">
            <v/>
          </cell>
          <cell r="F5862" t="str">
            <v/>
          </cell>
          <cell r="G5862" t="str">
            <v>COMPAÑIA DE CARBONES Y TRANSPORTES SAS</v>
          </cell>
          <cell r="H5862" t="str">
            <v>IMVE</v>
          </cell>
          <cell r="I5862" t="str">
            <v>IMPUESTO SOBRE LAS VENTAS</v>
          </cell>
          <cell r="J5862" t="str">
            <v>CR 12 14 105 OF 301 ED LIMANARS</v>
          </cell>
          <cell r="K5862" t="str">
            <v>15759</v>
          </cell>
          <cell r="L5862" t="str">
            <v>SOGAMOSO</v>
          </cell>
          <cell r="M5862" t="str">
            <v>3124115343</v>
          </cell>
        </row>
        <row r="5863">
          <cell r="A5863">
            <v>901001654</v>
          </cell>
          <cell r="B5863" t="str">
            <v>1</v>
          </cell>
          <cell r="C5863" t="str">
            <v/>
          </cell>
          <cell r="D5863" t="str">
            <v>NJ</v>
          </cell>
          <cell r="E5863" t="str">
            <v/>
          </cell>
          <cell r="F5863" t="str">
            <v/>
          </cell>
          <cell r="G5863" t="str">
            <v>MANTENIMIENTO, MONTAJES E INGENIERIA S.A.S</v>
          </cell>
          <cell r="H5863" t="str">
            <v>IMVE</v>
          </cell>
          <cell r="I5863" t="str">
            <v>IMPUESTO SOBRE LAS VENTAS</v>
          </cell>
          <cell r="J5863" t="str">
            <v xml:space="preserve"> CR 5 # 8-72</v>
          </cell>
          <cell r="K5863" t="str">
            <v>15491</v>
          </cell>
          <cell r="L5863" t="str">
            <v>NOBSA</v>
          </cell>
          <cell r="M5863" t="str">
            <v>3103461575</v>
          </cell>
        </row>
        <row r="5864">
          <cell r="A5864">
            <v>901002300</v>
          </cell>
          <cell r="B5864" t="str">
            <v>2</v>
          </cell>
          <cell r="C5864" t="str">
            <v/>
          </cell>
          <cell r="D5864" t="str">
            <v>NJ</v>
          </cell>
          <cell r="E5864" t="str">
            <v/>
          </cell>
          <cell r="F5864" t="str">
            <v/>
          </cell>
          <cell r="G5864" t="str">
            <v>INGENIERIA EN ESTRUCTURAS DISEÑO Y DECORACION SAS</v>
          </cell>
          <cell r="H5864" t="str">
            <v>RECO</v>
          </cell>
          <cell r="I5864" t="str">
            <v>REGIMEN COMUN</v>
          </cell>
          <cell r="J5864" t="str">
            <v>AV CL 17 137 A 81 IN 20</v>
          </cell>
          <cell r="K5864" t="str">
            <v>11001</v>
          </cell>
          <cell r="L5864" t="str">
            <v>BOGOTA DC</v>
          </cell>
          <cell r="M5864" t="str">
            <v>3214220728</v>
          </cell>
        </row>
        <row r="5865">
          <cell r="A5865">
            <v>901002831</v>
          </cell>
          <cell r="B5865" t="str">
            <v>1</v>
          </cell>
          <cell r="C5865" t="str">
            <v/>
          </cell>
          <cell r="D5865" t="str">
            <v>NJ</v>
          </cell>
          <cell r="E5865" t="str">
            <v/>
          </cell>
          <cell r="F5865" t="str">
            <v/>
          </cell>
          <cell r="G5865" t="str">
            <v>REA SOLAR COLOMBIA SAS</v>
          </cell>
          <cell r="H5865" t="str">
            <v>RECO</v>
          </cell>
          <cell r="I5865" t="str">
            <v>REGIMEN COMUN</v>
          </cell>
          <cell r="J5865" t="str">
            <v>CR 25 65 179 P 5</v>
          </cell>
          <cell r="K5865" t="str">
            <v>17001</v>
          </cell>
          <cell r="L5865" t="str">
            <v>MANIZALES</v>
          </cell>
          <cell r="M5865" t="str">
            <v>8877331</v>
          </cell>
        </row>
        <row r="5866">
          <cell r="A5866">
            <v>901005166</v>
          </cell>
          <cell r="B5866" t="str">
            <v>5</v>
          </cell>
          <cell r="C5866" t="str">
            <v/>
          </cell>
          <cell r="D5866" t="str">
            <v>NJ</v>
          </cell>
          <cell r="E5866" t="str">
            <v/>
          </cell>
          <cell r="F5866" t="str">
            <v/>
          </cell>
          <cell r="G5866" t="str">
            <v>AUDITORES Y CONSULTORES - AUDICONS S.A.S.</v>
          </cell>
          <cell r="H5866" t="str">
            <v>RST</v>
          </cell>
          <cell r="I5866" t="str">
            <v>REGIMEN SIMPLE DE TRIBUTACION</v>
          </cell>
          <cell r="J5866" t="str">
            <v xml:space="preserve"> CR 23 C  62 72 OF 1002 ED PRANHA CENTRO EMPRESARIAL</v>
          </cell>
          <cell r="K5866" t="str">
            <v>17001</v>
          </cell>
          <cell r="L5866" t="str">
            <v>MANIZALES</v>
          </cell>
          <cell r="M5866" t="str">
            <v>3113301440</v>
          </cell>
        </row>
        <row r="5867">
          <cell r="A5867">
            <v>901005520</v>
          </cell>
          <cell r="B5867" t="str">
            <v>1</v>
          </cell>
          <cell r="C5867" t="str">
            <v/>
          </cell>
          <cell r="D5867" t="str">
            <v>NJ</v>
          </cell>
          <cell r="E5867" t="str">
            <v/>
          </cell>
          <cell r="F5867" t="str">
            <v/>
          </cell>
          <cell r="G5867" t="str">
            <v>CONECTA INGENIERIA S.A.S.</v>
          </cell>
          <cell r="H5867" t="str">
            <v>IMVE</v>
          </cell>
          <cell r="I5867" t="str">
            <v>IMPUESTO SOBRE LAS VENTAS</v>
          </cell>
          <cell r="J5867" t="str">
            <v xml:space="preserve"> CL 64 A  17 70</v>
          </cell>
          <cell r="K5867" t="str">
            <v>17001</v>
          </cell>
          <cell r="L5867" t="str">
            <v>MANIZALES</v>
          </cell>
          <cell r="M5867" t="str">
            <v>3103817100</v>
          </cell>
        </row>
        <row r="5868">
          <cell r="A5868">
            <v>901006411</v>
          </cell>
          <cell r="B5868" t="str">
            <v>1</v>
          </cell>
          <cell r="C5868" t="str">
            <v/>
          </cell>
          <cell r="D5868" t="str">
            <v>NJ</v>
          </cell>
          <cell r="E5868" t="str">
            <v/>
          </cell>
          <cell r="F5868" t="str">
            <v/>
          </cell>
          <cell r="G5868" t="str">
            <v>FUNDACION MOMENTIA</v>
          </cell>
          <cell r="H5868" t="str">
            <v>IMVE</v>
          </cell>
          <cell r="I5868" t="str">
            <v>IMPUESTO SOBRE LAS VENTAS</v>
          </cell>
          <cell r="J5868" t="str">
            <v>CR 24 57 11 BRR BELEN</v>
          </cell>
          <cell r="K5868" t="str">
            <v>17001</v>
          </cell>
          <cell r="L5868" t="str">
            <v>MANIZALES</v>
          </cell>
          <cell r="M5868" t="str">
            <v>3122863177</v>
          </cell>
        </row>
        <row r="5869">
          <cell r="A5869">
            <v>901007865</v>
          </cell>
          <cell r="B5869" t="str">
            <v>4</v>
          </cell>
          <cell r="C5869" t="str">
            <v/>
          </cell>
          <cell r="D5869" t="str">
            <v>NJ</v>
          </cell>
          <cell r="E5869" t="str">
            <v/>
          </cell>
          <cell r="F5869" t="str">
            <v/>
          </cell>
          <cell r="G5869" t="str">
            <v>CEIBA¿S TRAVEL E.U</v>
          </cell>
          <cell r="H5869" t="str">
            <v>RECO</v>
          </cell>
          <cell r="I5869" t="str">
            <v>REGIMEN COMUN</v>
          </cell>
          <cell r="J5869" t="str">
            <v>CR 5  11  60</v>
          </cell>
          <cell r="K5869" t="str">
            <v>17867</v>
          </cell>
          <cell r="L5869" t="str">
            <v>VICTORIA</v>
          </cell>
          <cell r="M5869" t="str">
            <v>3133134669</v>
          </cell>
        </row>
        <row r="5870">
          <cell r="A5870">
            <v>901008017</v>
          </cell>
          <cell r="B5870" t="str">
            <v>1</v>
          </cell>
          <cell r="C5870" t="str">
            <v/>
          </cell>
          <cell r="D5870" t="str">
            <v>NJ</v>
          </cell>
          <cell r="E5870" t="str">
            <v/>
          </cell>
          <cell r="F5870" t="str">
            <v/>
          </cell>
          <cell r="G5870" t="str">
            <v>NUEVA TAXI SANTA MARTA S.A.S.</v>
          </cell>
          <cell r="H5870" t="str">
            <v>IMVE</v>
          </cell>
          <cell r="I5870" t="str">
            <v>IMPUESTO SOBRE LAS VENTAS</v>
          </cell>
          <cell r="J5870" t="str">
            <v>CL 29 19 D 90 BRR AV DEL RIO</v>
          </cell>
          <cell r="K5870" t="str">
            <v>47001</v>
          </cell>
          <cell r="L5870" t="str">
            <v>SANTA MARTA</v>
          </cell>
          <cell r="M5870" t="str">
            <v>4236240</v>
          </cell>
        </row>
        <row r="5871">
          <cell r="A5871">
            <v>901008111</v>
          </cell>
          <cell r="B5871" t="str">
            <v>4</v>
          </cell>
          <cell r="C5871" t="str">
            <v/>
          </cell>
          <cell r="D5871" t="str">
            <v>NJ</v>
          </cell>
          <cell r="E5871" t="str">
            <v/>
          </cell>
          <cell r="F5871" t="str">
            <v/>
          </cell>
          <cell r="G5871" t="str">
            <v>CERTIFICATION MANAGEMENT &amp; DEVELOPMENT SAS</v>
          </cell>
          <cell r="H5871" t="str">
            <v>IMVE</v>
          </cell>
          <cell r="I5871" t="str">
            <v>IMPUESTO SOBRE LAS VENTAS</v>
          </cell>
          <cell r="J5871" t="str">
            <v>CR 7 B 126 74 OF 118</v>
          </cell>
          <cell r="K5871" t="str">
            <v>11001</v>
          </cell>
          <cell r="L5871" t="str">
            <v>BOGOTA DC</v>
          </cell>
          <cell r="M5871" t="str">
            <v>3045843448</v>
          </cell>
        </row>
        <row r="5872">
          <cell r="A5872">
            <v>901011452</v>
          </cell>
          <cell r="B5872" t="str">
            <v>1</v>
          </cell>
          <cell r="C5872" t="str">
            <v/>
          </cell>
          <cell r="D5872" t="str">
            <v>NJ</v>
          </cell>
          <cell r="E5872" t="str">
            <v/>
          </cell>
          <cell r="F5872" t="str">
            <v/>
          </cell>
          <cell r="G5872" t="str">
            <v>RR REPRESENTACIONES Y CONSTRUCCIONES S.A.S</v>
          </cell>
          <cell r="H5872" t="str">
            <v>RECO</v>
          </cell>
          <cell r="I5872" t="str">
            <v>REGIMEN COMUN</v>
          </cell>
          <cell r="J5872" t="str">
            <v>CL 48 24 22 PRIMER PISO</v>
          </cell>
          <cell r="K5872" t="str">
            <v>17001</v>
          </cell>
          <cell r="L5872" t="str">
            <v>MANIZALES</v>
          </cell>
          <cell r="M5872" t="str">
            <v>3217468779</v>
          </cell>
        </row>
        <row r="5873">
          <cell r="A5873">
            <v>901012653</v>
          </cell>
          <cell r="B5873" t="str">
            <v>1</v>
          </cell>
          <cell r="C5873" t="str">
            <v/>
          </cell>
          <cell r="D5873" t="str">
            <v>NJ</v>
          </cell>
          <cell r="E5873" t="str">
            <v/>
          </cell>
          <cell r="F5873" t="str">
            <v/>
          </cell>
          <cell r="G5873" t="str">
            <v>INTER RUEDAS &amp; SEGURIDAD INDUSTRIAL SAS</v>
          </cell>
          <cell r="H5873" t="str">
            <v>IMVE</v>
          </cell>
          <cell r="I5873" t="str">
            <v>IMPUESTO SOBRE LAS VENTAS</v>
          </cell>
          <cell r="J5873" t="str">
            <v>CL 36 SUR 43 A 49</v>
          </cell>
          <cell r="K5873" t="str">
            <v>05266</v>
          </cell>
          <cell r="L5873" t="str">
            <v>ENVIGADO</v>
          </cell>
          <cell r="M5873" t="str">
            <v>3007559813</v>
          </cell>
        </row>
        <row r="5874">
          <cell r="A5874">
            <v>901012973</v>
          </cell>
          <cell r="B5874" t="str">
            <v>1</v>
          </cell>
          <cell r="C5874" t="str">
            <v/>
          </cell>
          <cell r="D5874" t="str">
            <v>NJ</v>
          </cell>
          <cell r="E5874" t="str">
            <v/>
          </cell>
          <cell r="F5874" t="str">
            <v/>
          </cell>
          <cell r="G5874" t="str">
            <v>SUMATO GROUP SAS</v>
          </cell>
          <cell r="H5874" t="str">
            <v>IMVE</v>
          </cell>
          <cell r="I5874" t="str">
            <v>IMPUESTO SOBRE LAS VENTAS</v>
          </cell>
          <cell r="J5874" t="str">
            <v xml:space="preserve"> CL 93 A 13 24 P 5</v>
          </cell>
          <cell r="K5874" t="str">
            <v>11001</v>
          </cell>
          <cell r="L5874" t="str">
            <v>BOGOTA DC</v>
          </cell>
          <cell r="M5874" t="str">
            <v>6672578</v>
          </cell>
        </row>
        <row r="5875">
          <cell r="A5875">
            <v>901013186</v>
          </cell>
          <cell r="B5875" t="str">
            <v>6</v>
          </cell>
          <cell r="C5875" t="str">
            <v/>
          </cell>
          <cell r="D5875" t="str">
            <v>NJ</v>
          </cell>
          <cell r="E5875" t="str">
            <v/>
          </cell>
          <cell r="F5875" t="str">
            <v/>
          </cell>
          <cell r="G5875" t="str">
            <v>GRUPO INNOVALO S.A.S</v>
          </cell>
          <cell r="H5875" t="str">
            <v>RECO</v>
          </cell>
          <cell r="I5875" t="str">
            <v>REGIMEN COMUN</v>
          </cell>
          <cell r="J5875" t="str">
            <v>CL 68 35 A 138</v>
          </cell>
          <cell r="K5875" t="str">
            <v>17001</v>
          </cell>
          <cell r="L5875" t="str">
            <v>MANIZALES</v>
          </cell>
          <cell r="M5875" t="str">
            <v>3168225487</v>
          </cell>
        </row>
        <row r="5876">
          <cell r="A5876">
            <v>901013761</v>
          </cell>
          <cell r="B5876" t="str">
            <v>1</v>
          </cell>
          <cell r="C5876" t="str">
            <v/>
          </cell>
          <cell r="D5876" t="str">
            <v>NJ</v>
          </cell>
          <cell r="E5876" t="str">
            <v/>
          </cell>
          <cell r="F5876" t="str">
            <v/>
          </cell>
          <cell r="G5876" t="str">
            <v>CORPORACION COLOMBIANA PARA EL COMERCIO DE AMERICA LATINA Y EL C</v>
          </cell>
          <cell r="H5876" t="str">
            <v>IMVE</v>
          </cell>
          <cell r="I5876" t="str">
            <v>IMPUESTO SOBRE LAS VENTAS</v>
          </cell>
          <cell r="J5876" t="str">
            <v>CR 1 36 F 92 SUR</v>
          </cell>
          <cell r="K5876" t="str">
            <v>11001</v>
          </cell>
          <cell r="L5876" t="str">
            <v>BOGOTA DC</v>
          </cell>
          <cell r="M5876" t="str">
            <v>3679857</v>
          </cell>
        </row>
        <row r="5877">
          <cell r="A5877">
            <v>901014527</v>
          </cell>
          <cell r="B5877" t="str">
            <v>9</v>
          </cell>
          <cell r="C5877" t="str">
            <v/>
          </cell>
          <cell r="D5877" t="str">
            <v>NJ</v>
          </cell>
          <cell r="E5877" t="str">
            <v/>
          </cell>
          <cell r="F5877" t="str">
            <v/>
          </cell>
          <cell r="G5877" t="str">
            <v>TECNOLOGÍAS LIMPIAS SAS</v>
          </cell>
          <cell r="H5877" t="str">
            <v>IMVE</v>
          </cell>
          <cell r="I5877" t="str">
            <v>IMPUESTO SOBRE LAS VENTAS</v>
          </cell>
          <cell r="J5877" t="str">
            <v>CR 7 D BIS 129 40 AP 312</v>
          </cell>
          <cell r="K5877" t="str">
            <v>11001</v>
          </cell>
          <cell r="L5877" t="str">
            <v>BOGOTA DC</v>
          </cell>
          <cell r="M5877" t="str">
            <v>3164916554</v>
          </cell>
        </row>
        <row r="5878">
          <cell r="A5878">
            <v>901016259</v>
          </cell>
          <cell r="B5878" t="str">
            <v>9</v>
          </cell>
          <cell r="C5878" t="str">
            <v/>
          </cell>
          <cell r="D5878" t="str">
            <v>NJ</v>
          </cell>
          <cell r="E5878" t="str">
            <v/>
          </cell>
          <cell r="F5878" t="str">
            <v/>
          </cell>
          <cell r="G5878" t="str">
            <v>UNION TEMPORAL GENERACION DE ENERGIA PARA EL DESARROLLO DE COLOM</v>
          </cell>
          <cell r="H5878" t="str">
            <v>RECO</v>
          </cell>
          <cell r="I5878" t="str">
            <v>REGIMEN COMUN</v>
          </cell>
          <cell r="J5878" t="str">
            <v>CL 19   12   69 OF VINOTINTO 24 ED FIDUCENTRO</v>
          </cell>
          <cell r="K5878" t="str">
            <v>66001</v>
          </cell>
          <cell r="L5878" t="str">
            <v>PEREIRA</v>
          </cell>
          <cell r="M5878" t="str">
            <v>3316767</v>
          </cell>
        </row>
        <row r="5879">
          <cell r="A5879">
            <v>901017094</v>
          </cell>
          <cell r="B5879" t="str">
            <v>5</v>
          </cell>
          <cell r="C5879" t="str">
            <v/>
          </cell>
          <cell r="D5879" t="str">
            <v>NJ</v>
          </cell>
          <cell r="E5879" t="str">
            <v/>
          </cell>
          <cell r="F5879" t="str">
            <v/>
          </cell>
          <cell r="G5879" t="str">
            <v>MBA Y CIA AGENCIA DE SEGUROS LTDA.</v>
          </cell>
          <cell r="H5879" t="str">
            <v>RECO</v>
          </cell>
          <cell r="I5879" t="str">
            <v>REGIMEN COMUN</v>
          </cell>
          <cell r="J5879" t="str">
            <v>CL 20 6 30 OF 305 ED BANCO GANADERO</v>
          </cell>
          <cell r="K5879" t="str">
            <v>66001</v>
          </cell>
          <cell r="L5879" t="str">
            <v>PEREIRA</v>
          </cell>
          <cell r="M5879" t="str">
            <v>3155714804</v>
          </cell>
        </row>
        <row r="5880">
          <cell r="A5880">
            <v>901017183</v>
          </cell>
          <cell r="B5880" t="str">
            <v>2</v>
          </cell>
          <cell r="C5880" t="str">
            <v/>
          </cell>
          <cell r="D5880" t="str">
            <v>NJ</v>
          </cell>
          <cell r="E5880" t="str">
            <v/>
          </cell>
          <cell r="F5880" t="str">
            <v/>
          </cell>
          <cell r="G5880" t="str">
            <v>EDITORIAL LA REPUBLICA SAS</v>
          </cell>
          <cell r="H5880" t="str">
            <v>GRCO</v>
          </cell>
          <cell r="I5880" t="str">
            <v>GRAN CONTRIBUYENTE</v>
          </cell>
          <cell r="J5880" t="str">
            <v>CR 13 A 37 32</v>
          </cell>
          <cell r="K5880" t="str">
            <v>11001</v>
          </cell>
          <cell r="L5880" t="str">
            <v>BOGOTA DC</v>
          </cell>
          <cell r="M5880" t="str">
            <v>4227600</v>
          </cell>
        </row>
        <row r="5881">
          <cell r="A5881">
            <v>901018039</v>
          </cell>
          <cell r="B5881" t="str">
            <v>4</v>
          </cell>
          <cell r="C5881" t="str">
            <v/>
          </cell>
          <cell r="D5881" t="str">
            <v>NJ</v>
          </cell>
          <cell r="E5881" t="str">
            <v/>
          </cell>
          <cell r="F5881" t="str">
            <v/>
          </cell>
          <cell r="G5881" t="str">
            <v>VL INTERNATIONAL HOTEL SAS</v>
          </cell>
          <cell r="H5881" t="str">
            <v>RECO</v>
          </cell>
          <cell r="I5881" t="str">
            <v>REGIMEN COMUN</v>
          </cell>
          <cell r="J5881" t="str">
            <v>CR 82   25 C 88</v>
          </cell>
          <cell r="K5881" t="str">
            <v>11001</v>
          </cell>
          <cell r="L5881" t="str">
            <v>BOGOTA DC</v>
          </cell>
          <cell r="M5881" t="str">
            <v>3504595775</v>
          </cell>
        </row>
        <row r="5882">
          <cell r="A5882">
            <v>901019120</v>
          </cell>
          <cell r="B5882" t="str">
            <v>8</v>
          </cell>
          <cell r="C5882" t="str">
            <v/>
          </cell>
          <cell r="D5882" t="str">
            <v>NJ</v>
          </cell>
          <cell r="E5882" t="str">
            <v/>
          </cell>
          <cell r="F5882" t="str">
            <v/>
          </cell>
          <cell r="G5882" t="str">
            <v>DIAGNOSTICO Y PREVENCION LABORAL S.A.S</v>
          </cell>
          <cell r="H5882" t="str">
            <v>RECO</v>
          </cell>
          <cell r="I5882" t="str">
            <v>REGIMEN COMUN</v>
          </cell>
          <cell r="J5882" t="str">
            <v>CL 39 B SUR 36 35</v>
          </cell>
          <cell r="K5882" t="str">
            <v>05266</v>
          </cell>
          <cell r="L5882" t="str">
            <v>ENVIGADO</v>
          </cell>
          <cell r="M5882" t="str">
            <v>4448326</v>
          </cell>
        </row>
        <row r="5883">
          <cell r="A5883">
            <v>901020813</v>
          </cell>
          <cell r="B5883" t="str">
            <v>5</v>
          </cell>
          <cell r="C5883" t="str">
            <v/>
          </cell>
          <cell r="D5883" t="str">
            <v>NJ</v>
          </cell>
          <cell r="E5883" t="str">
            <v/>
          </cell>
          <cell r="F5883" t="str">
            <v/>
          </cell>
          <cell r="G5883" t="str">
            <v>CONSTRUCTORA ABIBE S.A.S.</v>
          </cell>
          <cell r="H5883" t="str">
            <v>IMVE</v>
          </cell>
          <cell r="I5883" t="str">
            <v>IMPUESTO SOBRE LAS VENTAS</v>
          </cell>
          <cell r="J5883" t="str">
            <v xml:space="preserve">  CR 104 B 97 A 17</v>
          </cell>
          <cell r="K5883" t="str">
            <v>05045</v>
          </cell>
          <cell r="L5883" t="str">
            <v>APARTADÓ</v>
          </cell>
          <cell r="M5883" t="str">
            <v>3114239495</v>
          </cell>
        </row>
        <row r="5884">
          <cell r="A5884">
            <v>901020815</v>
          </cell>
          <cell r="B5884" t="str">
            <v>1</v>
          </cell>
          <cell r="C5884" t="str">
            <v/>
          </cell>
          <cell r="D5884" t="str">
            <v>NJ</v>
          </cell>
          <cell r="E5884" t="str">
            <v/>
          </cell>
          <cell r="F5884" t="str">
            <v/>
          </cell>
          <cell r="G5884" t="str">
            <v>NAJHOMIHOTEL S.A.S</v>
          </cell>
          <cell r="H5884" t="str">
            <v>RECO</v>
          </cell>
          <cell r="I5884" t="str">
            <v>REGIMEN COMUN</v>
          </cell>
          <cell r="J5884" t="str">
            <v>CL 5   8   17</v>
          </cell>
          <cell r="K5884" t="str">
            <v>47288</v>
          </cell>
          <cell r="L5884" t="str">
            <v>FUNDACIÓN</v>
          </cell>
          <cell r="M5884" t="str">
            <v>4141287</v>
          </cell>
        </row>
        <row r="5885">
          <cell r="A5885">
            <v>901021565</v>
          </cell>
          <cell r="B5885" t="str">
            <v>8</v>
          </cell>
          <cell r="C5885" t="str">
            <v/>
          </cell>
          <cell r="D5885" t="str">
            <v>NJ</v>
          </cell>
          <cell r="E5885" t="str">
            <v/>
          </cell>
          <cell r="F5885" t="str">
            <v/>
          </cell>
          <cell r="G5885" t="str">
            <v>EMSSANAR SAS</v>
          </cell>
          <cell r="H5885" t="str">
            <v>GRCO</v>
          </cell>
          <cell r="I5885" t="str">
            <v>GRAN CONTRIBUYENTE</v>
          </cell>
          <cell r="J5885" t="str">
            <v>CL 11 A 33 ESQ BRR LA AURORA</v>
          </cell>
          <cell r="K5885" t="str">
            <v>14</v>
          </cell>
          <cell r="L5885" t="str">
            <v>NARIÑO</v>
          </cell>
          <cell r="M5885" t="str">
            <v>7336030</v>
          </cell>
        </row>
        <row r="5886">
          <cell r="A5886">
            <v>901021796</v>
          </cell>
          <cell r="B5886" t="str">
            <v>2</v>
          </cell>
          <cell r="C5886" t="str">
            <v/>
          </cell>
          <cell r="D5886" t="str">
            <v>NJ</v>
          </cell>
          <cell r="E5886" t="str">
            <v/>
          </cell>
          <cell r="F5886" t="str">
            <v/>
          </cell>
          <cell r="G5886" t="str">
            <v>RODRICA INGENIERIA S.A.S.</v>
          </cell>
          <cell r="H5886" t="str">
            <v>IMVE</v>
          </cell>
          <cell r="I5886" t="str">
            <v>IMPUESTO SOBRE LAS VENTAS</v>
          </cell>
          <cell r="J5886" t="str">
            <v>CR 3 10 30 BRR EL EMPEDRADO</v>
          </cell>
          <cell r="K5886" t="str">
            <v>19001</v>
          </cell>
          <cell r="L5886" t="str">
            <v>POPAYÁN</v>
          </cell>
          <cell r="M5886" t="str">
            <v>3233269384</v>
          </cell>
        </row>
        <row r="5887">
          <cell r="A5887">
            <v>901022545</v>
          </cell>
          <cell r="B5887" t="str">
            <v>5</v>
          </cell>
          <cell r="C5887" t="str">
            <v/>
          </cell>
          <cell r="D5887" t="str">
            <v>NJ</v>
          </cell>
          <cell r="E5887" t="str">
            <v/>
          </cell>
          <cell r="F5887" t="str">
            <v/>
          </cell>
          <cell r="G5887" t="str">
            <v>M2C ESTRATEGIAS SAS</v>
          </cell>
          <cell r="H5887" t="str">
            <v>RECO</v>
          </cell>
          <cell r="I5887" t="str">
            <v>REGIMEN COMUN</v>
          </cell>
          <cell r="J5887" t="str">
            <v>CL 96 12 65 OF 601</v>
          </cell>
          <cell r="K5887" t="str">
            <v>11001</v>
          </cell>
          <cell r="L5887" t="str">
            <v>BOGOTA DC</v>
          </cell>
          <cell r="M5887" t="str">
            <v>3014304248</v>
          </cell>
        </row>
        <row r="5888">
          <cell r="A5888">
            <v>901023244</v>
          </cell>
          <cell r="B5888" t="str">
            <v>8</v>
          </cell>
          <cell r="C5888" t="str">
            <v/>
          </cell>
          <cell r="D5888" t="str">
            <v>NJ</v>
          </cell>
          <cell r="E5888" t="str">
            <v/>
          </cell>
          <cell r="F5888" t="str">
            <v/>
          </cell>
          <cell r="G5888" t="str">
            <v>PL SUMINISTROS S.A.S</v>
          </cell>
          <cell r="H5888" t="str">
            <v>RECO</v>
          </cell>
          <cell r="I5888" t="str">
            <v>REGIMEN COMUN</v>
          </cell>
          <cell r="J5888" t="str">
            <v>CL 9 19 49</v>
          </cell>
          <cell r="K5888" t="str">
            <v>15238</v>
          </cell>
          <cell r="L5888" t="str">
            <v>DUITAMA</v>
          </cell>
          <cell r="M5888" t="str">
            <v>3212097739</v>
          </cell>
        </row>
        <row r="5889">
          <cell r="A5889">
            <v>901023297</v>
          </cell>
          <cell r="B5889" t="str">
            <v>8</v>
          </cell>
          <cell r="C5889" t="str">
            <v/>
          </cell>
          <cell r="D5889" t="str">
            <v>NJ</v>
          </cell>
          <cell r="E5889" t="str">
            <v/>
          </cell>
          <cell r="F5889" t="str">
            <v/>
          </cell>
          <cell r="G5889" t="str">
            <v>PRAC OBRAS DE INGENIERIA S.A.S</v>
          </cell>
          <cell r="H5889" t="str">
            <v>RECO</v>
          </cell>
          <cell r="I5889" t="str">
            <v>REGIMEN COMUN</v>
          </cell>
          <cell r="J5889" t="str">
            <v>KM 3 1</v>
          </cell>
          <cell r="K5889" t="str">
            <v>15516</v>
          </cell>
          <cell r="L5889" t="str">
            <v>PAIPA</v>
          </cell>
          <cell r="M5889" t="str">
            <v>3124819524</v>
          </cell>
        </row>
        <row r="5890">
          <cell r="A5890">
            <v>901024305</v>
          </cell>
          <cell r="B5890" t="str">
            <v>3</v>
          </cell>
          <cell r="C5890" t="str">
            <v/>
          </cell>
          <cell r="D5890" t="str">
            <v>NJ</v>
          </cell>
          <cell r="E5890" t="str">
            <v/>
          </cell>
          <cell r="F5890" t="str">
            <v/>
          </cell>
          <cell r="G5890" t="str">
            <v>FOOD BAR 360 SAS</v>
          </cell>
          <cell r="H5890" t="str">
            <v>RECO</v>
          </cell>
          <cell r="I5890" t="str">
            <v>REGIMEN COMUN</v>
          </cell>
          <cell r="J5890" t="str">
            <v>CR 23 75 52</v>
          </cell>
          <cell r="K5890" t="str">
            <v>17001</v>
          </cell>
          <cell r="L5890" t="str">
            <v>MANIZALES</v>
          </cell>
          <cell r="M5890" t="str">
            <v>8868630</v>
          </cell>
        </row>
        <row r="5891">
          <cell r="A5891">
            <v>901025175</v>
          </cell>
          <cell r="B5891" t="str">
            <v>7</v>
          </cell>
          <cell r="C5891" t="str">
            <v/>
          </cell>
          <cell r="D5891" t="str">
            <v>NJ</v>
          </cell>
          <cell r="E5891" t="str">
            <v/>
          </cell>
          <cell r="F5891" t="str">
            <v/>
          </cell>
          <cell r="G5891" t="str">
            <v>JCV CONSTRUCCIONES SAS</v>
          </cell>
          <cell r="H5891" t="str">
            <v>IMVE</v>
          </cell>
          <cell r="I5891" t="str">
            <v>IMPUESTO SOBRE LAS VENTAS</v>
          </cell>
          <cell r="J5891" t="str">
            <v>CR 116 18 15 AP 505 TO 1 UN TORRES DEL ALFERES</v>
          </cell>
          <cell r="K5891" t="str">
            <v>76001</v>
          </cell>
          <cell r="L5891" t="str">
            <v>CALI</v>
          </cell>
          <cell r="M5891" t="str">
            <v>3115337711</v>
          </cell>
        </row>
        <row r="5892">
          <cell r="A5892">
            <v>901026447</v>
          </cell>
          <cell r="B5892" t="str">
            <v>1</v>
          </cell>
          <cell r="C5892" t="str">
            <v/>
          </cell>
          <cell r="D5892" t="str">
            <v>NJ</v>
          </cell>
          <cell r="E5892" t="str">
            <v/>
          </cell>
          <cell r="F5892" t="str">
            <v/>
          </cell>
          <cell r="G5892" t="str">
            <v>UNION TEMPORAL DEL MAGDALENA</v>
          </cell>
          <cell r="H5892" t="str">
            <v>RECO</v>
          </cell>
          <cell r="I5892" t="str">
            <v>REGIMEN COMUN</v>
          </cell>
          <cell r="J5892" t="str">
            <v>CR 52 70 113 LC 2 C</v>
          </cell>
          <cell r="K5892" t="str">
            <v>08001</v>
          </cell>
          <cell r="L5892" t="str">
            <v>BARRANQUILLA</v>
          </cell>
          <cell r="M5892" t="str">
            <v>3029696</v>
          </cell>
        </row>
        <row r="5893">
          <cell r="A5893">
            <v>901026959</v>
          </cell>
          <cell r="B5893" t="str">
            <v>9</v>
          </cell>
          <cell r="C5893" t="str">
            <v/>
          </cell>
          <cell r="D5893" t="str">
            <v>NJ</v>
          </cell>
          <cell r="E5893" t="str">
            <v/>
          </cell>
          <cell r="F5893" t="str">
            <v/>
          </cell>
          <cell r="G5893" t="str">
            <v>LLERAS GREEN S.A.S.</v>
          </cell>
          <cell r="H5893" t="str">
            <v>RECO</v>
          </cell>
          <cell r="I5893" t="str">
            <v>REGIMEN COMUN</v>
          </cell>
          <cell r="J5893" t="str">
            <v>CL 9 40 30</v>
          </cell>
          <cell r="K5893" t="str">
            <v>05002</v>
          </cell>
          <cell r="L5893" t="str">
            <v>MEDELLIN</v>
          </cell>
          <cell r="M5893" t="str">
            <v>5602000</v>
          </cell>
        </row>
        <row r="5894">
          <cell r="A5894">
            <v>901027892</v>
          </cell>
          <cell r="B5894" t="str">
            <v>9</v>
          </cell>
          <cell r="C5894" t="str">
            <v/>
          </cell>
          <cell r="D5894" t="str">
            <v>NJ</v>
          </cell>
          <cell r="E5894" t="str">
            <v/>
          </cell>
          <cell r="F5894" t="str">
            <v/>
          </cell>
          <cell r="G5894" t="str">
            <v>RETIE CERTIFICACIONES S.A.S.</v>
          </cell>
          <cell r="H5894" t="str">
            <v>IMVE</v>
          </cell>
          <cell r="I5894" t="str">
            <v>IMPUESTO SOBRE LAS VENTAS</v>
          </cell>
          <cell r="J5894" t="str">
            <v>CR 28 68 06 NIVEL 2 BRR PALERMO</v>
          </cell>
          <cell r="K5894" t="str">
            <v>17001</v>
          </cell>
          <cell r="L5894" t="str">
            <v>MANIZALES</v>
          </cell>
          <cell r="M5894" t="str">
            <v>8932592</v>
          </cell>
        </row>
        <row r="5895">
          <cell r="A5895">
            <v>901030930</v>
          </cell>
          <cell r="B5895" t="str">
            <v>1</v>
          </cell>
          <cell r="C5895" t="str">
            <v/>
          </cell>
          <cell r="D5895" t="str">
            <v>NJ</v>
          </cell>
          <cell r="E5895" t="str">
            <v/>
          </cell>
          <cell r="F5895" t="str">
            <v/>
          </cell>
          <cell r="G5895" t="str">
            <v>LABORATORIO DEL MEDIO AMBIENTE Y CALIBRACION WR SAS</v>
          </cell>
          <cell r="H5895" t="str">
            <v>IMVE</v>
          </cell>
          <cell r="I5895" t="str">
            <v>IMPUESTO SOBRE LAS VENTAS</v>
          </cell>
          <cell r="J5895" t="str">
            <v>CL 23  116  31  BG  22</v>
          </cell>
          <cell r="K5895" t="str">
            <v>11001</v>
          </cell>
          <cell r="L5895" t="str">
            <v>BOGOTA DC</v>
          </cell>
          <cell r="M5895" t="str">
            <v>3188009573</v>
          </cell>
        </row>
        <row r="5896">
          <cell r="A5896">
            <v>901033155</v>
          </cell>
          <cell r="B5896" t="str">
            <v>3</v>
          </cell>
          <cell r="C5896" t="str">
            <v/>
          </cell>
          <cell r="D5896" t="str">
            <v>NJ</v>
          </cell>
          <cell r="E5896" t="str">
            <v/>
          </cell>
          <cell r="F5896" t="str">
            <v/>
          </cell>
          <cell r="G5896" t="str">
            <v>LA ROCA ABRASIVOS S.A.S</v>
          </cell>
          <cell r="H5896" t="str">
            <v>RECO</v>
          </cell>
          <cell r="I5896" t="str">
            <v>REGIMEN COMUN</v>
          </cell>
          <cell r="J5896" t="str">
            <v>CL 18 22 66</v>
          </cell>
          <cell r="K5896" t="str">
            <v>11001</v>
          </cell>
          <cell r="L5896" t="str">
            <v>BOGOTA DC</v>
          </cell>
          <cell r="M5896" t="str">
            <v>4929711</v>
          </cell>
        </row>
        <row r="5897">
          <cell r="A5897">
            <v>901033572</v>
          </cell>
          <cell r="B5897" t="str">
            <v>1</v>
          </cell>
          <cell r="C5897" t="str">
            <v/>
          </cell>
          <cell r="D5897" t="str">
            <v>NJ</v>
          </cell>
          <cell r="E5897" t="str">
            <v/>
          </cell>
          <cell r="F5897" t="str">
            <v/>
          </cell>
          <cell r="G5897" t="str">
            <v>NAUFFAL &amp; AB SAS</v>
          </cell>
          <cell r="H5897" t="str">
            <v>IMVE</v>
          </cell>
          <cell r="I5897" t="str">
            <v>IMPUESTO SOBRE LAS VENTAS</v>
          </cell>
          <cell r="J5897" t="str">
            <v>CL 65 23 C 39</v>
          </cell>
          <cell r="K5897" t="str">
            <v>17001</v>
          </cell>
          <cell r="L5897" t="str">
            <v>MANIZALES</v>
          </cell>
          <cell r="M5897" t="str">
            <v>3137457773</v>
          </cell>
        </row>
        <row r="5898">
          <cell r="A5898">
            <v>901034325</v>
          </cell>
          <cell r="B5898" t="str">
            <v>3</v>
          </cell>
          <cell r="C5898" t="str">
            <v/>
          </cell>
          <cell r="D5898" t="str">
            <v>NJ</v>
          </cell>
          <cell r="E5898" t="str">
            <v/>
          </cell>
          <cell r="F5898" t="str">
            <v/>
          </cell>
          <cell r="G5898" t="str">
            <v>UNIÓN TEMPORAL  DASCIA G3E</v>
          </cell>
          <cell r="H5898" t="str">
            <v>RECO</v>
          </cell>
          <cell r="I5898" t="str">
            <v>REGIMEN COMUN</v>
          </cell>
          <cell r="J5898" t="str">
            <v>CL 127 A 7 19 OF 301 A</v>
          </cell>
          <cell r="K5898" t="str">
            <v>11001</v>
          </cell>
          <cell r="L5898" t="str">
            <v>BOGOTA DC</v>
          </cell>
          <cell r="M5898" t="str">
            <v>7444828</v>
          </cell>
        </row>
        <row r="5899">
          <cell r="A5899">
            <v>901035631</v>
          </cell>
          <cell r="B5899" t="str">
            <v>7</v>
          </cell>
          <cell r="C5899" t="str">
            <v/>
          </cell>
          <cell r="D5899" t="str">
            <v>NJ</v>
          </cell>
          <cell r="E5899" t="str">
            <v/>
          </cell>
          <cell r="F5899" t="str">
            <v/>
          </cell>
          <cell r="G5899" t="str">
            <v>SAN LUIS VIDRIOS S. A.S</v>
          </cell>
          <cell r="H5899" t="str">
            <v>RECO</v>
          </cell>
          <cell r="I5899" t="str">
            <v>REGIMEN COMUN</v>
          </cell>
          <cell r="J5899" t="str">
            <v>CL 20 28 21</v>
          </cell>
          <cell r="K5899" t="str">
            <v>15238</v>
          </cell>
          <cell r="L5899" t="str">
            <v>DUITAMA</v>
          </cell>
          <cell r="M5899" t="str">
            <v>3132841276</v>
          </cell>
        </row>
        <row r="5900">
          <cell r="A5900">
            <v>901036260</v>
          </cell>
          <cell r="B5900" t="str">
            <v>2</v>
          </cell>
          <cell r="C5900" t="str">
            <v/>
          </cell>
          <cell r="D5900" t="str">
            <v>NJ</v>
          </cell>
          <cell r="E5900" t="str">
            <v/>
          </cell>
          <cell r="F5900" t="str">
            <v/>
          </cell>
          <cell r="G5900" t="str">
            <v>AZUFRE AGROINDUSTRIAL S.A.S</v>
          </cell>
          <cell r="H5900" t="str">
            <v>IMVE</v>
          </cell>
          <cell r="I5900" t="str">
            <v>IMPUESTO SOBRE LAS VENTAS</v>
          </cell>
          <cell r="J5900" t="str">
            <v>VRD LAS MARIAS ANTIGUA VIA SAN VICENTE FCA MIRAFLORES LT 3</v>
          </cell>
          <cell r="K5900" t="str">
            <v>68081</v>
          </cell>
          <cell r="L5900" t="str">
            <v>BARRANCABERMEJA</v>
          </cell>
          <cell r="M5900" t="str">
            <v>6003011</v>
          </cell>
        </row>
        <row r="5901">
          <cell r="A5901">
            <v>901036793</v>
          </cell>
          <cell r="B5901" t="str">
            <v>6</v>
          </cell>
          <cell r="C5901" t="str">
            <v/>
          </cell>
          <cell r="D5901" t="str">
            <v>NJ</v>
          </cell>
          <cell r="E5901" t="str">
            <v/>
          </cell>
          <cell r="F5901" t="str">
            <v/>
          </cell>
          <cell r="G5901" t="str">
            <v>CLUB DEPORTIVO DEPORTES CALDAS FUTBOL CLUB</v>
          </cell>
          <cell r="H5901" t="str">
            <v>REIC</v>
          </cell>
          <cell r="I5901" t="str">
            <v>RENTA REGIMEN ESPECIAL</v>
          </cell>
          <cell r="J5901" t="str">
            <v>CR 23 A CL 33 33 28 AP 202</v>
          </cell>
          <cell r="K5901" t="str">
            <v>17001</v>
          </cell>
          <cell r="L5901" t="str">
            <v>MANIZALES</v>
          </cell>
          <cell r="M5901" t="str">
            <v>3146028037</v>
          </cell>
        </row>
        <row r="5902">
          <cell r="A5902">
            <v>901039927</v>
          </cell>
          <cell r="B5902" t="str">
            <v>1</v>
          </cell>
          <cell r="C5902" t="str">
            <v/>
          </cell>
          <cell r="D5902" t="str">
            <v>NJ</v>
          </cell>
          <cell r="E5902" t="str">
            <v/>
          </cell>
          <cell r="F5902" t="str">
            <v/>
          </cell>
          <cell r="G5902" t="str">
            <v>GTI-ALBERTO ALVAREZ LOPEZ SAS</v>
          </cell>
          <cell r="H5902" t="str">
            <v>REOR</v>
          </cell>
          <cell r="I5902" t="str">
            <v>RENTA REGIMEN ORDINARIO</v>
          </cell>
          <cell r="J5902" t="str">
            <v>CL 64 A 21 10 LC 18 ED PORTAL DEL CABLE</v>
          </cell>
          <cell r="K5902" t="str">
            <v>17001</v>
          </cell>
          <cell r="L5902" t="str">
            <v>MANIZALES</v>
          </cell>
          <cell r="M5902" t="str">
            <v>3206776277</v>
          </cell>
        </row>
        <row r="5903">
          <cell r="A5903">
            <v>901040886</v>
          </cell>
          <cell r="B5903" t="str">
            <v>8</v>
          </cell>
          <cell r="C5903" t="str">
            <v/>
          </cell>
          <cell r="D5903" t="str">
            <v>NJ</v>
          </cell>
          <cell r="E5903" t="str">
            <v/>
          </cell>
          <cell r="F5903" t="str">
            <v/>
          </cell>
          <cell r="G5903" t="str">
            <v>KAWSAY CONSULTORIAS AMBIENTALES S.A.S.</v>
          </cell>
          <cell r="H5903" t="str">
            <v>IMVE</v>
          </cell>
          <cell r="I5903" t="str">
            <v>IMPUESTO SOBRE LAS VENTAS</v>
          </cell>
          <cell r="J5903" t="str">
            <v>CR 34 50 34</v>
          </cell>
          <cell r="K5903" t="str">
            <v>17001</v>
          </cell>
          <cell r="L5903" t="str">
            <v>MANIZALES</v>
          </cell>
          <cell r="M5903" t="str">
            <v>3166268335</v>
          </cell>
        </row>
        <row r="5904">
          <cell r="A5904">
            <v>901042344</v>
          </cell>
          <cell r="B5904" t="str">
            <v>7</v>
          </cell>
          <cell r="C5904" t="str">
            <v/>
          </cell>
          <cell r="D5904" t="str">
            <v>NJ</v>
          </cell>
          <cell r="E5904" t="str">
            <v/>
          </cell>
          <cell r="F5904" t="str">
            <v/>
          </cell>
          <cell r="G5904" t="str">
            <v>JEMAG INGENIERIA SAS</v>
          </cell>
          <cell r="H5904" t="str">
            <v>IMVE</v>
          </cell>
          <cell r="I5904" t="str">
            <v>IMPUESTO SOBRE LAS VENTAS</v>
          </cell>
          <cell r="J5904" t="str">
            <v>AV ALBERTO MENDOZA 87 02 CA 42</v>
          </cell>
          <cell r="K5904" t="str">
            <v>17001</v>
          </cell>
          <cell r="L5904" t="str">
            <v>MANIZALES</v>
          </cell>
          <cell r="M5904" t="str">
            <v>3123002660</v>
          </cell>
        </row>
        <row r="5905">
          <cell r="A5905">
            <v>901043014</v>
          </cell>
          <cell r="B5905" t="str">
            <v>6</v>
          </cell>
          <cell r="C5905" t="str">
            <v/>
          </cell>
          <cell r="D5905" t="str">
            <v>NJ</v>
          </cell>
          <cell r="E5905" t="str">
            <v/>
          </cell>
          <cell r="F5905" t="str">
            <v/>
          </cell>
          <cell r="G5905" t="str">
            <v>ANTRUM FILMS SAS</v>
          </cell>
          <cell r="H5905" t="str">
            <v>IMVE</v>
          </cell>
          <cell r="I5905" t="str">
            <v>IMPUESTO SOBRE LAS VENTAS</v>
          </cell>
          <cell r="J5905" t="str">
            <v>CL 23 23 16 OF 802</v>
          </cell>
          <cell r="K5905" t="str">
            <v>11001</v>
          </cell>
          <cell r="L5905" t="str">
            <v>BOGOTA DC</v>
          </cell>
          <cell r="M5905" t="str">
            <v>8823050</v>
          </cell>
        </row>
        <row r="5906">
          <cell r="A5906">
            <v>901043254</v>
          </cell>
          <cell r="B5906" t="str">
            <v>7</v>
          </cell>
          <cell r="C5906" t="str">
            <v/>
          </cell>
          <cell r="D5906" t="str">
            <v>NJ</v>
          </cell>
          <cell r="E5906" t="str">
            <v/>
          </cell>
          <cell r="F5906" t="str">
            <v/>
          </cell>
          <cell r="G5906" t="str">
            <v>METALMECANICA MUÑOZ S.A.S</v>
          </cell>
          <cell r="H5906" t="str">
            <v>IMVE</v>
          </cell>
          <cell r="I5906" t="str">
            <v>IMPUESTO SOBRE LAS VENTAS</v>
          </cell>
          <cell r="J5906" t="str">
            <v>CL 57 32 23 BRR CIUDAD BOLIVAR</v>
          </cell>
          <cell r="K5906" t="str">
            <v>68081</v>
          </cell>
          <cell r="L5906" t="str">
            <v>BARRANCABERMEJA</v>
          </cell>
          <cell r="M5906" t="str">
            <v>6138085</v>
          </cell>
        </row>
        <row r="5907">
          <cell r="A5907">
            <v>901043983</v>
          </cell>
          <cell r="B5907" t="str">
            <v>8</v>
          </cell>
          <cell r="C5907" t="str">
            <v/>
          </cell>
          <cell r="D5907" t="str">
            <v>NJ</v>
          </cell>
          <cell r="E5907" t="str">
            <v/>
          </cell>
          <cell r="F5907" t="str">
            <v/>
          </cell>
          <cell r="G5907" t="str">
            <v>SECURITY &amp; FIRE SAS</v>
          </cell>
          <cell r="H5907" t="str">
            <v>RECO</v>
          </cell>
          <cell r="I5907" t="str">
            <v>REGIMEN COMUN</v>
          </cell>
          <cell r="J5907" t="str">
            <v>CR 109 136 42</v>
          </cell>
          <cell r="K5907" t="str">
            <v>11001</v>
          </cell>
          <cell r="L5907" t="str">
            <v>BOGOTA DC</v>
          </cell>
          <cell r="M5907" t="str">
            <v>3163431811</v>
          </cell>
        </row>
        <row r="5908">
          <cell r="A5908">
            <v>901044046</v>
          </cell>
          <cell r="B5908" t="str">
            <v>6</v>
          </cell>
          <cell r="C5908" t="str">
            <v/>
          </cell>
          <cell r="D5908" t="str">
            <v>NJ</v>
          </cell>
          <cell r="E5908" t="str">
            <v/>
          </cell>
          <cell r="F5908" t="str">
            <v/>
          </cell>
          <cell r="G5908" t="str">
            <v>SUMINISTRO DE EQUIPOS INDUSTRIALES SAS</v>
          </cell>
          <cell r="H5908" t="str">
            <v>IMVE</v>
          </cell>
          <cell r="I5908" t="str">
            <v>IMPUESTO SOBRE LAS VENTAS</v>
          </cell>
          <cell r="J5908" t="str">
            <v>CR 54 A 167 A 12 OF 301</v>
          </cell>
          <cell r="K5908" t="str">
            <v>11001</v>
          </cell>
          <cell r="L5908" t="str">
            <v>BOGOTA DC</v>
          </cell>
          <cell r="M5908" t="str">
            <v>7976242</v>
          </cell>
        </row>
        <row r="5909">
          <cell r="A5909">
            <v>901044341</v>
          </cell>
          <cell r="B5909" t="str">
            <v>4</v>
          </cell>
          <cell r="C5909" t="str">
            <v/>
          </cell>
          <cell r="D5909" t="str">
            <v>NJ</v>
          </cell>
          <cell r="E5909" t="str">
            <v/>
          </cell>
          <cell r="F5909" t="str">
            <v/>
          </cell>
          <cell r="G5909" t="str">
            <v>CORPORACION VAUPES DESARROLLO Y CULTURA VDC</v>
          </cell>
          <cell r="H5909" t="str">
            <v>IMVE</v>
          </cell>
          <cell r="I5909" t="str">
            <v>IMPUESTO SOBRE LAS VENTAS</v>
          </cell>
          <cell r="J5909" t="str">
            <v>CR 12 BRR CENTRO</v>
          </cell>
          <cell r="K5909" t="str">
            <v>97001</v>
          </cell>
          <cell r="L5909" t="str">
            <v>MITÚ</v>
          </cell>
          <cell r="M5909" t="str">
            <v>3142399891</v>
          </cell>
        </row>
        <row r="5910">
          <cell r="A5910">
            <v>901045052</v>
          </cell>
          <cell r="B5910" t="str">
            <v>5</v>
          </cell>
          <cell r="C5910" t="str">
            <v/>
          </cell>
          <cell r="D5910" t="str">
            <v>NJ</v>
          </cell>
          <cell r="E5910" t="str">
            <v/>
          </cell>
          <cell r="F5910" t="str">
            <v/>
          </cell>
          <cell r="G5910" t="str">
            <v>LUXOR AG S.A.S.</v>
          </cell>
          <cell r="H5910" t="str">
            <v>RST</v>
          </cell>
          <cell r="I5910" t="str">
            <v>REGIMEN SIMPLE DE TRIBUTACION</v>
          </cell>
          <cell r="J5910" t="str">
            <v xml:space="preserve"> CL 25 71 93 AP 704 TO C</v>
          </cell>
          <cell r="K5910" t="str">
            <v>17001</v>
          </cell>
          <cell r="L5910" t="str">
            <v>MANIZALES</v>
          </cell>
          <cell r="M5910" t="str">
            <v>3173085996</v>
          </cell>
        </row>
        <row r="5911">
          <cell r="A5911">
            <v>901045484</v>
          </cell>
          <cell r="B5911" t="str">
            <v>3</v>
          </cell>
          <cell r="C5911" t="str">
            <v/>
          </cell>
          <cell r="D5911" t="str">
            <v>NJ</v>
          </cell>
          <cell r="E5911" t="str">
            <v/>
          </cell>
          <cell r="F5911" t="str">
            <v/>
          </cell>
          <cell r="G5911" t="str">
            <v>TERMINADOS FM S.A.S.</v>
          </cell>
          <cell r="H5911" t="str">
            <v>IMVE</v>
          </cell>
          <cell r="I5911" t="str">
            <v>IMPUESTO SOBRE LAS VENTAS</v>
          </cell>
          <cell r="J5911" t="str">
            <v>CR 29 24 07 BRR LOS ROSALES</v>
          </cell>
          <cell r="K5911" t="str">
            <v>15516</v>
          </cell>
          <cell r="L5911" t="str">
            <v>PAIPA</v>
          </cell>
          <cell r="M5911" t="str">
            <v>3133355028</v>
          </cell>
        </row>
        <row r="5912">
          <cell r="A5912">
            <v>901046327</v>
          </cell>
          <cell r="B5912" t="str">
            <v>1</v>
          </cell>
          <cell r="C5912" t="str">
            <v/>
          </cell>
          <cell r="D5912" t="str">
            <v>NJ</v>
          </cell>
          <cell r="E5912" t="str">
            <v/>
          </cell>
          <cell r="F5912" t="str">
            <v/>
          </cell>
          <cell r="G5912" t="str">
            <v>LG CONSTRUCCIONES Y SERVICIOS SAS</v>
          </cell>
          <cell r="H5912" t="str">
            <v>RECO</v>
          </cell>
          <cell r="I5912" t="str">
            <v>REGIMEN COMUN</v>
          </cell>
          <cell r="J5912" t="str">
            <v>CR4 ESTE 17 109 CA 193 BOSQUES DE MORELIA</v>
          </cell>
          <cell r="K5912" t="str">
            <v>50001</v>
          </cell>
          <cell r="L5912" t="str">
            <v>VILLAVICENCIO</v>
          </cell>
          <cell r="M5912" t="str">
            <v>3185778119</v>
          </cell>
        </row>
        <row r="5913">
          <cell r="A5913">
            <v>901047387</v>
          </cell>
          <cell r="B5913" t="str">
            <v>6</v>
          </cell>
          <cell r="C5913" t="str">
            <v/>
          </cell>
          <cell r="D5913" t="str">
            <v>NJ</v>
          </cell>
          <cell r="E5913" t="str">
            <v/>
          </cell>
          <cell r="F5913" t="str">
            <v/>
          </cell>
          <cell r="G5913" t="str">
            <v>INTERNATIONAL BUSINESS AND TRADING GROUP S.A.S</v>
          </cell>
          <cell r="H5913" t="str">
            <v>RECO</v>
          </cell>
          <cell r="I5913" t="str">
            <v>REGIMEN COMUN</v>
          </cell>
          <cell r="J5913" t="str">
            <v>CR 7 49 28 AP 903</v>
          </cell>
          <cell r="K5913" t="str">
            <v>11001</v>
          </cell>
          <cell r="L5913" t="str">
            <v>BOGOTA DC</v>
          </cell>
          <cell r="M5913" t="str">
            <v>3504495506</v>
          </cell>
        </row>
        <row r="5914">
          <cell r="A5914">
            <v>901049763</v>
          </cell>
          <cell r="B5914" t="str">
            <v>1</v>
          </cell>
          <cell r="C5914" t="str">
            <v/>
          </cell>
          <cell r="D5914" t="str">
            <v>NJ</v>
          </cell>
          <cell r="E5914" t="str">
            <v/>
          </cell>
          <cell r="F5914" t="str">
            <v/>
          </cell>
          <cell r="G5914" t="str">
            <v>PAIPA EN BICI &amp; ECOTURISMO S.A.S</v>
          </cell>
          <cell r="H5914" t="str">
            <v>IMVE</v>
          </cell>
          <cell r="I5914" t="str">
            <v>IMPUESTO SOBRE LAS VENTAS</v>
          </cell>
          <cell r="J5914" t="str">
            <v>CL 25 21 18 ED CENTRAL PARK</v>
          </cell>
          <cell r="K5914" t="str">
            <v>15516</v>
          </cell>
          <cell r="L5914" t="str">
            <v>PAIPA</v>
          </cell>
          <cell r="M5914" t="str">
            <v>3103297537</v>
          </cell>
        </row>
        <row r="5915">
          <cell r="A5915">
            <v>901050407</v>
          </cell>
          <cell r="B5915" t="str">
            <v>6</v>
          </cell>
          <cell r="C5915" t="str">
            <v/>
          </cell>
          <cell r="D5915" t="str">
            <v>NJ</v>
          </cell>
          <cell r="E5915" t="str">
            <v/>
          </cell>
          <cell r="F5915" t="str">
            <v/>
          </cell>
          <cell r="G5915" t="str">
            <v>ARQUIM SOLUCIONES DE INGENIERÍA SAS</v>
          </cell>
          <cell r="H5915" t="str">
            <v>IMVE</v>
          </cell>
          <cell r="I5915" t="str">
            <v>IMPUESTO SOBRE LAS VENTAS</v>
          </cell>
          <cell r="J5915" t="str">
            <v>CR 96 F  22 98</v>
          </cell>
          <cell r="K5915" t="str">
            <v>11001</v>
          </cell>
          <cell r="L5915" t="str">
            <v>BOGOTA DC</v>
          </cell>
          <cell r="M5915" t="str">
            <v>3138035006</v>
          </cell>
        </row>
        <row r="5916">
          <cell r="A5916">
            <v>901053612</v>
          </cell>
          <cell r="B5916" t="str">
            <v>3</v>
          </cell>
          <cell r="C5916" t="str">
            <v/>
          </cell>
          <cell r="D5916" t="str">
            <v>NJ</v>
          </cell>
          <cell r="E5916" t="str">
            <v/>
          </cell>
          <cell r="F5916" t="str">
            <v/>
          </cell>
          <cell r="G5916" t="str">
            <v>INVERSIONES CONSTRUCCIONES E INGENIERIA CDJ GROUP SAS</v>
          </cell>
          <cell r="H5916" t="str">
            <v>RECO</v>
          </cell>
          <cell r="I5916" t="str">
            <v>REGIMEN COMUN</v>
          </cell>
          <cell r="J5916" t="str">
            <v>CL 11 11 11</v>
          </cell>
          <cell r="K5916" t="str">
            <v>25175</v>
          </cell>
          <cell r="L5916" t="str">
            <v>CHÍA</v>
          </cell>
          <cell r="M5916" t="str">
            <v>3229436374</v>
          </cell>
        </row>
        <row r="5917">
          <cell r="A5917">
            <v>901054395</v>
          </cell>
          <cell r="B5917" t="str">
            <v>4</v>
          </cell>
          <cell r="C5917" t="str">
            <v/>
          </cell>
          <cell r="D5917" t="str">
            <v>NJ</v>
          </cell>
          <cell r="E5917" t="str">
            <v/>
          </cell>
          <cell r="F5917" t="str">
            <v/>
          </cell>
          <cell r="G5917" t="str">
            <v>JORGE HUMBERTO ARIAS CONSULTORES MINEROS SAS</v>
          </cell>
          <cell r="H5917" t="str">
            <v>RECO</v>
          </cell>
          <cell r="I5917" t="str">
            <v>REGIMEN COMUN</v>
          </cell>
          <cell r="J5917" t="str">
            <v>CR 5 14 46 P 2</v>
          </cell>
          <cell r="K5917" t="str">
            <v>27615</v>
          </cell>
          <cell r="L5917" t="str">
            <v>RIOSUCIO</v>
          </cell>
          <cell r="M5917" t="str">
            <v>3157655443</v>
          </cell>
        </row>
        <row r="5918">
          <cell r="A5918">
            <v>901055406</v>
          </cell>
          <cell r="B5918" t="str">
            <v>1</v>
          </cell>
          <cell r="C5918" t="str">
            <v/>
          </cell>
          <cell r="D5918" t="str">
            <v>NJ</v>
          </cell>
          <cell r="E5918" t="str">
            <v/>
          </cell>
          <cell r="F5918" t="str">
            <v/>
          </cell>
          <cell r="G5918" t="str">
            <v>CREACIONES Y SUMINISTROS LOGISTICOS S.A.S</v>
          </cell>
          <cell r="H5918" t="str">
            <v>IMVE</v>
          </cell>
          <cell r="I5918" t="str">
            <v>IMPUESTO SOBRE LAS VENTAS</v>
          </cell>
          <cell r="J5918" t="str">
            <v xml:space="preserve"> CL 48 28 60 SUR</v>
          </cell>
          <cell r="K5918" t="str">
            <v>11001</v>
          </cell>
          <cell r="L5918" t="str">
            <v>BOGOTA DC</v>
          </cell>
          <cell r="M5918" t="str">
            <v>3152390369</v>
          </cell>
        </row>
        <row r="5919">
          <cell r="A5919">
            <v>901056400</v>
          </cell>
          <cell r="B5919" t="str">
            <v>2</v>
          </cell>
          <cell r="C5919" t="str">
            <v/>
          </cell>
          <cell r="D5919" t="str">
            <v>NJ</v>
          </cell>
          <cell r="E5919" t="str">
            <v/>
          </cell>
          <cell r="F5919" t="str">
            <v/>
          </cell>
          <cell r="G5919" t="str">
            <v>CLUB DEPORTIVO MANIZALES BASKETBALL CLUB</v>
          </cell>
          <cell r="H5919" t="str">
            <v>REOR</v>
          </cell>
          <cell r="I5919" t="str">
            <v>RENTA REGIMEN ORDINARIO</v>
          </cell>
          <cell r="J5919" t="str">
            <v>CR 30 87 62 URB BOSQUES DE SANTA MARIA CA 6</v>
          </cell>
          <cell r="K5919" t="str">
            <v>17001</v>
          </cell>
          <cell r="L5919" t="str">
            <v>MANIZALES</v>
          </cell>
          <cell r="M5919" t="str">
            <v>3108243128</v>
          </cell>
        </row>
        <row r="5920">
          <cell r="A5920">
            <v>901057164</v>
          </cell>
          <cell r="B5920" t="str">
            <v>3</v>
          </cell>
          <cell r="C5920" t="str">
            <v/>
          </cell>
          <cell r="D5920" t="str">
            <v>NJ</v>
          </cell>
          <cell r="E5920" t="str">
            <v/>
          </cell>
          <cell r="F5920" t="str">
            <v/>
          </cell>
          <cell r="G5920" t="str">
            <v>ASOCIACION DE JOVENES RURALES GESTORES DE PAZ</v>
          </cell>
          <cell r="H5920" t="str">
            <v>IMVE</v>
          </cell>
          <cell r="I5920" t="str">
            <v>IMPUESTO SOBRE LAS VENTAS</v>
          </cell>
          <cell r="J5920" t="str">
            <v>CORR FLORENCIA</v>
          </cell>
          <cell r="K5920" t="str">
            <v>17662</v>
          </cell>
          <cell r="L5920" t="str">
            <v>SAMANÁ</v>
          </cell>
          <cell r="M5920" t="str">
            <v>3104414284</v>
          </cell>
        </row>
        <row r="5921">
          <cell r="A5921">
            <v>901058313</v>
          </cell>
          <cell r="B5921" t="str">
            <v>9</v>
          </cell>
          <cell r="C5921" t="str">
            <v/>
          </cell>
          <cell r="D5921" t="str">
            <v>NJ</v>
          </cell>
          <cell r="E5921" t="str">
            <v/>
          </cell>
          <cell r="F5921" t="str">
            <v/>
          </cell>
          <cell r="G5921" t="str">
            <v>INVERDRON JGW SAS</v>
          </cell>
          <cell r="H5921" t="str">
            <v>IMVE</v>
          </cell>
          <cell r="I5921" t="str">
            <v>IMPUESTO SOBRE LAS VENTAS</v>
          </cell>
          <cell r="J5921" t="str">
            <v>CR 61   76 18</v>
          </cell>
          <cell r="K5921" t="str">
            <v>11001</v>
          </cell>
          <cell r="L5921" t="str">
            <v>BOGOTA DC</v>
          </cell>
          <cell r="M5921" t="str">
            <v>6016570979</v>
          </cell>
        </row>
        <row r="5922">
          <cell r="A5922">
            <v>901058762</v>
          </cell>
          <cell r="B5922" t="str">
            <v>2</v>
          </cell>
          <cell r="C5922" t="str">
            <v/>
          </cell>
          <cell r="D5922" t="str">
            <v>NJ</v>
          </cell>
          <cell r="E5922" t="str">
            <v/>
          </cell>
          <cell r="F5922" t="str">
            <v/>
          </cell>
          <cell r="G5922" t="str">
            <v>VIMAC INGENIERIA SAS</v>
          </cell>
          <cell r="H5922" t="str">
            <v>IMVE</v>
          </cell>
          <cell r="I5922" t="str">
            <v>IMPUESTO SOBRE LAS VENTAS</v>
          </cell>
          <cell r="J5922" t="str">
            <v>CL 60 A 68 SUR 08 T O 4 AP</v>
          </cell>
          <cell r="K5922" t="str">
            <v>03</v>
          </cell>
          <cell r="L5922" t="str">
            <v>BOGOTA</v>
          </cell>
          <cell r="M5922" t="str">
            <v>9211916</v>
          </cell>
        </row>
        <row r="5923">
          <cell r="A5923">
            <v>901059556</v>
          </cell>
          <cell r="B5923" t="str">
            <v>6</v>
          </cell>
          <cell r="C5923" t="str">
            <v/>
          </cell>
          <cell r="D5923" t="str">
            <v>NJ</v>
          </cell>
          <cell r="E5923" t="str">
            <v/>
          </cell>
          <cell r="F5923" t="str">
            <v/>
          </cell>
          <cell r="G5923" t="str">
            <v>ENERGIA &amp; COMUNICACIONES INGENIERIA S.A.S</v>
          </cell>
          <cell r="H5923" t="str">
            <v>IMVE</v>
          </cell>
          <cell r="I5923" t="str">
            <v>IMPUESTO SOBRE LAS VENTAS</v>
          </cell>
          <cell r="J5923" t="str">
            <v>CR 19 185 53 OF 308</v>
          </cell>
          <cell r="K5923" t="str">
            <v>17001</v>
          </cell>
          <cell r="L5923" t="str">
            <v>MANIZALES</v>
          </cell>
          <cell r="M5923" t="str">
            <v>7160445</v>
          </cell>
        </row>
        <row r="5924">
          <cell r="A5924">
            <v>901060665</v>
          </cell>
          <cell r="B5924" t="str">
            <v>2</v>
          </cell>
          <cell r="C5924" t="str">
            <v/>
          </cell>
          <cell r="D5924" t="str">
            <v>NJ</v>
          </cell>
          <cell r="E5924" t="str">
            <v/>
          </cell>
          <cell r="F5924" t="str">
            <v/>
          </cell>
          <cell r="G5924" t="str">
            <v>ENETEL SAS</v>
          </cell>
          <cell r="H5924" t="str">
            <v>RECO</v>
          </cell>
          <cell r="I5924" t="str">
            <v>REGIMEN COMUN</v>
          </cell>
          <cell r="J5924" t="str">
            <v>CR 81 A 34 A 27</v>
          </cell>
          <cell r="K5924" t="str">
            <v>05001</v>
          </cell>
          <cell r="L5924" t="str">
            <v>MEDELLÍN</v>
          </cell>
          <cell r="M5924" t="str">
            <v>3113404197</v>
          </cell>
        </row>
        <row r="5925">
          <cell r="A5925">
            <v>901061156</v>
          </cell>
          <cell r="B5925" t="str">
            <v>1</v>
          </cell>
          <cell r="C5925" t="str">
            <v/>
          </cell>
          <cell r="D5925" t="str">
            <v>NJ</v>
          </cell>
          <cell r="E5925" t="str">
            <v/>
          </cell>
          <cell r="F5925" t="str">
            <v/>
          </cell>
          <cell r="G5925" t="str">
            <v>GENESYS AUTOMATION SAS</v>
          </cell>
          <cell r="H5925" t="str">
            <v>IMVE</v>
          </cell>
          <cell r="I5925" t="str">
            <v>IMPUESTO SOBRE LAS VENTAS</v>
          </cell>
          <cell r="J5925" t="str">
            <v>CL 68 B 13 12</v>
          </cell>
          <cell r="K5925" t="str">
            <v>03</v>
          </cell>
          <cell r="L5925" t="str">
            <v>BOGOTA</v>
          </cell>
          <cell r="M5925" t="str">
            <v>3154598436</v>
          </cell>
        </row>
        <row r="5926">
          <cell r="A5926">
            <v>901061803</v>
          </cell>
          <cell r="B5926" t="str">
            <v>7</v>
          </cell>
          <cell r="C5926" t="str">
            <v/>
          </cell>
          <cell r="D5926" t="str">
            <v>NJ</v>
          </cell>
          <cell r="E5926" t="str">
            <v/>
          </cell>
          <cell r="F5926" t="str">
            <v/>
          </cell>
          <cell r="G5926" t="str">
            <v>PROELECT COLOMBIA SAS</v>
          </cell>
          <cell r="H5926" t="str">
            <v>IMVE</v>
          </cell>
          <cell r="I5926" t="str">
            <v>IMPUESTO SOBRE LAS VENTAS</v>
          </cell>
          <cell r="J5926" t="str">
            <v xml:space="preserve"> CR 60 76 67</v>
          </cell>
          <cell r="K5926" t="str">
            <v>08001</v>
          </cell>
          <cell r="L5926" t="str">
            <v>BARRANQUILLA</v>
          </cell>
          <cell r="M5926" t="str">
            <v>3116609658</v>
          </cell>
        </row>
        <row r="5927">
          <cell r="A5927">
            <v>901061961</v>
          </cell>
          <cell r="B5927" t="str">
            <v>2</v>
          </cell>
          <cell r="C5927" t="str">
            <v/>
          </cell>
          <cell r="D5927" t="str">
            <v>NJ</v>
          </cell>
          <cell r="E5927" t="str">
            <v/>
          </cell>
          <cell r="F5927" t="str">
            <v/>
          </cell>
          <cell r="G5927" t="str">
            <v>SEVEN SEAS SAS</v>
          </cell>
          <cell r="H5927" t="str">
            <v>RECO</v>
          </cell>
          <cell r="I5927" t="str">
            <v>REGIMEN COMUN</v>
          </cell>
          <cell r="J5927" t="str">
            <v>CARRERA 7 # 75 - 51 OFC 501 EDF TERPEL</v>
          </cell>
          <cell r="K5927" t="str">
            <v>11001</v>
          </cell>
          <cell r="L5927" t="str">
            <v>BOGOTA DC</v>
          </cell>
          <cell r="M5927" t="str">
            <v>3105662897</v>
          </cell>
        </row>
        <row r="5928">
          <cell r="A5928">
            <v>901062734</v>
          </cell>
          <cell r="B5928" t="str">
            <v>1</v>
          </cell>
          <cell r="C5928" t="str">
            <v/>
          </cell>
          <cell r="D5928" t="str">
            <v>NJ</v>
          </cell>
          <cell r="E5928" t="str">
            <v/>
          </cell>
          <cell r="F5928" t="str">
            <v/>
          </cell>
          <cell r="G5928" t="str">
            <v>STI PROYECTOS SAS</v>
          </cell>
          <cell r="H5928" t="str">
            <v>RECO</v>
          </cell>
          <cell r="I5928" t="str">
            <v>REGIMEN COMUN</v>
          </cell>
          <cell r="J5928" t="str">
            <v>CL 181   17 B 86 AP 603</v>
          </cell>
          <cell r="K5928" t="str">
            <v>11001</v>
          </cell>
          <cell r="L5928" t="str">
            <v>BOGOTA DC</v>
          </cell>
          <cell r="M5928" t="str">
            <v>3143941604</v>
          </cell>
        </row>
        <row r="5929">
          <cell r="A5929">
            <v>901064397</v>
          </cell>
          <cell r="B5929" t="str">
            <v>1</v>
          </cell>
          <cell r="C5929" t="str">
            <v/>
          </cell>
          <cell r="D5929" t="str">
            <v>NJ</v>
          </cell>
          <cell r="E5929" t="str">
            <v/>
          </cell>
          <cell r="F5929" t="str">
            <v/>
          </cell>
          <cell r="G5929" t="str">
            <v>DISTRIBUIDORA DE TORNILLOS Y HERRAMIENTAS METROTHOR SAS</v>
          </cell>
          <cell r="H5929" t="str">
            <v>RECO</v>
          </cell>
          <cell r="I5929" t="str">
            <v>REGIMEN COMUN</v>
          </cell>
          <cell r="J5929" t="str">
            <v>AK 68 12 40</v>
          </cell>
          <cell r="K5929" t="str">
            <v>17001</v>
          </cell>
          <cell r="L5929" t="str">
            <v>MANIZALES</v>
          </cell>
          <cell r="M5929" t="str">
            <v>3921457</v>
          </cell>
        </row>
        <row r="5930">
          <cell r="A5930">
            <v>901064638</v>
          </cell>
          <cell r="B5930" t="str">
            <v>1</v>
          </cell>
          <cell r="C5930" t="str">
            <v/>
          </cell>
          <cell r="D5930" t="str">
            <v>NJ</v>
          </cell>
          <cell r="E5930" t="str">
            <v/>
          </cell>
          <cell r="F5930" t="str">
            <v/>
          </cell>
          <cell r="G5930" t="str">
            <v>REDEPARTES SAS</v>
          </cell>
          <cell r="H5930" t="str">
            <v>IMVE</v>
          </cell>
          <cell r="I5930" t="str">
            <v>IMPUESTO SOBRE LAS VENTAS</v>
          </cell>
          <cell r="J5930" t="str">
            <v xml:space="preserve"> CL 23 80 A 52 IN 1</v>
          </cell>
          <cell r="K5930" t="str">
            <v>11001</v>
          </cell>
          <cell r="L5930" t="str">
            <v>BOGOTA DC</v>
          </cell>
          <cell r="M5930" t="str">
            <v>3114576943</v>
          </cell>
        </row>
        <row r="5931">
          <cell r="A5931">
            <v>901065873</v>
          </cell>
          <cell r="B5931" t="str">
            <v>0</v>
          </cell>
          <cell r="C5931" t="str">
            <v/>
          </cell>
          <cell r="D5931" t="str">
            <v>NJ</v>
          </cell>
          <cell r="E5931" t="str">
            <v/>
          </cell>
          <cell r="F5931" t="str">
            <v/>
          </cell>
          <cell r="G5931" t="str">
            <v>PLUS+ENERGY SAS</v>
          </cell>
          <cell r="H5931" t="str">
            <v>IMVE</v>
          </cell>
          <cell r="I5931" t="str">
            <v>IMPUESTO SOBRE LAS VENTAS</v>
          </cell>
          <cell r="J5931" t="str">
            <v xml:space="preserve"> CL 100 19 61 OF 1001 ED CIEN</v>
          </cell>
          <cell r="K5931" t="str">
            <v>11001</v>
          </cell>
          <cell r="L5931" t="str">
            <v>BOGOTA DC</v>
          </cell>
          <cell r="M5931" t="str">
            <v>3176442369</v>
          </cell>
        </row>
        <row r="5932">
          <cell r="A5932">
            <v>901066215</v>
          </cell>
          <cell r="B5932" t="str">
            <v>9</v>
          </cell>
          <cell r="C5932" t="str">
            <v/>
          </cell>
          <cell r="D5932" t="str">
            <v>NJ</v>
          </cell>
          <cell r="E5932" t="str">
            <v/>
          </cell>
          <cell r="F5932" t="str">
            <v/>
          </cell>
          <cell r="G5932" t="str">
            <v>GALILEO INVERSIONES SAS</v>
          </cell>
          <cell r="H5932" t="str">
            <v>IMVE</v>
          </cell>
          <cell r="I5932" t="str">
            <v>IMPUESTO SOBRE LAS VENTAS</v>
          </cell>
          <cell r="J5932" t="str">
            <v>CR 24 54 32</v>
          </cell>
          <cell r="K5932" t="str">
            <v>17001</v>
          </cell>
          <cell r="L5932" t="str">
            <v>MANIZALES</v>
          </cell>
          <cell r="M5932" t="str">
            <v>3184182805</v>
          </cell>
        </row>
        <row r="5933">
          <cell r="A5933">
            <v>901067360</v>
          </cell>
          <cell r="B5933" t="str">
            <v>3</v>
          </cell>
          <cell r="C5933" t="str">
            <v/>
          </cell>
          <cell r="D5933" t="str">
            <v>NJ</v>
          </cell>
          <cell r="E5933" t="str">
            <v/>
          </cell>
          <cell r="F5933" t="str">
            <v/>
          </cell>
          <cell r="G5933" t="str">
            <v>ENERFYS SAS</v>
          </cell>
          <cell r="H5933" t="str">
            <v>IMVE</v>
          </cell>
          <cell r="I5933" t="str">
            <v>IMPUESTO SOBRE LAS VENTAS</v>
          </cell>
          <cell r="J5933" t="str">
            <v>CL 140 19 29 IN 501</v>
          </cell>
          <cell r="K5933" t="str">
            <v>11001</v>
          </cell>
          <cell r="L5933" t="str">
            <v>BOGOTA DC</v>
          </cell>
          <cell r="M5933" t="str">
            <v>4625931</v>
          </cell>
        </row>
        <row r="5934">
          <cell r="A5934">
            <v>901067775</v>
          </cell>
          <cell r="B5934" t="str">
            <v>6</v>
          </cell>
          <cell r="C5934" t="str">
            <v/>
          </cell>
          <cell r="D5934" t="str">
            <v>NJ</v>
          </cell>
          <cell r="E5934" t="str">
            <v/>
          </cell>
          <cell r="F5934" t="str">
            <v/>
          </cell>
          <cell r="G5934" t="str">
            <v>INSTITUTO COLOMBIANO DE DERECHO CORPORATIVO</v>
          </cell>
          <cell r="H5934" t="str">
            <v>RECO</v>
          </cell>
          <cell r="I5934" t="str">
            <v>REGIMEN COMUN</v>
          </cell>
          <cell r="J5934" t="str">
            <v>TV 1 A 57 09 AP 502</v>
          </cell>
          <cell r="K5934" t="str">
            <v>11001</v>
          </cell>
          <cell r="L5934" t="str">
            <v>BOGOTA DC</v>
          </cell>
          <cell r="M5934" t="str">
            <v>3206846381</v>
          </cell>
        </row>
        <row r="5935">
          <cell r="A5935">
            <v>901069988</v>
          </cell>
          <cell r="B5935" t="str">
            <v>7</v>
          </cell>
          <cell r="C5935" t="str">
            <v/>
          </cell>
          <cell r="D5935" t="str">
            <v>NJ</v>
          </cell>
          <cell r="E5935" t="str">
            <v/>
          </cell>
          <cell r="F5935" t="str">
            <v/>
          </cell>
          <cell r="G5935" t="str">
            <v>IP EXPERT S.A.S</v>
          </cell>
          <cell r="H5935" t="str">
            <v>IMVE</v>
          </cell>
          <cell r="I5935" t="str">
            <v>IMPUESTO SOBRE LAS VENTAS</v>
          </cell>
          <cell r="J5935" t="str">
            <v xml:space="preserve"> CR 23 C 62 52 ED PRAHNA OF 1012</v>
          </cell>
          <cell r="K5935" t="str">
            <v>17001</v>
          </cell>
          <cell r="L5935" t="str">
            <v>MANIZALES</v>
          </cell>
          <cell r="M5935" t="str">
            <v>68934451</v>
          </cell>
        </row>
        <row r="5936">
          <cell r="A5936">
            <v>901071308</v>
          </cell>
          <cell r="B5936" t="str">
            <v>5</v>
          </cell>
          <cell r="C5936" t="str">
            <v/>
          </cell>
          <cell r="D5936" t="str">
            <v>NJ</v>
          </cell>
          <cell r="E5936" t="str">
            <v/>
          </cell>
          <cell r="F5936" t="str">
            <v/>
          </cell>
          <cell r="G5936" t="str">
            <v>INGENIERIA TECNOLOGIA Y OPERACIONES MINERAS SAS</v>
          </cell>
          <cell r="H5936" t="str">
            <v>IMVE</v>
          </cell>
          <cell r="I5936" t="str">
            <v>IMPUESTO SOBRE LAS VENTAS</v>
          </cell>
          <cell r="J5936" t="str">
            <v>CL 8 10 30</v>
          </cell>
          <cell r="K5936" t="str">
            <v>17001</v>
          </cell>
          <cell r="L5936" t="str">
            <v>MANIZALES</v>
          </cell>
          <cell r="M5936" t="str">
            <v>3223199638</v>
          </cell>
        </row>
        <row r="5937">
          <cell r="A5937">
            <v>901071450</v>
          </cell>
          <cell r="B5937" t="str">
            <v>3</v>
          </cell>
          <cell r="C5937" t="str">
            <v/>
          </cell>
          <cell r="D5937" t="str">
            <v>NJ</v>
          </cell>
          <cell r="E5937" t="str">
            <v/>
          </cell>
          <cell r="F5937" t="str">
            <v/>
          </cell>
          <cell r="G5937" t="str">
            <v>FUENTES DE EXCAVACION Y PILOTAJE S.A.S</v>
          </cell>
          <cell r="H5937" t="str">
            <v>IMVE</v>
          </cell>
          <cell r="I5937" t="str">
            <v>IMPUESTO SOBRE LAS VENTAS</v>
          </cell>
          <cell r="J5937" t="str">
            <v xml:space="preserve"> TV 34 C 40 A 81 SUR</v>
          </cell>
          <cell r="K5937" t="str">
            <v>11001</v>
          </cell>
          <cell r="L5937" t="str">
            <v>BOGOTA DC</v>
          </cell>
          <cell r="M5937" t="str">
            <v>7891563</v>
          </cell>
        </row>
        <row r="5938">
          <cell r="A5938">
            <v>901071455</v>
          </cell>
          <cell r="B5938" t="str">
            <v>1</v>
          </cell>
          <cell r="C5938" t="str">
            <v/>
          </cell>
          <cell r="D5938" t="str">
            <v>NJ</v>
          </cell>
          <cell r="E5938" t="str">
            <v/>
          </cell>
          <cell r="F5938" t="str">
            <v/>
          </cell>
          <cell r="G5938" t="str">
            <v>SYNERGY XPERIENCE SAS</v>
          </cell>
          <cell r="H5938" t="str">
            <v>RECO</v>
          </cell>
          <cell r="I5938" t="str">
            <v>REGIMEN COMUN</v>
          </cell>
          <cell r="J5938" t="str">
            <v>CR 19 82 85 OF 404</v>
          </cell>
          <cell r="K5938" t="str">
            <v>11001</v>
          </cell>
          <cell r="L5938" t="str">
            <v>BOGOTA DC</v>
          </cell>
          <cell r="M5938" t="str">
            <v>3770148</v>
          </cell>
        </row>
        <row r="5939">
          <cell r="A5939">
            <v>901071485</v>
          </cell>
          <cell r="B5939" t="str">
            <v>0</v>
          </cell>
          <cell r="C5939" t="str">
            <v/>
          </cell>
          <cell r="D5939" t="str">
            <v>NJ</v>
          </cell>
          <cell r="E5939" t="str">
            <v/>
          </cell>
          <cell r="F5939" t="str">
            <v/>
          </cell>
          <cell r="G5939" t="str">
            <v>NCT COMUNICACIONES SAS</v>
          </cell>
          <cell r="H5939" t="str">
            <v>RECO</v>
          </cell>
          <cell r="I5939" t="str">
            <v>REGIMEN COMUN</v>
          </cell>
          <cell r="J5939" t="str">
            <v>CR 16  17  129</v>
          </cell>
          <cell r="K5939" t="str">
            <v>15001</v>
          </cell>
          <cell r="L5939" t="str">
            <v>TUNJA</v>
          </cell>
          <cell r="M5939" t="str">
            <v>3125634500</v>
          </cell>
        </row>
        <row r="5940">
          <cell r="A5940">
            <v>901072405</v>
          </cell>
          <cell r="B5940" t="str">
            <v>6</v>
          </cell>
          <cell r="C5940" t="str">
            <v/>
          </cell>
          <cell r="D5940" t="str">
            <v>NJ</v>
          </cell>
          <cell r="E5940" t="str">
            <v/>
          </cell>
          <cell r="F5940" t="str">
            <v/>
          </cell>
          <cell r="G5940" t="str">
            <v>INVERSIONES BURGY FRANCO SAS</v>
          </cell>
          <cell r="H5940" t="str">
            <v>RECO</v>
          </cell>
          <cell r="I5940" t="str">
            <v>REGIMEN COMUN</v>
          </cell>
          <cell r="J5940" t="str">
            <v>CR 23 73 112</v>
          </cell>
          <cell r="K5940" t="str">
            <v>17001</v>
          </cell>
          <cell r="L5940" t="str">
            <v>MANIZALES</v>
          </cell>
          <cell r="M5940" t="str">
            <v>3136562417</v>
          </cell>
        </row>
        <row r="5941">
          <cell r="A5941">
            <v>901073049</v>
          </cell>
          <cell r="B5941" t="str">
            <v>1</v>
          </cell>
          <cell r="C5941" t="str">
            <v/>
          </cell>
          <cell r="D5941" t="str">
            <v>NJ</v>
          </cell>
          <cell r="E5941" t="str">
            <v/>
          </cell>
          <cell r="F5941" t="str">
            <v/>
          </cell>
          <cell r="G5941" t="str">
            <v>SOLLIVAN SMART SOLUTIONS S.A.S.</v>
          </cell>
          <cell r="H5941" t="str">
            <v>REOR</v>
          </cell>
          <cell r="I5941" t="str">
            <v>RENTA REGIMEN ORDINARIO</v>
          </cell>
          <cell r="J5941" t="str">
            <v>CR 25 22 C 34</v>
          </cell>
          <cell r="K5941" t="str">
            <v>11001</v>
          </cell>
          <cell r="L5941" t="str">
            <v>BOGOTA DC</v>
          </cell>
          <cell r="M5941" t="str">
            <v>3214695245</v>
          </cell>
        </row>
        <row r="5942">
          <cell r="A5942">
            <v>901074814</v>
          </cell>
          <cell r="B5942" t="str">
            <v>4</v>
          </cell>
          <cell r="C5942" t="str">
            <v/>
          </cell>
          <cell r="D5942" t="str">
            <v>NJ</v>
          </cell>
          <cell r="E5942" t="str">
            <v/>
          </cell>
          <cell r="F5942" t="str">
            <v/>
          </cell>
          <cell r="G5942" t="str">
            <v>INVERQUINTA S.A.S</v>
          </cell>
          <cell r="H5942" t="str">
            <v>RECO</v>
          </cell>
          <cell r="I5942" t="str">
            <v>REGIMEN COMUN</v>
          </cell>
          <cell r="J5942" t="str">
            <v>CR 16 14 25 BRR CRISTO REY</v>
          </cell>
          <cell r="K5942" t="str">
            <v>81001</v>
          </cell>
          <cell r="L5942" t="str">
            <v>ARAUCA</v>
          </cell>
          <cell r="M5942" t="str">
            <v>3164717606</v>
          </cell>
        </row>
        <row r="5943">
          <cell r="A5943">
            <v>901075167</v>
          </cell>
          <cell r="B5943" t="str">
            <v>1</v>
          </cell>
          <cell r="C5943" t="str">
            <v/>
          </cell>
          <cell r="D5943" t="str">
            <v>NJ</v>
          </cell>
          <cell r="E5943" t="str">
            <v/>
          </cell>
          <cell r="F5943" t="str">
            <v/>
          </cell>
          <cell r="G5943" t="str">
            <v>CONSORCIO SOLUCIONES AR</v>
          </cell>
          <cell r="H5943" t="str">
            <v>RECO</v>
          </cell>
          <cell r="I5943" t="str">
            <v>REGIMEN COMUN</v>
          </cell>
          <cell r="J5943" t="str">
            <v>CR 22 57  88</v>
          </cell>
          <cell r="K5943" t="str">
            <v>17001</v>
          </cell>
          <cell r="L5943" t="str">
            <v>MANIZALES</v>
          </cell>
          <cell r="M5943" t="str">
            <v>8814333</v>
          </cell>
        </row>
        <row r="5944">
          <cell r="A5944">
            <v>901078571</v>
          </cell>
          <cell r="B5944" t="str">
            <v>8</v>
          </cell>
          <cell r="C5944" t="str">
            <v/>
          </cell>
          <cell r="D5944" t="str">
            <v>NJ</v>
          </cell>
          <cell r="E5944" t="str">
            <v/>
          </cell>
          <cell r="F5944" t="str">
            <v/>
          </cell>
          <cell r="G5944" t="str">
            <v>PROMACG S.A.S.</v>
          </cell>
          <cell r="H5944" t="str">
            <v>RECO</v>
          </cell>
          <cell r="I5944" t="str">
            <v>REGIMEN COMUN</v>
          </cell>
          <cell r="J5944" t="str">
            <v>CL 1 8 75</v>
          </cell>
          <cell r="K5944" t="str">
            <v>44001</v>
          </cell>
          <cell r="L5944" t="str">
            <v>RIOHACHA</v>
          </cell>
          <cell r="M5944" t="str">
            <v>7273515</v>
          </cell>
        </row>
        <row r="5945">
          <cell r="A5945">
            <v>901080023</v>
          </cell>
          <cell r="B5945" t="str">
            <v>1</v>
          </cell>
          <cell r="C5945" t="str">
            <v/>
          </cell>
          <cell r="D5945" t="str">
            <v>NJ</v>
          </cell>
          <cell r="E5945" t="str">
            <v/>
          </cell>
          <cell r="F5945" t="str">
            <v/>
          </cell>
          <cell r="G5945" t="str">
            <v>SANDIEGO HOTELES S.A.S</v>
          </cell>
          <cell r="H5945" t="str">
            <v>IMVE</v>
          </cell>
          <cell r="I5945" t="str">
            <v>IMPUESTO SOBRE LAS VENTAS</v>
          </cell>
          <cell r="J5945" t="str">
            <v>CL 31 43 90</v>
          </cell>
          <cell r="K5945" t="str">
            <v>05001</v>
          </cell>
          <cell r="L5945" t="str">
            <v>MEDELLÍN</v>
          </cell>
          <cell r="M5945" t="str">
            <v>4449002</v>
          </cell>
        </row>
        <row r="5946">
          <cell r="A5946">
            <v>901081504</v>
          </cell>
          <cell r="B5946" t="str">
            <v>5</v>
          </cell>
          <cell r="C5946" t="str">
            <v/>
          </cell>
          <cell r="D5946" t="str">
            <v>NJ</v>
          </cell>
          <cell r="E5946" t="str">
            <v/>
          </cell>
          <cell r="F5946" t="str">
            <v/>
          </cell>
          <cell r="G5946" t="str">
            <v>SOSTENIBILIDAD E INGENIERIA S.A.S</v>
          </cell>
          <cell r="H5946" t="str">
            <v>IMVE</v>
          </cell>
          <cell r="I5946" t="str">
            <v>IMPUESTO SOBRE LAS VENTAS</v>
          </cell>
          <cell r="J5946" t="str">
            <v>AV ALBERTO MENDOZA 81 C 52 AP 1004 A</v>
          </cell>
          <cell r="K5946" t="str">
            <v>17001</v>
          </cell>
          <cell r="L5946" t="str">
            <v>MANIZALES</v>
          </cell>
          <cell r="M5946" t="str">
            <v>3168326070</v>
          </cell>
        </row>
        <row r="5947">
          <cell r="A5947">
            <v>901082474</v>
          </cell>
          <cell r="B5947" t="str">
            <v>7</v>
          </cell>
          <cell r="C5947" t="str">
            <v/>
          </cell>
          <cell r="D5947" t="str">
            <v>NJ</v>
          </cell>
          <cell r="E5947" t="str">
            <v/>
          </cell>
          <cell r="F5947" t="str">
            <v/>
          </cell>
          <cell r="G5947" t="str">
            <v>LO HACEMOS POR TI SAS</v>
          </cell>
          <cell r="H5947" t="str">
            <v>RECO</v>
          </cell>
          <cell r="I5947" t="str">
            <v>REGIMEN COMUN</v>
          </cell>
          <cell r="J5947" t="str">
            <v>AV CL 1 25 91</v>
          </cell>
          <cell r="K5947" t="str">
            <v>11001</v>
          </cell>
          <cell r="L5947" t="str">
            <v>BOGOTA DC</v>
          </cell>
          <cell r="M5947" t="str">
            <v>3283464</v>
          </cell>
        </row>
        <row r="5948">
          <cell r="A5948">
            <v>901082630</v>
          </cell>
          <cell r="B5948" t="str">
            <v>1</v>
          </cell>
          <cell r="C5948" t="str">
            <v/>
          </cell>
          <cell r="D5948" t="str">
            <v>NJ</v>
          </cell>
          <cell r="E5948" t="str">
            <v/>
          </cell>
          <cell r="F5948" t="str">
            <v/>
          </cell>
          <cell r="G5948" t="str">
            <v>FUNDACION DEL RIO Y DEL SOL</v>
          </cell>
          <cell r="H5948" t="str">
            <v>RECO</v>
          </cell>
          <cell r="I5948" t="str">
            <v>REGIMEN COMUN</v>
          </cell>
          <cell r="J5948" t="str">
            <v>CL 17 1 15</v>
          </cell>
          <cell r="K5948" t="str">
            <v>17380</v>
          </cell>
          <cell r="L5948" t="str">
            <v>LA DORADA</v>
          </cell>
          <cell r="M5948" t="str">
            <v>3103055033</v>
          </cell>
        </row>
        <row r="5949">
          <cell r="A5949">
            <v>901084419</v>
          </cell>
          <cell r="B5949" t="str">
            <v>0</v>
          </cell>
          <cell r="C5949" t="str">
            <v/>
          </cell>
          <cell r="D5949" t="str">
            <v>NJ</v>
          </cell>
          <cell r="E5949" t="str">
            <v/>
          </cell>
          <cell r="F5949" t="str">
            <v/>
          </cell>
          <cell r="G5949" t="str">
            <v>INGELC CONSTRUCCIONES SAS</v>
          </cell>
          <cell r="H5949" t="str">
            <v>IMVE</v>
          </cell>
          <cell r="I5949" t="str">
            <v>IMPUESTO SOBRE LAS VENTAS</v>
          </cell>
          <cell r="J5949" t="str">
            <v>CR 25 71 93 BRR PALERMO</v>
          </cell>
          <cell r="K5949" t="str">
            <v>17001</v>
          </cell>
          <cell r="L5949" t="str">
            <v>MANIZALES</v>
          </cell>
          <cell r="M5949" t="str">
            <v>3117192238</v>
          </cell>
        </row>
        <row r="5950">
          <cell r="A5950">
            <v>901084916</v>
          </cell>
          <cell r="B5950" t="str">
            <v>1</v>
          </cell>
          <cell r="C5950" t="str">
            <v/>
          </cell>
          <cell r="D5950" t="str">
            <v>NJ</v>
          </cell>
          <cell r="E5950" t="str">
            <v/>
          </cell>
          <cell r="F5950" t="str">
            <v/>
          </cell>
          <cell r="G5950" t="str">
            <v>VIURE INGENIERIA CIVIL SAS</v>
          </cell>
          <cell r="H5950" t="str">
            <v>RECO</v>
          </cell>
          <cell r="I5950" t="str">
            <v>REGIMEN COMUN</v>
          </cell>
          <cell r="J5950" t="str">
            <v>CL 67 28 B 36 1001 A</v>
          </cell>
          <cell r="K5950" t="str">
            <v>17001</v>
          </cell>
          <cell r="L5950" t="str">
            <v>MANIZALES</v>
          </cell>
          <cell r="M5950" t="str">
            <v>3205335898</v>
          </cell>
        </row>
        <row r="5951">
          <cell r="A5951">
            <v>901086269</v>
          </cell>
          <cell r="B5951" t="str">
            <v>1</v>
          </cell>
          <cell r="C5951" t="str">
            <v/>
          </cell>
          <cell r="D5951" t="str">
            <v>NJ</v>
          </cell>
          <cell r="E5951" t="str">
            <v/>
          </cell>
          <cell r="F5951" t="str">
            <v/>
          </cell>
          <cell r="G5951" t="str">
            <v>MARKET TREND SAS</v>
          </cell>
          <cell r="H5951" t="str">
            <v>RECO</v>
          </cell>
          <cell r="I5951" t="str">
            <v>REGIMEN COMUN</v>
          </cell>
          <cell r="J5951" t="str">
            <v xml:space="preserve"> CL 13 9 47 CONJ MIRADOR DE LAS LOMAS</v>
          </cell>
          <cell r="K5951" t="str">
            <v>17001</v>
          </cell>
          <cell r="L5951" t="str">
            <v>MANIZALES</v>
          </cell>
          <cell r="M5951" t="str">
            <v>3045384015</v>
          </cell>
        </row>
        <row r="5952">
          <cell r="A5952">
            <v>901086312</v>
          </cell>
          <cell r="B5952" t="str">
            <v>0</v>
          </cell>
          <cell r="C5952" t="str">
            <v/>
          </cell>
          <cell r="D5952" t="str">
            <v>NJ</v>
          </cell>
          <cell r="E5952" t="str">
            <v/>
          </cell>
          <cell r="F5952" t="str">
            <v/>
          </cell>
          <cell r="G5952" t="str">
            <v>CUINA S.A.S.</v>
          </cell>
          <cell r="H5952" t="str">
            <v>RECO</v>
          </cell>
          <cell r="I5952" t="str">
            <v>REGIMEN COMUN</v>
          </cell>
          <cell r="J5952" t="str">
            <v xml:space="preserve"> CL  67 28 B 36 BRR PALERMO</v>
          </cell>
          <cell r="K5952" t="str">
            <v>17001</v>
          </cell>
          <cell r="L5952" t="str">
            <v>MANIZALES</v>
          </cell>
          <cell r="M5952" t="str">
            <v>3108222363</v>
          </cell>
        </row>
        <row r="5953">
          <cell r="A5953">
            <v>901086478</v>
          </cell>
          <cell r="B5953" t="str">
            <v>4</v>
          </cell>
          <cell r="C5953" t="str">
            <v/>
          </cell>
          <cell r="D5953" t="str">
            <v>NJ</v>
          </cell>
          <cell r="E5953" t="str">
            <v/>
          </cell>
          <cell r="F5953" t="str">
            <v/>
          </cell>
          <cell r="G5953" t="str">
            <v>CARBONES DE EXPORTACION DEL NORTE SAS</v>
          </cell>
          <cell r="H5953" t="str">
            <v>RECO</v>
          </cell>
          <cell r="I5953" t="str">
            <v>REGIMEN COMUN</v>
          </cell>
          <cell r="J5953" t="str">
            <v>VDA PASO DE LOS RIOS MINA STA EDUVIGES</v>
          </cell>
          <cell r="K5953" t="str">
            <v>54001</v>
          </cell>
          <cell r="L5953" t="str">
            <v>CÚCUTA</v>
          </cell>
          <cell r="M5953" t="str">
            <v>5898211</v>
          </cell>
        </row>
        <row r="5954">
          <cell r="A5954">
            <v>901087259</v>
          </cell>
          <cell r="B5954" t="str">
            <v>2</v>
          </cell>
          <cell r="C5954" t="str">
            <v/>
          </cell>
          <cell r="D5954" t="str">
            <v>NJ</v>
          </cell>
          <cell r="E5954" t="str">
            <v/>
          </cell>
          <cell r="F5954" t="str">
            <v/>
          </cell>
          <cell r="G5954" t="str">
            <v>CONSORCIO FRAGUA</v>
          </cell>
          <cell r="H5954" t="str">
            <v>RECO</v>
          </cell>
          <cell r="I5954" t="str">
            <v>REGIMEN COMUN</v>
          </cell>
          <cell r="J5954" t="str">
            <v>CR 17 19 29</v>
          </cell>
          <cell r="K5954" t="str">
            <v>81001</v>
          </cell>
          <cell r="L5954" t="str">
            <v>ARAUCA</v>
          </cell>
          <cell r="M5954" t="str">
            <v>3133932251</v>
          </cell>
        </row>
        <row r="5955">
          <cell r="A5955">
            <v>901087642</v>
          </cell>
          <cell r="B5955" t="str">
            <v>0</v>
          </cell>
          <cell r="C5955" t="str">
            <v/>
          </cell>
          <cell r="D5955" t="str">
            <v>NJ</v>
          </cell>
          <cell r="E5955" t="str">
            <v/>
          </cell>
          <cell r="F5955" t="str">
            <v/>
          </cell>
          <cell r="G5955" t="str">
            <v>INGENIERIA SERVICIOS Y CONSULTORÍA INSERCON SAS</v>
          </cell>
          <cell r="H5955" t="str">
            <v>RECO</v>
          </cell>
          <cell r="I5955" t="str">
            <v>REGIMEN COMUN</v>
          </cell>
          <cell r="J5955" t="str">
            <v>CL 17 53 46</v>
          </cell>
          <cell r="K5955" t="str">
            <v>11001</v>
          </cell>
          <cell r="L5955" t="str">
            <v>BOGOTA DC</v>
          </cell>
          <cell r="M5955" t="str">
            <v>2612949</v>
          </cell>
        </row>
        <row r="5956">
          <cell r="A5956">
            <v>901088572</v>
          </cell>
          <cell r="B5956" t="str">
            <v>8</v>
          </cell>
          <cell r="C5956" t="str">
            <v/>
          </cell>
          <cell r="D5956" t="str">
            <v>NJ</v>
          </cell>
          <cell r="E5956" t="str">
            <v/>
          </cell>
          <cell r="F5956" t="str">
            <v/>
          </cell>
          <cell r="G5956" t="str">
            <v>ANDRES GARCIA BIOCLIMATICA Y CONSTRUCCION SOSTENIBLE SAS</v>
          </cell>
          <cell r="H5956" t="str">
            <v>RECO</v>
          </cell>
          <cell r="I5956" t="str">
            <v>REGIMEN COMUN</v>
          </cell>
          <cell r="J5956" t="str">
            <v>CR 49 94 12 AP 501</v>
          </cell>
          <cell r="K5956" t="str">
            <v>11001</v>
          </cell>
          <cell r="L5956" t="str">
            <v>BOGOTA DC</v>
          </cell>
          <cell r="M5956" t="str">
            <v>3157427945</v>
          </cell>
        </row>
        <row r="5957">
          <cell r="A5957">
            <v>901088680</v>
          </cell>
          <cell r="B5957" t="str">
            <v>5</v>
          </cell>
          <cell r="C5957" t="str">
            <v/>
          </cell>
          <cell r="D5957" t="str">
            <v>NJ</v>
          </cell>
          <cell r="E5957" t="str">
            <v/>
          </cell>
          <cell r="F5957" t="str">
            <v/>
          </cell>
          <cell r="G5957" t="str">
            <v>CONSORCIO ENERGIA SOLAR 2017</v>
          </cell>
          <cell r="H5957" t="str">
            <v>RECO</v>
          </cell>
          <cell r="I5957" t="str">
            <v>REGIMEN COMUN</v>
          </cell>
          <cell r="J5957" t="str">
            <v>CL 163 B 50 32 IN 4  AP 216</v>
          </cell>
          <cell r="K5957" t="str">
            <v>11001</v>
          </cell>
          <cell r="L5957" t="str">
            <v>BOGOTA DC</v>
          </cell>
          <cell r="M5957" t="str">
            <v>3176474744</v>
          </cell>
        </row>
        <row r="5958">
          <cell r="A5958">
            <v>901088879</v>
          </cell>
          <cell r="B5958" t="str">
            <v>3</v>
          </cell>
          <cell r="C5958" t="str">
            <v/>
          </cell>
          <cell r="D5958" t="str">
            <v>NJ</v>
          </cell>
          <cell r="E5958" t="str">
            <v/>
          </cell>
          <cell r="F5958" t="str">
            <v/>
          </cell>
          <cell r="G5958" t="str">
            <v>DUQUE &amp; ARANGO ASESORES S.A.S.</v>
          </cell>
          <cell r="H5958" t="str">
            <v>IMVE</v>
          </cell>
          <cell r="I5958" t="str">
            <v>IMPUESTO SOBRE LAS VENTAS</v>
          </cell>
          <cell r="J5958" t="str">
            <v>CL 23 22 11 OF 301</v>
          </cell>
          <cell r="K5958" t="str">
            <v>17001</v>
          </cell>
          <cell r="L5958" t="str">
            <v>MANIZALES</v>
          </cell>
          <cell r="M5958" t="str">
            <v>3003667540</v>
          </cell>
        </row>
        <row r="5959">
          <cell r="A5959">
            <v>901091737</v>
          </cell>
          <cell r="B5959" t="str">
            <v>7</v>
          </cell>
          <cell r="C5959" t="str">
            <v/>
          </cell>
          <cell r="D5959" t="str">
            <v>NJ</v>
          </cell>
          <cell r="E5959" t="str">
            <v/>
          </cell>
          <cell r="F5959" t="str">
            <v/>
          </cell>
          <cell r="G5959" t="str">
            <v>ENERGIA Y TECNOLOGIA PARA LATINOAMERICA SAS</v>
          </cell>
          <cell r="H5959" t="str">
            <v>IMVE</v>
          </cell>
          <cell r="I5959" t="str">
            <v>IMPUESTO SOBRE LAS VENTAS</v>
          </cell>
          <cell r="J5959" t="str">
            <v>AV 40 15 67 CL LLANOCENTRO LOCAL 1 048</v>
          </cell>
          <cell r="K5959" t="str">
            <v>50001</v>
          </cell>
          <cell r="L5959" t="str">
            <v>VILLAVICENCIO</v>
          </cell>
          <cell r="M5959" t="str">
            <v>3108124278</v>
          </cell>
        </row>
        <row r="5960">
          <cell r="A5960">
            <v>901092097</v>
          </cell>
          <cell r="B5960" t="str">
            <v>6</v>
          </cell>
          <cell r="C5960" t="str">
            <v/>
          </cell>
          <cell r="D5960" t="str">
            <v>NJ</v>
          </cell>
          <cell r="E5960" t="str">
            <v/>
          </cell>
          <cell r="F5960" t="str">
            <v/>
          </cell>
          <cell r="G5960" t="str">
            <v>AGVC SAS</v>
          </cell>
          <cell r="H5960" t="str">
            <v>IMVE</v>
          </cell>
          <cell r="I5960" t="str">
            <v>IMPUESTO SOBRE LAS VENTAS</v>
          </cell>
          <cell r="J5960" t="str">
            <v xml:space="preserve"> CR 62 165 A  69</v>
          </cell>
          <cell r="K5960" t="str">
            <v>03</v>
          </cell>
          <cell r="L5960" t="str">
            <v>BOGOTA</v>
          </cell>
          <cell r="M5960" t="str">
            <v>3942363</v>
          </cell>
        </row>
        <row r="5961">
          <cell r="A5961">
            <v>901093012</v>
          </cell>
          <cell r="B5961" t="str">
            <v>5</v>
          </cell>
          <cell r="C5961" t="str">
            <v/>
          </cell>
          <cell r="D5961" t="str">
            <v>NJ</v>
          </cell>
          <cell r="E5961" t="str">
            <v/>
          </cell>
          <cell r="F5961" t="str">
            <v/>
          </cell>
          <cell r="G5961" t="str">
            <v>PROYECTOS DE INGENIERIA MECANICA,ELECTRICA Y CIVILES DE COLOMBIA</v>
          </cell>
          <cell r="H5961" t="str">
            <v>REOR</v>
          </cell>
          <cell r="I5961" t="str">
            <v>RENTA REGIMEN ORDINARIO</v>
          </cell>
          <cell r="J5961" t="str">
            <v>CR 42   45   120</v>
          </cell>
          <cell r="K5961" t="str">
            <v>08001</v>
          </cell>
          <cell r="L5961" t="str">
            <v>BARRANQUILLA</v>
          </cell>
          <cell r="M5961" t="str">
            <v>3125859633</v>
          </cell>
        </row>
        <row r="5962">
          <cell r="A5962">
            <v>901093606</v>
          </cell>
          <cell r="B5962" t="str">
            <v>1</v>
          </cell>
          <cell r="C5962" t="str">
            <v/>
          </cell>
          <cell r="D5962" t="str">
            <v>NJ</v>
          </cell>
          <cell r="E5962" t="str">
            <v/>
          </cell>
          <cell r="F5962" t="str">
            <v/>
          </cell>
          <cell r="G5962" t="str">
            <v>BOMBEA SOCIEDAD POR ACCIONES SIMPLIFICADA</v>
          </cell>
          <cell r="H5962" t="str">
            <v>RST</v>
          </cell>
          <cell r="I5962" t="str">
            <v>REGIMEN SIMPLE DE TRIBUTACION</v>
          </cell>
          <cell r="J5962" t="str">
            <v>CL 13  18 51</v>
          </cell>
          <cell r="K5962" t="str">
            <v>15238</v>
          </cell>
          <cell r="L5962" t="str">
            <v>DUITAMA</v>
          </cell>
          <cell r="M5962" t="str">
            <v>3133693545</v>
          </cell>
        </row>
        <row r="5963">
          <cell r="A5963">
            <v>901093687</v>
          </cell>
          <cell r="B5963" t="str">
            <v>6</v>
          </cell>
          <cell r="C5963" t="str">
            <v/>
          </cell>
          <cell r="D5963" t="str">
            <v>NJ</v>
          </cell>
          <cell r="E5963" t="str">
            <v/>
          </cell>
          <cell r="F5963" t="str">
            <v/>
          </cell>
          <cell r="G5963" t="str">
            <v>AB MANTENIMIENTO E INGENIERIA  SAS</v>
          </cell>
          <cell r="H5963" t="str">
            <v>RECO</v>
          </cell>
          <cell r="I5963" t="str">
            <v>REGIMEN COMUN</v>
          </cell>
          <cell r="J5963" t="str">
            <v>CL 20 6 88 BL 5 AP 202</v>
          </cell>
          <cell r="K5963" t="str">
            <v>15238</v>
          </cell>
          <cell r="L5963" t="str">
            <v>DUITAMA</v>
          </cell>
          <cell r="M5963" t="str">
            <v>3118531119</v>
          </cell>
        </row>
        <row r="5964">
          <cell r="A5964">
            <v>901093948</v>
          </cell>
          <cell r="B5964" t="str">
            <v>3</v>
          </cell>
          <cell r="C5964" t="str">
            <v/>
          </cell>
          <cell r="D5964" t="str">
            <v>NJ</v>
          </cell>
          <cell r="E5964" t="str">
            <v/>
          </cell>
          <cell r="F5964" t="str">
            <v/>
          </cell>
          <cell r="G5964" t="str">
            <v>DATACLICK SAS</v>
          </cell>
          <cell r="H5964" t="str">
            <v>RECO</v>
          </cell>
          <cell r="I5964" t="str">
            <v>REGIMEN COMUN</v>
          </cell>
          <cell r="J5964" t="str">
            <v>CR 7 B 126  74  OF 207</v>
          </cell>
          <cell r="K5964" t="str">
            <v>11001</v>
          </cell>
          <cell r="L5964" t="str">
            <v>BOGOTA DC</v>
          </cell>
          <cell r="M5964" t="str">
            <v>3202742527</v>
          </cell>
        </row>
        <row r="5965">
          <cell r="A5965">
            <v>901095058</v>
          </cell>
          <cell r="B5965" t="str">
            <v>2</v>
          </cell>
          <cell r="C5965" t="str">
            <v/>
          </cell>
          <cell r="D5965" t="str">
            <v>NJ</v>
          </cell>
          <cell r="E5965" t="str">
            <v/>
          </cell>
          <cell r="F5965" t="str">
            <v/>
          </cell>
          <cell r="G5965" t="str">
            <v>TECHNICAL SOLUTIONS SAFETY S.A.S</v>
          </cell>
          <cell r="H5965" t="str">
            <v>IMVE</v>
          </cell>
          <cell r="I5965" t="str">
            <v>IMPUESTO SOBRE LAS VENTAS</v>
          </cell>
          <cell r="J5965" t="str">
            <v>CL 160 96 14</v>
          </cell>
          <cell r="K5965" t="str">
            <v>11001</v>
          </cell>
          <cell r="L5965" t="str">
            <v>BOGOTA DC</v>
          </cell>
          <cell r="M5965" t="str">
            <v>4658728</v>
          </cell>
        </row>
        <row r="5966">
          <cell r="A5966">
            <v>901095179</v>
          </cell>
          <cell r="B5966" t="str">
            <v>5</v>
          </cell>
          <cell r="C5966" t="str">
            <v/>
          </cell>
          <cell r="D5966" t="str">
            <v>NJ</v>
          </cell>
          <cell r="E5966" t="str">
            <v/>
          </cell>
          <cell r="F5966" t="str">
            <v/>
          </cell>
          <cell r="G5966" t="str">
            <v>BOTERO MARKETING &amp; PUBLICIDAD S.A.S</v>
          </cell>
          <cell r="H5966" t="str">
            <v>IMVE</v>
          </cell>
          <cell r="I5966" t="str">
            <v>IMPUESTO SOBRE LAS VENTAS</v>
          </cell>
          <cell r="J5966" t="str">
            <v>CR 7 57 D 1 10 BRR VILLA CAFE MANIZALES</v>
          </cell>
          <cell r="K5966" t="str">
            <v>17001</v>
          </cell>
          <cell r="L5966" t="str">
            <v>MANIZALES</v>
          </cell>
          <cell r="M5966" t="str">
            <v>3207852827</v>
          </cell>
        </row>
        <row r="5967">
          <cell r="A5967">
            <v>901097473</v>
          </cell>
          <cell r="B5967" t="str">
            <v>5</v>
          </cell>
          <cell r="C5967" t="str">
            <v/>
          </cell>
          <cell r="D5967" t="str">
            <v>NJ</v>
          </cell>
          <cell r="E5967" t="str">
            <v/>
          </cell>
          <cell r="F5967" t="str">
            <v/>
          </cell>
          <cell r="G5967" t="str">
            <v>EMPRESA PROMOTORA DE SALUD MEDIMAS</v>
          </cell>
          <cell r="H5967" t="str">
            <v>GRCO</v>
          </cell>
          <cell r="I5967" t="str">
            <v>GRAN CONTRIBUYENTE</v>
          </cell>
          <cell r="J5967" t="str">
            <v>CR 23   67   15</v>
          </cell>
          <cell r="K5967" t="str">
            <v>17001</v>
          </cell>
          <cell r="L5967" t="str">
            <v>MANIZALES</v>
          </cell>
          <cell r="M5967" t="str">
            <v>8816494</v>
          </cell>
        </row>
        <row r="5968">
          <cell r="A5968">
            <v>901099812</v>
          </cell>
          <cell r="B5968" t="str">
            <v>8</v>
          </cell>
          <cell r="C5968" t="str">
            <v/>
          </cell>
          <cell r="D5968" t="str">
            <v>NJ</v>
          </cell>
          <cell r="E5968" t="str">
            <v/>
          </cell>
          <cell r="F5968" t="str">
            <v/>
          </cell>
          <cell r="G5968" t="str">
            <v>CONSORCIO P.S. TARAIRA</v>
          </cell>
          <cell r="H5968" t="str">
            <v>RECO</v>
          </cell>
          <cell r="I5968" t="str">
            <v>REGIMEN COMUN</v>
          </cell>
          <cell r="J5968" t="str">
            <v>CL 7  53  54  MULTIFAMILIAR 1 CA 5 CONJ MONTERR</v>
          </cell>
          <cell r="K5968" t="str">
            <v>50001</v>
          </cell>
          <cell r="L5968" t="str">
            <v>VILLAVICENCIO</v>
          </cell>
          <cell r="M5968" t="str">
            <v>6846643</v>
          </cell>
        </row>
        <row r="5969">
          <cell r="A5969">
            <v>901100650</v>
          </cell>
          <cell r="B5969" t="str">
            <v>5</v>
          </cell>
          <cell r="C5969" t="str">
            <v/>
          </cell>
          <cell r="D5969" t="str">
            <v>NJ</v>
          </cell>
          <cell r="E5969" t="str">
            <v/>
          </cell>
          <cell r="F5969" t="str">
            <v/>
          </cell>
          <cell r="G5969" t="str">
            <v>UNION TEMPORAL SOLAR PAZ DE ARIPORO</v>
          </cell>
          <cell r="H5969" t="str">
            <v>RECO</v>
          </cell>
          <cell r="I5969" t="str">
            <v>REGIMEN COMUN</v>
          </cell>
          <cell r="J5969" t="str">
            <v>CR 34 A 5  120 SUR CONJ SANTAANA J-1</v>
          </cell>
          <cell r="K5969" t="str">
            <v>50001</v>
          </cell>
          <cell r="L5969" t="str">
            <v>VILLAVICENCIO</v>
          </cell>
          <cell r="M5969" t="str">
            <v>3112029592</v>
          </cell>
        </row>
        <row r="5970">
          <cell r="A5970">
            <v>901100928</v>
          </cell>
          <cell r="B5970" t="str">
            <v>7</v>
          </cell>
          <cell r="C5970" t="str">
            <v/>
          </cell>
          <cell r="D5970" t="str">
            <v>NJ</v>
          </cell>
          <cell r="E5970" t="str">
            <v/>
          </cell>
          <cell r="F5970" t="str">
            <v/>
          </cell>
          <cell r="G5970" t="str">
            <v>CONSORCIO SOLUCIONES FOTOVOLTAICAS</v>
          </cell>
          <cell r="H5970" t="str">
            <v>RECO</v>
          </cell>
          <cell r="I5970" t="str">
            <v>REGIMEN COMUN</v>
          </cell>
          <cell r="J5970" t="str">
            <v>CL 31 13 B 02 IN 3 CA 25 CONJ RINCON DE LOS ROSALES</v>
          </cell>
          <cell r="K5970" t="str">
            <v>50001</v>
          </cell>
          <cell r="L5970" t="str">
            <v>VILLAVICENCIO</v>
          </cell>
          <cell r="M5970" t="str">
            <v>6711199</v>
          </cell>
        </row>
        <row r="5971">
          <cell r="A5971">
            <v>901101671</v>
          </cell>
          <cell r="B5971" t="str">
            <v>4</v>
          </cell>
          <cell r="C5971" t="str">
            <v/>
          </cell>
          <cell r="D5971" t="str">
            <v>NJ</v>
          </cell>
          <cell r="E5971" t="str">
            <v/>
          </cell>
          <cell r="F5971" t="str">
            <v/>
          </cell>
          <cell r="G5971" t="str">
            <v>UNION TEMPORAL SOLAR 2017</v>
          </cell>
          <cell r="H5971" t="str">
            <v>REIC</v>
          </cell>
          <cell r="I5971" t="str">
            <v>RENTA REGIMEN ESPECIAL</v>
          </cell>
          <cell r="J5971" t="str">
            <v>CL 17 37  59  BRR GUATIQUIA</v>
          </cell>
          <cell r="K5971" t="str">
            <v>50001</v>
          </cell>
          <cell r="L5971" t="str">
            <v>VILLAVICENCIO</v>
          </cell>
          <cell r="M5971" t="str">
            <v>6850223</v>
          </cell>
        </row>
        <row r="5972">
          <cell r="A5972">
            <v>901101914</v>
          </cell>
          <cell r="B5972" t="str">
            <v>9</v>
          </cell>
          <cell r="C5972" t="str">
            <v/>
          </cell>
          <cell r="D5972" t="str">
            <v>NJ</v>
          </cell>
          <cell r="E5972" t="str">
            <v/>
          </cell>
          <cell r="F5972" t="str">
            <v/>
          </cell>
          <cell r="G5972" t="str">
            <v>COMPAÑÍA CONSTRUCTORA DE OBRAS Y COMERCIALIZADORA DE MATERIALES</v>
          </cell>
          <cell r="H5972" t="str">
            <v>IMVE</v>
          </cell>
          <cell r="I5972" t="str">
            <v>IMPUESTO SOBRE LAS VENTAS</v>
          </cell>
          <cell r="J5972" t="str">
            <v>CR 5 14 07 BRR HUNZA</v>
          </cell>
          <cell r="K5972" t="str">
            <v>15001</v>
          </cell>
          <cell r="L5972" t="str">
            <v>TUNJA</v>
          </cell>
          <cell r="M5972" t="str">
            <v>3105505677</v>
          </cell>
        </row>
        <row r="5973">
          <cell r="A5973">
            <v>901101928</v>
          </cell>
          <cell r="B5973" t="str">
            <v>1</v>
          </cell>
          <cell r="C5973" t="str">
            <v/>
          </cell>
          <cell r="D5973" t="str">
            <v>NJ</v>
          </cell>
          <cell r="E5973" t="str">
            <v/>
          </cell>
          <cell r="F5973" t="str">
            <v/>
          </cell>
          <cell r="G5973" t="str">
            <v>EMPRESA DE TRANSPORTE LANCEROS S.A.S</v>
          </cell>
          <cell r="H5973" t="str">
            <v>REOR</v>
          </cell>
          <cell r="I5973" t="str">
            <v>RENTA REGIMEN ORDINARIO</v>
          </cell>
          <cell r="J5973" t="str">
            <v>CL 2519 51 OF 108 CC SALITRE PAIPA</v>
          </cell>
          <cell r="K5973" t="str">
            <v>15516</v>
          </cell>
          <cell r="L5973" t="str">
            <v>PAIPA</v>
          </cell>
          <cell r="M5973" t="str">
            <v>3214410421</v>
          </cell>
        </row>
        <row r="5974">
          <cell r="A5974">
            <v>901102011</v>
          </cell>
          <cell r="B5974" t="str">
            <v>8</v>
          </cell>
          <cell r="C5974" t="str">
            <v/>
          </cell>
          <cell r="D5974" t="str">
            <v>NJ</v>
          </cell>
          <cell r="E5974" t="str">
            <v/>
          </cell>
          <cell r="F5974" t="str">
            <v/>
          </cell>
          <cell r="G5974" t="str">
            <v>LEONARDO PACHECO S.A.S</v>
          </cell>
          <cell r="H5974" t="str">
            <v>RECO</v>
          </cell>
          <cell r="I5974" t="str">
            <v>REGIMEN COMUN</v>
          </cell>
          <cell r="J5974" t="str">
            <v>CL 24 19 20</v>
          </cell>
          <cell r="K5974" t="str">
            <v>15516</v>
          </cell>
          <cell r="L5974" t="str">
            <v>PAIPA</v>
          </cell>
          <cell r="M5974" t="str">
            <v>3208453085</v>
          </cell>
        </row>
        <row r="5975">
          <cell r="A5975">
            <v>901102398</v>
          </cell>
          <cell r="B5975" t="str">
            <v>2</v>
          </cell>
          <cell r="C5975" t="str">
            <v/>
          </cell>
          <cell r="D5975" t="str">
            <v>NJ</v>
          </cell>
          <cell r="E5975" t="str">
            <v/>
          </cell>
          <cell r="F5975" t="str">
            <v/>
          </cell>
          <cell r="G5975" t="str">
            <v>DECISIONES INTELIGENTES DI-AVANTE SAS</v>
          </cell>
          <cell r="H5975" t="str">
            <v>IMVE</v>
          </cell>
          <cell r="I5975" t="str">
            <v>IMPUESTO SOBRE LAS VENTAS</v>
          </cell>
          <cell r="J5975" t="str">
            <v>CR 17 112 14 AP 604</v>
          </cell>
          <cell r="K5975" t="str">
            <v>11001</v>
          </cell>
          <cell r="L5975" t="str">
            <v>BOGOTA DC</v>
          </cell>
          <cell r="M5975" t="str">
            <v>3115929799</v>
          </cell>
        </row>
        <row r="5976">
          <cell r="A5976">
            <v>901104971</v>
          </cell>
          <cell r="B5976" t="str">
            <v>2</v>
          </cell>
          <cell r="C5976" t="str">
            <v/>
          </cell>
          <cell r="D5976" t="str">
            <v>NJ</v>
          </cell>
          <cell r="E5976" t="str">
            <v/>
          </cell>
          <cell r="F5976" t="str">
            <v/>
          </cell>
          <cell r="G5976" t="str">
            <v>EMATEC INGENIERÍA SAS</v>
          </cell>
          <cell r="H5976" t="str">
            <v>RECO</v>
          </cell>
          <cell r="I5976" t="str">
            <v>REGIMEN COMUN</v>
          </cell>
          <cell r="J5976" t="str">
            <v>CR 68 G 65 77</v>
          </cell>
          <cell r="K5976" t="str">
            <v>11001</v>
          </cell>
          <cell r="L5976" t="str">
            <v>BOGOTA DC</v>
          </cell>
          <cell r="M5976" t="str">
            <v>3114824750</v>
          </cell>
        </row>
        <row r="5977">
          <cell r="A5977">
            <v>901105895</v>
          </cell>
          <cell r="B5977" t="str">
            <v>5</v>
          </cell>
          <cell r="C5977" t="str">
            <v/>
          </cell>
          <cell r="D5977" t="str">
            <v>NJ</v>
          </cell>
          <cell r="E5977" t="str">
            <v/>
          </cell>
          <cell r="F5977" t="str">
            <v/>
          </cell>
          <cell r="G5977" t="str">
            <v>MARTIN COLOMBIA S.A.S</v>
          </cell>
          <cell r="H5977" t="str">
            <v>RECO</v>
          </cell>
          <cell r="I5977" t="str">
            <v>REGIMEN COMUN</v>
          </cell>
          <cell r="J5977" t="str">
            <v>CR 51 76 199 P 2 OF 230</v>
          </cell>
          <cell r="K5977" t="str">
            <v>08001</v>
          </cell>
          <cell r="L5977" t="str">
            <v>BARRANQUILLA</v>
          </cell>
          <cell r="M5977" t="str">
            <v>3859799</v>
          </cell>
        </row>
        <row r="5978">
          <cell r="A5978">
            <v>901106809</v>
          </cell>
          <cell r="B5978" t="str">
            <v>6</v>
          </cell>
          <cell r="C5978" t="str">
            <v/>
          </cell>
          <cell r="D5978" t="str">
            <v>NJ</v>
          </cell>
          <cell r="E5978" t="str">
            <v/>
          </cell>
          <cell r="F5978" t="str">
            <v/>
          </cell>
          <cell r="G5978" t="str">
            <v>CONSORCIO ZNI CORDOBA</v>
          </cell>
          <cell r="H5978" t="str">
            <v>RECO</v>
          </cell>
          <cell r="I5978" t="str">
            <v>REGIMEN COMUN</v>
          </cell>
          <cell r="J5978" t="str">
            <v>CR 65 12 56 BRR LIMONAR</v>
          </cell>
          <cell r="K5978" t="str">
            <v>76001</v>
          </cell>
          <cell r="L5978" t="str">
            <v>CALI</v>
          </cell>
          <cell r="M5978" t="str">
            <v>3226044782</v>
          </cell>
        </row>
        <row r="5979">
          <cell r="A5979">
            <v>901108798</v>
          </cell>
          <cell r="B5979" t="str">
            <v>2</v>
          </cell>
          <cell r="C5979" t="str">
            <v/>
          </cell>
          <cell r="D5979" t="str">
            <v>NJ</v>
          </cell>
          <cell r="E5979" t="str">
            <v/>
          </cell>
          <cell r="F5979" t="str">
            <v/>
          </cell>
          <cell r="G5979" t="str">
            <v>BOMBAS, MOTORES Y EQUIPOS SAS</v>
          </cell>
          <cell r="H5979" t="str">
            <v>IMVE</v>
          </cell>
          <cell r="I5979" t="str">
            <v>IMPUESTO SOBRE LAS VENTAS</v>
          </cell>
          <cell r="J5979" t="str">
            <v xml:space="preserve"> CL 33 A  21 09</v>
          </cell>
          <cell r="K5979" t="str">
            <v>11001</v>
          </cell>
          <cell r="L5979" t="str">
            <v>BOGOTA DC</v>
          </cell>
          <cell r="M5979" t="str">
            <v>6014824192</v>
          </cell>
        </row>
        <row r="5980">
          <cell r="A5980">
            <v>901109122</v>
          </cell>
          <cell r="B5980" t="str">
            <v>9</v>
          </cell>
          <cell r="C5980" t="str">
            <v/>
          </cell>
          <cell r="D5980" t="str">
            <v>NJ</v>
          </cell>
          <cell r="E5980" t="str">
            <v/>
          </cell>
          <cell r="F5980" t="str">
            <v/>
          </cell>
          <cell r="G5980" t="str">
            <v>COFLUIN SAS</v>
          </cell>
          <cell r="H5980" t="str">
            <v>RECO</v>
          </cell>
          <cell r="I5980" t="str">
            <v>REGIMEN COMUN</v>
          </cell>
          <cell r="J5980" t="str">
            <v>CL 26 68 C 61 OF 204 ED TORRE CENTRAL DAVIVIENDA</v>
          </cell>
          <cell r="K5980" t="str">
            <v>11001</v>
          </cell>
          <cell r="L5980" t="str">
            <v>BOGOTA DC</v>
          </cell>
          <cell r="M5980" t="str">
            <v>4322597</v>
          </cell>
        </row>
        <row r="5981">
          <cell r="A5981">
            <v>901109186</v>
          </cell>
          <cell r="B5981" t="str">
            <v>1</v>
          </cell>
          <cell r="C5981" t="str">
            <v/>
          </cell>
          <cell r="D5981" t="str">
            <v>NJ</v>
          </cell>
          <cell r="E5981" t="str">
            <v/>
          </cell>
          <cell r="F5981" t="str">
            <v/>
          </cell>
          <cell r="G5981" t="str">
            <v>INGENIERA Y DESARROLLO SAS</v>
          </cell>
          <cell r="H5981" t="str">
            <v>IMVE</v>
          </cell>
          <cell r="I5981" t="str">
            <v>IMPUESTO SOBRE LAS VENTAS</v>
          </cell>
          <cell r="J5981" t="str">
            <v xml:space="preserve"> CR  20 A 26 81 BRR BARRIO VILLA ANDREA</v>
          </cell>
          <cell r="K5981" t="str">
            <v>95001</v>
          </cell>
          <cell r="L5981" t="str">
            <v>SAN JOSÉ DEL GUAVIARE</v>
          </cell>
          <cell r="M5981" t="str">
            <v>3106138199</v>
          </cell>
        </row>
        <row r="5982">
          <cell r="A5982">
            <v>901109730</v>
          </cell>
          <cell r="B5982" t="str">
            <v>7</v>
          </cell>
          <cell r="C5982" t="str">
            <v/>
          </cell>
          <cell r="D5982" t="str">
            <v>NJ</v>
          </cell>
          <cell r="E5982" t="str">
            <v/>
          </cell>
          <cell r="F5982" t="str">
            <v/>
          </cell>
          <cell r="G5982" t="str">
            <v>STEREN COLOMBIA S.A.S</v>
          </cell>
          <cell r="H5982" t="str">
            <v>RECO</v>
          </cell>
          <cell r="I5982" t="str">
            <v>REGIMEN COMUN</v>
          </cell>
          <cell r="J5982" t="str">
            <v>CR 13 A 34 72 OF 202</v>
          </cell>
          <cell r="K5982" t="str">
            <v>11001</v>
          </cell>
          <cell r="L5982" t="str">
            <v>BOGOTA DC</v>
          </cell>
          <cell r="M5982" t="str">
            <v>7443200</v>
          </cell>
        </row>
        <row r="5983">
          <cell r="A5983">
            <v>901112499</v>
          </cell>
          <cell r="B5983" t="str">
            <v>0</v>
          </cell>
          <cell r="C5983" t="str">
            <v/>
          </cell>
          <cell r="D5983" t="str">
            <v>NJ</v>
          </cell>
          <cell r="E5983" t="str">
            <v/>
          </cell>
          <cell r="F5983" t="str">
            <v/>
          </cell>
          <cell r="G5983" t="str">
            <v>CONSORCIO PUERTO RICO SOLAR</v>
          </cell>
          <cell r="H5983" t="str">
            <v>REIC</v>
          </cell>
          <cell r="I5983" t="str">
            <v>RENTA REGIMEN ESPECIAL</v>
          </cell>
          <cell r="J5983" t="str">
            <v>CL 108 49 E 11</v>
          </cell>
          <cell r="K5983" t="str">
            <v>08001</v>
          </cell>
          <cell r="L5983" t="str">
            <v>BARRANQUILLA</v>
          </cell>
          <cell r="M5983" t="str">
            <v>3008673889</v>
          </cell>
        </row>
        <row r="5984">
          <cell r="A5984">
            <v>901112505</v>
          </cell>
          <cell r="B5984" t="str">
            <v>7</v>
          </cell>
          <cell r="C5984" t="str">
            <v/>
          </cell>
          <cell r="D5984" t="str">
            <v>NJ</v>
          </cell>
          <cell r="E5984" t="str">
            <v/>
          </cell>
          <cell r="F5984" t="str">
            <v/>
          </cell>
          <cell r="G5984" t="str">
            <v>CONSORCIO CONSTRUSOLAR</v>
          </cell>
          <cell r="H5984" t="str">
            <v>RECO</v>
          </cell>
          <cell r="I5984" t="str">
            <v>REGIMEN COMUN</v>
          </cell>
          <cell r="J5984" t="str">
            <v>CL 108 49 E 11</v>
          </cell>
          <cell r="K5984" t="str">
            <v>08001</v>
          </cell>
          <cell r="L5984" t="str">
            <v>BARRANQUILLA</v>
          </cell>
          <cell r="M5984" t="str">
            <v>3008673889</v>
          </cell>
        </row>
        <row r="5985">
          <cell r="A5985">
            <v>901112646</v>
          </cell>
          <cell r="B5985" t="str">
            <v>7</v>
          </cell>
          <cell r="C5985" t="str">
            <v/>
          </cell>
          <cell r="D5985" t="str">
            <v>NJ</v>
          </cell>
          <cell r="E5985" t="str">
            <v/>
          </cell>
          <cell r="F5985" t="str">
            <v/>
          </cell>
          <cell r="G5985" t="str">
            <v>SERVINGEMAQ S.A.S</v>
          </cell>
          <cell r="H5985" t="str">
            <v>IMVE</v>
          </cell>
          <cell r="I5985" t="str">
            <v>IMPUESTO SOBRE LAS VENTAS</v>
          </cell>
          <cell r="J5985" t="str">
            <v>CR 11 A 19 63</v>
          </cell>
          <cell r="K5985" t="str">
            <v>15759</v>
          </cell>
          <cell r="L5985" t="str">
            <v>SOGAMOSO</v>
          </cell>
          <cell r="M5985" t="str">
            <v>3203294267</v>
          </cell>
        </row>
        <row r="5986">
          <cell r="A5986">
            <v>901112714</v>
          </cell>
          <cell r="B5986" t="str">
            <v>1</v>
          </cell>
          <cell r="C5986" t="str">
            <v/>
          </cell>
          <cell r="D5986" t="str">
            <v>NJ</v>
          </cell>
          <cell r="E5986" t="str">
            <v/>
          </cell>
          <cell r="F5986" t="str">
            <v/>
          </cell>
          <cell r="G5986" t="str">
            <v>CARBONERA DE LOS ANDES SAS</v>
          </cell>
          <cell r="H5986" t="str">
            <v>RECO</v>
          </cell>
          <cell r="I5986" t="str">
            <v>REGIMEN COMUN</v>
          </cell>
          <cell r="J5986" t="str">
            <v xml:space="preserve"> CR 21 A N 28 27 AP 502</v>
          </cell>
          <cell r="K5986" t="str">
            <v>15516</v>
          </cell>
          <cell r="L5986" t="str">
            <v>PAIPA</v>
          </cell>
          <cell r="M5986" t="str">
            <v>3208136000</v>
          </cell>
        </row>
        <row r="5987">
          <cell r="A5987">
            <v>901112717</v>
          </cell>
          <cell r="B5987" t="str">
            <v>1</v>
          </cell>
          <cell r="C5987" t="str">
            <v/>
          </cell>
          <cell r="D5987" t="str">
            <v>NJ</v>
          </cell>
          <cell r="E5987" t="str">
            <v/>
          </cell>
          <cell r="F5987" t="str">
            <v/>
          </cell>
          <cell r="G5987" t="str">
            <v>CARBONERAS DE LOS ANDES SAS</v>
          </cell>
          <cell r="H5987" t="str">
            <v>REOR</v>
          </cell>
          <cell r="I5987" t="str">
            <v>RENTA REGIMEN ORDINARIO</v>
          </cell>
          <cell r="J5987" t="str">
            <v>CALLE 21 A NUMERO 28 - 27</v>
          </cell>
          <cell r="K5987" t="str">
            <v>17001</v>
          </cell>
          <cell r="L5987" t="str">
            <v>MANIZALES</v>
          </cell>
          <cell r="M5987" t="str">
            <v>3208136000</v>
          </cell>
        </row>
        <row r="5988">
          <cell r="A5988">
            <v>901112969</v>
          </cell>
          <cell r="B5988" t="str">
            <v>0</v>
          </cell>
          <cell r="C5988" t="str">
            <v/>
          </cell>
          <cell r="D5988" t="str">
            <v>NJ</v>
          </cell>
          <cell r="E5988" t="str">
            <v/>
          </cell>
          <cell r="F5988" t="str">
            <v/>
          </cell>
          <cell r="G5988" t="str">
            <v>CONSORCIO ENERGETICO UTK AMBAR</v>
          </cell>
          <cell r="H5988" t="str">
            <v>RECO</v>
          </cell>
          <cell r="I5988" t="str">
            <v>REGIMEN COMUN</v>
          </cell>
          <cell r="J5988" t="str">
            <v>CR 43  72  122  OF  303</v>
          </cell>
          <cell r="K5988" t="str">
            <v>08001</v>
          </cell>
          <cell r="L5988" t="str">
            <v>BARRANQUILLA</v>
          </cell>
          <cell r="M5988" t="str">
            <v>3007334491</v>
          </cell>
        </row>
        <row r="5989">
          <cell r="A5989">
            <v>901115406</v>
          </cell>
          <cell r="B5989" t="str">
            <v>1</v>
          </cell>
          <cell r="C5989" t="str">
            <v/>
          </cell>
          <cell r="D5989" t="str">
            <v>NJ</v>
          </cell>
          <cell r="E5989" t="str">
            <v/>
          </cell>
          <cell r="F5989" t="str">
            <v/>
          </cell>
          <cell r="G5989" t="str">
            <v>CONSORCIO INTERVENTORIA TIERRALTA SOLAR</v>
          </cell>
          <cell r="H5989" t="str">
            <v>RECO</v>
          </cell>
          <cell r="I5989" t="str">
            <v>REGIMEN COMUN</v>
          </cell>
          <cell r="J5989" t="str">
            <v>CL 40 9 A 04</v>
          </cell>
          <cell r="K5989" t="str">
            <v>23001</v>
          </cell>
          <cell r="L5989" t="str">
            <v>MONTERÍA</v>
          </cell>
          <cell r="M5989" t="str">
            <v>3106141960</v>
          </cell>
        </row>
        <row r="5990">
          <cell r="A5990">
            <v>901116543</v>
          </cell>
          <cell r="B5990" t="str">
            <v>5</v>
          </cell>
          <cell r="C5990" t="str">
            <v/>
          </cell>
          <cell r="D5990" t="str">
            <v>NJ</v>
          </cell>
          <cell r="E5990" t="str">
            <v/>
          </cell>
          <cell r="F5990" t="str">
            <v/>
          </cell>
          <cell r="G5990" t="str">
            <v>CONCEPTOS EN ENERGIA VERDE SAS</v>
          </cell>
          <cell r="H5990" t="str">
            <v>IMVE</v>
          </cell>
          <cell r="I5990" t="str">
            <v>IMPUESTO SOBRE LAS VENTAS</v>
          </cell>
          <cell r="J5990" t="str">
            <v>CR 19 A 122 14 AP 204</v>
          </cell>
          <cell r="K5990" t="str">
            <v>11001</v>
          </cell>
          <cell r="L5990" t="str">
            <v>BOGOTA DC</v>
          </cell>
          <cell r="M5990" t="str">
            <v>3015785911</v>
          </cell>
        </row>
        <row r="5991">
          <cell r="A5991">
            <v>901117005</v>
          </cell>
          <cell r="B5991" t="str">
            <v>9</v>
          </cell>
          <cell r="C5991" t="str">
            <v/>
          </cell>
          <cell r="D5991" t="str">
            <v>NJ</v>
          </cell>
          <cell r="E5991" t="str">
            <v/>
          </cell>
          <cell r="F5991" t="str">
            <v/>
          </cell>
          <cell r="G5991" t="str">
            <v>CALDAS AL DIA SAS</v>
          </cell>
          <cell r="H5991" t="str">
            <v>RECO</v>
          </cell>
          <cell r="I5991" t="str">
            <v>REGIMEN COMUN</v>
          </cell>
          <cell r="J5991" t="str">
            <v>CL 67 21 38</v>
          </cell>
          <cell r="K5991" t="str">
            <v>17001</v>
          </cell>
          <cell r="L5991" t="str">
            <v>MANIZALES</v>
          </cell>
          <cell r="M5991" t="str">
            <v>3045384015</v>
          </cell>
        </row>
        <row r="5992">
          <cell r="A5992">
            <v>901117059</v>
          </cell>
          <cell r="B5992" t="str">
            <v>6</v>
          </cell>
          <cell r="C5992" t="str">
            <v/>
          </cell>
          <cell r="D5992" t="str">
            <v>NJ</v>
          </cell>
          <cell r="E5992" t="str">
            <v/>
          </cell>
          <cell r="F5992" t="str">
            <v/>
          </cell>
          <cell r="G5992" t="str">
            <v>MAYDAY CONSULTORES SAS</v>
          </cell>
          <cell r="H5992" t="str">
            <v>RECO</v>
          </cell>
          <cell r="I5992" t="str">
            <v>REGIMEN COMUN</v>
          </cell>
          <cell r="J5992" t="str">
            <v>CL 108  B 6  24</v>
          </cell>
          <cell r="K5992" t="str">
            <v>11001</v>
          </cell>
          <cell r="L5992" t="str">
            <v>BOGOTA DC</v>
          </cell>
          <cell r="M5992" t="str">
            <v>3208464423</v>
          </cell>
        </row>
        <row r="5993">
          <cell r="A5993">
            <v>901117245</v>
          </cell>
          <cell r="B5993" t="str">
            <v>1</v>
          </cell>
          <cell r="C5993" t="str">
            <v/>
          </cell>
          <cell r="D5993" t="str">
            <v>NJ</v>
          </cell>
          <cell r="E5993" t="str">
            <v/>
          </cell>
          <cell r="F5993" t="str">
            <v/>
          </cell>
          <cell r="G5993" t="str">
            <v>INVERSIONES ALIMENTICIAS SANTANA SAS</v>
          </cell>
          <cell r="H5993" t="str">
            <v>IMVE</v>
          </cell>
          <cell r="I5993" t="str">
            <v>IMPUESTO SOBRE LAS VENTAS</v>
          </cell>
          <cell r="J5993" t="str">
            <v>CL 150 50 47 AP 308</v>
          </cell>
          <cell r="K5993" t="str">
            <v>17001</v>
          </cell>
          <cell r="L5993" t="str">
            <v>MANIZALES</v>
          </cell>
          <cell r="M5993" t="str">
            <v>3102682617</v>
          </cell>
        </row>
        <row r="5994">
          <cell r="A5994">
            <v>901117673</v>
          </cell>
          <cell r="B5994" t="str">
            <v>9</v>
          </cell>
          <cell r="C5994" t="str">
            <v/>
          </cell>
          <cell r="D5994" t="str">
            <v>NJ</v>
          </cell>
          <cell r="E5994" t="str">
            <v/>
          </cell>
          <cell r="F5994" t="str">
            <v/>
          </cell>
          <cell r="G5994" t="str">
            <v>WEGHAUX ENERGY DE COLOMBIA SAS</v>
          </cell>
          <cell r="H5994" t="str">
            <v>REOR</v>
          </cell>
          <cell r="I5994" t="str">
            <v>RENTA REGIMEN ORDINARIO</v>
          </cell>
          <cell r="J5994" t="str">
            <v>CR 8  30 22</v>
          </cell>
          <cell r="K5994" t="str">
            <v>11001</v>
          </cell>
          <cell r="L5994" t="str">
            <v>BOGOTA DC</v>
          </cell>
          <cell r="M5994" t="str">
            <v>3023767656</v>
          </cell>
        </row>
        <row r="5995">
          <cell r="A5995">
            <v>901118824</v>
          </cell>
          <cell r="B5995" t="str">
            <v>9</v>
          </cell>
          <cell r="C5995" t="str">
            <v/>
          </cell>
          <cell r="D5995" t="str">
            <v>NJ</v>
          </cell>
          <cell r="E5995" t="str">
            <v/>
          </cell>
          <cell r="F5995" t="str">
            <v/>
          </cell>
          <cell r="G5995" t="str">
            <v>ADEMINCOL SA</v>
          </cell>
          <cell r="H5995" t="str">
            <v>IMVE</v>
          </cell>
          <cell r="I5995" t="str">
            <v>IMPUESTO SOBRE LAS VENTAS</v>
          </cell>
          <cell r="J5995" t="str">
            <v>CL 173 54 B 94</v>
          </cell>
          <cell r="K5995" t="str">
            <v>11001</v>
          </cell>
          <cell r="L5995" t="str">
            <v>BOGOTA DC</v>
          </cell>
          <cell r="M5995" t="str">
            <v>3114850295</v>
          </cell>
        </row>
        <row r="5996">
          <cell r="A5996">
            <v>901119046</v>
          </cell>
          <cell r="B5996" t="str">
            <v>1</v>
          </cell>
          <cell r="C5996" t="str">
            <v/>
          </cell>
          <cell r="D5996" t="str">
            <v>NJ</v>
          </cell>
          <cell r="E5996" t="str">
            <v/>
          </cell>
          <cell r="F5996" t="str">
            <v/>
          </cell>
          <cell r="G5996" t="str">
            <v>EMPRESA MUNICIPAL OFICIAL DE SERVICIOS PUBLICOS DE ACUEDUCTO ALC</v>
          </cell>
          <cell r="H5996" t="str">
            <v>COIM</v>
          </cell>
          <cell r="I5996" t="str">
            <v>CONTROL DE IMPUESTOS</v>
          </cell>
          <cell r="J5996" t="str">
            <v>CLLE 11 8 25 BARR LA FORTALEZA</v>
          </cell>
          <cell r="K5996" t="str">
            <v>19318</v>
          </cell>
          <cell r="L5996" t="str">
            <v>GUAPI</v>
          </cell>
          <cell r="M5996" t="str">
            <v>3163827508</v>
          </cell>
        </row>
        <row r="5997">
          <cell r="A5997">
            <v>901120209</v>
          </cell>
          <cell r="B5997" t="str">
            <v>5</v>
          </cell>
          <cell r="C5997" t="str">
            <v/>
          </cell>
          <cell r="D5997" t="str">
            <v>NJ</v>
          </cell>
          <cell r="E5997" t="str">
            <v/>
          </cell>
          <cell r="F5997" t="str">
            <v/>
          </cell>
          <cell r="G5997" t="str">
            <v>CLUB DEPORTIVO ACADEMIA FC</v>
          </cell>
          <cell r="H5997" t="str">
            <v>RECO</v>
          </cell>
          <cell r="I5997" t="str">
            <v>REGIMEN COMUN</v>
          </cell>
          <cell r="J5997" t="str">
            <v>CR 1 64 09</v>
          </cell>
          <cell r="K5997" t="str">
            <v>17873</v>
          </cell>
          <cell r="L5997" t="str">
            <v>VILLAMARÍA</v>
          </cell>
          <cell r="M5997" t="str">
            <v>3218513633</v>
          </cell>
        </row>
        <row r="5998">
          <cell r="A5998">
            <v>901120769</v>
          </cell>
          <cell r="B5998" t="str">
            <v>8</v>
          </cell>
          <cell r="C5998" t="str">
            <v/>
          </cell>
          <cell r="D5998" t="str">
            <v>NJ</v>
          </cell>
          <cell r="E5998" t="str">
            <v/>
          </cell>
          <cell r="F5998" t="str">
            <v/>
          </cell>
          <cell r="G5998" t="str">
            <v>DISINMEC SAS</v>
          </cell>
          <cell r="H5998" t="str">
            <v>IMVE</v>
          </cell>
          <cell r="I5998" t="str">
            <v>IMPUESTO SOBRE LAS VENTAS</v>
          </cell>
          <cell r="J5998" t="str">
            <v>CL 92 10 21 AP 1001</v>
          </cell>
          <cell r="K5998" t="str">
            <v>11001</v>
          </cell>
          <cell r="L5998" t="str">
            <v>BOGOTA DC</v>
          </cell>
          <cell r="M5998" t="str">
            <v>3164711494</v>
          </cell>
        </row>
        <row r="5999">
          <cell r="A5999">
            <v>901123043</v>
          </cell>
          <cell r="B5999" t="str">
            <v>3</v>
          </cell>
          <cell r="C5999" t="str">
            <v/>
          </cell>
          <cell r="D5999" t="str">
            <v>NJ</v>
          </cell>
          <cell r="E5999" t="str">
            <v/>
          </cell>
          <cell r="F5999" t="str">
            <v/>
          </cell>
          <cell r="G5999" t="str">
            <v>LILIUM CONSTRUCTORA S.A.S.</v>
          </cell>
          <cell r="H5999" t="str">
            <v>IMVE</v>
          </cell>
          <cell r="I5999" t="str">
            <v>IMPUESTO SOBRE LAS VENTAS</v>
          </cell>
          <cell r="J5999" t="str">
            <v xml:space="preserve"> CR 8 19 76</v>
          </cell>
          <cell r="K5999" t="str">
            <v>17001</v>
          </cell>
          <cell r="L5999" t="str">
            <v>MANIZALES</v>
          </cell>
          <cell r="M5999" t="str">
            <v>3115426514</v>
          </cell>
        </row>
        <row r="6000">
          <cell r="A6000">
            <v>901123498</v>
          </cell>
          <cell r="B6000" t="str">
            <v>0</v>
          </cell>
          <cell r="C6000" t="str">
            <v/>
          </cell>
          <cell r="D6000" t="str">
            <v>NJ</v>
          </cell>
          <cell r="E6000" t="str">
            <v/>
          </cell>
          <cell r="F6000" t="str">
            <v/>
          </cell>
          <cell r="G6000" t="str">
            <v>INGENIERÍA ELÉCTRICA Y DE TELECOMUNICACIONES DE COLOMBIA SAS</v>
          </cell>
          <cell r="H6000" t="str">
            <v>RECO</v>
          </cell>
          <cell r="I6000" t="str">
            <v>REGIMEN COMUN</v>
          </cell>
          <cell r="J6000" t="str">
            <v>CL 89 B 116 A 30 IN 36 AP 304</v>
          </cell>
          <cell r="K6000" t="str">
            <v>17001</v>
          </cell>
          <cell r="L6000" t="str">
            <v>MANIZALES</v>
          </cell>
          <cell r="M6000" t="str">
            <v>3194569241</v>
          </cell>
        </row>
        <row r="6001">
          <cell r="A6001">
            <v>901123759</v>
          </cell>
          <cell r="B6001" t="str">
            <v>8</v>
          </cell>
          <cell r="C6001" t="str">
            <v/>
          </cell>
          <cell r="D6001" t="str">
            <v>NJ</v>
          </cell>
          <cell r="E6001" t="str">
            <v/>
          </cell>
          <cell r="F6001" t="str">
            <v/>
          </cell>
          <cell r="G6001" t="str">
            <v>COMERCIALIZADORA MEDINA Y ASOCIADOS SAS</v>
          </cell>
          <cell r="H6001" t="str">
            <v>IMVE</v>
          </cell>
          <cell r="I6001" t="str">
            <v>IMPUESTO SOBRE LAS VENTAS</v>
          </cell>
          <cell r="J6001" t="str">
            <v>CL 19 N 18 65</v>
          </cell>
          <cell r="K6001" t="str">
            <v>85001</v>
          </cell>
          <cell r="L6001" t="str">
            <v>YOPAL</v>
          </cell>
          <cell r="M6001" t="str">
            <v>6340300</v>
          </cell>
        </row>
        <row r="6002">
          <cell r="A6002">
            <v>901124125</v>
          </cell>
          <cell r="B6002" t="str">
            <v>3</v>
          </cell>
          <cell r="C6002" t="str">
            <v/>
          </cell>
          <cell r="D6002" t="str">
            <v>NJ</v>
          </cell>
          <cell r="E6002" t="str">
            <v/>
          </cell>
          <cell r="F6002" t="str">
            <v/>
          </cell>
          <cell r="G6002" t="str">
            <v>CM COGNITIVA S.A.S</v>
          </cell>
          <cell r="H6002" t="str">
            <v>IMVE</v>
          </cell>
          <cell r="I6002" t="str">
            <v>IMPUESTO SOBRE LAS VENTAS</v>
          </cell>
          <cell r="J6002" t="str">
            <v>CL 12 2 D 21 ED SANTA MONICA BLOQUE 5 AP 203</v>
          </cell>
          <cell r="K6002" t="str">
            <v>17001</v>
          </cell>
          <cell r="L6002" t="str">
            <v>MANIZALES</v>
          </cell>
          <cell r="M6002" t="str">
            <v>3176416974</v>
          </cell>
        </row>
        <row r="6003">
          <cell r="A6003">
            <v>901124531</v>
          </cell>
          <cell r="B6003" t="str">
            <v>0</v>
          </cell>
          <cell r="C6003" t="str">
            <v/>
          </cell>
          <cell r="D6003" t="str">
            <v>NJ</v>
          </cell>
          <cell r="E6003" t="str">
            <v/>
          </cell>
          <cell r="F6003" t="str">
            <v/>
          </cell>
          <cell r="G6003" t="str">
            <v>V.I.G &amp; ASOCIADOS SAS</v>
          </cell>
          <cell r="H6003" t="str">
            <v>RECO</v>
          </cell>
          <cell r="I6003" t="str">
            <v>REGIMEN COMUN</v>
          </cell>
          <cell r="J6003" t="str">
            <v>CR 24 20 48 OF 701</v>
          </cell>
          <cell r="K6003" t="str">
            <v>17001</v>
          </cell>
          <cell r="L6003" t="str">
            <v>MANIZALES</v>
          </cell>
          <cell r="M6003" t="str">
            <v>3104084195</v>
          </cell>
        </row>
        <row r="6004">
          <cell r="A6004">
            <v>901125028</v>
          </cell>
          <cell r="B6004" t="str">
            <v>1</v>
          </cell>
          <cell r="C6004" t="str">
            <v/>
          </cell>
          <cell r="D6004" t="str">
            <v>NJ</v>
          </cell>
          <cell r="E6004" t="str">
            <v/>
          </cell>
          <cell r="F6004" t="str">
            <v/>
          </cell>
          <cell r="G6004" t="str">
            <v>INVERSIONES Y CARBONES JM SAS</v>
          </cell>
          <cell r="H6004" t="str">
            <v>REOR</v>
          </cell>
          <cell r="I6004" t="str">
            <v>RENTA REGIMEN ORDINARIO</v>
          </cell>
          <cell r="J6004" t="str">
            <v>CRA 11 No 22 - 127 APARTAMENTO 401 A</v>
          </cell>
          <cell r="K6004" t="str">
            <v>15516</v>
          </cell>
          <cell r="L6004" t="str">
            <v>PAIPA</v>
          </cell>
          <cell r="M6004" t="str">
            <v>3112173558</v>
          </cell>
        </row>
        <row r="6005">
          <cell r="A6005">
            <v>901125404</v>
          </cell>
          <cell r="B6005" t="str">
            <v>8</v>
          </cell>
          <cell r="C6005" t="str">
            <v/>
          </cell>
          <cell r="D6005" t="str">
            <v>NJ</v>
          </cell>
          <cell r="E6005" t="str">
            <v/>
          </cell>
          <cell r="F6005" t="str">
            <v/>
          </cell>
          <cell r="G6005" t="str">
            <v>JULIA-RD SA ESP</v>
          </cell>
          <cell r="H6005" t="str">
            <v>RECO</v>
          </cell>
          <cell r="I6005" t="str">
            <v>REGIMEN COMUN</v>
          </cell>
          <cell r="J6005" t="str">
            <v>CR 11 82 01 P P 2</v>
          </cell>
          <cell r="K6005" t="str">
            <v>11001</v>
          </cell>
          <cell r="L6005" t="str">
            <v>BOGOTA DC</v>
          </cell>
          <cell r="M6005" t="str">
            <v>6535700</v>
          </cell>
        </row>
        <row r="6006">
          <cell r="A6006">
            <v>901127580</v>
          </cell>
          <cell r="B6006" t="str">
            <v>5</v>
          </cell>
          <cell r="C6006" t="str">
            <v/>
          </cell>
          <cell r="D6006" t="str">
            <v>NJ</v>
          </cell>
          <cell r="E6006" t="str">
            <v/>
          </cell>
          <cell r="F6006" t="str">
            <v/>
          </cell>
          <cell r="G6006" t="str">
            <v>AFICONLE SAS</v>
          </cell>
          <cell r="H6006" t="str">
            <v>IMVE</v>
          </cell>
          <cell r="I6006" t="str">
            <v>IMPUESTO SOBRE LAS VENTAS</v>
          </cell>
          <cell r="J6006" t="str">
            <v xml:space="preserve"> CR  23 20 59</v>
          </cell>
          <cell r="K6006" t="str">
            <v>17001</v>
          </cell>
          <cell r="L6006" t="str">
            <v>MANIZALES</v>
          </cell>
          <cell r="M6006" t="str">
            <v>3145850938</v>
          </cell>
        </row>
        <row r="6007">
          <cell r="A6007">
            <v>901127641</v>
          </cell>
          <cell r="B6007" t="str">
            <v>6</v>
          </cell>
          <cell r="C6007" t="str">
            <v/>
          </cell>
          <cell r="D6007" t="str">
            <v>NJ</v>
          </cell>
          <cell r="E6007" t="str">
            <v/>
          </cell>
          <cell r="F6007" t="str">
            <v/>
          </cell>
          <cell r="G6007" t="str">
            <v>PROMOTORA ENERGETICO AMBIENTAL Y DE AGUAS S.A.S. - PROMOAGUAS S.</v>
          </cell>
          <cell r="H6007" t="str">
            <v>IMVE</v>
          </cell>
          <cell r="I6007" t="str">
            <v>IMPUESTO SOBRE LAS VENTAS</v>
          </cell>
          <cell r="J6007" t="str">
            <v xml:space="preserve"> FCA PANDORA CA 089 VDA BAJO TABLAZO FRENTE IGLESIA</v>
          </cell>
          <cell r="K6007" t="str">
            <v>17001</v>
          </cell>
          <cell r="L6007" t="str">
            <v>MANIZALES</v>
          </cell>
          <cell r="M6007" t="str">
            <v>3148126208</v>
          </cell>
        </row>
        <row r="6008">
          <cell r="A6008">
            <v>901128826</v>
          </cell>
          <cell r="B6008" t="str">
            <v>6</v>
          </cell>
          <cell r="C6008" t="str">
            <v/>
          </cell>
          <cell r="D6008" t="str">
            <v>NJ</v>
          </cell>
          <cell r="E6008" t="str">
            <v/>
          </cell>
          <cell r="F6008" t="str">
            <v/>
          </cell>
          <cell r="G6008" t="str">
            <v>SOCIAL SOLAR S.A.S.</v>
          </cell>
          <cell r="H6008" t="str">
            <v>IMVE</v>
          </cell>
          <cell r="I6008" t="str">
            <v>IMPUESTO SOBRE LAS VENTAS</v>
          </cell>
          <cell r="J6008" t="str">
            <v>CR 19 28 60 LC 103</v>
          </cell>
          <cell r="K6008" t="str">
            <v>15516</v>
          </cell>
          <cell r="L6008" t="str">
            <v>PAIPA</v>
          </cell>
          <cell r="M6008" t="str">
            <v>3204679942</v>
          </cell>
        </row>
        <row r="6009">
          <cell r="A6009">
            <v>901129000</v>
          </cell>
          <cell r="B6009" t="str">
            <v>4</v>
          </cell>
          <cell r="C6009" t="str">
            <v/>
          </cell>
          <cell r="D6009" t="str">
            <v>NJ</v>
          </cell>
          <cell r="E6009" t="str">
            <v/>
          </cell>
          <cell r="F6009" t="str">
            <v/>
          </cell>
          <cell r="G6009" t="str">
            <v>GRUPO GAMACO S.A.S.</v>
          </cell>
          <cell r="H6009" t="str">
            <v>IMVE</v>
          </cell>
          <cell r="I6009" t="str">
            <v>IMPUESTO SOBRE LAS VENTAS</v>
          </cell>
          <cell r="J6009" t="str">
            <v xml:space="preserve"> CR 21 64 A  33 OF 1011 ED MULTIPLAZA TORRE EMPRESARIAL</v>
          </cell>
          <cell r="K6009" t="str">
            <v>17001</v>
          </cell>
          <cell r="L6009" t="str">
            <v>MANIZALES</v>
          </cell>
          <cell r="M6009" t="str">
            <v>3137470940</v>
          </cell>
        </row>
        <row r="6010">
          <cell r="A6010">
            <v>901132393</v>
          </cell>
          <cell r="B6010" t="str">
            <v>4</v>
          </cell>
          <cell r="C6010" t="str">
            <v/>
          </cell>
          <cell r="D6010" t="str">
            <v>NJ</v>
          </cell>
          <cell r="E6010" t="str">
            <v/>
          </cell>
          <cell r="F6010" t="str">
            <v/>
          </cell>
          <cell r="G6010" t="str">
            <v>HE INGENIERIA Y SOLUCIONES SAS</v>
          </cell>
          <cell r="H6010" t="str">
            <v>IMVE</v>
          </cell>
          <cell r="I6010" t="str">
            <v>IMPUESTO SOBRE LAS VENTAS</v>
          </cell>
          <cell r="J6010" t="str">
            <v>CR 14 N 11 A 1 BRR VILLA PAZ</v>
          </cell>
          <cell r="K6010" t="str">
            <v>54810</v>
          </cell>
          <cell r="L6010" t="str">
            <v>TIBÚ</v>
          </cell>
          <cell r="M6010" t="str">
            <v>3215827844</v>
          </cell>
        </row>
        <row r="6011">
          <cell r="A6011">
            <v>901132502</v>
          </cell>
          <cell r="B6011" t="str">
            <v>0</v>
          </cell>
          <cell r="C6011" t="str">
            <v/>
          </cell>
          <cell r="D6011" t="str">
            <v>NJ</v>
          </cell>
          <cell r="E6011" t="str">
            <v/>
          </cell>
          <cell r="F6011" t="str">
            <v/>
          </cell>
          <cell r="G6011" t="str">
            <v>HOTELES TOUR GROUP SAS</v>
          </cell>
          <cell r="H6011" t="str">
            <v>RECO</v>
          </cell>
          <cell r="I6011" t="str">
            <v>REGIMEN COMUN</v>
          </cell>
          <cell r="J6011" t="str">
            <v>CR 16 24 11</v>
          </cell>
          <cell r="K6011" t="str">
            <v>81001</v>
          </cell>
          <cell r="L6011" t="str">
            <v>ARAUCA</v>
          </cell>
          <cell r="M6011" t="str">
            <v>3175758523</v>
          </cell>
        </row>
        <row r="6012">
          <cell r="A6012">
            <v>901132662</v>
          </cell>
          <cell r="B6012" t="str">
            <v>0</v>
          </cell>
          <cell r="C6012" t="str">
            <v/>
          </cell>
          <cell r="D6012" t="str">
            <v>NJ</v>
          </cell>
          <cell r="E6012" t="str">
            <v/>
          </cell>
          <cell r="F6012" t="str">
            <v/>
          </cell>
          <cell r="G6012" t="str">
            <v>E &amp; M ENERGIA Y MANTENIMIENTO S.A.S.</v>
          </cell>
          <cell r="H6012" t="str">
            <v>IMVE</v>
          </cell>
          <cell r="I6012" t="str">
            <v>IMPUESTO SOBRE LAS VENTAS</v>
          </cell>
          <cell r="J6012" t="str">
            <v xml:space="preserve"> CR 21 CL 65 26 ED PRAGA AP 502</v>
          </cell>
          <cell r="K6012" t="str">
            <v>17001</v>
          </cell>
          <cell r="L6012" t="str">
            <v>MANIZALES</v>
          </cell>
          <cell r="M6012" t="str">
            <v>3122049648</v>
          </cell>
        </row>
        <row r="6013">
          <cell r="A6013">
            <v>901133862</v>
          </cell>
          <cell r="B6013" t="str">
            <v>1</v>
          </cell>
          <cell r="C6013" t="str">
            <v/>
          </cell>
          <cell r="D6013" t="str">
            <v>NJ</v>
          </cell>
          <cell r="E6013" t="str">
            <v/>
          </cell>
          <cell r="F6013" t="str">
            <v/>
          </cell>
          <cell r="G6013" t="str">
            <v>GLOBAL DREAM SAS</v>
          </cell>
          <cell r="H6013" t="str">
            <v>RECO</v>
          </cell>
          <cell r="I6013" t="str">
            <v>REGIMEN COMUN</v>
          </cell>
          <cell r="J6013" t="str">
            <v>CL 7 25 177 IN 805</v>
          </cell>
          <cell r="K6013" t="str">
            <v>05002</v>
          </cell>
          <cell r="L6013" t="str">
            <v>MEDELLIN</v>
          </cell>
          <cell r="M6013" t="str">
            <v>3153044724</v>
          </cell>
        </row>
        <row r="6014">
          <cell r="A6014">
            <v>901134444</v>
          </cell>
          <cell r="B6014" t="str">
            <v>0</v>
          </cell>
          <cell r="C6014" t="str">
            <v/>
          </cell>
          <cell r="D6014" t="str">
            <v>NJ</v>
          </cell>
          <cell r="E6014" t="str">
            <v/>
          </cell>
          <cell r="F6014" t="str">
            <v/>
          </cell>
          <cell r="G6014" t="str">
            <v>OSLO BRIO SAS</v>
          </cell>
          <cell r="H6014" t="str">
            <v>IMVE</v>
          </cell>
          <cell r="I6014" t="str">
            <v>IMPUESTO SOBRE LAS VENTAS</v>
          </cell>
          <cell r="J6014" t="str">
            <v>BRR LOS GIRASOLES CA 21 CL 5 8 47</v>
          </cell>
          <cell r="K6014" t="str">
            <v>63190</v>
          </cell>
          <cell r="L6014" t="str">
            <v>CIRCASIA</v>
          </cell>
          <cell r="M6014" t="str">
            <v>3127319703</v>
          </cell>
        </row>
        <row r="6015">
          <cell r="A6015">
            <v>901135734</v>
          </cell>
          <cell r="B6015" t="str">
            <v>6</v>
          </cell>
          <cell r="C6015" t="str">
            <v/>
          </cell>
          <cell r="D6015" t="str">
            <v>NJ</v>
          </cell>
          <cell r="E6015" t="str">
            <v/>
          </cell>
          <cell r="F6015" t="str">
            <v/>
          </cell>
          <cell r="G6015" t="str">
            <v>CONSORCIO PLANTAS 2017</v>
          </cell>
          <cell r="H6015" t="str">
            <v>RECO</v>
          </cell>
          <cell r="I6015" t="str">
            <v>REGIMEN COMUN</v>
          </cell>
          <cell r="J6015" t="str">
            <v>CR 6  151 80 AP 1001  TO 3</v>
          </cell>
          <cell r="K6015" t="str">
            <v>11001</v>
          </cell>
          <cell r="L6015" t="str">
            <v>BOGOTA DC</v>
          </cell>
          <cell r="M6015" t="str">
            <v>3105744082</v>
          </cell>
        </row>
        <row r="6016">
          <cell r="A6016">
            <v>901136400</v>
          </cell>
          <cell r="B6016" t="str">
            <v>6</v>
          </cell>
          <cell r="C6016" t="str">
            <v/>
          </cell>
          <cell r="D6016" t="str">
            <v>NJ</v>
          </cell>
          <cell r="E6016" t="str">
            <v/>
          </cell>
          <cell r="F6016" t="str">
            <v/>
          </cell>
          <cell r="G6016" t="str">
            <v>SION ISD SAS</v>
          </cell>
          <cell r="H6016" t="str">
            <v>IMVE</v>
          </cell>
          <cell r="I6016" t="str">
            <v>IMPUESTO SOBRE LAS VENTAS</v>
          </cell>
          <cell r="J6016" t="str">
            <v xml:space="preserve"> CR 71 91 23 AP 1111 TO 3 CONJ ALTOS DEL PARQUE</v>
          </cell>
          <cell r="K6016" t="str">
            <v>08001</v>
          </cell>
          <cell r="L6016" t="str">
            <v>BARRANQUILLA</v>
          </cell>
          <cell r="M6016" t="str">
            <v>3156282419</v>
          </cell>
        </row>
        <row r="6017">
          <cell r="A6017">
            <v>901138546</v>
          </cell>
          <cell r="B6017" t="str">
            <v>1</v>
          </cell>
          <cell r="C6017" t="str">
            <v/>
          </cell>
          <cell r="D6017" t="str">
            <v>NJ</v>
          </cell>
          <cell r="E6017" t="str">
            <v/>
          </cell>
          <cell r="F6017" t="str">
            <v/>
          </cell>
          <cell r="G6017" t="str">
            <v>CONEXION EVENTOS Y SERVICIOS S.A.S.</v>
          </cell>
          <cell r="H6017" t="str">
            <v>IMVE</v>
          </cell>
          <cell r="I6017" t="str">
            <v>IMPUESTO SOBRE LAS VENTAS</v>
          </cell>
          <cell r="J6017" t="str">
            <v>CL 62 23 61 OF 1104</v>
          </cell>
          <cell r="K6017" t="str">
            <v>17001</v>
          </cell>
          <cell r="L6017" t="str">
            <v>MANIZALES</v>
          </cell>
          <cell r="M6017" t="str">
            <v>3113412014</v>
          </cell>
        </row>
        <row r="6018">
          <cell r="A6018">
            <v>901138593</v>
          </cell>
          <cell r="B6018" t="str">
            <v>8</v>
          </cell>
          <cell r="C6018" t="str">
            <v/>
          </cell>
          <cell r="D6018" t="str">
            <v>NJ</v>
          </cell>
          <cell r="E6018" t="str">
            <v/>
          </cell>
          <cell r="F6018" t="str">
            <v/>
          </cell>
          <cell r="G6018" t="str">
            <v>HOTEL MEDELLIN EL TESORO S.A.S.</v>
          </cell>
          <cell r="H6018" t="str">
            <v>IMVE</v>
          </cell>
          <cell r="I6018" t="str">
            <v>IMPUESTO SOBRE LAS VENTAS</v>
          </cell>
          <cell r="J6018" t="str">
            <v>CR 12 A 83 75</v>
          </cell>
          <cell r="K6018" t="str">
            <v>03</v>
          </cell>
          <cell r="L6018" t="str">
            <v>BOGOTA</v>
          </cell>
          <cell r="M6018" t="str">
            <v>6363633</v>
          </cell>
        </row>
        <row r="6019">
          <cell r="A6019">
            <v>901138814</v>
          </cell>
          <cell r="B6019" t="str">
            <v>0</v>
          </cell>
          <cell r="C6019" t="str">
            <v/>
          </cell>
          <cell r="D6019" t="str">
            <v>NJ</v>
          </cell>
          <cell r="E6019" t="str">
            <v/>
          </cell>
          <cell r="F6019" t="str">
            <v/>
          </cell>
          <cell r="G6019" t="str">
            <v>JANAM COAL SAS</v>
          </cell>
          <cell r="H6019" t="str">
            <v>REOR</v>
          </cell>
          <cell r="I6019" t="str">
            <v>RENTA REGIMEN ORDINARIO</v>
          </cell>
          <cell r="J6019" t="str">
            <v>CL 2 B 6 38</v>
          </cell>
          <cell r="K6019" t="str">
            <v>25843</v>
          </cell>
          <cell r="L6019" t="str">
            <v>VILLA DE SAN DIEGO DE UBATE</v>
          </cell>
          <cell r="M6019" t="str">
            <v>3108154766</v>
          </cell>
        </row>
        <row r="6020">
          <cell r="A6020">
            <v>901141237</v>
          </cell>
          <cell r="B6020" t="str">
            <v>1</v>
          </cell>
          <cell r="C6020" t="str">
            <v/>
          </cell>
          <cell r="D6020" t="str">
            <v>NJ</v>
          </cell>
          <cell r="E6020" t="str">
            <v/>
          </cell>
          <cell r="F6020" t="str">
            <v/>
          </cell>
          <cell r="G6020" t="str">
            <v>CONSORCIO VR INGENIERIA Y MERCADEO - CTMI -GEN</v>
          </cell>
          <cell r="H6020" t="str">
            <v>RECO</v>
          </cell>
          <cell r="I6020" t="str">
            <v>REGIMEN COMUN</v>
          </cell>
          <cell r="J6020" t="str">
            <v>CR 126 17 10</v>
          </cell>
          <cell r="K6020" t="str">
            <v>11001</v>
          </cell>
          <cell r="L6020" t="str">
            <v>BOGOTA DC</v>
          </cell>
          <cell r="M6020" t="str">
            <v>4263777</v>
          </cell>
        </row>
        <row r="6021">
          <cell r="A6021">
            <v>901141317</v>
          </cell>
          <cell r="B6021" t="str">
            <v>2</v>
          </cell>
          <cell r="C6021" t="str">
            <v/>
          </cell>
          <cell r="D6021" t="str">
            <v>NJ</v>
          </cell>
          <cell r="E6021" t="str">
            <v/>
          </cell>
          <cell r="F6021" t="str">
            <v/>
          </cell>
          <cell r="G6021" t="str">
            <v>CONSORCIO IMECOG3E</v>
          </cell>
          <cell r="H6021" t="str">
            <v>RECO</v>
          </cell>
          <cell r="I6021" t="str">
            <v>REGIMEN COMUN</v>
          </cell>
          <cell r="J6021" t="str">
            <v>CL 127 A 7 19 OF 301 A</v>
          </cell>
          <cell r="K6021" t="str">
            <v>11001</v>
          </cell>
          <cell r="L6021" t="str">
            <v>BOGOTA DC</v>
          </cell>
          <cell r="M6021" t="str">
            <v>7444828</v>
          </cell>
        </row>
        <row r="6022">
          <cell r="A6022">
            <v>901143004</v>
          </cell>
          <cell r="B6022" t="str">
            <v>1</v>
          </cell>
          <cell r="C6022" t="str">
            <v/>
          </cell>
          <cell r="D6022" t="str">
            <v>NJ</v>
          </cell>
          <cell r="E6022" t="str">
            <v/>
          </cell>
          <cell r="F6022" t="str">
            <v/>
          </cell>
          <cell r="G6022" t="str">
            <v>PROSEIN BC SAS</v>
          </cell>
          <cell r="H6022" t="str">
            <v>IMVE</v>
          </cell>
          <cell r="I6022" t="str">
            <v>IMPUESTO SOBRE LAS VENTAS</v>
          </cell>
          <cell r="J6022" t="str">
            <v>CL 75   69 Q  11</v>
          </cell>
          <cell r="K6022" t="str">
            <v>11001</v>
          </cell>
          <cell r="L6022" t="str">
            <v>BOGOTA DC</v>
          </cell>
          <cell r="M6022" t="str">
            <v>3164219545</v>
          </cell>
        </row>
        <row r="6023">
          <cell r="A6023">
            <v>901143109</v>
          </cell>
          <cell r="B6023" t="str">
            <v>6</v>
          </cell>
          <cell r="C6023" t="str">
            <v/>
          </cell>
          <cell r="D6023" t="str">
            <v>NJ</v>
          </cell>
          <cell r="E6023" t="str">
            <v/>
          </cell>
          <cell r="F6023" t="str">
            <v/>
          </cell>
          <cell r="G6023" t="str">
            <v>AA SERVICIOS, EQUIPOS Y METROLOGIA SAS</v>
          </cell>
          <cell r="H6023" t="str">
            <v>IMVE</v>
          </cell>
          <cell r="I6023" t="str">
            <v>IMPUESTO SOBRE LAS VENTAS</v>
          </cell>
          <cell r="J6023" t="str">
            <v>CR 85 B 55 06 P 1</v>
          </cell>
          <cell r="K6023" t="str">
            <v>11001</v>
          </cell>
          <cell r="L6023" t="str">
            <v>BOGOTA DC</v>
          </cell>
          <cell r="M6023" t="str">
            <v>3105528670</v>
          </cell>
        </row>
        <row r="6024">
          <cell r="A6024">
            <v>901143311</v>
          </cell>
          <cell r="B6024" t="str">
            <v>8</v>
          </cell>
          <cell r="C6024" t="str">
            <v/>
          </cell>
          <cell r="D6024" t="str">
            <v>NJ</v>
          </cell>
          <cell r="E6024" t="str">
            <v/>
          </cell>
          <cell r="F6024" t="str">
            <v/>
          </cell>
          <cell r="G6024" t="str">
            <v>FTECH COLOMBIOA S.A.S.</v>
          </cell>
          <cell r="H6024" t="str">
            <v>IMVE</v>
          </cell>
          <cell r="I6024" t="str">
            <v>IMPUESTO SOBRE LAS VENTAS</v>
          </cell>
          <cell r="J6024" t="str">
            <v>CR 43 A 15 S 15 ED XEROX OF 802</v>
          </cell>
          <cell r="K6024" t="str">
            <v>05001</v>
          </cell>
          <cell r="L6024" t="str">
            <v>MEDELLÍN</v>
          </cell>
          <cell r="M6024" t="str">
            <v>3217656658</v>
          </cell>
        </row>
        <row r="6025">
          <cell r="A6025">
            <v>901143619</v>
          </cell>
          <cell r="B6025" t="str">
            <v>0</v>
          </cell>
          <cell r="C6025" t="str">
            <v/>
          </cell>
          <cell r="D6025" t="str">
            <v>NJ</v>
          </cell>
          <cell r="E6025" t="str">
            <v/>
          </cell>
          <cell r="F6025" t="str">
            <v/>
          </cell>
          <cell r="G6025" t="str">
            <v>GRUPO DE MAR AZUL SAS</v>
          </cell>
          <cell r="H6025" t="str">
            <v>RECO</v>
          </cell>
          <cell r="I6025" t="str">
            <v>REGIMEN COMUN</v>
          </cell>
          <cell r="J6025" t="str">
            <v>CR 23 20 10 PISO 2 CENTRO</v>
          </cell>
          <cell r="K6025" t="str">
            <v>17001</v>
          </cell>
          <cell r="L6025" t="str">
            <v>MANIZALES</v>
          </cell>
          <cell r="M6025" t="str">
            <v>3147460017</v>
          </cell>
        </row>
        <row r="6026">
          <cell r="A6026">
            <v>901144210</v>
          </cell>
          <cell r="B6026" t="str">
            <v>7</v>
          </cell>
          <cell r="C6026" t="str">
            <v/>
          </cell>
          <cell r="D6026" t="str">
            <v>NJ</v>
          </cell>
          <cell r="E6026" t="str">
            <v/>
          </cell>
          <cell r="F6026" t="str">
            <v/>
          </cell>
          <cell r="G6026" t="str">
            <v>COMERCILIZADORA RIANDE S.A.S</v>
          </cell>
          <cell r="H6026" t="str">
            <v>RECO</v>
          </cell>
          <cell r="I6026" t="str">
            <v>REGIMEN COMUN</v>
          </cell>
          <cell r="J6026" t="str">
            <v>CR 18 12 47</v>
          </cell>
          <cell r="K6026" t="str">
            <v>15238</v>
          </cell>
          <cell r="L6026" t="str">
            <v>DUITAMA</v>
          </cell>
          <cell r="M6026" t="str">
            <v>3174311125</v>
          </cell>
        </row>
        <row r="6027">
          <cell r="A6027">
            <v>901145561</v>
          </cell>
          <cell r="B6027" t="str">
            <v>1</v>
          </cell>
          <cell r="C6027" t="str">
            <v/>
          </cell>
          <cell r="D6027" t="str">
            <v>NJ</v>
          </cell>
          <cell r="E6027" t="str">
            <v/>
          </cell>
          <cell r="F6027" t="str">
            <v/>
          </cell>
          <cell r="G6027" t="str">
            <v>ENVASADORA JOVI SAS</v>
          </cell>
          <cell r="H6027" t="str">
            <v>IMVE</v>
          </cell>
          <cell r="I6027" t="str">
            <v>IMPUESTO SOBRE LAS VENTAS</v>
          </cell>
          <cell r="J6027" t="str">
            <v>CR 14 N 10 04</v>
          </cell>
          <cell r="K6027" t="str">
            <v>97001</v>
          </cell>
          <cell r="L6027" t="str">
            <v>MITÚ</v>
          </cell>
          <cell r="M6027" t="str">
            <v>5642220</v>
          </cell>
        </row>
        <row r="6028">
          <cell r="A6028">
            <v>901145612</v>
          </cell>
          <cell r="B6028" t="str">
            <v>9</v>
          </cell>
          <cell r="C6028" t="str">
            <v/>
          </cell>
          <cell r="D6028" t="str">
            <v>NJ</v>
          </cell>
          <cell r="E6028" t="str">
            <v/>
          </cell>
          <cell r="F6028" t="str">
            <v/>
          </cell>
          <cell r="G6028" t="str">
            <v>EJE 360 PRODUCCIONES S.A.S.</v>
          </cell>
          <cell r="H6028" t="str">
            <v>IMVE</v>
          </cell>
          <cell r="I6028" t="str">
            <v>IMPUESTO SOBRE LAS VENTAS</v>
          </cell>
          <cell r="J6028" t="str">
            <v>C  N 65 C 0 A 27 B  A  R  R  I  O  L  A  U  R  E  L  E  S</v>
          </cell>
          <cell r="K6028" t="str">
            <v>17001</v>
          </cell>
          <cell r="L6028" t="str">
            <v>MANIZALES</v>
          </cell>
          <cell r="M6028" t="str">
            <v>8709550</v>
          </cell>
        </row>
        <row r="6029">
          <cell r="A6029">
            <v>901145641</v>
          </cell>
          <cell r="B6029" t="str">
            <v>2</v>
          </cell>
          <cell r="C6029" t="str">
            <v/>
          </cell>
          <cell r="D6029" t="str">
            <v>NJ</v>
          </cell>
          <cell r="E6029" t="str">
            <v/>
          </cell>
          <cell r="F6029" t="str">
            <v/>
          </cell>
          <cell r="G6029" t="str">
            <v>CDA LOS LANCEROS SAS.</v>
          </cell>
          <cell r="H6029" t="str">
            <v>IMVE</v>
          </cell>
          <cell r="I6029" t="str">
            <v>IMPUESTO SOBRE LAS VENTAS</v>
          </cell>
          <cell r="J6029" t="str">
            <v>AV LOS LIBERTADORES 10 C 45 BRR LAS DELICIAS</v>
          </cell>
          <cell r="K6029" t="str">
            <v>15516</v>
          </cell>
          <cell r="L6029" t="str">
            <v>PAIPA</v>
          </cell>
          <cell r="M6029" t="str">
            <v>3107912864</v>
          </cell>
        </row>
        <row r="6030">
          <cell r="A6030">
            <v>901146107</v>
          </cell>
          <cell r="B6030" t="str">
            <v>5</v>
          </cell>
          <cell r="C6030" t="str">
            <v/>
          </cell>
          <cell r="D6030" t="str">
            <v>NJ</v>
          </cell>
          <cell r="E6030" t="str">
            <v/>
          </cell>
          <cell r="F6030" t="str">
            <v/>
          </cell>
          <cell r="G6030" t="str">
            <v>COTRACARBON S.A.S</v>
          </cell>
          <cell r="H6030" t="str">
            <v>REOR</v>
          </cell>
          <cell r="I6030" t="str">
            <v>RENTA REGIMEN ORDINARIO</v>
          </cell>
          <cell r="J6030" t="str">
            <v>CL 54  10 C  73</v>
          </cell>
          <cell r="K6030" t="str">
            <v>15759</v>
          </cell>
          <cell r="L6030" t="str">
            <v>SOGAMOSO</v>
          </cell>
          <cell r="M6030" t="str">
            <v>6349228</v>
          </cell>
        </row>
        <row r="6031">
          <cell r="A6031">
            <v>901146454</v>
          </cell>
          <cell r="B6031" t="str">
            <v>6</v>
          </cell>
          <cell r="C6031" t="str">
            <v/>
          </cell>
          <cell r="D6031" t="str">
            <v>NJ</v>
          </cell>
          <cell r="E6031" t="str">
            <v/>
          </cell>
          <cell r="F6031" t="str">
            <v/>
          </cell>
          <cell r="G6031" t="str">
            <v>EQUIPOS INDUSTRIALES FENIX SAS</v>
          </cell>
          <cell r="H6031" t="str">
            <v>IMVE</v>
          </cell>
          <cell r="I6031" t="str">
            <v>IMPUESTO SOBRE LAS VENTAS</v>
          </cell>
          <cell r="J6031" t="str">
            <v>CALLE 19 No. 6-68 OF 607</v>
          </cell>
          <cell r="K6031" t="str">
            <v>11001</v>
          </cell>
          <cell r="L6031" t="str">
            <v>BOGOTA DC</v>
          </cell>
          <cell r="M6031" t="str">
            <v>2129044</v>
          </cell>
        </row>
        <row r="6032">
          <cell r="A6032">
            <v>901146507</v>
          </cell>
          <cell r="B6032" t="str">
            <v>8</v>
          </cell>
          <cell r="C6032" t="str">
            <v/>
          </cell>
          <cell r="D6032" t="str">
            <v>NJ</v>
          </cell>
          <cell r="E6032" t="str">
            <v/>
          </cell>
          <cell r="F6032" t="str">
            <v/>
          </cell>
          <cell r="G6032" t="str">
            <v>SOL DE INIRIDA SAS ESP</v>
          </cell>
          <cell r="H6032" t="str">
            <v>REOR</v>
          </cell>
          <cell r="I6032" t="str">
            <v>RENTA REGIMEN ORDINARIO</v>
          </cell>
          <cell r="J6032" t="str">
            <v xml:space="preserve"> CR 11 A 69 52</v>
          </cell>
          <cell r="K6032" t="str">
            <v>11001</v>
          </cell>
          <cell r="L6032" t="str">
            <v>BOGOTA DC</v>
          </cell>
          <cell r="M6032" t="str">
            <v>7495913</v>
          </cell>
        </row>
        <row r="6033">
          <cell r="A6033">
            <v>901147478</v>
          </cell>
          <cell r="B6033" t="str">
            <v>7</v>
          </cell>
          <cell r="C6033" t="str">
            <v/>
          </cell>
          <cell r="D6033" t="str">
            <v>NJ</v>
          </cell>
          <cell r="E6033" t="str">
            <v/>
          </cell>
          <cell r="F6033" t="str">
            <v/>
          </cell>
          <cell r="G6033" t="str">
            <v>GMR MINERALES SAS</v>
          </cell>
          <cell r="H6033" t="str">
            <v>REOR</v>
          </cell>
          <cell r="I6033" t="str">
            <v>RENTA REGIMEN ORDINARIO</v>
          </cell>
          <cell r="J6033" t="str">
            <v>CL 20 11 A 37</v>
          </cell>
          <cell r="K6033" t="str">
            <v>17001</v>
          </cell>
          <cell r="L6033" t="str">
            <v>MANIZALES</v>
          </cell>
          <cell r="M6033" t="str">
            <v>3194556862</v>
          </cell>
        </row>
        <row r="6034">
          <cell r="A6034">
            <v>901148204</v>
          </cell>
          <cell r="B6034" t="str">
            <v>0</v>
          </cell>
          <cell r="C6034" t="str">
            <v/>
          </cell>
          <cell r="D6034" t="str">
            <v>NJ</v>
          </cell>
          <cell r="E6034" t="str">
            <v/>
          </cell>
          <cell r="F6034" t="str">
            <v/>
          </cell>
          <cell r="G6034" t="str">
            <v>SAGAX COMUNICACIONES Y TECNOLOGÍA SAS</v>
          </cell>
          <cell r="H6034" t="str">
            <v>IMVE</v>
          </cell>
          <cell r="I6034" t="str">
            <v>IMPUESTO SOBRE LAS VENTAS</v>
          </cell>
          <cell r="J6034" t="str">
            <v>CL 1 A  5 B  33</v>
          </cell>
          <cell r="K6034" t="str">
            <v>15759</v>
          </cell>
          <cell r="L6034" t="str">
            <v>SOGAMOSO</v>
          </cell>
          <cell r="M6034" t="str">
            <v>7742177</v>
          </cell>
        </row>
        <row r="6035">
          <cell r="A6035">
            <v>901149001</v>
          </cell>
          <cell r="B6035" t="str">
            <v>7</v>
          </cell>
          <cell r="C6035" t="str">
            <v/>
          </cell>
          <cell r="D6035" t="str">
            <v>NJ</v>
          </cell>
          <cell r="E6035" t="str">
            <v/>
          </cell>
          <cell r="F6035" t="str">
            <v/>
          </cell>
          <cell r="G6035" t="str">
            <v>CONSORCIO SOLAR DEL OCCIDENTE</v>
          </cell>
          <cell r="H6035" t="str">
            <v>RECO</v>
          </cell>
          <cell r="I6035" t="str">
            <v>REGIMEN COMUN</v>
          </cell>
          <cell r="J6035" t="str">
            <v>CR 29 82 A 40</v>
          </cell>
          <cell r="K6035" t="str">
            <v>17001</v>
          </cell>
          <cell r="L6035" t="str">
            <v>MANIZALES</v>
          </cell>
          <cell r="M6035" t="str">
            <v>3206851281</v>
          </cell>
        </row>
        <row r="6036">
          <cell r="A6036">
            <v>901150336</v>
          </cell>
          <cell r="B6036" t="str">
            <v>0</v>
          </cell>
          <cell r="C6036" t="str">
            <v/>
          </cell>
          <cell r="D6036" t="str">
            <v>NJ</v>
          </cell>
          <cell r="E6036" t="str">
            <v/>
          </cell>
          <cell r="F6036" t="str">
            <v/>
          </cell>
          <cell r="G6036" t="str">
            <v>MAJ INGENIERIA SAS</v>
          </cell>
          <cell r="H6036" t="str">
            <v>RECO</v>
          </cell>
          <cell r="I6036" t="str">
            <v>REGIMEN COMUN</v>
          </cell>
          <cell r="J6036" t="str">
            <v>CR 2  B 41 A 36</v>
          </cell>
          <cell r="K6036" t="str">
            <v>15001</v>
          </cell>
          <cell r="L6036" t="str">
            <v>TUNJA</v>
          </cell>
          <cell r="M6036" t="str">
            <v>7469069</v>
          </cell>
        </row>
        <row r="6037">
          <cell r="A6037">
            <v>901152042</v>
          </cell>
          <cell r="B6037" t="str">
            <v>1</v>
          </cell>
          <cell r="C6037" t="str">
            <v/>
          </cell>
          <cell r="D6037" t="str">
            <v>NJ</v>
          </cell>
          <cell r="E6037" t="str">
            <v/>
          </cell>
          <cell r="F6037" t="str">
            <v/>
          </cell>
          <cell r="G6037" t="str">
            <v>CARBONES CAPI S.A.S.</v>
          </cell>
          <cell r="H6037" t="str">
            <v>IMVE</v>
          </cell>
          <cell r="I6037" t="str">
            <v>IMPUESTO SOBRE LAS VENTAS</v>
          </cell>
          <cell r="J6037" t="str">
            <v xml:space="preserve"> A  V 1 20 A  N  06</v>
          </cell>
          <cell r="K6037" t="str">
            <v>54003</v>
          </cell>
          <cell r="L6037" t="str">
            <v>NTE DE SANTANDER</v>
          </cell>
          <cell r="M6037" t="str">
            <v>3213433564</v>
          </cell>
        </row>
        <row r="6038">
          <cell r="A6038">
            <v>901152343</v>
          </cell>
          <cell r="B6038" t="str">
            <v>1</v>
          </cell>
          <cell r="C6038" t="str">
            <v/>
          </cell>
          <cell r="D6038" t="str">
            <v>NJ</v>
          </cell>
          <cell r="E6038" t="str">
            <v/>
          </cell>
          <cell r="F6038" t="str">
            <v/>
          </cell>
          <cell r="G6038" t="str">
            <v>PCC SOLUCIONES S.A.S.</v>
          </cell>
          <cell r="H6038" t="str">
            <v>IMVE</v>
          </cell>
          <cell r="I6038" t="str">
            <v>IMPUESTO SOBRE LAS VENTAS</v>
          </cell>
          <cell r="J6038" t="str">
            <v>CL 17 8 05 BRR CAMPOHERMOSO</v>
          </cell>
          <cell r="K6038" t="str">
            <v>17001</v>
          </cell>
          <cell r="L6038" t="str">
            <v>MANIZALES</v>
          </cell>
          <cell r="M6038" t="str">
            <v>3146307222</v>
          </cell>
        </row>
        <row r="6039">
          <cell r="A6039">
            <v>901153291</v>
          </cell>
          <cell r="B6039" t="str">
            <v>1</v>
          </cell>
          <cell r="C6039" t="str">
            <v/>
          </cell>
          <cell r="D6039" t="str">
            <v>NJ</v>
          </cell>
          <cell r="E6039" t="str">
            <v/>
          </cell>
          <cell r="F6039" t="str">
            <v/>
          </cell>
          <cell r="G6039" t="str">
            <v>DICARBONES SAS</v>
          </cell>
          <cell r="H6039" t="str">
            <v>REOR</v>
          </cell>
          <cell r="I6039" t="str">
            <v>RENTA REGIMEN ORDINARIO</v>
          </cell>
          <cell r="J6039" t="str">
            <v>CR 2 4 02 OF 106</v>
          </cell>
          <cell r="K6039" t="str">
            <v>25843</v>
          </cell>
          <cell r="L6039" t="str">
            <v>VILLA DE SAN DIEGO DE UBATE</v>
          </cell>
          <cell r="M6039" t="str">
            <v>3108155852</v>
          </cell>
        </row>
        <row r="6040">
          <cell r="A6040">
            <v>901154680</v>
          </cell>
          <cell r="B6040" t="str">
            <v>8</v>
          </cell>
          <cell r="C6040" t="str">
            <v/>
          </cell>
          <cell r="D6040" t="str">
            <v>NJ</v>
          </cell>
          <cell r="E6040" t="str">
            <v/>
          </cell>
          <cell r="F6040" t="str">
            <v/>
          </cell>
          <cell r="G6040" t="str">
            <v>HNOVA INGENIERIA SAS</v>
          </cell>
          <cell r="H6040" t="str">
            <v>IMVE</v>
          </cell>
          <cell r="I6040" t="str">
            <v>IMPUESTO SOBRE LAS VENTAS</v>
          </cell>
          <cell r="J6040" t="str">
            <v xml:space="preserve"> CR 4 # 39-33 BRR LAS DELICIAS</v>
          </cell>
          <cell r="K6040" t="str">
            <v>17001</v>
          </cell>
          <cell r="L6040" t="str">
            <v>MANIZALES</v>
          </cell>
          <cell r="M6040" t="str">
            <v>3158654454</v>
          </cell>
        </row>
        <row r="6041">
          <cell r="A6041">
            <v>901155223</v>
          </cell>
          <cell r="B6041" t="str">
            <v>1</v>
          </cell>
          <cell r="C6041" t="str">
            <v/>
          </cell>
          <cell r="D6041" t="str">
            <v>NJ</v>
          </cell>
          <cell r="E6041" t="str">
            <v/>
          </cell>
          <cell r="F6041" t="str">
            <v/>
          </cell>
          <cell r="G6041" t="str">
            <v>GASTR0NOMICA Y CIA SAS</v>
          </cell>
          <cell r="H6041" t="str">
            <v>REOR</v>
          </cell>
          <cell r="I6041" t="str">
            <v>RENTA REGIMEN ORDINARIO</v>
          </cell>
          <cell r="J6041" t="str">
            <v>AK 68 39 I 09 SUR</v>
          </cell>
          <cell r="K6041" t="str">
            <v>11001</v>
          </cell>
          <cell r="L6041" t="str">
            <v>BOGOTA DC</v>
          </cell>
          <cell r="M6041" t="str">
            <v>3208061126</v>
          </cell>
        </row>
        <row r="6042">
          <cell r="A6042">
            <v>901158236</v>
          </cell>
          <cell r="B6042" t="str">
            <v>9</v>
          </cell>
          <cell r="C6042" t="str">
            <v/>
          </cell>
          <cell r="D6042" t="str">
            <v>NJ</v>
          </cell>
          <cell r="E6042" t="str">
            <v/>
          </cell>
          <cell r="F6042" t="str">
            <v/>
          </cell>
          <cell r="G6042" t="str">
            <v>COMERCIALIZADORA RS SAS</v>
          </cell>
          <cell r="H6042" t="str">
            <v>IMVE</v>
          </cell>
          <cell r="I6042" t="str">
            <v>IMPUESTO SOBRE LAS VENTAS</v>
          </cell>
          <cell r="J6042" t="str">
            <v>CR 100 11 60 TO VALLE DEL LILI OF 314</v>
          </cell>
          <cell r="K6042" t="str">
            <v>76001</v>
          </cell>
          <cell r="L6042" t="str">
            <v>CALI</v>
          </cell>
          <cell r="M6042" t="str">
            <v>3472752</v>
          </cell>
        </row>
        <row r="6043">
          <cell r="A6043">
            <v>901160262</v>
          </cell>
          <cell r="B6043" t="str">
            <v>7</v>
          </cell>
          <cell r="C6043" t="str">
            <v/>
          </cell>
          <cell r="D6043" t="str">
            <v>NJ</v>
          </cell>
          <cell r="E6043" t="str">
            <v/>
          </cell>
          <cell r="F6043" t="str">
            <v/>
          </cell>
          <cell r="G6043" t="str">
            <v>SERVIBANDAS JMG S.A.S.</v>
          </cell>
          <cell r="H6043" t="str">
            <v>IMVE</v>
          </cell>
          <cell r="I6043" t="str">
            <v>IMPUESTO SOBRE LAS VENTAS</v>
          </cell>
          <cell r="J6043" t="str">
            <v xml:space="preserve"> C  R 34 A  16 30</v>
          </cell>
          <cell r="K6043" t="str">
            <v>15238</v>
          </cell>
          <cell r="L6043" t="str">
            <v>DUITAMA</v>
          </cell>
          <cell r="M6043" t="str">
            <v>3182204157</v>
          </cell>
        </row>
        <row r="6044">
          <cell r="A6044">
            <v>901160458</v>
          </cell>
          <cell r="B6044" t="str">
            <v>3</v>
          </cell>
          <cell r="C6044" t="str">
            <v/>
          </cell>
          <cell r="D6044" t="str">
            <v>NJ</v>
          </cell>
          <cell r="E6044" t="str">
            <v/>
          </cell>
          <cell r="F6044" t="str">
            <v/>
          </cell>
          <cell r="G6044" t="str">
            <v>CARBONES TERMICOS Y PROCESADOS DE BOYACA SAS</v>
          </cell>
          <cell r="H6044" t="str">
            <v>REOR</v>
          </cell>
          <cell r="I6044" t="str">
            <v>RENTA REGIMEN ORDINARIO</v>
          </cell>
          <cell r="J6044" t="str">
            <v>CALLE 66 No 10A - 180</v>
          </cell>
          <cell r="K6044" t="str">
            <v>15759</v>
          </cell>
          <cell r="L6044" t="str">
            <v>SOGAMOSO</v>
          </cell>
          <cell r="M6044" t="str">
            <v>3202736019</v>
          </cell>
        </row>
        <row r="6045">
          <cell r="A6045">
            <v>901161466</v>
          </cell>
          <cell r="B6045" t="str">
            <v>7</v>
          </cell>
          <cell r="C6045" t="str">
            <v/>
          </cell>
          <cell r="D6045" t="str">
            <v>NJ</v>
          </cell>
          <cell r="E6045" t="str">
            <v/>
          </cell>
          <cell r="F6045" t="str">
            <v/>
          </cell>
          <cell r="G6045" t="str">
            <v>MHI POWER COLOMBIA S.A.S.</v>
          </cell>
          <cell r="H6045" t="str">
            <v>IMVE</v>
          </cell>
          <cell r="I6045" t="str">
            <v>IMPUESTO SOBRE LAS VENTAS</v>
          </cell>
          <cell r="J6045" t="str">
            <v>CR  7 71 21 TO  A  P 8</v>
          </cell>
          <cell r="K6045" t="str">
            <v>11001</v>
          </cell>
          <cell r="L6045" t="str">
            <v>BOGOTA DC</v>
          </cell>
          <cell r="M6045" t="str">
            <v>7455720</v>
          </cell>
        </row>
        <row r="6046">
          <cell r="A6046">
            <v>901163651</v>
          </cell>
          <cell r="B6046" t="str">
            <v>2</v>
          </cell>
          <cell r="C6046" t="str">
            <v/>
          </cell>
          <cell r="D6046" t="str">
            <v>NJ</v>
          </cell>
          <cell r="E6046" t="str">
            <v/>
          </cell>
          <cell r="F6046" t="str">
            <v/>
          </cell>
          <cell r="G6046" t="str">
            <v>FIX AUTOMATIÓN S.A.S</v>
          </cell>
          <cell r="H6046" t="str">
            <v>IMVE</v>
          </cell>
          <cell r="I6046" t="str">
            <v>IMPUESTO SOBRE LAS VENTAS</v>
          </cell>
          <cell r="J6046" t="str">
            <v>CR 11 A 17 64</v>
          </cell>
          <cell r="K6046" t="str">
            <v>15759</v>
          </cell>
          <cell r="L6046" t="str">
            <v>SOGAMOSO</v>
          </cell>
          <cell r="M6046" t="str">
            <v>3123709485</v>
          </cell>
        </row>
        <row r="6047">
          <cell r="A6047">
            <v>901164498</v>
          </cell>
          <cell r="B6047" t="str">
            <v>6</v>
          </cell>
          <cell r="C6047" t="str">
            <v/>
          </cell>
          <cell r="D6047" t="str">
            <v>NJ</v>
          </cell>
          <cell r="E6047" t="str">
            <v/>
          </cell>
          <cell r="F6047" t="str">
            <v/>
          </cell>
          <cell r="G6047" t="str">
            <v>MINEXCOM SAS</v>
          </cell>
          <cell r="H6047" t="str">
            <v>REOR</v>
          </cell>
          <cell r="I6047" t="str">
            <v>RENTA REGIMEN ORDINARIO</v>
          </cell>
          <cell r="J6047" t="str">
            <v>KM 1 VIA CORRALES TASCO</v>
          </cell>
          <cell r="K6047" t="str">
            <v>15215</v>
          </cell>
          <cell r="L6047" t="str">
            <v>CORRALES</v>
          </cell>
          <cell r="M6047" t="str">
            <v>3112309293</v>
          </cell>
        </row>
        <row r="6048">
          <cell r="A6048">
            <v>901164820</v>
          </cell>
          <cell r="B6048" t="str">
            <v>5</v>
          </cell>
          <cell r="C6048" t="str">
            <v/>
          </cell>
          <cell r="D6048" t="str">
            <v>NJ</v>
          </cell>
          <cell r="E6048" t="str">
            <v/>
          </cell>
          <cell r="F6048" t="str">
            <v/>
          </cell>
          <cell r="G6048" t="str">
            <v>BOYACA SIETE DIAS SAS</v>
          </cell>
          <cell r="H6048" t="str">
            <v>IMVE</v>
          </cell>
          <cell r="I6048" t="str">
            <v>IMPUESTO SOBRE LAS VENTAS</v>
          </cell>
          <cell r="J6048" t="str">
            <v>CL 140 13 66</v>
          </cell>
          <cell r="K6048" t="str">
            <v>11001</v>
          </cell>
          <cell r="L6048" t="str">
            <v>BOGOTA DC</v>
          </cell>
          <cell r="M6048" t="str">
            <v>7470804</v>
          </cell>
        </row>
        <row r="6049">
          <cell r="A6049">
            <v>901166572</v>
          </cell>
          <cell r="B6049" t="str">
            <v>2</v>
          </cell>
          <cell r="C6049" t="str">
            <v/>
          </cell>
          <cell r="D6049" t="str">
            <v>NJ</v>
          </cell>
          <cell r="E6049" t="str">
            <v/>
          </cell>
          <cell r="F6049" t="str">
            <v/>
          </cell>
          <cell r="G6049" t="str">
            <v>SUMIPLAN SAS</v>
          </cell>
          <cell r="H6049" t="str">
            <v>IMVE</v>
          </cell>
          <cell r="I6049" t="str">
            <v>IMPUESTO SOBRE LAS VENTAS</v>
          </cell>
          <cell r="J6049" t="str">
            <v>CR 19   64 A 194</v>
          </cell>
          <cell r="K6049" t="str">
            <v>17001</v>
          </cell>
          <cell r="L6049" t="str">
            <v>MANIZALES</v>
          </cell>
          <cell r="M6049" t="str">
            <v>3127728575</v>
          </cell>
        </row>
        <row r="6050">
          <cell r="A6050">
            <v>901166590</v>
          </cell>
          <cell r="B6050" t="str">
            <v>5</v>
          </cell>
          <cell r="C6050" t="str">
            <v/>
          </cell>
          <cell r="D6050" t="str">
            <v>NJ</v>
          </cell>
          <cell r="E6050" t="str">
            <v/>
          </cell>
          <cell r="F6050" t="str">
            <v/>
          </cell>
          <cell r="G6050" t="str">
            <v>TOTALPHI SAS</v>
          </cell>
          <cell r="H6050" t="str">
            <v>IMVE</v>
          </cell>
          <cell r="I6050" t="str">
            <v>IMPUESTO SOBRE LAS VENTAS</v>
          </cell>
          <cell r="J6050" t="str">
            <v>CR 20 76 56 OF 202</v>
          </cell>
          <cell r="K6050" t="str">
            <v>17001</v>
          </cell>
          <cell r="L6050" t="str">
            <v>MANIZALES</v>
          </cell>
          <cell r="M6050" t="str">
            <v>3007855197</v>
          </cell>
        </row>
        <row r="6051">
          <cell r="A6051">
            <v>901167257</v>
          </cell>
          <cell r="B6051" t="str">
            <v>1</v>
          </cell>
          <cell r="C6051" t="str">
            <v/>
          </cell>
          <cell r="D6051" t="str">
            <v>NJ</v>
          </cell>
          <cell r="E6051" t="str">
            <v/>
          </cell>
          <cell r="F6051" t="str">
            <v/>
          </cell>
          <cell r="G6051" t="str">
            <v>CERTI-CONTROL ORGANISMO DE EVALUACION DE LA CONFORMIDAD SAS</v>
          </cell>
          <cell r="H6051" t="str">
            <v>IMVE</v>
          </cell>
          <cell r="I6051" t="str">
            <v>IMPUESTO SOBRE LAS VENTAS</v>
          </cell>
          <cell r="J6051" t="str">
            <v>DG 42 A 19 17 OF 202</v>
          </cell>
          <cell r="K6051" t="str">
            <v>11001</v>
          </cell>
          <cell r="L6051" t="str">
            <v>BOGOTA DC</v>
          </cell>
          <cell r="M6051" t="str">
            <v>3116516756</v>
          </cell>
        </row>
        <row r="6052">
          <cell r="A6052">
            <v>901167428</v>
          </cell>
          <cell r="B6052" t="str">
            <v>4</v>
          </cell>
          <cell r="C6052" t="str">
            <v/>
          </cell>
          <cell r="D6052" t="str">
            <v>NJ</v>
          </cell>
          <cell r="E6052" t="str">
            <v/>
          </cell>
          <cell r="F6052" t="str">
            <v/>
          </cell>
          <cell r="G6052" t="str">
            <v>CREAMOS PROMOS S.A.S</v>
          </cell>
          <cell r="H6052" t="str">
            <v>IMVE</v>
          </cell>
          <cell r="I6052" t="str">
            <v>IMPUESTO SOBRE LAS VENTAS</v>
          </cell>
          <cell r="J6052" t="str">
            <v xml:space="preserve"> CL 55 C 9 20</v>
          </cell>
          <cell r="K6052" t="str">
            <v>17001</v>
          </cell>
          <cell r="L6052" t="str">
            <v>MANIZALES</v>
          </cell>
          <cell r="M6052" t="str">
            <v>8902273</v>
          </cell>
        </row>
        <row r="6053">
          <cell r="A6053">
            <v>901167864</v>
          </cell>
          <cell r="B6053" t="str">
            <v>2</v>
          </cell>
          <cell r="C6053" t="str">
            <v/>
          </cell>
          <cell r="D6053" t="str">
            <v>NJ</v>
          </cell>
          <cell r="E6053" t="str">
            <v/>
          </cell>
          <cell r="F6053" t="str">
            <v/>
          </cell>
          <cell r="G6053" t="str">
            <v>NEOSPACIOS SAS</v>
          </cell>
          <cell r="H6053" t="str">
            <v>IMVE</v>
          </cell>
          <cell r="I6053" t="str">
            <v>IMPUESTO SOBRE LAS VENTAS</v>
          </cell>
          <cell r="J6053" t="str">
            <v>CR 15 10 53</v>
          </cell>
          <cell r="K6053" t="str">
            <v>17001</v>
          </cell>
          <cell r="L6053" t="str">
            <v>MANIZALES</v>
          </cell>
          <cell r="M6053" t="str">
            <v>3002109051</v>
          </cell>
        </row>
        <row r="6054">
          <cell r="A6054">
            <v>901168446</v>
          </cell>
          <cell r="B6054" t="str">
            <v>1</v>
          </cell>
          <cell r="C6054" t="str">
            <v/>
          </cell>
          <cell r="D6054" t="str">
            <v>NJ</v>
          </cell>
          <cell r="E6054" t="str">
            <v/>
          </cell>
          <cell r="F6054" t="str">
            <v/>
          </cell>
          <cell r="G6054" t="str">
            <v>INVERSIONES FENITX T.G.B S.A.S</v>
          </cell>
          <cell r="H6054" t="str">
            <v>IMVE</v>
          </cell>
          <cell r="I6054" t="str">
            <v>IMPUESTO SOBRE LAS VENTAS</v>
          </cell>
          <cell r="J6054" t="str">
            <v>CL 56 4 N 18</v>
          </cell>
          <cell r="K6054" t="str">
            <v>76001</v>
          </cell>
          <cell r="L6054" t="str">
            <v>CALI</v>
          </cell>
          <cell r="M6054" t="str">
            <v>4466646</v>
          </cell>
        </row>
        <row r="6055">
          <cell r="A6055">
            <v>901170796</v>
          </cell>
          <cell r="B6055" t="str">
            <v>0</v>
          </cell>
          <cell r="C6055" t="str">
            <v/>
          </cell>
          <cell r="D6055" t="str">
            <v>NJ</v>
          </cell>
          <cell r="E6055" t="str">
            <v/>
          </cell>
          <cell r="F6055" t="str">
            <v/>
          </cell>
          <cell r="G6055" t="str">
            <v>FOMEDICAS S.A.S</v>
          </cell>
          <cell r="H6055" t="str">
            <v>RECO</v>
          </cell>
          <cell r="I6055" t="str">
            <v>REGIMEN COMUN</v>
          </cell>
          <cell r="J6055" t="str">
            <v>CR 23 49 77 ED PLAZA 51 LC 11 12 Y 13</v>
          </cell>
          <cell r="K6055" t="str">
            <v>17001</v>
          </cell>
          <cell r="L6055" t="str">
            <v>MANIZALES</v>
          </cell>
          <cell r="M6055" t="str">
            <v>8810125</v>
          </cell>
        </row>
        <row r="6056">
          <cell r="A6056">
            <v>901171320</v>
          </cell>
          <cell r="B6056" t="str">
            <v>3</v>
          </cell>
          <cell r="C6056" t="str">
            <v/>
          </cell>
          <cell r="D6056" t="str">
            <v>NJ</v>
          </cell>
          <cell r="E6056" t="str">
            <v/>
          </cell>
          <cell r="F6056" t="str">
            <v/>
          </cell>
          <cell r="G6056" t="str">
            <v>ASERVIN EXPORT S.A.S</v>
          </cell>
          <cell r="H6056" t="str">
            <v>IMVE</v>
          </cell>
          <cell r="I6056" t="str">
            <v>IMPUESTO SOBRE LAS VENTAS</v>
          </cell>
          <cell r="J6056" t="str">
            <v xml:space="preserve"> CR 15  8219 O  F 402</v>
          </cell>
          <cell r="K6056" t="str">
            <v>11001</v>
          </cell>
          <cell r="L6056" t="str">
            <v>BOGOTA DC</v>
          </cell>
          <cell r="M6056" t="str">
            <v>3108502457</v>
          </cell>
        </row>
        <row r="6057">
          <cell r="A6057">
            <v>901172556</v>
          </cell>
          <cell r="B6057" t="str">
            <v>9</v>
          </cell>
          <cell r="C6057" t="str">
            <v/>
          </cell>
          <cell r="D6057" t="str">
            <v>NJ</v>
          </cell>
          <cell r="E6057" t="str">
            <v/>
          </cell>
          <cell r="F6057" t="str">
            <v/>
          </cell>
          <cell r="G6057" t="str">
            <v>MQ INGENIERIA Y SERVICIOS SAS</v>
          </cell>
          <cell r="H6057" t="str">
            <v>IMVE</v>
          </cell>
          <cell r="I6057" t="str">
            <v>IMPUESTO SOBRE LAS VENTAS</v>
          </cell>
          <cell r="J6057" t="str">
            <v>CR 59 # 84-77 AP 201</v>
          </cell>
          <cell r="K6057" t="str">
            <v>08001</v>
          </cell>
          <cell r="L6057" t="str">
            <v>BARRANQUILLA</v>
          </cell>
          <cell r="M6057" t="str">
            <v>3145975448</v>
          </cell>
        </row>
        <row r="6058">
          <cell r="A6058">
            <v>901173219</v>
          </cell>
          <cell r="B6058" t="str">
            <v>6</v>
          </cell>
          <cell r="C6058" t="str">
            <v/>
          </cell>
          <cell r="D6058" t="str">
            <v>NJ</v>
          </cell>
          <cell r="E6058" t="str">
            <v/>
          </cell>
          <cell r="F6058" t="str">
            <v/>
          </cell>
          <cell r="G6058" t="str">
            <v>MONSERRATE TRADING CORPORATION S.A.S</v>
          </cell>
          <cell r="H6058" t="str">
            <v>RECO</v>
          </cell>
          <cell r="I6058" t="str">
            <v>REGIMEN COMUN</v>
          </cell>
          <cell r="J6058" t="str">
            <v>CL 82 11 75 L 133</v>
          </cell>
          <cell r="K6058" t="str">
            <v>11001</v>
          </cell>
          <cell r="L6058" t="str">
            <v>BOGOTA DC</v>
          </cell>
          <cell r="M6058" t="str">
            <v>3186423851</v>
          </cell>
        </row>
        <row r="6059">
          <cell r="A6059">
            <v>901173721</v>
          </cell>
          <cell r="B6059" t="str">
            <v>2</v>
          </cell>
          <cell r="C6059" t="str">
            <v/>
          </cell>
          <cell r="D6059" t="str">
            <v>NJ</v>
          </cell>
          <cell r="E6059" t="str">
            <v/>
          </cell>
          <cell r="F6059" t="str">
            <v/>
          </cell>
          <cell r="G6059" t="str">
            <v>CARBONES EL MORTIÑO SAN JUDAS TADEO TOPAGA S.A.S.</v>
          </cell>
          <cell r="H6059" t="str">
            <v>REOR</v>
          </cell>
          <cell r="I6059" t="str">
            <v>RENTA REGIMEN ORDINARIO</v>
          </cell>
          <cell r="J6059" t="str">
            <v>VRD SAN JUDAS TADEO CARRIZAL ALTO</v>
          </cell>
          <cell r="K6059" t="str">
            <v>15104</v>
          </cell>
          <cell r="L6059" t="str">
            <v>BOYACA</v>
          </cell>
          <cell r="M6059" t="str">
            <v>3118465719</v>
          </cell>
        </row>
        <row r="6060">
          <cell r="A6060">
            <v>901173916</v>
          </cell>
          <cell r="B6060" t="str">
            <v>1</v>
          </cell>
          <cell r="C6060" t="str">
            <v/>
          </cell>
          <cell r="D6060" t="str">
            <v>NJ</v>
          </cell>
          <cell r="E6060" t="str">
            <v/>
          </cell>
          <cell r="F6060" t="str">
            <v/>
          </cell>
          <cell r="G6060" t="str">
            <v>GEB CADENA HOTELERA S A S</v>
          </cell>
          <cell r="H6060" t="str">
            <v>RECO</v>
          </cell>
          <cell r="I6060" t="str">
            <v>REGIMEN COMUN</v>
          </cell>
          <cell r="J6060" t="str">
            <v>CR 95 91 02 OF 101</v>
          </cell>
          <cell r="K6060" t="str">
            <v>11001</v>
          </cell>
          <cell r="L6060" t="str">
            <v>BOGOTA DC</v>
          </cell>
          <cell r="M6060" t="str">
            <v>2292239</v>
          </cell>
        </row>
        <row r="6061">
          <cell r="A6061">
            <v>901174134</v>
          </cell>
          <cell r="B6061" t="str">
            <v>3</v>
          </cell>
          <cell r="C6061" t="str">
            <v/>
          </cell>
          <cell r="D6061" t="str">
            <v>NJ</v>
          </cell>
          <cell r="E6061" t="str">
            <v/>
          </cell>
          <cell r="F6061" t="str">
            <v/>
          </cell>
          <cell r="G6061" t="str">
            <v>INSPECCION TOTAL SAS</v>
          </cell>
          <cell r="H6061" t="str">
            <v>IMVE</v>
          </cell>
          <cell r="I6061" t="str">
            <v>IMPUESTO SOBRE LAS VENTAS</v>
          </cell>
          <cell r="J6061" t="str">
            <v>TV 75 A 82 H 92</v>
          </cell>
          <cell r="K6061" t="str">
            <v>11001</v>
          </cell>
          <cell r="L6061" t="str">
            <v>BOGOTA DC</v>
          </cell>
          <cell r="M6061" t="str">
            <v>2630514</v>
          </cell>
        </row>
        <row r="6062">
          <cell r="A6062">
            <v>901176427</v>
          </cell>
          <cell r="B6062" t="str">
            <v>5</v>
          </cell>
          <cell r="C6062" t="str">
            <v/>
          </cell>
          <cell r="D6062" t="str">
            <v>NJ</v>
          </cell>
          <cell r="E6062" t="str">
            <v/>
          </cell>
          <cell r="F6062" t="str">
            <v/>
          </cell>
          <cell r="G6062" t="str">
            <v>VALVECOL SAS</v>
          </cell>
          <cell r="H6062" t="str">
            <v>IMVE</v>
          </cell>
          <cell r="I6062" t="str">
            <v>IMPUESTO SOBRE LAS VENTAS</v>
          </cell>
          <cell r="J6062" t="str">
            <v>CL 21 13 37</v>
          </cell>
          <cell r="K6062" t="str">
            <v>68001</v>
          </cell>
          <cell r="L6062" t="str">
            <v>BUCARAMANGA</v>
          </cell>
          <cell r="M6062" t="str">
            <v>3168247546</v>
          </cell>
        </row>
        <row r="6063">
          <cell r="A6063">
            <v>901179592</v>
          </cell>
          <cell r="B6063" t="str">
            <v>6</v>
          </cell>
          <cell r="C6063" t="str">
            <v/>
          </cell>
          <cell r="D6063" t="str">
            <v>NJ</v>
          </cell>
          <cell r="E6063" t="str">
            <v/>
          </cell>
          <cell r="F6063" t="str">
            <v/>
          </cell>
          <cell r="G6063" t="str">
            <v>EJE 21 SAS</v>
          </cell>
          <cell r="H6063" t="str">
            <v>REOR</v>
          </cell>
          <cell r="I6063" t="str">
            <v>RENTA REGIMEN ORDINARIO</v>
          </cell>
          <cell r="J6063" t="str">
            <v>CR 28 B 66 10 BRR PALERMO</v>
          </cell>
          <cell r="K6063" t="str">
            <v>17001</v>
          </cell>
          <cell r="L6063" t="str">
            <v>MANIZALES</v>
          </cell>
          <cell r="M6063" t="str">
            <v>3117414042</v>
          </cell>
        </row>
        <row r="6064">
          <cell r="A6064">
            <v>901179822</v>
          </cell>
          <cell r="B6064" t="str">
            <v>5</v>
          </cell>
          <cell r="C6064" t="str">
            <v/>
          </cell>
          <cell r="D6064" t="str">
            <v>NJ</v>
          </cell>
          <cell r="E6064" t="str">
            <v/>
          </cell>
          <cell r="F6064" t="str">
            <v/>
          </cell>
          <cell r="G6064" t="str">
            <v>ALUMBRADO Y TECNOLOGIA S.A.S.</v>
          </cell>
          <cell r="H6064" t="str">
            <v>IMVE</v>
          </cell>
          <cell r="I6064" t="str">
            <v>IMPUESTO SOBRE LAS VENTAS</v>
          </cell>
          <cell r="J6064" t="str">
            <v xml:space="preserve"> CR  35 A 15 B 35</v>
          </cell>
          <cell r="K6064" t="str">
            <v>05376</v>
          </cell>
          <cell r="L6064" t="str">
            <v>LA CEJA</v>
          </cell>
          <cell r="M6064" t="str">
            <v>3116344933</v>
          </cell>
        </row>
        <row r="6065">
          <cell r="A6065">
            <v>901182363</v>
          </cell>
          <cell r="B6065" t="str">
            <v>7</v>
          </cell>
          <cell r="C6065" t="str">
            <v/>
          </cell>
          <cell r="D6065" t="str">
            <v>NJ</v>
          </cell>
          <cell r="E6065" t="str">
            <v/>
          </cell>
          <cell r="F6065" t="str">
            <v/>
          </cell>
          <cell r="G6065" t="str">
            <v>USAENE SAS</v>
          </cell>
          <cell r="H6065" t="str">
            <v>IMVE</v>
          </cell>
          <cell r="I6065" t="str">
            <v>IMPUESTO SOBRE LAS VENTAS</v>
          </cell>
          <cell r="J6065" t="str">
            <v>CL 82 19 A 14</v>
          </cell>
          <cell r="K6065" t="str">
            <v>03</v>
          </cell>
          <cell r="L6065" t="str">
            <v>BOGOTA</v>
          </cell>
          <cell r="M6065" t="str">
            <v>6210211</v>
          </cell>
        </row>
        <row r="6066">
          <cell r="A6066">
            <v>901183758</v>
          </cell>
          <cell r="B6066" t="str">
            <v>7</v>
          </cell>
          <cell r="C6066" t="str">
            <v/>
          </cell>
          <cell r="D6066" t="str">
            <v>NJ</v>
          </cell>
          <cell r="E6066" t="str">
            <v/>
          </cell>
          <cell r="F6066" t="str">
            <v/>
          </cell>
          <cell r="G6066" t="str">
            <v>HOTEL GPS S.A.S</v>
          </cell>
          <cell r="H6066" t="str">
            <v>RECO</v>
          </cell>
          <cell r="I6066" t="str">
            <v>REGIMEN COMUN</v>
          </cell>
          <cell r="J6066" t="str">
            <v>CL 40 5 N 29</v>
          </cell>
          <cell r="K6066" t="str">
            <v>76001</v>
          </cell>
          <cell r="L6066" t="str">
            <v>CALI</v>
          </cell>
          <cell r="M6066" t="str">
            <v>4850233</v>
          </cell>
        </row>
        <row r="6067">
          <cell r="A6067">
            <v>901184361</v>
          </cell>
          <cell r="B6067" t="str">
            <v>1</v>
          </cell>
          <cell r="C6067" t="str">
            <v/>
          </cell>
          <cell r="D6067" t="str">
            <v>NJ</v>
          </cell>
          <cell r="E6067" t="str">
            <v/>
          </cell>
          <cell r="F6067" t="str">
            <v/>
          </cell>
          <cell r="G6067" t="str">
            <v>INVERSIONES SANTA ISABELLA SAS</v>
          </cell>
          <cell r="H6067" t="str">
            <v>RECO</v>
          </cell>
          <cell r="I6067" t="str">
            <v>REGIMEN COMUN</v>
          </cell>
          <cell r="J6067" t="str">
            <v>CL 15 10 45 OF 206 ED EL TREBOL</v>
          </cell>
          <cell r="K6067" t="str">
            <v>15759</v>
          </cell>
          <cell r="L6067" t="str">
            <v>SOGAMOSO</v>
          </cell>
          <cell r="M6067" t="str">
            <v>3106088337</v>
          </cell>
        </row>
        <row r="6068">
          <cell r="A6068">
            <v>901185667</v>
          </cell>
          <cell r="B6068" t="str">
            <v>4</v>
          </cell>
          <cell r="C6068" t="str">
            <v/>
          </cell>
          <cell r="D6068" t="str">
            <v>NJ</v>
          </cell>
          <cell r="E6068" t="str">
            <v/>
          </cell>
          <cell r="F6068" t="str">
            <v/>
          </cell>
          <cell r="G6068" t="str">
            <v>CERTIGRUAS &amp; SERVICIOS SOCIEDAD POR ACCIONES SIMPLIFICADA</v>
          </cell>
          <cell r="H6068" t="str">
            <v>IMVE</v>
          </cell>
          <cell r="I6068" t="str">
            <v>IMPUESTO SOBRE LAS VENTAS</v>
          </cell>
          <cell r="J6068" t="str">
            <v>CL 15 A 37 51 BRR SIMON BOLIVAR</v>
          </cell>
          <cell r="K6068" t="str">
            <v>15238</v>
          </cell>
          <cell r="L6068" t="str">
            <v>DUITAMA</v>
          </cell>
          <cell r="M6068" t="str">
            <v>3102033696</v>
          </cell>
        </row>
        <row r="6069">
          <cell r="A6069">
            <v>901186066</v>
          </cell>
          <cell r="B6069" t="str">
            <v>2</v>
          </cell>
          <cell r="C6069" t="str">
            <v/>
          </cell>
          <cell r="D6069" t="str">
            <v>NJ</v>
          </cell>
          <cell r="E6069" t="str">
            <v/>
          </cell>
          <cell r="F6069" t="str">
            <v/>
          </cell>
          <cell r="G6069" t="str">
            <v>MOONOFF COLOMBIA S.A.S</v>
          </cell>
          <cell r="H6069" t="str">
            <v>IMVE</v>
          </cell>
          <cell r="I6069" t="str">
            <v>IMPUESTO SOBRE LAS VENTAS</v>
          </cell>
          <cell r="J6069" t="str">
            <v>CR 7 115 06 OF 601 ED TIERA FIRME</v>
          </cell>
          <cell r="K6069" t="str">
            <v>11001</v>
          </cell>
          <cell r="L6069" t="str">
            <v>BOGOTA DC</v>
          </cell>
          <cell r="M6069" t="str">
            <v>4324826</v>
          </cell>
        </row>
        <row r="6070">
          <cell r="A6070">
            <v>901186385</v>
          </cell>
          <cell r="B6070" t="str">
            <v>7</v>
          </cell>
          <cell r="C6070" t="str">
            <v/>
          </cell>
          <cell r="D6070" t="str">
            <v>NJ</v>
          </cell>
          <cell r="E6070" t="str">
            <v/>
          </cell>
          <cell r="F6070" t="str">
            <v/>
          </cell>
          <cell r="G6070" t="str">
            <v>SERVITECA GIRALDO CASTAÑO SAS</v>
          </cell>
          <cell r="H6070" t="str">
            <v>RESI</v>
          </cell>
          <cell r="I6070" t="str">
            <v>REGIMEN SIMPLIFICADO</v>
          </cell>
          <cell r="J6070" t="str">
            <v>AV KEVIN ANGEL   57 F 103</v>
          </cell>
          <cell r="K6070" t="str">
            <v>17001</v>
          </cell>
          <cell r="L6070" t="str">
            <v>MANIZALES</v>
          </cell>
          <cell r="M6070" t="str">
            <v>3104224574</v>
          </cell>
        </row>
        <row r="6071">
          <cell r="A6071">
            <v>901187262</v>
          </cell>
          <cell r="B6071" t="str">
            <v>4</v>
          </cell>
          <cell r="C6071" t="str">
            <v/>
          </cell>
          <cell r="D6071" t="str">
            <v>NJ</v>
          </cell>
          <cell r="E6071" t="str">
            <v/>
          </cell>
          <cell r="F6071" t="str">
            <v/>
          </cell>
          <cell r="G6071" t="str">
            <v>INGEREDES MP SAS</v>
          </cell>
          <cell r="H6071" t="str">
            <v>IMVE</v>
          </cell>
          <cell r="I6071" t="str">
            <v>IMPUESTO SOBRE LAS VENTAS</v>
          </cell>
          <cell r="J6071" t="str">
            <v>CL 17 24 74 BRR SANTANDER</v>
          </cell>
          <cell r="K6071" t="str">
            <v>95001</v>
          </cell>
          <cell r="L6071" t="str">
            <v>SAN JOSÉ DEL GUAVIARE</v>
          </cell>
          <cell r="M6071" t="str">
            <v>3123838341</v>
          </cell>
        </row>
        <row r="6072">
          <cell r="A6072">
            <v>901187345</v>
          </cell>
          <cell r="B6072" t="str">
            <v>7</v>
          </cell>
          <cell r="C6072" t="str">
            <v/>
          </cell>
          <cell r="D6072" t="str">
            <v>NJ</v>
          </cell>
          <cell r="E6072" t="str">
            <v/>
          </cell>
          <cell r="F6072" t="str">
            <v/>
          </cell>
          <cell r="G6072" t="str">
            <v>SILVA MENDOZA INGENIEROS SAS</v>
          </cell>
          <cell r="H6072" t="str">
            <v>RECO</v>
          </cell>
          <cell r="I6072" t="str">
            <v>REGIMEN COMUN</v>
          </cell>
          <cell r="J6072" t="str">
            <v>CL 146 13 48 AP 1106</v>
          </cell>
          <cell r="K6072" t="str">
            <v>11001</v>
          </cell>
          <cell r="L6072" t="str">
            <v>BOGOTA DC</v>
          </cell>
          <cell r="M6072" t="str">
            <v>8049272</v>
          </cell>
        </row>
        <row r="6073">
          <cell r="A6073">
            <v>901188789</v>
          </cell>
          <cell r="B6073" t="str">
            <v>8</v>
          </cell>
          <cell r="C6073" t="str">
            <v/>
          </cell>
          <cell r="D6073" t="str">
            <v>NJ</v>
          </cell>
          <cell r="E6073" t="str">
            <v/>
          </cell>
          <cell r="F6073" t="str">
            <v/>
          </cell>
          <cell r="G6073" t="str">
            <v>E-RENOVABLE S.A.S</v>
          </cell>
          <cell r="H6073" t="str">
            <v>RECO</v>
          </cell>
          <cell r="I6073" t="str">
            <v>REGIMEN COMUN</v>
          </cell>
          <cell r="J6073" t="str">
            <v>CL69 10 75 RESERVA DEL CERRO</v>
          </cell>
          <cell r="K6073" t="str">
            <v>17001</v>
          </cell>
          <cell r="L6073" t="str">
            <v>MANIZALES</v>
          </cell>
          <cell r="M6073" t="str">
            <v>3003201905</v>
          </cell>
        </row>
        <row r="6074">
          <cell r="A6074">
            <v>901188803</v>
          </cell>
          <cell r="B6074" t="str">
            <v>3</v>
          </cell>
          <cell r="C6074" t="str">
            <v/>
          </cell>
          <cell r="D6074" t="str">
            <v>NJ</v>
          </cell>
          <cell r="E6074" t="str">
            <v/>
          </cell>
          <cell r="F6074" t="str">
            <v/>
          </cell>
          <cell r="G6074" t="str">
            <v>KONTROL ING INTERVENTORIA Y SUPERVISION TECNICA SAS</v>
          </cell>
          <cell r="H6074" t="str">
            <v>IMVE</v>
          </cell>
          <cell r="I6074" t="str">
            <v>IMPUESTO SOBRE LAS VENTAS</v>
          </cell>
          <cell r="J6074" t="str">
            <v>CELULA 3 NUCLEO 1 AP 301 VILLA PILAR BRR VILLA PILAR</v>
          </cell>
          <cell r="K6074" t="str">
            <v>17001</v>
          </cell>
          <cell r="L6074" t="str">
            <v>MANIZALES</v>
          </cell>
          <cell r="M6074" t="str">
            <v>3173708570</v>
          </cell>
        </row>
        <row r="6075">
          <cell r="A6075">
            <v>901189337</v>
          </cell>
          <cell r="B6075" t="str">
            <v>7</v>
          </cell>
          <cell r="C6075" t="str">
            <v/>
          </cell>
          <cell r="D6075" t="str">
            <v>NJ</v>
          </cell>
          <cell r="E6075" t="str">
            <v/>
          </cell>
          <cell r="F6075" t="str">
            <v/>
          </cell>
          <cell r="G6075" t="str">
            <v>CONSORCIO ZIN CORDOBA II</v>
          </cell>
          <cell r="H6075" t="str">
            <v>REOR</v>
          </cell>
          <cell r="I6075" t="str">
            <v>RENTA REGIMEN ORDINARIO</v>
          </cell>
          <cell r="J6075" t="str">
            <v>CR 65 C 12 56 BRR LIMONAR</v>
          </cell>
          <cell r="K6075" t="str">
            <v>76001</v>
          </cell>
          <cell r="L6075" t="str">
            <v>CALI</v>
          </cell>
          <cell r="M6075" t="str">
            <v>3226044782</v>
          </cell>
        </row>
        <row r="6076">
          <cell r="A6076">
            <v>901190402</v>
          </cell>
          <cell r="B6076" t="str">
            <v>1</v>
          </cell>
          <cell r="C6076" t="str">
            <v/>
          </cell>
          <cell r="D6076" t="str">
            <v>NJ</v>
          </cell>
          <cell r="E6076" t="str">
            <v/>
          </cell>
          <cell r="F6076" t="str">
            <v/>
          </cell>
          <cell r="G6076" t="str">
            <v>UNIVERSAL DE TORNILLOS Y FERRETERIA S.A.S</v>
          </cell>
          <cell r="H6076" t="str">
            <v>RECO</v>
          </cell>
          <cell r="I6076" t="str">
            <v>REGIMEN COMUN</v>
          </cell>
          <cell r="J6076" t="str">
            <v>CR 19 14 35</v>
          </cell>
          <cell r="K6076" t="str">
            <v>15238</v>
          </cell>
          <cell r="L6076" t="str">
            <v>DUITAMA</v>
          </cell>
          <cell r="M6076" t="str">
            <v>3143019058</v>
          </cell>
        </row>
        <row r="6077">
          <cell r="A6077">
            <v>901190634</v>
          </cell>
          <cell r="B6077" t="str">
            <v>1</v>
          </cell>
          <cell r="C6077" t="str">
            <v/>
          </cell>
          <cell r="D6077" t="str">
            <v>NJ</v>
          </cell>
          <cell r="E6077" t="str">
            <v/>
          </cell>
          <cell r="F6077" t="str">
            <v/>
          </cell>
          <cell r="G6077" t="str">
            <v>SIKER INGENIERIA S.A.S.</v>
          </cell>
          <cell r="H6077" t="str">
            <v>IMVE</v>
          </cell>
          <cell r="I6077" t="str">
            <v>IMPUESTO SOBRE LAS VENTAS</v>
          </cell>
          <cell r="J6077" t="str">
            <v>CL 19 45 22 BRR JUAN GRANDE</v>
          </cell>
          <cell r="K6077" t="str">
            <v>15238</v>
          </cell>
          <cell r="L6077" t="str">
            <v>DUITAMA</v>
          </cell>
          <cell r="M6077" t="str">
            <v>3204947607</v>
          </cell>
        </row>
        <row r="6078">
          <cell r="A6078">
            <v>901190696</v>
          </cell>
          <cell r="B6078" t="str">
            <v>8</v>
          </cell>
          <cell r="C6078" t="str">
            <v/>
          </cell>
          <cell r="D6078" t="str">
            <v>NJ</v>
          </cell>
          <cell r="E6078" t="str">
            <v/>
          </cell>
          <cell r="F6078" t="str">
            <v/>
          </cell>
          <cell r="G6078" t="str">
            <v>TALLER DE REFORMAS Y ARQUITECTURA SOSTENIBLE SAS</v>
          </cell>
          <cell r="H6078" t="str">
            <v>RECO</v>
          </cell>
          <cell r="I6078" t="str">
            <v>REGIMEN COMUN</v>
          </cell>
          <cell r="J6078" t="str">
            <v>CL 105 28 36 CA 47 BRR ENEA</v>
          </cell>
          <cell r="K6078" t="str">
            <v>17001</v>
          </cell>
          <cell r="L6078" t="str">
            <v>MANIZALES</v>
          </cell>
          <cell r="M6078" t="str">
            <v>3108331637</v>
          </cell>
        </row>
        <row r="6079">
          <cell r="A6079">
            <v>901192577</v>
          </cell>
          <cell r="B6079" t="str">
            <v>9</v>
          </cell>
          <cell r="C6079" t="str">
            <v/>
          </cell>
          <cell r="D6079" t="str">
            <v>NJ</v>
          </cell>
          <cell r="E6079" t="str">
            <v/>
          </cell>
          <cell r="F6079" t="str">
            <v/>
          </cell>
          <cell r="G6079" t="str">
            <v>INGENIERIA NACIONAL COLOMBIANA S.A.S</v>
          </cell>
          <cell r="H6079" t="str">
            <v>IMVE</v>
          </cell>
          <cell r="I6079" t="str">
            <v>IMPUESTO SOBRE LAS VENTAS</v>
          </cell>
          <cell r="J6079" t="str">
            <v>CL 10 9 46 OF 101 BRR LA ESTRELLA</v>
          </cell>
          <cell r="K6079" t="str">
            <v>18029</v>
          </cell>
          <cell r="L6079" t="str">
            <v>CAQUETA</v>
          </cell>
          <cell r="M6079" t="str">
            <v>3103952202</v>
          </cell>
        </row>
        <row r="6080">
          <cell r="A6080">
            <v>901193481</v>
          </cell>
          <cell r="B6080" t="str">
            <v>5</v>
          </cell>
          <cell r="C6080" t="str">
            <v/>
          </cell>
          <cell r="D6080" t="str">
            <v>NJ</v>
          </cell>
          <cell r="E6080" t="str">
            <v/>
          </cell>
          <cell r="F6080" t="str">
            <v/>
          </cell>
          <cell r="G6080" t="str">
            <v>PARRA ISAZA GRUPO INVERSIONISTA S.A.S.</v>
          </cell>
          <cell r="H6080" t="str">
            <v>IMVE</v>
          </cell>
          <cell r="I6080" t="str">
            <v>IMPUESTO SOBRE LAS VENTAS</v>
          </cell>
          <cell r="J6080" t="str">
            <v xml:space="preserve"> CL 29 32 46 BRR LAGOS I</v>
          </cell>
          <cell r="K6080" t="str">
            <v>68013</v>
          </cell>
          <cell r="L6080" t="str">
            <v>SANTANDER</v>
          </cell>
          <cell r="M6080" t="str">
            <v>3164644149</v>
          </cell>
        </row>
        <row r="6081">
          <cell r="A6081">
            <v>901193537</v>
          </cell>
          <cell r="B6081" t="str">
            <v>9</v>
          </cell>
          <cell r="C6081" t="str">
            <v/>
          </cell>
          <cell r="D6081" t="str">
            <v>NJ</v>
          </cell>
          <cell r="E6081" t="str">
            <v/>
          </cell>
          <cell r="F6081" t="str">
            <v/>
          </cell>
          <cell r="G6081" t="str">
            <v>GPR ENERGY &amp; PROCESS S.A.S.</v>
          </cell>
          <cell r="H6081" t="str">
            <v>IMVE</v>
          </cell>
          <cell r="I6081" t="str">
            <v>IMPUESTO SOBRE LAS VENTAS</v>
          </cell>
          <cell r="J6081" t="str">
            <v>AUT  NORTE 108 A 50 P 6</v>
          </cell>
          <cell r="K6081" t="str">
            <v>11001</v>
          </cell>
          <cell r="L6081" t="str">
            <v>BOGOTA DC</v>
          </cell>
          <cell r="M6081" t="str">
            <v>3153837764</v>
          </cell>
        </row>
        <row r="6082">
          <cell r="A6082">
            <v>901194064</v>
          </cell>
          <cell r="B6082" t="str">
            <v>1</v>
          </cell>
          <cell r="C6082" t="str">
            <v/>
          </cell>
          <cell r="D6082" t="str">
            <v>NJ</v>
          </cell>
          <cell r="E6082" t="str">
            <v/>
          </cell>
          <cell r="F6082" t="str">
            <v/>
          </cell>
          <cell r="G6082" t="str">
            <v>SERVICIOS JBL SAS</v>
          </cell>
          <cell r="H6082" t="str">
            <v>RECO</v>
          </cell>
          <cell r="I6082" t="str">
            <v>REGIMEN COMUN</v>
          </cell>
          <cell r="J6082" t="str">
            <v>CL 14 18 34</v>
          </cell>
          <cell r="K6082" t="str">
            <v>15759</v>
          </cell>
          <cell r="L6082" t="str">
            <v>SOGAMOSO</v>
          </cell>
          <cell r="M6082" t="str">
            <v>7734162</v>
          </cell>
        </row>
        <row r="6083">
          <cell r="A6083">
            <v>901194727</v>
          </cell>
          <cell r="B6083" t="str">
            <v>6</v>
          </cell>
          <cell r="C6083" t="str">
            <v/>
          </cell>
          <cell r="D6083" t="str">
            <v>NJ</v>
          </cell>
          <cell r="E6083" t="str">
            <v/>
          </cell>
          <cell r="F6083" t="str">
            <v/>
          </cell>
          <cell r="G6083" t="str">
            <v>TRINA SOLAR COLOMBIA SAS</v>
          </cell>
          <cell r="H6083" t="str">
            <v>IMVE</v>
          </cell>
          <cell r="I6083" t="str">
            <v>IMPUESTO SOBRE LAS VENTAS</v>
          </cell>
          <cell r="J6083" t="str">
            <v>ED TELEPORT BUSINESS PARK CL 113 7 45 OF 907</v>
          </cell>
          <cell r="K6083" t="str">
            <v>17001</v>
          </cell>
          <cell r="L6083" t="str">
            <v>MANIZALES</v>
          </cell>
          <cell r="M6083" t="str">
            <v>3214371418</v>
          </cell>
        </row>
        <row r="6084">
          <cell r="A6084">
            <v>901195663</v>
          </cell>
          <cell r="B6084" t="str">
            <v>8</v>
          </cell>
          <cell r="C6084" t="str">
            <v/>
          </cell>
          <cell r="D6084" t="str">
            <v>NJ</v>
          </cell>
          <cell r="E6084" t="str">
            <v/>
          </cell>
          <cell r="F6084" t="str">
            <v/>
          </cell>
          <cell r="G6084" t="str">
            <v>EMPRESA DE SERVICIOS TEMPORALES TEMPOLAB S.A.S.</v>
          </cell>
          <cell r="H6084" t="str">
            <v>IMVE</v>
          </cell>
          <cell r="I6084" t="str">
            <v>IMPUESTO SOBRE LAS VENTAS</v>
          </cell>
          <cell r="J6084" t="str">
            <v>CR 35 A 57 91 IN 1 AP 212</v>
          </cell>
          <cell r="K6084" t="str">
            <v>11001</v>
          </cell>
          <cell r="L6084" t="str">
            <v>BOGOTA DC</v>
          </cell>
          <cell r="M6084" t="str">
            <v>3112336727</v>
          </cell>
        </row>
        <row r="6085">
          <cell r="A6085">
            <v>901196060</v>
          </cell>
          <cell r="B6085" t="str">
            <v>1</v>
          </cell>
          <cell r="C6085" t="str">
            <v/>
          </cell>
          <cell r="D6085" t="str">
            <v>NJ</v>
          </cell>
          <cell r="E6085" t="str">
            <v/>
          </cell>
          <cell r="F6085" t="str">
            <v/>
          </cell>
          <cell r="G6085" t="str">
            <v>INVERSIONES CARBODINAS SAS</v>
          </cell>
          <cell r="H6085" t="str">
            <v>IMVE</v>
          </cell>
          <cell r="I6085" t="str">
            <v>IMPUESTO SOBRE LAS VENTAS</v>
          </cell>
          <cell r="J6085" t="str">
            <v>CL 2 A 7 24 BRR SANTA LUCIA 0</v>
          </cell>
          <cell r="K6085" t="str">
            <v>15646</v>
          </cell>
          <cell r="L6085" t="str">
            <v>SAMACÁ</v>
          </cell>
          <cell r="M6085" t="str">
            <v>3133464368</v>
          </cell>
        </row>
        <row r="6086">
          <cell r="A6086">
            <v>901197554</v>
          </cell>
          <cell r="B6086" t="str">
            <v>2</v>
          </cell>
          <cell r="C6086" t="str">
            <v/>
          </cell>
          <cell r="D6086" t="str">
            <v>NJ</v>
          </cell>
          <cell r="E6086" t="str">
            <v/>
          </cell>
          <cell r="F6086" t="str">
            <v/>
          </cell>
          <cell r="G6086" t="str">
            <v>CARBONES ARIZONA CARO SAS</v>
          </cell>
          <cell r="H6086" t="str">
            <v>RECO</v>
          </cell>
          <cell r="I6086" t="str">
            <v>REGIMEN COMUN</v>
          </cell>
          <cell r="J6086" t="str">
            <v>CR 10 A 28 09 AP 301</v>
          </cell>
          <cell r="K6086" t="str">
            <v>15759</v>
          </cell>
          <cell r="L6086" t="str">
            <v>SOGAMOSO</v>
          </cell>
          <cell r="M6086" t="str">
            <v>3133131881</v>
          </cell>
        </row>
        <row r="6087">
          <cell r="A6087">
            <v>901199578</v>
          </cell>
          <cell r="B6087" t="str">
            <v>8</v>
          </cell>
          <cell r="C6087" t="str">
            <v/>
          </cell>
          <cell r="D6087" t="str">
            <v>NJ</v>
          </cell>
          <cell r="E6087" t="str">
            <v/>
          </cell>
          <cell r="F6087" t="str">
            <v/>
          </cell>
          <cell r="G6087" t="str">
            <v>INVERSIONES AMAYA GIL SAS</v>
          </cell>
          <cell r="H6087" t="str">
            <v>RECO</v>
          </cell>
          <cell r="I6087" t="str">
            <v>REGIMEN COMUN</v>
          </cell>
          <cell r="J6087" t="str">
            <v>CL 13 14 43 BRR CENTRO</v>
          </cell>
          <cell r="K6087" t="str">
            <v>97001</v>
          </cell>
          <cell r="L6087" t="str">
            <v>MITÚ</v>
          </cell>
          <cell r="M6087" t="str">
            <v>3128852748</v>
          </cell>
        </row>
        <row r="6088">
          <cell r="A6088">
            <v>901200248</v>
          </cell>
          <cell r="B6088" t="str">
            <v>6</v>
          </cell>
          <cell r="C6088" t="str">
            <v/>
          </cell>
          <cell r="D6088" t="str">
            <v>NJ</v>
          </cell>
          <cell r="E6088" t="str">
            <v/>
          </cell>
          <cell r="F6088" t="str">
            <v/>
          </cell>
          <cell r="G6088" t="str">
            <v>SANTA FE ENERGY ZOMAC S.A.S. E.S.P.</v>
          </cell>
          <cell r="H6088" t="str">
            <v>IMVE</v>
          </cell>
          <cell r="I6088" t="str">
            <v>IMPUESTO SOBRE LAS VENTAS</v>
          </cell>
          <cell r="J6088" t="str">
            <v>CL 9 10 26 LC 5 BRR COLONIAL PARQUE PRINCIPAL</v>
          </cell>
          <cell r="K6088" t="str">
            <v>05042</v>
          </cell>
          <cell r="L6088" t="str">
            <v>SANTAFÉ DE ANTIOQUIA</v>
          </cell>
          <cell r="M6088" t="str">
            <v>5707912</v>
          </cell>
        </row>
        <row r="6089">
          <cell r="A6089">
            <v>901201734</v>
          </cell>
          <cell r="B6089" t="str">
            <v>9</v>
          </cell>
          <cell r="C6089" t="str">
            <v/>
          </cell>
          <cell r="D6089" t="str">
            <v>NJ</v>
          </cell>
          <cell r="E6089" t="str">
            <v/>
          </cell>
          <cell r="F6089" t="str">
            <v/>
          </cell>
          <cell r="G6089" t="str">
            <v>GENERSOL S.A.S. E.S.P</v>
          </cell>
          <cell r="H6089" t="str">
            <v>IMVE</v>
          </cell>
          <cell r="I6089" t="str">
            <v>IMPUESTO SOBRE LAS VENTAS</v>
          </cell>
          <cell r="J6089" t="str">
            <v>CR 7 116 50 P 5</v>
          </cell>
          <cell r="K6089" t="str">
            <v>11001</v>
          </cell>
          <cell r="L6089" t="str">
            <v>BOGOTA DC</v>
          </cell>
          <cell r="M6089" t="str">
            <v>6012825703</v>
          </cell>
        </row>
        <row r="6090">
          <cell r="A6090">
            <v>901202670</v>
          </cell>
          <cell r="B6090" t="str">
            <v>0</v>
          </cell>
          <cell r="C6090" t="str">
            <v/>
          </cell>
          <cell r="D6090" t="str">
            <v>NJ</v>
          </cell>
          <cell r="E6090" t="str">
            <v/>
          </cell>
          <cell r="F6090" t="str">
            <v/>
          </cell>
          <cell r="G6090" t="str">
            <v>INTEGRIDAD Y MANTENIMIENTO INDUSTRIAL COLOMBIA S.A.S.</v>
          </cell>
          <cell r="H6090" t="str">
            <v>IMVE</v>
          </cell>
          <cell r="I6090" t="str">
            <v>IMPUESTO SOBRE LAS VENTAS</v>
          </cell>
          <cell r="J6090" t="str">
            <v>CR 7 22 30 BRR LAS AMERICAS</v>
          </cell>
          <cell r="K6090" t="str">
            <v>76834</v>
          </cell>
          <cell r="L6090" t="str">
            <v>TULUA</v>
          </cell>
          <cell r="M6090" t="str">
            <v>3174607955</v>
          </cell>
        </row>
        <row r="6091">
          <cell r="A6091">
            <v>901204819</v>
          </cell>
          <cell r="B6091" t="str">
            <v>1</v>
          </cell>
          <cell r="C6091" t="str">
            <v/>
          </cell>
          <cell r="D6091" t="str">
            <v>NJ</v>
          </cell>
          <cell r="E6091" t="str">
            <v/>
          </cell>
          <cell r="F6091" t="str">
            <v/>
          </cell>
          <cell r="G6091" t="str">
            <v>LUIS PARRA &amp; CIA MONTAJES INGENIERIA Y PROYECTOS S.A.S</v>
          </cell>
          <cell r="H6091" t="str">
            <v>IMVE</v>
          </cell>
          <cell r="I6091" t="str">
            <v>IMPUESTO SOBRE LAS VENTAS</v>
          </cell>
          <cell r="J6091" t="str">
            <v xml:space="preserve"> CL 20 6 88</v>
          </cell>
          <cell r="K6091" t="str">
            <v>15516</v>
          </cell>
          <cell r="L6091" t="str">
            <v>PAIPA</v>
          </cell>
          <cell r="M6091" t="str">
            <v>3132503293</v>
          </cell>
        </row>
        <row r="6092">
          <cell r="A6092">
            <v>901206748</v>
          </cell>
          <cell r="B6092" t="str">
            <v>4</v>
          </cell>
          <cell r="C6092" t="str">
            <v/>
          </cell>
          <cell r="D6092" t="str">
            <v>NJ</v>
          </cell>
          <cell r="E6092" t="str">
            <v/>
          </cell>
          <cell r="F6092" t="str">
            <v/>
          </cell>
          <cell r="G6092" t="str">
            <v>CONSORCIO SOLARTECH</v>
          </cell>
          <cell r="H6092" t="str">
            <v>RECO</v>
          </cell>
          <cell r="I6092" t="str">
            <v>REGIMEN COMUN</v>
          </cell>
          <cell r="J6092" t="str">
            <v xml:space="preserve"> CR 17 10 47</v>
          </cell>
          <cell r="K6092" t="str">
            <v>50006</v>
          </cell>
          <cell r="L6092" t="str">
            <v>META</v>
          </cell>
          <cell r="M6092" t="str">
            <v>3105503832</v>
          </cell>
        </row>
        <row r="6093">
          <cell r="A6093">
            <v>901207027</v>
          </cell>
          <cell r="B6093" t="str">
            <v>7</v>
          </cell>
          <cell r="C6093" t="str">
            <v/>
          </cell>
          <cell r="D6093" t="str">
            <v>NJ</v>
          </cell>
          <cell r="E6093" t="str">
            <v/>
          </cell>
          <cell r="F6093" t="str">
            <v/>
          </cell>
          <cell r="G6093" t="str">
            <v>ENERGIA LIMPIA CONTINENTAL -ENELCOL SAS</v>
          </cell>
          <cell r="H6093" t="str">
            <v>REOR</v>
          </cell>
          <cell r="I6093" t="str">
            <v>RENTA REGIMEN ORDINARIO</v>
          </cell>
          <cell r="J6093" t="str">
            <v>CR 15 123 30 OF 2 222</v>
          </cell>
          <cell r="K6093" t="str">
            <v>15516</v>
          </cell>
          <cell r="L6093" t="str">
            <v>PAIPA</v>
          </cell>
          <cell r="M6093" t="str">
            <v>3114796470</v>
          </cell>
        </row>
        <row r="6094">
          <cell r="A6094">
            <v>901207432</v>
          </cell>
          <cell r="B6094" t="str">
            <v>7</v>
          </cell>
          <cell r="C6094" t="str">
            <v/>
          </cell>
          <cell r="D6094" t="str">
            <v>NJ</v>
          </cell>
          <cell r="E6094" t="str">
            <v/>
          </cell>
          <cell r="F6094" t="str">
            <v/>
          </cell>
          <cell r="G6094" t="str">
            <v>PASTELERIAS EXTRA S.A</v>
          </cell>
          <cell r="H6094" t="str">
            <v>RECO</v>
          </cell>
          <cell r="I6094" t="str">
            <v>REGIMEN COMUN</v>
          </cell>
          <cell r="J6094" t="str">
            <v>CRA 23 NO 63-128</v>
          </cell>
          <cell r="K6094" t="str">
            <v>17001</v>
          </cell>
          <cell r="L6094" t="str">
            <v>MANIZALES</v>
          </cell>
          <cell r="M6094" t="str">
            <v>8832100</v>
          </cell>
        </row>
        <row r="6095">
          <cell r="A6095">
            <v>901207800</v>
          </cell>
          <cell r="B6095" t="str">
            <v>4</v>
          </cell>
          <cell r="C6095" t="str">
            <v/>
          </cell>
          <cell r="D6095" t="str">
            <v>NJ</v>
          </cell>
          <cell r="E6095" t="str">
            <v/>
          </cell>
          <cell r="F6095" t="str">
            <v/>
          </cell>
          <cell r="G6095" t="str">
            <v>IDEAS EN CONCRETO SAS</v>
          </cell>
          <cell r="H6095" t="str">
            <v>IMVE</v>
          </cell>
          <cell r="I6095" t="str">
            <v>IMPUESTO SOBRE LAS VENTAS</v>
          </cell>
          <cell r="J6095" t="str">
            <v xml:space="preserve"> KM 1 VIA TERMALES EL OTOÑO</v>
          </cell>
          <cell r="K6095" t="str">
            <v>17001</v>
          </cell>
          <cell r="L6095" t="str">
            <v>MANIZALES</v>
          </cell>
          <cell r="M6095" t="str">
            <v>31276987869</v>
          </cell>
        </row>
        <row r="6096">
          <cell r="A6096">
            <v>901207937</v>
          </cell>
          <cell r="B6096" t="str">
            <v>4</v>
          </cell>
          <cell r="C6096" t="str">
            <v/>
          </cell>
          <cell r="D6096" t="str">
            <v>NJ</v>
          </cell>
          <cell r="E6096" t="str">
            <v/>
          </cell>
          <cell r="F6096" t="str">
            <v/>
          </cell>
          <cell r="G6096" t="str">
            <v>CONSORCIO RENOVABLE CARURU</v>
          </cell>
          <cell r="H6096" t="str">
            <v>RECO</v>
          </cell>
          <cell r="I6096" t="str">
            <v>REGIMEN COMUN</v>
          </cell>
          <cell r="J6096" t="str">
            <v>CL 15 40 01 CC PRIMAVERA URBANA OF 414</v>
          </cell>
          <cell r="K6096" t="str">
            <v>50001</v>
          </cell>
          <cell r="L6096" t="str">
            <v>VILLAVICENCIO</v>
          </cell>
          <cell r="M6096" t="str">
            <v>3143812793</v>
          </cell>
        </row>
        <row r="6097">
          <cell r="A6097">
            <v>901208016</v>
          </cell>
          <cell r="B6097" t="str">
            <v>0</v>
          </cell>
          <cell r="C6097" t="str">
            <v/>
          </cell>
          <cell r="D6097" t="str">
            <v>NJ</v>
          </cell>
          <cell r="E6097" t="str">
            <v/>
          </cell>
          <cell r="F6097" t="str">
            <v/>
          </cell>
          <cell r="G6097" t="str">
            <v>CONSORCIO SOLARES MITU</v>
          </cell>
          <cell r="H6097" t="str">
            <v>RECO</v>
          </cell>
          <cell r="I6097" t="str">
            <v>REGIMEN COMUN</v>
          </cell>
          <cell r="J6097" t="str">
            <v>CL 15 40 01 CC PRIMAVERA URBANA OF 414</v>
          </cell>
          <cell r="K6097" t="str">
            <v>50001</v>
          </cell>
          <cell r="L6097" t="str">
            <v>VILLAVICENCIO</v>
          </cell>
          <cell r="M6097" t="str">
            <v>3143812793</v>
          </cell>
        </row>
        <row r="6098">
          <cell r="A6098">
            <v>901209266</v>
          </cell>
          <cell r="B6098" t="str">
            <v>1</v>
          </cell>
          <cell r="C6098" t="str">
            <v/>
          </cell>
          <cell r="D6098" t="str">
            <v>NJ</v>
          </cell>
          <cell r="E6098" t="str">
            <v/>
          </cell>
          <cell r="F6098" t="str">
            <v/>
          </cell>
          <cell r="G6098" t="str">
            <v>MINAS Y MINERALES PAIPA SAS</v>
          </cell>
          <cell r="H6098" t="str">
            <v>RECO</v>
          </cell>
          <cell r="I6098" t="str">
            <v>REGIMEN COMUN</v>
          </cell>
          <cell r="J6098" t="str">
            <v>CL 25 21 18 OF 602</v>
          </cell>
          <cell r="K6098" t="str">
            <v>15516</v>
          </cell>
          <cell r="L6098" t="str">
            <v>PAIPA</v>
          </cell>
          <cell r="M6098" t="str">
            <v>3219345713</v>
          </cell>
        </row>
        <row r="6099">
          <cell r="A6099">
            <v>901211473</v>
          </cell>
          <cell r="B6099" t="str">
            <v>4</v>
          </cell>
          <cell r="C6099" t="str">
            <v/>
          </cell>
          <cell r="D6099" t="str">
            <v>NJ</v>
          </cell>
          <cell r="E6099" t="str">
            <v/>
          </cell>
          <cell r="F6099" t="str">
            <v/>
          </cell>
          <cell r="G6099" t="str">
            <v>ECOHL SAS</v>
          </cell>
          <cell r="H6099" t="str">
            <v>IMVE</v>
          </cell>
          <cell r="I6099" t="str">
            <v>IMPUESTO SOBRE LAS VENTAS</v>
          </cell>
          <cell r="J6099" t="str">
            <v>CL 127 A 53 A 45 TO 2 OF 1002</v>
          </cell>
          <cell r="K6099" t="str">
            <v>11001</v>
          </cell>
          <cell r="L6099" t="str">
            <v>BOGOTA DC</v>
          </cell>
          <cell r="M6099" t="str">
            <v>3012571835</v>
          </cell>
        </row>
        <row r="6100">
          <cell r="A6100">
            <v>901212992</v>
          </cell>
          <cell r="B6100" t="str">
            <v>1</v>
          </cell>
          <cell r="C6100" t="str">
            <v/>
          </cell>
          <cell r="D6100" t="str">
            <v>NJ</v>
          </cell>
          <cell r="E6100" t="str">
            <v/>
          </cell>
          <cell r="F6100" t="str">
            <v/>
          </cell>
          <cell r="G6100" t="str">
            <v>IMED OIL SOCIEDAD POR ACCIONES SIMPLIFICADA</v>
          </cell>
          <cell r="H6100" t="str">
            <v>IMVE</v>
          </cell>
          <cell r="I6100" t="str">
            <v>IMPUESTO SOBRE LAS VENTAS</v>
          </cell>
          <cell r="J6100" t="str">
            <v>CL 6 37 A 42</v>
          </cell>
          <cell r="K6100" t="str">
            <v>15238</v>
          </cell>
          <cell r="L6100" t="str">
            <v>DUITAMA</v>
          </cell>
          <cell r="M6100" t="str">
            <v>3184936241</v>
          </cell>
        </row>
        <row r="6101">
          <cell r="A6101">
            <v>901214295</v>
          </cell>
          <cell r="B6101" t="str">
            <v>3</v>
          </cell>
          <cell r="C6101" t="str">
            <v/>
          </cell>
          <cell r="D6101" t="str">
            <v>NJ</v>
          </cell>
          <cell r="E6101" t="str">
            <v/>
          </cell>
          <cell r="F6101" t="str">
            <v/>
          </cell>
          <cell r="G6101" t="str">
            <v>INVERSIONES PAPELERIA Y TRANSPORTE ARAKATI SAS</v>
          </cell>
          <cell r="H6101" t="str">
            <v>RECO</v>
          </cell>
          <cell r="I6101" t="str">
            <v>REGIMEN COMUN</v>
          </cell>
          <cell r="J6101" t="str">
            <v>CL 12 14 05 BRR OBRERO</v>
          </cell>
          <cell r="K6101" t="str">
            <v>97001</v>
          </cell>
          <cell r="L6101" t="str">
            <v>MITÚ</v>
          </cell>
          <cell r="M6101" t="str">
            <v>3214497515</v>
          </cell>
        </row>
        <row r="6102">
          <cell r="A6102">
            <v>901215244</v>
          </cell>
          <cell r="B6102" t="str">
            <v>2</v>
          </cell>
          <cell r="C6102" t="str">
            <v/>
          </cell>
          <cell r="D6102" t="str">
            <v>NJ</v>
          </cell>
          <cell r="E6102" t="str">
            <v/>
          </cell>
          <cell r="F6102" t="str">
            <v/>
          </cell>
          <cell r="G6102" t="str">
            <v>NATIOR CONSULTING SAS</v>
          </cell>
          <cell r="H6102" t="str">
            <v>IMVE</v>
          </cell>
          <cell r="I6102" t="str">
            <v>IMPUESTO SOBRE LAS VENTAS</v>
          </cell>
          <cell r="J6102" t="str">
            <v>TV 13 D 16650 TO 3 AP 403 ET 3</v>
          </cell>
          <cell r="K6102" t="str">
            <v>11001</v>
          </cell>
          <cell r="L6102" t="str">
            <v>BOGOTA DC</v>
          </cell>
          <cell r="M6102" t="str">
            <v>3163410774</v>
          </cell>
        </row>
        <row r="6103">
          <cell r="A6103">
            <v>901217030</v>
          </cell>
          <cell r="B6103" t="str">
            <v>2</v>
          </cell>
          <cell r="C6103" t="str">
            <v/>
          </cell>
          <cell r="D6103" t="str">
            <v>NJ</v>
          </cell>
          <cell r="E6103" t="str">
            <v/>
          </cell>
          <cell r="F6103" t="str">
            <v/>
          </cell>
          <cell r="G6103" t="str">
            <v>CARBONES Y GRANULADOS CADAWILL SAS</v>
          </cell>
          <cell r="H6103" t="str">
            <v>RECO</v>
          </cell>
          <cell r="I6103" t="str">
            <v>REGIMEN COMUN</v>
          </cell>
          <cell r="J6103" t="str">
            <v>KM 3 VIA CORRALES TASCO</v>
          </cell>
          <cell r="K6103" t="str">
            <v>15215</v>
          </cell>
          <cell r="L6103" t="str">
            <v>CORRALES</v>
          </cell>
          <cell r="M6103" t="str">
            <v>3174565545</v>
          </cell>
        </row>
        <row r="6104">
          <cell r="A6104">
            <v>901218409</v>
          </cell>
          <cell r="B6104" t="str">
            <v>4</v>
          </cell>
          <cell r="C6104" t="str">
            <v/>
          </cell>
          <cell r="D6104" t="str">
            <v>NJ</v>
          </cell>
          <cell r="E6104" t="str">
            <v/>
          </cell>
          <cell r="F6104" t="str">
            <v/>
          </cell>
          <cell r="G6104" t="str">
            <v>PINTUMEZCLAS DUITAMA SOCIEDAD POR ACCIONES SIMPLIFICADA</v>
          </cell>
          <cell r="H6104" t="str">
            <v>RECO</v>
          </cell>
          <cell r="I6104" t="str">
            <v>REGIMEN COMUN</v>
          </cell>
          <cell r="J6104" t="str">
            <v>CL 9 24 80 AV AMERICAS</v>
          </cell>
          <cell r="K6104" t="str">
            <v>15238</v>
          </cell>
          <cell r="L6104" t="str">
            <v>DUITAMA</v>
          </cell>
          <cell r="M6104" t="str">
            <v>3143050398</v>
          </cell>
        </row>
        <row r="6105">
          <cell r="A6105">
            <v>901219235</v>
          </cell>
          <cell r="B6105" t="str">
            <v>4</v>
          </cell>
          <cell r="C6105" t="str">
            <v/>
          </cell>
          <cell r="D6105" t="str">
            <v>NJ</v>
          </cell>
          <cell r="E6105" t="str">
            <v/>
          </cell>
          <cell r="F6105" t="str">
            <v/>
          </cell>
          <cell r="G6105" t="str">
            <v>CONSORCIO SOLAR 2018</v>
          </cell>
          <cell r="H6105" t="str">
            <v>RECO</v>
          </cell>
          <cell r="I6105" t="str">
            <v>REGIMEN COMUN</v>
          </cell>
          <cell r="J6105" t="str">
            <v>CR 44 B 98 67</v>
          </cell>
          <cell r="K6105" t="str">
            <v>08001</v>
          </cell>
          <cell r="L6105" t="str">
            <v>BARRANQUILLA</v>
          </cell>
          <cell r="M6105" t="str">
            <v>3001112</v>
          </cell>
        </row>
        <row r="6106">
          <cell r="A6106">
            <v>901219749</v>
          </cell>
          <cell r="B6106" t="str">
            <v>8</v>
          </cell>
          <cell r="C6106" t="str">
            <v/>
          </cell>
          <cell r="D6106" t="str">
            <v>NJ</v>
          </cell>
          <cell r="E6106" t="str">
            <v/>
          </cell>
          <cell r="F6106" t="str">
            <v/>
          </cell>
          <cell r="G6106" t="str">
            <v>DOMAIN GROUP S.A.S.</v>
          </cell>
          <cell r="H6106" t="str">
            <v>IMVE</v>
          </cell>
          <cell r="I6106" t="str">
            <v>IMPUESTO SOBRE LAS VENTAS</v>
          </cell>
          <cell r="J6106" t="str">
            <v>CL 13 N 27 39 IN 4 OF 206</v>
          </cell>
          <cell r="K6106" t="str">
            <v>11001</v>
          </cell>
          <cell r="L6106" t="str">
            <v>BOGOTA DC</v>
          </cell>
          <cell r="M6106" t="str">
            <v>3184939296</v>
          </cell>
        </row>
        <row r="6107">
          <cell r="A6107">
            <v>901220157</v>
          </cell>
          <cell r="B6107" t="str">
            <v>1</v>
          </cell>
          <cell r="C6107" t="str">
            <v/>
          </cell>
          <cell r="D6107" t="str">
            <v>NJ</v>
          </cell>
          <cell r="E6107" t="str">
            <v/>
          </cell>
          <cell r="F6107" t="str">
            <v/>
          </cell>
          <cell r="G6107" t="str">
            <v>CONSORCIO RED SOLAR GUAINIA</v>
          </cell>
          <cell r="H6107" t="str">
            <v>RECO</v>
          </cell>
          <cell r="I6107" t="str">
            <v>REGIMEN COMUN</v>
          </cell>
          <cell r="J6107" t="str">
            <v>CL 17 27 46 BRR LOS HELECHOS</v>
          </cell>
          <cell r="K6107" t="str">
            <v>85001</v>
          </cell>
          <cell r="L6107" t="str">
            <v>YOPAL</v>
          </cell>
          <cell r="M6107" t="str">
            <v>6333483</v>
          </cell>
        </row>
        <row r="6108">
          <cell r="A6108">
            <v>901225185</v>
          </cell>
          <cell r="B6108" t="str">
            <v>9</v>
          </cell>
          <cell r="C6108" t="str">
            <v/>
          </cell>
          <cell r="D6108" t="str">
            <v>NJ</v>
          </cell>
          <cell r="E6108" t="str">
            <v/>
          </cell>
          <cell r="F6108" t="str">
            <v/>
          </cell>
          <cell r="G6108" t="str">
            <v>TIENDAS DE CAFÉ Y TRADICIÓN S.A.S</v>
          </cell>
          <cell r="H6108" t="str">
            <v>RECO</v>
          </cell>
          <cell r="I6108" t="str">
            <v>REGIMEN COMUN</v>
          </cell>
          <cell r="J6108" t="str">
            <v>CR 23 65 49 CC CABLE PLAZA NIVEL UNO LC  C. BARRIO LAURELES</v>
          </cell>
          <cell r="K6108" t="str">
            <v>17001</v>
          </cell>
          <cell r="L6108" t="str">
            <v>MANIZALES</v>
          </cell>
          <cell r="M6108" t="str">
            <v>3113738200</v>
          </cell>
        </row>
        <row r="6109">
          <cell r="A6109">
            <v>901226431</v>
          </cell>
          <cell r="B6109" t="str">
            <v>0</v>
          </cell>
          <cell r="C6109" t="str">
            <v/>
          </cell>
          <cell r="D6109" t="str">
            <v>NJ</v>
          </cell>
          <cell r="E6109" t="str">
            <v/>
          </cell>
          <cell r="F6109" t="str">
            <v/>
          </cell>
          <cell r="G6109" t="str">
            <v>MERCAPLAZA RAMIREZ GONZALEZ S.A.S.</v>
          </cell>
          <cell r="H6109" t="str">
            <v>IMVE</v>
          </cell>
          <cell r="I6109" t="str">
            <v>IMPUESTO SOBRE LAS VENTAS</v>
          </cell>
          <cell r="J6109" t="str">
            <v xml:space="preserve"> DG 20 # 74-86</v>
          </cell>
          <cell r="K6109" t="str">
            <v>17001</v>
          </cell>
          <cell r="L6109" t="str">
            <v>MANIZALES</v>
          </cell>
          <cell r="M6109" t="str">
            <v>3104233726</v>
          </cell>
        </row>
        <row r="6110">
          <cell r="A6110">
            <v>901227063</v>
          </cell>
          <cell r="B6110" t="str">
            <v>8</v>
          </cell>
          <cell r="C6110" t="str">
            <v/>
          </cell>
          <cell r="D6110" t="str">
            <v>NJ</v>
          </cell>
          <cell r="E6110" t="str">
            <v/>
          </cell>
          <cell r="F6110" t="str">
            <v/>
          </cell>
          <cell r="G6110" t="str">
            <v>CARLOS VICENTE RUEDA SANDOVAL</v>
          </cell>
          <cell r="H6110" t="str">
            <v>RECO</v>
          </cell>
          <cell r="I6110" t="str">
            <v>REGIMEN COMUN</v>
          </cell>
          <cell r="J6110" t="str">
            <v>CR 48 N 70 188</v>
          </cell>
          <cell r="K6110" t="str">
            <v>08001</v>
          </cell>
          <cell r="L6110" t="str">
            <v>BARRANQUILLA</v>
          </cell>
          <cell r="M6110" t="str">
            <v>3682183</v>
          </cell>
        </row>
        <row r="6111">
          <cell r="A6111">
            <v>901229871</v>
          </cell>
          <cell r="B6111" t="str">
            <v>1</v>
          </cell>
          <cell r="C6111" t="str">
            <v/>
          </cell>
          <cell r="D6111" t="str">
            <v>NJ</v>
          </cell>
          <cell r="E6111" t="str">
            <v/>
          </cell>
          <cell r="F6111" t="str">
            <v/>
          </cell>
          <cell r="G6111" t="str">
            <v>METALMECANICAS INNOVADORAS SAS</v>
          </cell>
          <cell r="H6111" t="str">
            <v>IMVE</v>
          </cell>
          <cell r="I6111" t="str">
            <v>IMPUESTO SOBRE LAS VENTAS</v>
          </cell>
          <cell r="J6111" t="str">
            <v>CL 3 2 70 IN 2 CD INDUSTRIAL</v>
          </cell>
          <cell r="K6111" t="str">
            <v>15238</v>
          </cell>
          <cell r="L6111" t="str">
            <v>DUITAMA</v>
          </cell>
          <cell r="M6111" t="str">
            <v>3114892444</v>
          </cell>
        </row>
        <row r="6112">
          <cell r="A6112">
            <v>901234989</v>
          </cell>
          <cell r="B6112" t="str">
            <v>1</v>
          </cell>
          <cell r="C6112" t="str">
            <v/>
          </cell>
          <cell r="D6112" t="str">
            <v>NJ</v>
          </cell>
          <cell r="E6112" t="str">
            <v/>
          </cell>
          <cell r="F6112" t="str">
            <v/>
          </cell>
          <cell r="G6112" t="str">
            <v>CARBONES EL ROSAL SAS</v>
          </cell>
          <cell r="H6112" t="str">
            <v>REOR</v>
          </cell>
          <cell r="I6112" t="str">
            <v>RENTA REGIMEN ORDINARIO</v>
          </cell>
          <cell r="J6112" t="str">
            <v>DG 59 66 113</v>
          </cell>
          <cell r="K6112" t="str">
            <v>15759</v>
          </cell>
          <cell r="L6112" t="str">
            <v>SOGAMOSO</v>
          </cell>
          <cell r="M6112" t="str">
            <v>3138510492</v>
          </cell>
        </row>
        <row r="6113">
          <cell r="A6113">
            <v>901235364</v>
          </cell>
          <cell r="B6113" t="str">
            <v>3</v>
          </cell>
          <cell r="C6113" t="str">
            <v/>
          </cell>
          <cell r="D6113" t="str">
            <v>NJ</v>
          </cell>
          <cell r="E6113" t="str">
            <v/>
          </cell>
          <cell r="F6113" t="str">
            <v/>
          </cell>
          <cell r="G6113" t="str">
            <v>SOCIEDAD ORINNOCO SAS ZOMAC</v>
          </cell>
          <cell r="H6113" t="str">
            <v>RECO</v>
          </cell>
          <cell r="I6113" t="str">
            <v>REGIMEN COMUN</v>
          </cell>
          <cell r="J6113" t="str">
            <v>CALLE 19 # 44 - 47</v>
          </cell>
          <cell r="K6113" t="str">
            <v>81794</v>
          </cell>
          <cell r="L6113" t="str">
            <v>TAME</v>
          </cell>
          <cell r="M6113" t="str">
            <v>3144720211</v>
          </cell>
        </row>
        <row r="6114">
          <cell r="A6114">
            <v>901236438</v>
          </cell>
          <cell r="B6114" t="str">
            <v>4</v>
          </cell>
          <cell r="C6114" t="str">
            <v/>
          </cell>
          <cell r="D6114" t="str">
            <v>NJ</v>
          </cell>
          <cell r="E6114" t="str">
            <v/>
          </cell>
          <cell r="F6114" t="str">
            <v/>
          </cell>
          <cell r="G6114" t="str">
            <v>BLUE ENTERPRISE TECHNOLOGIES S.A.S</v>
          </cell>
          <cell r="H6114" t="str">
            <v>IMVE</v>
          </cell>
          <cell r="I6114" t="str">
            <v>IMPUESTO SOBRE LAS VENTAS</v>
          </cell>
          <cell r="J6114" t="str">
            <v>CL 13 D  65 A  35</v>
          </cell>
          <cell r="K6114" t="str">
            <v>76001</v>
          </cell>
          <cell r="L6114" t="str">
            <v>CALI</v>
          </cell>
          <cell r="M6114" t="str">
            <v>307568517</v>
          </cell>
        </row>
        <row r="6115">
          <cell r="A6115">
            <v>901238400</v>
          </cell>
          <cell r="B6115" t="str">
            <v>4</v>
          </cell>
          <cell r="C6115" t="str">
            <v/>
          </cell>
          <cell r="D6115" t="str">
            <v>NJ</v>
          </cell>
          <cell r="E6115" t="str">
            <v/>
          </cell>
          <cell r="F6115" t="str">
            <v/>
          </cell>
          <cell r="G6115" t="str">
            <v>MEGA GRUPO EMPRESARIALL SAS</v>
          </cell>
          <cell r="H6115" t="str">
            <v>IMVE</v>
          </cell>
          <cell r="I6115" t="str">
            <v>IMPUESTO SOBRE LAS VENTAS</v>
          </cell>
          <cell r="J6115" t="str">
            <v xml:space="preserve"> AC 85 25 110</v>
          </cell>
          <cell r="K6115" t="str">
            <v>17001</v>
          </cell>
          <cell r="L6115" t="str">
            <v>MANIZALES</v>
          </cell>
          <cell r="M6115" t="str">
            <v>3106854089</v>
          </cell>
        </row>
        <row r="6116">
          <cell r="A6116">
            <v>901238624</v>
          </cell>
          <cell r="B6116" t="str">
            <v>7</v>
          </cell>
          <cell r="C6116" t="str">
            <v/>
          </cell>
          <cell r="D6116" t="str">
            <v>NJ</v>
          </cell>
          <cell r="E6116" t="str">
            <v/>
          </cell>
          <cell r="F6116" t="str">
            <v/>
          </cell>
          <cell r="G6116" t="str">
            <v>GRUPO EMPRESARIAL G.P. S.A.S.</v>
          </cell>
          <cell r="H6116" t="str">
            <v>IMVE</v>
          </cell>
          <cell r="I6116" t="str">
            <v>IMPUESTO SOBRE LAS VENTAS</v>
          </cell>
          <cell r="J6116" t="str">
            <v>CR 28 39 SUR 01 P 2</v>
          </cell>
          <cell r="K6116" t="str">
            <v>11001</v>
          </cell>
          <cell r="L6116" t="str">
            <v>BOGOTA DC</v>
          </cell>
          <cell r="M6116" t="str">
            <v>4373261</v>
          </cell>
        </row>
        <row r="6117">
          <cell r="A6117">
            <v>901241269</v>
          </cell>
          <cell r="B6117" t="str">
            <v>6</v>
          </cell>
          <cell r="C6117" t="str">
            <v/>
          </cell>
          <cell r="D6117" t="str">
            <v>NJ</v>
          </cell>
          <cell r="E6117" t="str">
            <v/>
          </cell>
          <cell r="F6117" t="str">
            <v/>
          </cell>
          <cell r="G6117" t="str">
            <v>UNION TEMPORAL IMOCOM - WEGHAUX</v>
          </cell>
          <cell r="H6117" t="str">
            <v>RECO</v>
          </cell>
          <cell r="I6117" t="str">
            <v>REGIMEN COMUN</v>
          </cell>
          <cell r="J6117" t="str">
            <v>17 50 24</v>
          </cell>
          <cell r="K6117" t="str">
            <v>11001</v>
          </cell>
          <cell r="L6117" t="str">
            <v>BOGOTA DC</v>
          </cell>
          <cell r="M6117" t="str">
            <v>4137755</v>
          </cell>
        </row>
        <row r="6118">
          <cell r="A6118">
            <v>901241541</v>
          </cell>
          <cell r="B6118" t="str">
            <v>5</v>
          </cell>
          <cell r="C6118" t="str">
            <v/>
          </cell>
          <cell r="D6118" t="str">
            <v>NJ</v>
          </cell>
          <cell r="E6118" t="str">
            <v/>
          </cell>
          <cell r="F6118" t="str">
            <v/>
          </cell>
          <cell r="G6118" t="str">
            <v>COF AMBIENTAL INGENIERIA SAS ESP</v>
          </cell>
          <cell r="H6118" t="str">
            <v>IMVE</v>
          </cell>
          <cell r="I6118" t="str">
            <v>IMPUESTO SOBRE LAS VENTAS</v>
          </cell>
          <cell r="J6118" t="str">
            <v xml:space="preserve"> CL 120 52 77</v>
          </cell>
          <cell r="K6118" t="str">
            <v>11001</v>
          </cell>
          <cell r="L6118" t="str">
            <v>BOGOTA DC</v>
          </cell>
          <cell r="M6118" t="str">
            <v>6564177</v>
          </cell>
        </row>
        <row r="6119">
          <cell r="A6119">
            <v>901241599</v>
          </cell>
          <cell r="B6119" t="str">
            <v>1</v>
          </cell>
          <cell r="C6119" t="str">
            <v/>
          </cell>
          <cell r="D6119" t="str">
            <v>NJ</v>
          </cell>
          <cell r="E6119" t="str">
            <v/>
          </cell>
          <cell r="F6119" t="str">
            <v/>
          </cell>
          <cell r="G6119" t="str">
            <v>FERRETERIA CASTILLO CS SAS</v>
          </cell>
          <cell r="H6119" t="str">
            <v>RECO</v>
          </cell>
          <cell r="I6119" t="str">
            <v>REGIMEN COMUN</v>
          </cell>
          <cell r="J6119" t="str">
            <v>CL 15 3 02 BRR CENTRO</v>
          </cell>
          <cell r="K6119" t="str">
            <v>94001</v>
          </cell>
          <cell r="L6119" t="str">
            <v>INÍRIDA</v>
          </cell>
          <cell r="M6119" t="str">
            <v>3102123957</v>
          </cell>
        </row>
        <row r="6120">
          <cell r="A6120">
            <v>901243245</v>
          </cell>
          <cell r="B6120" t="str">
            <v>9</v>
          </cell>
          <cell r="C6120" t="str">
            <v/>
          </cell>
          <cell r="D6120" t="str">
            <v>NJ</v>
          </cell>
          <cell r="E6120" t="str">
            <v/>
          </cell>
          <cell r="F6120" t="str">
            <v/>
          </cell>
          <cell r="G6120" t="str">
            <v>COMERCIALIZADORA AIR FRIC S.A.S.</v>
          </cell>
          <cell r="H6120" t="str">
            <v>IMVE</v>
          </cell>
          <cell r="I6120" t="str">
            <v>IMPUESTO SOBRE LAS VENTAS</v>
          </cell>
          <cell r="J6120" t="str">
            <v>CL 19 15 12</v>
          </cell>
          <cell r="K6120" t="str">
            <v>11001</v>
          </cell>
          <cell r="L6120" t="str">
            <v>BOGOTA DC</v>
          </cell>
          <cell r="M6120" t="str">
            <v>3112643648</v>
          </cell>
        </row>
        <row r="6121">
          <cell r="A6121">
            <v>901245402</v>
          </cell>
          <cell r="B6121" t="str">
            <v>8</v>
          </cell>
          <cell r="C6121" t="str">
            <v/>
          </cell>
          <cell r="D6121" t="str">
            <v>NJ</v>
          </cell>
          <cell r="E6121" t="str">
            <v/>
          </cell>
          <cell r="F6121" t="str">
            <v/>
          </cell>
          <cell r="G6121" t="str">
            <v>BLESSED COAL SAS</v>
          </cell>
          <cell r="H6121" t="str">
            <v>REOR</v>
          </cell>
          <cell r="I6121" t="str">
            <v>RENTA REGIMEN ORDINARIO</v>
          </cell>
          <cell r="J6121" t="str">
            <v>CR 4  6  55</v>
          </cell>
          <cell r="K6121" t="str">
            <v>25843</v>
          </cell>
          <cell r="L6121" t="str">
            <v>VILLA DE SAN DIEGO DE UBATE</v>
          </cell>
          <cell r="M6121" t="str">
            <v>3133986910</v>
          </cell>
        </row>
        <row r="6122">
          <cell r="A6122">
            <v>901245422</v>
          </cell>
          <cell r="B6122" t="str">
            <v>5</v>
          </cell>
          <cell r="C6122" t="str">
            <v/>
          </cell>
          <cell r="D6122" t="str">
            <v>NJ</v>
          </cell>
          <cell r="E6122" t="str">
            <v/>
          </cell>
          <cell r="F6122" t="str">
            <v/>
          </cell>
          <cell r="G6122" t="str">
            <v>SP FINANZAS VERDES SAS</v>
          </cell>
          <cell r="H6122" t="str">
            <v>IMVE</v>
          </cell>
          <cell r="I6122" t="str">
            <v>IMPUESTO SOBRE LAS VENTAS</v>
          </cell>
          <cell r="J6122" t="str">
            <v>CR 81 212 41</v>
          </cell>
          <cell r="K6122" t="str">
            <v>11001</v>
          </cell>
          <cell r="L6122" t="str">
            <v>BOGOTA DC</v>
          </cell>
          <cell r="M6122" t="str">
            <v>6636353</v>
          </cell>
        </row>
        <row r="6123">
          <cell r="A6123">
            <v>901246252</v>
          </cell>
          <cell r="B6123" t="str">
            <v>4</v>
          </cell>
          <cell r="C6123" t="str">
            <v/>
          </cell>
          <cell r="D6123" t="str">
            <v>NJ</v>
          </cell>
          <cell r="E6123" t="str">
            <v/>
          </cell>
          <cell r="F6123" t="str">
            <v/>
          </cell>
          <cell r="G6123" t="str">
            <v>CMS INGENIERIA Y PROYECTOS SAS</v>
          </cell>
          <cell r="H6123" t="str">
            <v>IMVE</v>
          </cell>
          <cell r="I6123" t="str">
            <v>IMPUESTO SOBRE LAS VENTAS</v>
          </cell>
          <cell r="J6123" t="str">
            <v>CALLE 68B 78 11</v>
          </cell>
          <cell r="K6123" t="str">
            <v>11001</v>
          </cell>
          <cell r="L6123" t="str">
            <v>BOGOTA DC</v>
          </cell>
          <cell r="M6123" t="str">
            <v>3143500080</v>
          </cell>
        </row>
        <row r="6124">
          <cell r="A6124">
            <v>901246520</v>
          </cell>
          <cell r="B6124" t="str">
            <v>3</v>
          </cell>
          <cell r="C6124" t="str">
            <v/>
          </cell>
          <cell r="D6124" t="str">
            <v>NJ</v>
          </cell>
          <cell r="E6124" t="str">
            <v/>
          </cell>
          <cell r="F6124" t="str">
            <v/>
          </cell>
          <cell r="G6124" t="str">
            <v>EL NUEVO GARCERO S.A.S.</v>
          </cell>
          <cell r="H6124" t="str">
            <v>RECO</v>
          </cell>
          <cell r="I6124" t="str">
            <v>REGIMEN COMUN</v>
          </cell>
          <cell r="J6124" t="str">
            <v>CL 16 3 10</v>
          </cell>
          <cell r="K6124" t="str">
            <v>94001</v>
          </cell>
          <cell r="L6124" t="str">
            <v>INÍRIDA</v>
          </cell>
          <cell r="M6124" t="str">
            <v>3132804477</v>
          </cell>
        </row>
        <row r="6125">
          <cell r="A6125">
            <v>901247058</v>
          </cell>
          <cell r="B6125" t="str">
            <v>6</v>
          </cell>
          <cell r="C6125" t="str">
            <v/>
          </cell>
          <cell r="D6125" t="str">
            <v>NJ</v>
          </cell>
          <cell r="E6125" t="str">
            <v/>
          </cell>
          <cell r="F6125" t="str">
            <v/>
          </cell>
          <cell r="G6125" t="str">
            <v>COMUNICACIONES DISTRIBUCIONES Y TECNOLOGIAS DE COLOMBIA SAS - SI</v>
          </cell>
          <cell r="H6125" t="str">
            <v>IMVE</v>
          </cell>
          <cell r="I6125" t="str">
            <v>IMPUESTO SOBRE LAS VENTAS</v>
          </cell>
          <cell r="J6125" t="str">
            <v>CR 16 F  45 G  09</v>
          </cell>
          <cell r="K6125" t="str">
            <v>02</v>
          </cell>
          <cell r="L6125" t="str">
            <v>BARRANQUILLA</v>
          </cell>
          <cell r="M6125" t="str">
            <v>3505065488</v>
          </cell>
        </row>
        <row r="6126">
          <cell r="A6126">
            <v>901247533</v>
          </cell>
          <cell r="B6126" t="str">
            <v>3</v>
          </cell>
          <cell r="C6126" t="str">
            <v/>
          </cell>
          <cell r="D6126" t="str">
            <v>NJ</v>
          </cell>
          <cell r="E6126" t="str">
            <v/>
          </cell>
          <cell r="F6126" t="str">
            <v/>
          </cell>
          <cell r="G6126" t="str">
            <v>ICOANPE FIRE SAS</v>
          </cell>
          <cell r="H6126" t="str">
            <v>REOR</v>
          </cell>
          <cell r="I6126" t="str">
            <v>RENTA REGIMEN ORDINARIO</v>
          </cell>
          <cell r="J6126" t="str">
            <v>CL 13 9 33</v>
          </cell>
          <cell r="K6126" t="str">
            <v>11001</v>
          </cell>
          <cell r="L6126" t="str">
            <v>BOGOTA DC</v>
          </cell>
          <cell r="M6126" t="str">
            <v>3114864593</v>
          </cell>
        </row>
        <row r="6127">
          <cell r="A6127">
            <v>901251579</v>
          </cell>
          <cell r="B6127" t="str">
            <v>7</v>
          </cell>
          <cell r="C6127" t="str">
            <v/>
          </cell>
          <cell r="D6127" t="str">
            <v>NJ</v>
          </cell>
          <cell r="E6127" t="str">
            <v/>
          </cell>
          <cell r="F6127" t="str">
            <v/>
          </cell>
          <cell r="G6127" t="str">
            <v>GLOBAL INGENIERIA E INFRAESTRUCTURA SAS</v>
          </cell>
          <cell r="H6127" t="str">
            <v>IMVE</v>
          </cell>
          <cell r="I6127" t="str">
            <v>IMPUESTO SOBRE LAS VENTAS</v>
          </cell>
          <cell r="J6127" t="str">
            <v>AV  BERNARDO ARANGO 7 B 140 CA B 13</v>
          </cell>
          <cell r="K6127" t="str">
            <v>17001</v>
          </cell>
          <cell r="L6127" t="str">
            <v>MANIZALES</v>
          </cell>
          <cell r="M6127" t="str">
            <v>3008150155</v>
          </cell>
        </row>
        <row r="6128">
          <cell r="A6128">
            <v>901255087</v>
          </cell>
          <cell r="B6128" t="str">
            <v>3</v>
          </cell>
          <cell r="C6128" t="str">
            <v/>
          </cell>
          <cell r="D6128" t="str">
            <v>NJ</v>
          </cell>
          <cell r="E6128" t="str">
            <v/>
          </cell>
          <cell r="F6128" t="str">
            <v/>
          </cell>
          <cell r="G6128" t="str">
            <v>ESSENTIAL INGENIERIA INDEPENDIENTE S.A.S.</v>
          </cell>
          <cell r="H6128" t="str">
            <v>IMVE</v>
          </cell>
          <cell r="I6128" t="str">
            <v>IMPUESTO SOBRE LAS VENTAS</v>
          </cell>
          <cell r="J6128" t="str">
            <v>CL 6 A 18 125 AP 901</v>
          </cell>
          <cell r="K6128" t="str">
            <v>17001</v>
          </cell>
          <cell r="L6128" t="str">
            <v>MANIZALES</v>
          </cell>
          <cell r="M6128" t="str">
            <v>3174146370</v>
          </cell>
        </row>
        <row r="6129">
          <cell r="A6129">
            <v>901255188</v>
          </cell>
          <cell r="B6129" t="str">
            <v>9</v>
          </cell>
          <cell r="C6129" t="str">
            <v/>
          </cell>
          <cell r="D6129" t="str">
            <v>NJ</v>
          </cell>
          <cell r="E6129" t="str">
            <v/>
          </cell>
          <cell r="F6129" t="str">
            <v/>
          </cell>
          <cell r="G6129" t="str">
            <v>GRC INGENIERIA SAS</v>
          </cell>
          <cell r="H6129" t="str">
            <v>IMVE</v>
          </cell>
          <cell r="I6129" t="str">
            <v>IMPUESTO SOBRE LAS VENTAS</v>
          </cell>
          <cell r="J6129" t="str">
            <v xml:space="preserve"> CL 42 A 8 A 05 BRR LOS ROSSALES ED SAN JUAN DE LA PEÑA</v>
          </cell>
          <cell r="K6129" t="str">
            <v>15001</v>
          </cell>
          <cell r="L6129" t="str">
            <v>TUNJA</v>
          </cell>
          <cell r="M6129" t="str">
            <v>3223662029</v>
          </cell>
        </row>
        <row r="6130">
          <cell r="A6130">
            <v>901257844</v>
          </cell>
          <cell r="B6130" t="str">
            <v>1</v>
          </cell>
          <cell r="C6130" t="str">
            <v/>
          </cell>
          <cell r="D6130" t="str">
            <v>NJ</v>
          </cell>
          <cell r="E6130" t="str">
            <v/>
          </cell>
          <cell r="F6130" t="str">
            <v/>
          </cell>
          <cell r="G6130" t="str">
            <v>GRUPO STANDARD COLOMBIA SAS</v>
          </cell>
          <cell r="H6130" t="str">
            <v>IMVE</v>
          </cell>
          <cell r="I6130" t="str">
            <v>IMPUESTO SOBRE LAS VENTAS</v>
          </cell>
          <cell r="J6130" t="str">
            <v>CR  33 24 B 34 BRR SAN MARCOS</v>
          </cell>
          <cell r="K6130" t="str">
            <v>50001</v>
          </cell>
          <cell r="L6130" t="str">
            <v>VILLAVICENCIO</v>
          </cell>
          <cell r="M6130" t="str">
            <v>3134114815</v>
          </cell>
        </row>
        <row r="6131">
          <cell r="A6131">
            <v>901258276</v>
          </cell>
          <cell r="B6131" t="str">
            <v>2</v>
          </cell>
          <cell r="C6131" t="str">
            <v/>
          </cell>
          <cell r="D6131" t="str">
            <v>NJ</v>
          </cell>
          <cell r="E6131" t="str">
            <v/>
          </cell>
          <cell r="F6131" t="str">
            <v/>
          </cell>
          <cell r="G6131" t="str">
            <v>INVERSIONES IZZO SAS</v>
          </cell>
          <cell r="H6131" t="str">
            <v>RECO</v>
          </cell>
          <cell r="I6131" t="str">
            <v>REGIMEN COMUN</v>
          </cell>
          <cell r="J6131" t="str">
            <v>CR 15 91 30 P 4</v>
          </cell>
          <cell r="K6131" t="str">
            <v>11001</v>
          </cell>
          <cell r="L6131" t="str">
            <v>BOGOTA DC</v>
          </cell>
          <cell r="M6131" t="str">
            <v>3233184887</v>
          </cell>
        </row>
        <row r="6132">
          <cell r="A6132">
            <v>901260051</v>
          </cell>
          <cell r="B6132" t="str">
            <v>9</v>
          </cell>
          <cell r="C6132" t="str">
            <v/>
          </cell>
          <cell r="D6132" t="str">
            <v>NJ</v>
          </cell>
          <cell r="E6132" t="str">
            <v/>
          </cell>
          <cell r="F6132" t="str">
            <v/>
          </cell>
          <cell r="G6132" t="str">
            <v>SOLUCIONES Y EVENTOS EMPRESARIALES SAS</v>
          </cell>
          <cell r="H6132" t="str">
            <v>IMVE</v>
          </cell>
          <cell r="I6132" t="str">
            <v>IMPUESTO SOBRE LAS VENTAS</v>
          </cell>
          <cell r="J6132" t="str">
            <v>CL 44 A 59 05</v>
          </cell>
          <cell r="K6132" t="str">
            <v>11001</v>
          </cell>
          <cell r="L6132" t="str">
            <v>BOGOTA DC</v>
          </cell>
          <cell r="M6132" t="str">
            <v>3229066155</v>
          </cell>
        </row>
        <row r="6133">
          <cell r="A6133">
            <v>901260229</v>
          </cell>
          <cell r="B6133" t="str">
            <v>2</v>
          </cell>
          <cell r="C6133" t="str">
            <v/>
          </cell>
          <cell r="D6133" t="str">
            <v>NJ</v>
          </cell>
          <cell r="E6133" t="str">
            <v/>
          </cell>
          <cell r="F6133" t="str">
            <v/>
          </cell>
          <cell r="G6133" t="str">
            <v>AIRES ANDINA DE SERVICIOS S.A.S</v>
          </cell>
          <cell r="H6133" t="str">
            <v>IMVE</v>
          </cell>
          <cell r="I6133" t="str">
            <v>IMPUESTO SOBRE LAS VENTAS</v>
          </cell>
          <cell r="J6133" t="str">
            <v xml:space="preserve"> CL 67 23 B 56 BRR PALERMO</v>
          </cell>
          <cell r="K6133" t="str">
            <v>17001</v>
          </cell>
          <cell r="L6133" t="str">
            <v>MANIZALES</v>
          </cell>
          <cell r="M6133" t="str">
            <v>8871000</v>
          </cell>
        </row>
        <row r="6134">
          <cell r="A6134">
            <v>901260290</v>
          </cell>
          <cell r="B6134" t="str">
            <v>2</v>
          </cell>
          <cell r="C6134" t="str">
            <v/>
          </cell>
          <cell r="D6134" t="str">
            <v>NJ</v>
          </cell>
          <cell r="E6134" t="str">
            <v/>
          </cell>
          <cell r="F6134" t="str">
            <v/>
          </cell>
          <cell r="G6134" t="str">
            <v>GMX SALUD OCUPACIONAL IPS SAS</v>
          </cell>
          <cell r="H6134" t="str">
            <v>RECO</v>
          </cell>
          <cell r="I6134" t="str">
            <v>REGIMEN COMUN</v>
          </cell>
          <cell r="J6134" t="str">
            <v>CR 36 63B 125</v>
          </cell>
          <cell r="K6134" t="str">
            <v>02</v>
          </cell>
          <cell r="L6134" t="str">
            <v>BARRANQUILLA</v>
          </cell>
          <cell r="M6134" t="str">
            <v>3226662293</v>
          </cell>
        </row>
        <row r="6135">
          <cell r="A6135">
            <v>901263049</v>
          </cell>
          <cell r="B6135" t="str">
            <v>7</v>
          </cell>
          <cell r="C6135" t="str">
            <v/>
          </cell>
          <cell r="D6135" t="str">
            <v>NJ</v>
          </cell>
          <cell r="E6135" t="str">
            <v/>
          </cell>
          <cell r="F6135" t="str">
            <v/>
          </cell>
          <cell r="G6135" t="str">
            <v>TRITON COMBUSTIBLES S.A.S.</v>
          </cell>
          <cell r="H6135" t="str">
            <v>IMVE</v>
          </cell>
          <cell r="I6135" t="str">
            <v>IMPUESTO SOBRE LAS VENTAS</v>
          </cell>
          <cell r="J6135" t="str">
            <v xml:space="preserve"> AV CARACAS 54 19 P 4</v>
          </cell>
          <cell r="K6135" t="str">
            <v>11001</v>
          </cell>
          <cell r="L6135" t="str">
            <v>BOGOTA DC</v>
          </cell>
          <cell r="M6135" t="str">
            <v>3174353447</v>
          </cell>
        </row>
        <row r="6136">
          <cell r="A6136">
            <v>901264814</v>
          </cell>
          <cell r="B6136" t="str">
            <v>1</v>
          </cell>
          <cell r="C6136" t="str">
            <v/>
          </cell>
          <cell r="D6136" t="str">
            <v>NJ</v>
          </cell>
          <cell r="E6136" t="str">
            <v/>
          </cell>
          <cell r="F6136" t="str">
            <v/>
          </cell>
          <cell r="G6136" t="str">
            <v>REPRESENTACIONES OTIMAR S.A.S.</v>
          </cell>
          <cell r="H6136" t="str">
            <v>REOR</v>
          </cell>
          <cell r="I6136" t="str">
            <v>RENTA REGIMEN ORDINARIO</v>
          </cell>
          <cell r="J6136" t="str">
            <v>CL 7 7 92 LC 2 BRR CENTRO</v>
          </cell>
          <cell r="K6136" t="str">
            <v>91001</v>
          </cell>
          <cell r="L6136" t="str">
            <v>LETICIA</v>
          </cell>
          <cell r="M6136" t="str">
            <v>3108149928</v>
          </cell>
        </row>
        <row r="6137">
          <cell r="A6137">
            <v>901265309</v>
          </cell>
          <cell r="B6137" t="str">
            <v>6</v>
          </cell>
          <cell r="C6137" t="str">
            <v/>
          </cell>
          <cell r="D6137" t="str">
            <v>NJ</v>
          </cell>
          <cell r="E6137" t="str">
            <v/>
          </cell>
          <cell r="F6137" t="str">
            <v/>
          </cell>
          <cell r="G6137" t="str">
            <v>MINGEMA S.A.S.</v>
          </cell>
          <cell r="H6137" t="str">
            <v>IMVE</v>
          </cell>
          <cell r="I6137" t="str">
            <v>IMPUESTO SOBRE LAS VENTAS</v>
          </cell>
          <cell r="J6137" t="str">
            <v>TV 1 1 C 64 SUR</v>
          </cell>
          <cell r="K6137" t="str">
            <v>15759</v>
          </cell>
          <cell r="L6137" t="str">
            <v>SOGAMOSO</v>
          </cell>
          <cell r="M6137" t="str">
            <v>3103214594</v>
          </cell>
        </row>
        <row r="6138">
          <cell r="A6138">
            <v>901267986</v>
          </cell>
          <cell r="B6138" t="str">
            <v>1</v>
          </cell>
          <cell r="C6138" t="str">
            <v/>
          </cell>
          <cell r="D6138" t="str">
            <v>NJ</v>
          </cell>
          <cell r="E6138" t="str">
            <v/>
          </cell>
          <cell r="F6138" t="str">
            <v/>
          </cell>
          <cell r="G6138" t="str">
            <v>SOKARIS SAS</v>
          </cell>
          <cell r="H6138" t="str">
            <v>RECO</v>
          </cell>
          <cell r="I6138" t="str">
            <v>REGIMEN COMUN</v>
          </cell>
          <cell r="J6138" t="str">
            <v>CR 52 106 68 AP 502</v>
          </cell>
          <cell r="K6138" t="str">
            <v>11001</v>
          </cell>
          <cell r="L6138" t="str">
            <v>BOGOTA DC</v>
          </cell>
          <cell r="M6138" t="str">
            <v>3206851281</v>
          </cell>
        </row>
        <row r="6139">
          <cell r="A6139">
            <v>901268615</v>
          </cell>
          <cell r="B6139" t="str">
            <v>9</v>
          </cell>
          <cell r="C6139" t="str">
            <v/>
          </cell>
          <cell r="D6139" t="str">
            <v>NJ</v>
          </cell>
          <cell r="E6139" t="str">
            <v/>
          </cell>
          <cell r="F6139" t="str">
            <v/>
          </cell>
          <cell r="G6139" t="str">
            <v>IMPORTACIONES OLEOHIDRAULICAS AZ SAS</v>
          </cell>
          <cell r="H6139" t="str">
            <v>IMVE</v>
          </cell>
          <cell r="I6139" t="str">
            <v>IMPUESTO SOBRE LAS VENTAS</v>
          </cell>
          <cell r="J6139" t="str">
            <v>CLL 29  59  11</v>
          </cell>
          <cell r="K6139" t="str">
            <v>05001</v>
          </cell>
          <cell r="L6139" t="str">
            <v>MEDELLÍN</v>
          </cell>
          <cell r="M6139" t="str">
            <v>3117743947</v>
          </cell>
        </row>
        <row r="6140">
          <cell r="A6140">
            <v>901268982</v>
          </cell>
          <cell r="B6140" t="str">
            <v>7</v>
          </cell>
          <cell r="C6140" t="str">
            <v/>
          </cell>
          <cell r="D6140" t="str">
            <v>NJ</v>
          </cell>
          <cell r="E6140" t="str">
            <v/>
          </cell>
          <cell r="F6140" t="str">
            <v/>
          </cell>
          <cell r="G6140" t="str">
            <v>CONSORCIO CDT CM</v>
          </cell>
          <cell r="H6140" t="str">
            <v>RECO</v>
          </cell>
          <cell r="I6140" t="str">
            <v>REGIMEN COMUN</v>
          </cell>
          <cell r="J6140" t="str">
            <v>CR  23 10 37</v>
          </cell>
          <cell r="K6140" t="str">
            <v>15759</v>
          </cell>
          <cell r="L6140" t="str">
            <v>SOGAMOSO</v>
          </cell>
          <cell r="M6140" t="str">
            <v>7738179</v>
          </cell>
        </row>
        <row r="6141">
          <cell r="A6141">
            <v>901270045</v>
          </cell>
          <cell r="B6141" t="str">
            <v>7</v>
          </cell>
          <cell r="C6141" t="str">
            <v/>
          </cell>
          <cell r="D6141" t="str">
            <v>NJ</v>
          </cell>
          <cell r="E6141" t="str">
            <v/>
          </cell>
          <cell r="F6141" t="str">
            <v/>
          </cell>
          <cell r="G6141" t="str">
            <v>CARBONES LA CAROLINA SAS</v>
          </cell>
          <cell r="H6141" t="str">
            <v>IMVE</v>
          </cell>
          <cell r="I6141" t="str">
            <v>IMPUESTO SOBRE LAS VENTAS</v>
          </cell>
          <cell r="J6141" t="str">
            <v xml:space="preserve"> AV 6 1076 OF 405  ED ANTIOQUEÑO   BRR EL CENTRO</v>
          </cell>
          <cell r="K6141" t="str">
            <v>54001</v>
          </cell>
          <cell r="L6141" t="str">
            <v>CÚCUTA</v>
          </cell>
          <cell r="M6141" t="str">
            <v>3212320749</v>
          </cell>
        </row>
        <row r="6142">
          <cell r="A6142">
            <v>901270067</v>
          </cell>
          <cell r="B6142" t="str">
            <v>9</v>
          </cell>
          <cell r="C6142" t="str">
            <v/>
          </cell>
          <cell r="D6142" t="str">
            <v>NJ</v>
          </cell>
          <cell r="E6142" t="str">
            <v/>
          </cell>
          <cell r="F6142" t="str">
            <v/>
          </cell>
          <cell r="G6142" t="str">
            <v>CARBONERA RINCON S.A.S</v>
          </cell>
          <cell r="H6142" t="str">
            <v>RST</v>
          </cell>
          <cell r="I6142" t="str">
            <v>REGIMEN SIMPLE DE TRIBUTACION</v>
          </cell>
          <cell r="J6142" t="str">
            <v>KM 4 VIA PAIPA - TUNJA VDA EL VOLCAN</v>
          </cell>
          <cell r="K6142" t="str">
            <v>15516</v>
          </cell>
          <cell r="L6142" t="str">
            <v>PAIPA</v>
          </cell>
          <cell r="M6142" t="str">
            <v>3107745780</v>
          </cell>
        </row>
        <row r="6143">
          <cell r="A6143">
            <v>901273859</v>
          </cell>
          <cell r="B6143" t="str">
            <v>9</v>
          </cell>
          <cell r="C6143" t="str">
            <v/>
          </cell>
          <cell r="D6143" t="str">
            <v>NJ</v>
          </cell>
          <cell r="E6143" t="str">
            <v/>
          </cell>
          <cell r="F6143" t="str">
            <v/>
          </cell>
          <cell r="G6143" t="str">
            <v>CARBONERA LA SIERRA SAS</v>
          </cell>
          <cell r="H6143" t="str">
            <v>RST</v>
          </cell>
          <cell r="I6143" t="str">
            <v>REGIMEN SIMPLE DE TRIBUTACION</v>
          </cell>
          <cell r="J6143" t="str">
            <v>CL 22 20 63</v>
          </cell>
          <cell r="K6143" t="str">
            <v>15516</v>
          </cell>
          <cell r="L6143" t="str">
            <v>PAIPA</v>
          </cell>
          <cell r="M6143" t="str">
            <v>3103489801</v>
          </cell>
        </row>
        <row r="6144">
          <cell r="A6144">
            <v>901274392</v>
          </cell>
          <cell r="B6144" t="str">
            <v>6</v>
          </cell>
          <cell r="C6144" t="str">
            <v/>
          </cell>
          <cell r="D6144" t="str">
            <v>NJ</v>
          </cell>
          <cell r="E6144" t="str">
            <v/>
          </cell>
          <cell r="F6144" t="str">
            <v/>
          </cell>
          <cell r="G6144" t="str">
            <v>CONSULTORÍA Y PROYECTOS ELECTRICOS S.A.S</v>
          </cell>
          <cell r="H6144" t="str">
            <v>IMVE</v>
          </cell>
          <cell r="I6144" t="str">
            <v>IMPUESTO SOBRE LAS VENTAS</v>
          </cell>
          <cell r="J6144" t="str">
            <v xml:space="preserve"> CL  5 20 62 A  P  T  O 301</v>
          </cell>
          <cell r="K6144" t="str">
            <v>17001</v>
          </cell>
          <cell r="L6144" t="str">
            <v>MANIZALES</v>
          </cell>
          <cell r="M6144" t="str">
            <v>3148148398</v>
          </cell>
        </row>
        <row r="6145">
          <cell r="A6145">
            <v>901277198</v>
          </cell>
          <cell r="B6145" t="str">
            <v>7</v>
          </cell>
          <cell r="C6145" t="str">
            <v/>
          </cell>
          <cell r="D6145" t="str">
            <v>NJ</v>
          </cell>
          <cell r="E6145" t="str">
            <v/>
          </cell>
          <cell r="F6145" t="str">
            <v/>
          </cell>
          <cell r="G6145" t="str">
            <v>ARBORIS SAS</v>
          </cell>
          <cell r="H6145" t="str">
            <v>IMVE</v>
          </cell>
          <cell r="I6145" t="str">
            <v>IMPUESTO SOBRE LAS VENTAS</v>
          </cell>
          <cell r="J6145" t="str">
            <v>CL 78 66 44 UN 13</v>
          </cell>
          <cell r="K6145" t="str">
            <v>11001</v>
          </cell>
          <cell r="L6145" t="str">
            <v>BOGOTA DC</v>
          </cell>
          <cell r="M6145" t="str">
            <v>4717101</v>
          </cell>
        </row>
        <row r="6146">
          <cell r="A6146">
            <v>901280981</v>
          </cell>
          <cell r="B6146" t="str">
            <v>9</v>
          </cell>
          <cell r="C6146" t="str">
            <v/>
          </cell>
          <cell r="D6146" t="str">
            <v>NJ</v>
          </cell>
          <cell r="E6146" t="str">
            <v/>
          </cell>
          <cell r="F6146" t="str">
            <v/>
          </cell>
          <cell r="G6146" t="str">
            <v>CELSIA TOLIMA S.A. ESP</v>
          </cell>
          <cell r="H6146" t="str">
            <v>GRCO</v>
          </cell>
          <cell r="I6146" t="str">
            <v>GRAN CONTRIBUYENTE</v>
          </cell>
          <cell r="J6146" t="str">
            <v>CL 15 29 B 30 AUT CALI YUMBO</v>
          </cell>
          <cell r="K6146" t="str">
            <v>76892</v>
          </cell>
          <cell r="L6146" t="str">
            <v>YUMBO</v>
          </cell>
          <cell r="M6146" t="str">
            <v>3210000</v>
          </cell>
        </row>
        <row r="6147">
          <cell r="A6147">
            <v>901282548</v>
          </cell>
          <cell r="B6147" t="str">
            <v>1</v>
          </cell>
          <cell r="C6147" t="str">
            <v/>
          </cell>
          <cell r="D6147" t="str">
            <v>NJ</v>
          </cell>
          <cell r="E6147" t="str">
            <v/>
          </cell>
          <cell r="F6147" t="str">
            <v/>
          </cell>
          <cell r="G6147" t="str">
            <v>GABO REPARA SAS</v>
          </cell>
          <cell r="H6147" t="str">
            <v>IMVE</v>
          </cell>
          <cell r="I6147" t="str">
            <v>IMPUESTO SOBRE LAS VENTAS</v>
          </cell>
          <cell r="J6147" t="str">
            <v>CR 21 12 71</v>
          </cell>
          <cell r="K6147" t="str">
            <v>15238</v>
          </cell>
          <cell r="L6147" t="str">
            <v>DUITAMA</v>
          </cell>
          <cell r="M6147" t="str">
            <v>3125887680</v>
          </cell>
        </row>
        <row r="6148">
          <cell r="A6148">
            <v>901283882</v>
          </cell>
          <cell r="B6148" t="str">
            <v>1</v>
          </cell>
          <cell r="C6148" t="str">
            <v/>
          </cell>
          <cell r="D6148" t="str">
            <v>NJ</v>
          </cell>
          <cell r="E6148" t="str">
            <v/>
          </cell>
          <cell r="F6148" t="str">
            <v/>
          </cell>
          <cell r="G6148" t="str">
            <v>ABB COLOMBIA LTDA</v>
          </cell>
          <cell r="H6148" t="str">
            <v>GRCO</v>
          </cell>
          <cell r="I6148" t="str">
            <v>GRAN CONTRIBUYENTE</v>
          </cell>
          <cell r="J6148" t="str">
            <v xml:space="preserve"> CR 45 NO 108-27 TORRE1 PISO 12 PARALELO 108</v>
          </cell>
          <cell r="K6148" t="str">
            <v>11001</v>
          </cell>
          <cell r="L6148" t="str">
            <v>BOGOTA DC</v>
          </cell>
          <cell r="M6148" t="str">
            <v>3112317844</v>
          </cell>
        </row>
        <row r="6149">
          <cell r="A6149">
            <v>901284734</v>
          </cell>
          <cell r="B6149" t="str">
            <v>4</v>
          </cell>
          <cell r="C6149" t="str">
            <v/>
          </cell>
          <cell r="D6149" t="str">
            <v>NJ</v>
          </cell>
          <cell r="E6149" t="str">
            <v/>
          </cell>
          <cell r="F6149" t="str">
            <v/>
          </cell>
          <cell r="G6149" t="str">
            <v>CONSTRUCTORA BENDALUZ S.A.S</v>
          </cell>
          <cell r="H6149" t="str">
            <v>REOR</v>
          </cell>
          <cell r="I6149" t="str">
            <v>RENTA REGIMEN ORDINARIO</v>
          </cell>
          <cell r="J6149" t="str">
            <v>CR 4 35 73 CA 8</v>
          </cell>
          <cell r="K6149" t="str">
            <v>15001</v>
          </cell>
          <cell r="L6149" t="str">
            <v>TUNJA</v>
          </cell>
          <cell r="M6149" t="str">
            <v>3127319703</v>
          </cell>
        </row>
        <row r="6150">
          <cell r="A6150">
            <v>901286370</v>
          </cell>
          <cell r="B6150" t="str">
            <v>6</v>
          </cell>
          <cell r="C6150" t="str">
            <v/>
          </cell>
          <cell r="D6150" t="str">
            <v>NJ</v>
          </cell>
          <cell r="E6150" t="str">
            <v/>
          </cell>
          <cell r="F6150" t="str">
            <v/>
          </cell>
          <cell r="G6150" t="str">
            <v>COMERCIALIZADORA DE ELECTRICOS CELECTRIC R.E SAS</v>
          </cell>
          <cell r="H6150" t="str">
            <v>IMVE</v>
          </cell>
          <cell r="I6150" t="str">
            <v>IMPUESTO SOBRE LAS VENTAS</v>
          </cell>
          <cell r="J6150" t="str">
            <v>CR 12 17 93</v>
          </cell>
          <cell r="K6150" t="str">
            <v>03</v>
          </cell>
          <cell r="L6150" t="str">
            <v>BOGOTA</v>
          </cell>
          <cell r="M6150" t="str">
            <v>3428828</v>
          </cell>
        </row>
        <row r="6151">
          <cell r="A6151">
            <v>901287697</v>
          </cell>
          <cell r="B6151" t="str">
            <v>3</v>
          </cell>
          <cell r="C6151" t="str">
            <v/>
          </cell>
          <cell r="D6151" t="str">
            <v>NJ</v>
          </cell>
          <cell r="E6151" t="str">
            <v/>
          </cell>
          <cell r="F6151" t="str">
            <v/>
          </cell>
          <cell r="G6151" t="str">
            <v>GEOMANTOS Y PROYECTOS SAS</v>
          </cell>
          <cell r="H6151" t="str">
            <v>IMVE</v>
          </cell>
          <cell r="I6151" t="str">
            <v>IMPUESTO SOBRE LAS VENTAS</v>
          </cell>
          <cell r="J6151" t="str">
            <v>CL 196 C 18 56</v>
          </cell>
          <cell r="K6151" t="str">
            <v>11001</v>
          </cell>
          <cell r="L6151" t="str">
            <v>BOGOTA DC</v>
          </cell>
          <cell r="M6151" t="str">
            <v>3106776685</v>
          </cell>
        </row>
        <row r="6152">
          <cell r="A6152">
            <v>901288398</v>
          </cell>
          <cell r="B6152" t="str">
            <v>0</v>
          </cell>
          <cell r="C6152" t="str">
            <v/>
          </cell>
          <cell r="D6152" t="str">
            <v>NJ</v>
          </cell>
          <cell r="E6152" t="str">
            <v/>
          </cell>
          <cell r="F6152" t="str">
            <v/>
          </cell>
          <cell r="G6152" t="str">
            <v>OCA GLOBAL COLOMBIA S.A.S</v>
          </cell>
          <cell r="H6152" t="str">
            <v>IMVE</v>
          </cell>
          <cell r="I6152" t="str">
            <v>IMPUESTO SOBRE LAS VENTAS</v>
          </cell>
          <cell r="J6152" t="str">
            <v xml:space="preserve"> CL93 B 1935 OF 201</v>
          </cell>
          <cell r="K6152" t="str">
            <v>11001</v>
          </cell>
          <cell r="L6152" t="str">
            <v>BOGOTA DC</v>
          </cell>
          <cell r="M6152" t="str">
            <v>6359186</v>
          </cell>
        </row>
        <row r="6153">
          <cell r="A6153">
            <v>901288781</v>
          </cell>
          <cell r="B6153" t="str">
            <v>9</v>
          </cell>
          <cell r="C6153" t="str">
            <v/>
          </cell>
          <cell r="D6153" t="str">
            <v>NJ</v>
          </cell>
          <cell r="E6153" t="str">
            <v/>
          </cell>
          <cell r="F6153" t="str">
            <v/>
          </cell>
          <cell r="G6153" t="str">
            <v>DEPI ENERGY S.A.S E.S.P.</v>
          </cell>
          <cell r="H6153" t="str">
            <v>IMVE</v>
          </cell>
          <cell r="I6153" t="str">
            <v>IMPUESTO SOBRE LAS VENTAS</v>
          </cell>
          <cell r="J6153" t="str">
            <v xml:space="preserve"> CR  101 15 08</v>
          </cell>
          <cell r="K6153" t="str">
            <v>76001</v>
          </cell>
          <cell r="L6153" t="str">
            <v>CALI</v>
          </cell>
          <cell r="M6153" t="str">
            <v>3899626</v>
          </cell>
        </row>
        <row r="6154">
          <cell r="A6154">
            <v>901290257</v>
          </cell>
          <cell r="B6154" t="str">
            <v>7</v>
          </cell>
          <cell r="C6154" t="str">
            <v/>
          </cell>
          <cell r="D6154" t="str">
            <v>NJ</v>
          </cell>
          <cell r="E6154" t="str">
            <v/>
          </cell>
          <cell r="F6154" t="str">
            <v/>
          </cell>
          <cell r="G6154" t="str">
            <v>BATTERY FACTORY S.A.S.</v>
          </cell>
          <cell r="H6154" t="str">
            <v>IMVE</v>
          </cell>
          <cell r="I6154" t="str">
            <v>IMPUESTO SOBRE LAS VENTAS</v>
          </cell>
          <cell r="J6154" t="str">
            <v>CL 21 8 81 LC 22</v>
          </cell>
          <cell r="K6154" t="str">
            <v>03</v>
          </cell>
          <cell r="L6154" t="str">
            <v>BOGOTA</v>
          </cell>
          <cell r="M6154" t="str">
            <v>3102733</v>
          </cell>
        </row>
        <row r="6155">
          <cell r="A6155">
            <v>901290865</v>
          </cell>
          <cell r="B6155" t="str">
            <v>5</v>
          </cell>
          <cell r="C6155" t="str">
            <v/>
          </cell>
          <cell r="D6155" t="str">
            <v>NJ</v>
          </cell>
          <cell r="E6155" t="str">
            <v/>
          </cell>
          <cell r="F6155" t="str">
            <v/>
          </cell>
          <cell r="G6155" t="str">
            <v>CANALES PUBLICOS COLOMBIA SAS</v>
          </cell>
          <cell r="H6155" t="str">
            <v>IMVE</v>
          </cell>
          <cell r="I6155" t="str">
            <v>IMPUESTO SOBRE LAS VENTAS</v>
          </cell>
          <cell r="J6155" t="str">
            <v>CL 3 A 43 87 OF 102</v>
          </cell>
          <cell r="K6155" t="str">
            <v>76001</v>
          </cell>
          <cell r="L6155" t="str">
            <v>CALI</v>
          </cell>
          <cell r="M6155" t="str">
            <v>3997940</v>
          </cell>
        </row>
        <row r="6156">
          <cell r="A6156">
            <v>901292167</v>
          </cell>
          <cell r="B6156" t="str">
            <v>1</v>
          </cell>
          <cell r="C6156" t="str">
            <v/>
          </cell>
          <cell r="D6156" t="str">
            <v>NJ</v>
          </cell>
          <cell r="E6156" t="str">
            <v/>
          </cell>
          <cell r="F6156" t="str">
            <v/>
          </cell>
          <cell r="G6156" t="str">
            <v>MINAS DE CARBON SAN ANTONIO SAS</v>
          </cell>
          <cell r="H6156" t="str">
            <v>REOR</v>
          </cell>
          <cell r="I6156" t="str">
            <v>RENTA REGIMEN ORDINARIO</v>
          </cell>
          <cell r="J6156" t="str">
            <v>CL 8 9 25</v>
          </cell>
          <cell r="K6156" t="str">
            <v>15757</v>
          </cell>
          <cell r="L6156" t="str">
            <v>SOCHA</v>
          </cell>
          <cell r="M6156" t="str">
            <v>3134217710</v>
          </cell>
        </row>
        <row r="6157">
          <cell r="A6157">
            <v>901295814</v>
          </cell>
          <cell r="B6157" t="str">
            <v>2</v>
          </cell>
          <cell r="C6157" t="str">
            <v/>
          </cell>
          <cell r="D6157" t="str">
            <v>NJ</v>
          </cell>
          <cell r="E6157" t="str">
            <v/>
          </cell>
          <cell r="F6157" t="str">
            <v/>
          </cell>
          <cell r="G6157" t="str">
            <v>GRUPO INARCA SAS</v>
          </cell>
          <cell r="H6157" t="str">
            <v>IMVE</v>
          </cell>
          <cell r="I6157" t="str">
            <v>IMPUESTO SOBRE LAS VENTAS</v>
          </cell>
          <cell r="J6157" t="str">
            <v>CL 5 9 90 IN 2 AP 302 CON OVADIA</v>
          </cell>
          <cell r="K6157" t="str">
            <v>30</v>
          </cell>
          <cell r="L6157" t="str">
            <v>CUNDINAMARCA</v>
          </cell>
          <cell r="M6157" t="str">
            <v>3156451647</v>
          </cell>
        </row>
        <row r="6158">
          <cell r="A6158">
            <v>901296990</v>
          </cell>
          <cell r="B6158" t="str">
            <v>5</v>
          </cell>
          <cell r="C6158" t="str">
            <v/>
          </cell>
          <cell r="D6158" t="str">
            <v>NJ</v>
          </cell>
          <cell r="E6158" t="str">
            <v/>
          </cell>
          <cell r="F6158" t="str">
            <v/>
          </cell>
          <cell r="G6158" t="str">
            <v>CORPORACION PARA EL ESTUDIO DE LA REGULACION Y LA MEJORA REGULAT</v>
          </cell>
          <cell r="H6158" t="str">
            <v>IMVE</v>
          </cell>
          <cell r="I6158" t="str">
            <v>IMPUESTO SOBRE LAS VENTAS</v>
          </cell>
          <cell r="J6158" t="str">
            <v>CR 9 81 A 26 OF 602 ED ANATELLO</v>
          </cell>
          <cell r="K6158" t="str">
            <v>11001</v>
          </cell>
          <cell r="L6158" t="str">
            <v>BOGOTA DC</v>
          </cell>
          <cell r="M6158" t="str">
            <v>2360847</v>
          </cell>
        </row>
        <row r="6159">
          <cell r="A6159">
            <v>901297236</v>
          </cell>
          <cell r="B6159" t="str">
            <v>4</v>
          </cell>
          <cell r="C6159" t="str">
            <v/>
          </cell>
          <cell r="D6159" t="str">
            <v>NJ</v>
          </cell>
          <cell r="E6159" t="str">
            <v/>
          </cell>
          <cell r="F6159" t="str">
            <v/>
          </cell>
          <cell r="G6159" t="str">
            <v>VINCULO INGENIERIA SAS</v>
          </cell>
          <cell r="H6159" t="str">
            <v>IMVE</v>
          </cell>
          <cell r="I6159" t="str">
            <v>IMPUESTO SOBRE LAS VENTAS</v>
          </cell>
          <cell r="J6159" t="str">
            <v xml:space="preserve"> CL 50 21 44</v>
          </cell>
          <cell r="K6159" t="str">
            <v>17001</v>
          </cell>
          <cell r="L6159" t="str">
            <v>MANIZALES</v>
          </cell>
          <cell r="M6159" t="str">
            <v>3232883909</v>
          </cell>
        </row>
        <row r="6160">
          <cell r="A6160">
            <v>901298933</v>
          </cell>
          <cell r="B6160" t="str">
            <v>4</v>
          </cell>
          <cell r="C6160" t="str">
            <v/>
          </cell>
          <cell r="D6160" t="str">
            <v>NJ</v>
          </cell>
          <cell r="E6160" t="str">
            <v/>
          </cell>
          <cell r="F6160" t="str">
            <v/>
          </cell>
          <cell r="G6160" t="str">
            <v>INGENIERIA MEDICA DEL TRABAJO S.A.S</v>
          </cell>
          <cell r="H6160" t="str">
            <v>REOR</v>
          </cell>
          <cell r="I6160" t="str">
            <v>RENTA REGIMEN ORDINARIO</v>
          </cell>
          <cell r="J6160" t="str">
            <v xml:space="preserve"> CR 14 17 51 P 1</v>
          </cell>
          <cell r="K6160" t="str">
            <v>15238</v>
          </cell>
          <cell r="L6160" t="str">
            <v>DUITAMA</v>
          </cell>
          <cell r="M6160" t="str">
            <v>3144513124</v>
          </cell>
        </row>
        <row r="6161">
          <cell r="A6161">
            <v>901298999</v>
          </cell>
          <cell r="B6161" t="str">
            <v>1</v>
          </cell>
          <cell r="C6161" t="str">
            <v/>
          </cell>
          <cell r="D6161" t="str">
            <v>NJ</v>
          </cell>
          <cell r="E6161" t="str">
            <v/>
          </cell>
          <cell r="F6161" t="str">
            <v/>
          </cell>
          <cell r="G6161" t="str">
            <v>MULTIPROYECTOS DE INGENIERIA, LOGISTICA, ARQUITECTURA Y NEGOCIOS</v>
          </cell>
          <cell r="H6161" t="str">
            <v>IMVE</v>
          </cell>
          <cell r="I6161" t="str">
            <v>IMPUESTO SOBRE LAS VENTAS</v>
          </cell>
          <cell r="J6161" t="str">
            <v xml:space="preserve"> CL 8 A  8 47</v>
          </cell>
          <cell r="K6161" t="str">
            <v>15001</v>
          </cell>
          <cell r="L6161" t="str">
            <v>TUNJA</v>
          </cell>
          <cell r="M6161" t="str">
            <v>3103491985</v>
          </cell>
        </row>
        <row r="6162">
          <cell r="A6162">
            <v>901299684</v>
          </cell>
          <cell r="B6162" t="str">
            <v>1</v>
          </cell>
          <cell r="C6162" t="str">
            <v/>
          </cell>
          <cell r="D6162" t="str">
            <v>NJ</v>
          </cell>
          <cell r="E6162" t="str">
            <v/>
          </cell>
          <cell r="F6162" t="str">
            <v/>
          </cell>
          <cell r="G6162" t="str">
            <v>GRUPO EMPRESARIAL SHARITO S.A.S.</v>
          </cell>
          <cell r="H6162" t="str">
            <v>IMVE</v>
          </cell>
          <cell r="I6162" t="str">
            <v>IMPUESTO SOBRE LAS VENTAS</v>
          </cell>
          <cell r="J6162" t="str">
            <v>CR 19 9 15</v>
          </cell>
          <cell r="K6162" t="str">
            <v>15238</v>
          </cell>
          <cell r="L6162" t="str">
            <v>DUITAMA</v>
          </cell>
          <cell r="M6162" t="str">
            <v>3202342695</v>
          </cell>
        </row>
        <row r="6163">
          <cell r="A6163">
            <v>901303006</v>
          </cell>
          <cell r="B6163" t="str">
            <v>3</v>
          </cell>
          <cell r="C6163" t="str">
            <v/>
          </cell>
          <cell r="D6163" t="str">
            <v>NJ</v>
          </cell>
          <cell r="E6163" t="str">
            <v/>
          </cell>
          <cell r="F6163" t="str">
            <v/>
          </cell>
          <cell r="G6163" t="str">
            <v>WATER-ING SAS</v>
          </cell>
          <cell r="H6163" t="str">
            <v>RST</v>
          </cell>
          <cell r="I6163" t="str">
            <v>REGIMEN SIMPLE DE TRIBUTACION</v>
          </cell>
          <cell r="J6163" t="str">
            <v>CR 72 B 49 A 64 P 2</v>
          </cell>
          <cell r="K6163" t="str">
            <v>11001</v>
          </cell>
          <cell r="L6163" t="str">
            <v>BOGOTA DC</v>
          </cell>
          <cell r="M6163" t="str">
            <v>3205604941</v>
          </cell>
        </row>
        <row r="6164">
          <cell r="A6164">
            <v>901304293</v>
          </cell>
          <cell r="B6164" t="str">
            <v>5</v>
          </cell>
          <cell r="C6164" t="str">
            <v/>
          </cell>
          <cell r="D6164" t="str">
            <v>NJ</v>
          </cell>
          <cell r="E6164" t="str">
            <v/>
          </cell>
          <cell r="F6164" t="str">
            <v/>
          </cell>
          <cell r="G6164" t="str">
            <v>EL BUHO PRODUCCINES SAS</v>
          </cell>
          <cell r="H6164" t="str">
            <v>IMVE</v>
          </cell>
          <cell r="I6164" t="str">
            <v>IMPUESTO SOBRE LAS VENTAS</v>
          </cell>
          <cell r="J6164" t="str">
            <v>CL 23 12 66 AP 201</v>
          </cell>
          <cell r="K6164" t="str">
            <v>15001</v>
          </cell>
          <cell r="L6164" t="str">
            <v>TUNJA</v>
          </cell>
          <cell r="M6164" t="str">
            <v>3163000303</v>
          </cell>
        </row>
        <row r="6165">
          <cell r="A6165">
            <v>901306569</v>
          </cell>
          <cell r="B6165" t="str">
            <v>1</v>
          </cell>
          <cell r="C6165" t="str">
            <v/>
          </cell>
          <cell r="D6165" t="str">
            <v>NJ</v>
          </cell>
          <cell r="E6165" t="str">
            <v/>
          </cell>
          <cell r="F6165" t="str">
            <v/>
          </cell>
          <cell r="G6165" t="str">
            <v>MANUFACTURAS SCG SAS</v>
          </cell>
          <cell r="H6165" t="str">
            <v>IMVE</v>
          </cell>
          <cell r="I6165" t="str">
            <v>IMPUESTO SOBRE LAS VENTAS</v>
          </cell>
          <cell r="J6165" t="str">
            <v>CR  35 A  107 A 32</v>
          </cell>
          <cell r="K6165" t="str">
            <v>17001</v>
          </cell>
          <cell r="L6165" t="str">
            <v>MANIZALES</v>
          </cell>
          <cell r="M6165" t="str">
            <v>3022699483</v>
          </cell>
        </row>
        <row r="6166">
          <cell r="A6166">
            <v>901317053</v>
          </cell>
          <cell r="B6166" t="str">
            <v>0</v>
          </cell>
          <cell r="C6166" t="str">
            <v/>
          </cell>
          <cell r="D6166" t="str">
            <v>NJ</v>
          </cell>
          <cell r="E6166" t="str">
            <v/>
          </cell>
          <cell r="F6166" t="str">
            <v/>
          </cell>
          <cell r="G6166" t="str">
            <v>UT GUATICA AP</v>
          </cell>
          <cell r="H6166" t="str">
            <v>IMVE</v>
          </cell>
          <cell r="I6166" t="str">
            <v>IMPUESTO SOBRE LAS VENTAS</v>
          </cell>
          <cell r="J6166" t="str">
            <v>CL 19 12 69 BRR FIDUCENTRO TORRE VINOTINTO OF  24 CEN</v>
          </cell>
          <cell r="K6166" t="str">
            <v>66001</v>
          </cell>
          <cell r="L6166" t="str">
            <v>PEREIRA</v>
          </cell>
          <cell r="M6166" t="str">
            <v>3332700</v>
          </cell>
        </row>
        <row r="6167">
          <cell r="A6167">
            <v>901321599</v>
          </cell>
          <cell r="B6167" t="str">
            <v>5</v>
          </cell>
          <cell r="C6167" t="str">
            <v/>
          </cell>
          <cell r="D6167" t="str">
            <v>NJ</v>
          </cell>
          <cell r="E6167" t="str">
            <v/>
          </cell>
          <cell r="F6167" t="str">
            <v/>
          </cell>
          <cell r="G6167" t="str">
            <v>SURTITIENDAS DE LA BAHÍAS S.A.S.</v>
          </cell>
          <cell r="H6167" t="str">
            <v>IMVE</v>
          </cell>
          <cell r="I6167" t="str">
            <v>IMPUESTO SOBRE LAS VENTAS</v>
          </cell>
          <cell r="J6167" t="str">
            <v>BRR FILLO CASTRO CIUDAD MUTIS</v>
          </cell>
          <cell r="K6167" t="str">
            <v>27075</v>
          </cell>
          <cell r="L6167" t="str">
            <v>BAHÍA SOLANO</v>
          </cell>
          <cell r="M6167" t="str">
            <v>3154821785</v>
          </cell>
        </row>
        <row r="6168">
          <cell r="A6168">
            <v>901325527</v>
          </cell>
          <cell r="B6168" t="str">
            <v>3</v>
          </cell>
          <cell r="C6168" t="str">
            <v/>
          </cell>
          <cell r="D6168" t="str">
            <v>NJ</v>
          </cell>
          <cell r="E6168" t="str">
            <v/>
          </cell>
          <cell r="F6168" t="str">
            <v/>
          </cell>
          <cell r="G6168" t="str">
            <v>MOTOMAR INTERNACIONAL S.A.S.</v>
          </cell>
          <cell r="H6168" t="str">
            <v>IMVE</v>
          </cell>
          <cell r="I6168" t="str">
            <v>IMPUESTO SOBRE LAS VENTAS</v>
          </cell>
          <cell r="J6168" t="str">
            <v>CL 2 1 36 BRR EL CARMEN</v>
          </cell>
          <cell r="K6168" t="str">
            <v>27075</v>
          </cell>
          <cell r="L6168" t="str">
            <v>BAHÍA SOLANO</v>
          </cell>
          <cell r="M6168" t="str">
            <v>3136951527</v>
          </cell>
        </row>
        <row r="6169">
          <cell r="A6169">
            <v>901327352</v>
          </cell>
          <cell r="B6169" t="str">
            <v>0</v>
          </cell>
          <cell r="C6169" t="str">
            <v/>
          </cell>
          <cell r="D6169" t="str">
            <v>NJ</v>
          </cell>
          <cell r="E6169" t="str">
            <v/>
          </cell>
          <cell r="F6169" t="str">
            <v/>
          </cell>
          <cell r="G6169" t="str">
            <v>GRANDES LIDERES SAS</v>
          </cell>
          <cell r="H6169" t="str">
            <v>IMVE</v>
          </cell>
          <cell r="I6169" t="str">
            <v>IMPUESTO SOBRE LAS VENTAS</v>
          </cell>
          <cell r="J6169" t="str">
            <v>C  R  A 10615 A 25 M  N  Z 24 B  D G 144</v>
          </cell>
          <cell r="K6169" t="str">
            <v>11001</v>
          </cell>
          <cell r="L6169" t="str">
            <v>BOGOTA DC</v>
          </cell>
          <cell r="M6169" t="str">
            <v>3156171762</v>
          </cell>
        </row>
        <row r="6170">
          <cell r="A6170">
            <v>901328858</v>
          </cell>
          <cell r="B6170" t="str">
            <v>1</v>
          </cell>
          <cell r="C6170" t="str">
            <v/>
          </cell>
          <cell r="D6170" t="str">
            <v>NJ</v>
          </cell>
          <cell r="E6170" t="str">
            <v/>
          </cell>
          <cell r="F6170" t="str">
            <v/>
          </cell>
          <cell r="G6170" t="str">
            <v>SOLENERGY 360 SAS</v>
          </cell>
          <cell r="H6170" t="str">
            <v>IMVE</v>
          </cell>
          <cell r="I6170" t="str">
            <v>IMPUESTO SOBRE LAS VENTAS</v>
          </cell>
          <cell r="J6170" t="str">
            <v>CL 28  26  46</v>
          </cell>
          <cell r="K6170" t="str">
            <v>17001</v>
          </cell>
          <cell r="L6170" t="str">
            <v>MANIZALES</v>
          </cell>
          <cell r="M6170" t="str">
            <v>3013516232</v>
          </cell>
        </row>
        <row r="6171">
          <cell r="A6171">
            <v>901330689</v>
          </cell>
          <cell r="B6171" t="str">
            <v>8</v>
          </cell>
          <cell r="C6171" t="str">
            <v/>
          </cell>
          <cell r="D6171" t="str">
            <v>NJ</v>
          </cell>
          <cell r="E6171" t="str">
            <v/>
          </cell>
          <cell r="F6171" t="str">
            <v/>
          </cell>
          <cell r="G6171" t="str">
            <v>ANSI GROUP SAS</v>
          </cell>
          <cell r="H6171" t="str">
            <v>IMVE</v>
          </cell>
          <cell r="I6171" t="str">
            <v>IMPUESTO SOBRE LAS VENTAS</v>
          </cell>
          <cell r="J6171" t="str">
            <v>CR 11 C 57 170</v>
          </cell>
          <cell r="K6171" t="str">
            <v>15759</v>
          </cell>
          <cell r="L6171" t="str">
            <v>SOGAMOSO</v>
          </cell>
          <cell r="M6171" t="str">
            <v>3007210463</v>
          </cell>
        </row>
        <row r="6172">
          <cell r="A6172">
            <v>901331444</v>
          </cell>
          <cell r="B6172" t="str">
            <v>5</v>
          </cell>
          <cell r="C6172" t="str">
            <v/>
          </cell>
          <cell r="D6172" t="str">
            <v>NJ</v>
          </cell>
          <cell r="E6172" t="str">
            <v/>
          </cell>
          <cell r="F6172" t="str">
            <v/>
          </cell>
          <cell r="G6172" t="str">
            <v>TOTAL RISK CONTROL SAS</v>
          </cell>
          <cell r="H6172" t="str">
            <v>IMVE</v>
          </cell>
          <cell r="I6172" t="str">
            <v>IMPUESTO SOBRE LAS VENTAS</v>
          </cell>
          <cell r="J6172" t="str">
            <v>CL 9 6 E</v>
          </cell>
          <cell r="K6172" t="str">
            <v>25126</v>
          </cell>
          <cell r="L6172" t="str">
            <v>CAJICÁ</v>
          </cell>
          <cell r="M6172" t="str">
            <v>3116421588</v>
          </cell>
        </row>
        <row r="6173">
          <cell r="A6173">
            <v>901335318</v>
          </cell>
          <cell r="B6173" t="str">
            <v>3</v>
          </cell>
          <cell r="C6173" t="str">
            <v/>
          </cell>
          <cell r="D6173" t="str">
            <v>NJ</v>
          </cell>
          <cell r="E6173" t="str">
            <v/>
          </cell>
          <cell r="F6173" t="str">
            <v/>
          </cell>
          <cell r="G6173" t="str">
            <v>TRINA SOLAR GENERADOR COLOMBIA-CAMPANO S.A.S. E.S.P.</v>
          </cell>
          <cell r="H6173" t="str">
            <v>NORE</v>
          </cell>
          <cell r="I6173" t="str">
            <v>NO RESPONSABLE DE IVA</v>
          </cell>
          <cell r="J6173" t="str">
            <v>CL 113 7 45 TO B OF 907</v>
          </cell>
          <cell r="K6173" t="str">
            <v>11001</v>
          </cell>
          <cell r="L6173" t="str">
            <v>BOGOTA DC</v>
          </cell>
          <cell r="M6173" t="str">
            <v>2100666</v>
          </cell>
        </row>
        <row r="6174">
          <cell r="A6174">
            <v>901335327</v>
          </cell>
          <cell r="B6174" t="str">
            <v>1</v>
          </cell>
          <cell r="C6174" t="str">
            <v/>
          </cell>
          <cell r="D6174" t="str">
            <v>NJ</v>
          </cell>
          <cell r="E6174" t="str">
            <v/>
          </cell>
          <cell r="F6174" t="str">
            <v/>
          </cell>
          <cell r="G6174" t="str">
            <v>CENTRO ESPECIALIZADO DE MANTENIMIENTO Y ALISTAMIENTO CONCORDE S.</v>
          </cell>
          <cell r="H6174" t="str">
            <v>IMVE</v>
          </cell>
          <cell r="I6174" t="str">
            <v>IMPUESTO SOBRE LAS VENTAS</v>
          </cell>
          <cell r="J6174" t="str">
            <v>CR 4 32 86 AP 202</v>
          </cell>
          <cell r="K6174" t="str">
            <v>15104</v>
          </cell>
          <cell r="L6174" t="str">
            <v>BOYACA</v>
          </cell>
          <cell r="M6174" t="str">
            <v>3143129293</v>
          </cell>
        </row>
        <row r="6175">
          <cell r="A6175">
            <v>901337799</v>
          </cell>
          <cell r="B6175" t="str">
            <v>1</v>
          </cell>
          <cell r="C6175" t="str">
            <v/>
          </cell>
          <cell r="D6175" t="str">
            <v>NJ</v>
          </cell>
          <cell r="E6175" t="str">
            <v/>
          </cell>
          <cell r="F6175" t="str">
            <v/>
          </cell>
          <cell r="G6175" t="str">
            <v>TRANSPORTES Y SERVICIOS DE LA SABANA S.A.S</v>
          </cell>
          <cell r="H6175" t="str">
            <v>IMVE</v>
          </cell>
          <cell r="I6175" t="str">
            <v>IMPUESTO SOBRE LAS VENTAS</v>
          </cell>
          <cell r="J6175" t="str">
            <v>CL 12 11 56</v>
          </cell>
          <cell r="K6175" t="str">
            <v>85125</v>
          </cell>
          <cell r="L6175" t="str">
            <v>HATO COROZAL</v>
          </cell>
          <cell r="M6175" t="str">
            <v>3004248874</v>
          </cell>
        </row>
        <row r="6176">
          <cell r="A6176">
            <v>901339250</v>
          </cell>
          <cell r="B6176" t="str">
            <v>1</v>
          </cell>
          <cell r="C6176" t="str">
            <v/>
          </cell>
          <cell r="D6176" t="str">
            <v>NJ</v>
          </cell>
          <cell r="E6176" t="str">
            <v/>
          </cell>
          <cell r="F6176" t="str">
            <v/>
          </cell>
          <cell r="G6176" t="str">
            <v>R SOLUTION GROUP SAS</v>
          </cell>
          <cell r="H6176" t="str">
            <v>IMVE</v>
          </cell>
          <cell r="I6176" t="str">
            <v>IMPUESTO SOBRE LAS VENTAS</v>
          </cell>
          <cell r="J6176" t="str">
            <v xml:space="preserve"> CR 16A 161 A 13</v>
          </cell>
          <cell r="K6176" t="str">
            <v>11001</v>
          </cell>
          <cell r="L6176" t="str">
            <v>BOGOTA DC</v>
          </cell>
          <cell r="M6176" t="str">
            <v>3106889228</v>
          </cell>
        </row>
        <row r="6177">
          <cell r="A6177">
            <v>901347756</v>
          </cell>
          <cell r="B6177" t="str">
            <v>8</v>
          </cell>
          <cell r="C6177" t="str">
            <v/>
          </cell>
          <cell r="D6177" t="str">
            <v>NJ</v>
          </cell>
          <cell r="E6177" t="str">
            <v/>
          </cell>
          <cell r="F6177" t="str">
            <v/>
          </cell>
          <cell r="G6177" t="str">
            <v>UNION TEMPORAL ENERGIA MAPIRIPAN</v>
          </cell>
          <cell r="H6177" t="str">
            <v>RECO</v>
          </cell>
          <cell r="I6177" t="str">
            <v>REGIMEN COMUN</v>
          </cell>
          <cell r="J6177" t="str">
            <v>CRA 27 A 78 58</v>
          </cell>
          <cell r="K6177" t="str">
            <v>17001</v>
          </cell>
          <cell r="L6177" t="str">
            <v>MANIZALES</v>
          </cell>
          <cell r="M6177" t="str">
            <v>3108668354</v>
          </cell>
        </row>
        <row r="6178">
          <cell r="A6178">
            <v>901348483</v>
          </cell>
          <cell r="B6178" t="str">
            <v>7</v>
          </cell>
          <cell r="C6178" t="str">
            <v/>
          </cell>
          <cell r="D6178" t="str">
            <v>NJ</v>
          </cell>
          <cell r="E6178" t="str">
            <v/>
          </cell>
          <cell r="F6178" t="str">
            <v/>
          </cell>
          <cell r="G6178" t="str">
            <v>TOIVAYU  S.A.S.</v>
          </cell>
          <cell r="H6178" t="str">
            <v>IMVE</v>
          </cell>
          <cell r="I6178" t="str">
            <v>IMPUESTO SOBRE LAS VENTAS</v>
          </cell>
          <cell r="J6178" t="str">
            <v>CL 15 A 14 06 BRR CENTRO A</v>
          </cell>
          <cell r="K6178" t="str">
            <v>97001</v>
          </cell>
          <cell r="L6178" t="str">
            <v>MITÚ</v>
          </cell>
          <cell r="M6178" t="str">
            <v>3183005165</v>
          </cell>
        </row>
        <row r="6179">
          <cell r="A6179">
            <v>901350258</v>
          </cell>
          <cell r="B6179" t="str">
            <v>2</v>
          </cell>
          <cell r="C6179" t="str">
            <v/>
          </cell>
          <cell r="D6179" t="str">
            <v>NJ</v>
          </cell>
          <cell r="E6179" t="str">
            <v/>
          </cell>
          <cell r="F6179" t="str">
            <v/>
          </cell>
          <cell r="G6179" t="str">
            <v>CONSORCIO REDES 30K</v>
          </cell>
          <cell r="H6179" t="str">
            <v>IMVE</v>
          </cell>
          <cell r="I6179" t="str">
            <v>IMPUESTO SOBRE LAS VENTAS</v>
          </cell>
          <cell r="J6179" t="str">
            <v>CL 17 24 74 BRR SANTANDER</v>
          </cell>
          <cell r="K6179" t="str">
            <v>95001</v>
          </cell>
          <cell r="L6179" t="str">
            <v>SAN JOSÉ DEL GUAVIARE</v>
          </cell>
          <cell r="M6179" t="str">
            <v>3102740689</v>
          </cell>
        </row>
        <row r="6180">
          <cell r="A6180">
            <v>901352834</v>
          </cell>
          <cell r="B6180" t="str">
            <v>4</v>
          </cell>
          <cell r="C6180" t="str">
            <v/>
          </cell>
          <cell r="D6180" t="str">
            <v>NJ</v>
          </cell>
          <cell r="E6180" t="str">
            <v/>
          </cell>
          <cell r="F6180" t="str">
            <v/>
          </cell>
          <cell r="G6180" t="str">
            <v>CARBOGRANULADOS ELITE SAS</v>
          </cell>
          <cell r="H6180" t="str">
            <v>IMVE</v>
          </cell>
          <cell r="I6180" t="str">
            <v>IMPUESTO SOBRE LAS VENTAS</v>
          </cell>
          <cell r="J6180" t="str">
            <v>DG 59  11 BIS 224</v>
          </cell>
          <cell r="K6180" t="str">
            <v>15759</v>
          </cell>
          <cell r="L6180" t="str">
            <v>SOGAMOSO</v>
          </cell>
          <cell r="M6180" t="str">
            <v>3227010270</v>
          </cell>
        </row>
        <row r="6181">
          <cell r="A6181">
            <v>901358772</v>
          </cell>
          <cell r="B6181" t="str">
            <v>3</v>
          </cell>
          <cell r="C6181" t="str">
            <v/>
          </cell>
          <cell r="D6181" t="str">
            <v>NJ</v>
          </cell>
          <cell r="E6181" t="str">
            <v/>
          </cell>
          <cell r="F6181" t="str">
            <v/>
          </cell>
          <cell r="G6181" t="str">
            <v>LA CAVA DEL EJE EVENTOS S.A.S</v>
          </cell>
          <cell r="H6181" t="str">
            <v>IMVE</v>
          </cell>
          <cell r="I6181" t="str">
            <v>IMPUESTO SOBRE LAS VENTAS</v>
          </cell>
          <cell r="J6181" t="str">
            <v>CR 8 57 C 283 BRR VILLA CAFE - LA CAROLA</v>
          </cell>
          <cell r="K6181" t="str">
            <v>17001</v>
          </cell>
          <cell r="L6181" t="str">
            <v>MANIZALES</v>
          </cell>
          <cell r="M6181" t="str">
            <v>3112367542</v>
          </cell>
        </row>
        <row r="6182">
          <cell r="A6182">
            <v>901359252</v>
          </cell>
          <cell r="B6182" t="str">
            <v>1</v>
          </cell>
          <cell r="C6182" t="str">
            <v/>
          </cell>
          <cell r="D6182" t="str">
            <v>NJ</v>
          </cell>
          <cell r="E6182" t="str">
            <v/>
          </cell>
          <cell r="F6182" t="str">
            <v/>
          </cell>
          <cell r="G6182" t="str">
            <v>BRS MARKETING S.A.S</v>
          </cell>
          <cell r="H6182" t="str">
            <v>IMVE</v>
          </cell>
          <cell r="I6182" t="str">
            <v>IMPUESTO SOBRE LAS VENTAS</v>
          </cell>
          <cell r="J6182" t="str">
            <v>AV NORTE 79 96 PARQUE INDUSTRIAL</v>
          </cell>
          <cell r="K6182" t="str">
            <v>15104</v>
          </cell>
          <cell r="L6182" t="str">
            <v>BOYACA</v>
          </cell>
          <cell r="M6182" t="str">
            <v>3163512364</v>
          </cell>
        </row>
        <row r="6183">
          <cell r="A6183">
            <v>901360107</v>
          </cell>
          <cell r="B6183" t="str">
            <v>1</v>
          </cell>
          <cell r="C6183" t="str">
            <v/>
          </cell>
          <cell r="D6183" t="str">
            <v>NJ</v>
          </cell>
          <cell r="E6183" t="str">
            <v/>
          </cell>
          <cell r="F6183" t="str">
            <v/>
          </cell>
          <cell r="G6183" t="str">
            <v>VM TERMOCALDERAS S.A.S.</v>
          </cell>
          <cell r="H6183" t="str">
            <v>IMVE</v>
          </cell>
          <cell r="I6183" t="str">
            <v>IMPUESTO SOBRE LAS VENTAS</v>
          </cell>
          <cell r="J6183" t="str">
            <v>CR 29 42 25</v>
          </cell>
          <cell r="K6183" t="str">
            <v>76520</v>
          </cell>
          <cell r="L6183" t="str">
            <v>PALMIRA</v>
          </cell>
          <cell r="M6183" t="str">
            <v>3147239685</v>
          </cell>
        </row>
        <row r="6184">
          <cell r="A6184">
            <v>901363872</v>
          </cell>
          <cell r="B6184" t="str">
            <v>1</v>
          </cell>
          <cell r="C6184" t="str">
            <v/>
          </cell>
          <cell r="D6184" t="str">
            <v>NJ</v>
          </cell>
          <cell r="E6184" t="str">
            <v/>
          </cell>
          <cell r="F6184" t="str">
            <v/>
          </cell>
          <cell r="G6184" t="str">
            <v>ARTIPLOT S.A.S.</v>
          </cell>
          <cell r="H6184" t="str">
            <v>IMVE</v>
          </cell>
          <cell r="I6184" t="str">
            <v>IMPUESTO SOBRE LAS VENTAS</v>
          </cell>
          <cell r="J6184" t="str">
            <v>CR 19 6 54</v>
          </cell>
          <cell r="K6184" t="str">
            <v>85001</v>
          </cell>
          <cell r="L6184" t="str">
            <v>YOPAL</v>
          </cell>
          <cell r="M6184" t="str">
            <v>3132098666</v>
          </cell>
        </row>
        <row r="6185">
          <cell r="A6185">
            <v>901364913</v>
          </cell>
          <cell r="B6185" t="str">
            <v>1</v>
          </cell>
          <cell r="C6185" t="str">
            <v/>
          </cell>
          <cell r="D6185" t="str">
            <v>NJ</v>
          </cell>
          <cell r="E6185" t="str">
            <v/>
          </cell>
          <cell r="F6185" t="str">
            <v/>
          </cell>
          <cell r="G6185" t="str">
            <v>EDUCACION, TECNOLOGIA Y CONSTRUCCIONES SOSTENIBLES ZOMAC S.A.S</v>
          </cell>
          <cell r="H6185" t="str">
            <v>IMVE</v>
          </cell>
          <cell r="I6185" t="str">
            <v>IMPUESTO SOBRE LAS VENTAS</v>
          </cell>
          <cell r="J6185" t="str">
            <v xml:space="preserve"> CR  104 B  97 A 17</v>
          </cell>
          <cell r="K6185" t="str">
            <v>05045</v>
          </cell>
          <cell r="L6185" t="str">
            <v>APARTADÓ</v>
          </cell>
          <cell r="M6185" t="str">
            <v>3147877037</v>
          </cell>
        </row>
        <row r="6186">
          <cell r="A6186">
            <v>901368459</v>
          </cell>
          <cell r="B6186" t="str">
            <v>5</v>
          </cell>
          <cell r="C6186" t="str">
            <v/>
          </cell>
          <cell r="D6186" t="str">
            <v>NJ</v>
          </cell>
          <cell r="E6186" t="str">
            <v/>
          </cell>
          <cell r="F6186" t="str">
            <v/>
          </cell>
          <cell r="G6186" t="str">
            <v>NETWORKS INTERCONNETED BY EXPERTS COMUNICACIONES S.A.S</v>
          </cell>
          <cell r="H6186" t="str">
            <v>IMVE</v>
          </cell>
          <cell r="I6186" t="str">
            <v>IMPUESTO SOBRE LAS VENTAS</v>
          </cell>
          <cell r="J6186" t="str">
            <v>CR 17 14 29 OF 201</v>
          </cell>
          <cell r="K6186" t="str">
            <v>15238</v>
          </cell>
          <cell r="L6186" t="str">
            <v>DUITAMA</v>
          </cell>
          <cell r="M6186" t="str">
            <v>3135458784</v>
          </cell>
        </row>
        <row r="6187">
          <cell r="A6187">
            <v>901371207</v>
          </cell>
          <cell r="B6187" t="str">
            <v>7</v>
          </cell>
          <cell r="C6187" t="str">
            <v/>
          </cell>
          <cell r="D6187" t="str">
            <v>NJ</v>
          </cell>
          <cell r="E6187" t="str">
            <v/>
          </cell>
          <cell r="F6187" t="str">
            <v/>
          </cell>
          <cell r="G6187" t="str">
            <v>ENGENERGÍA S.A.S</v>
          </cell>
          <cell r="H6187" t="str">
            <v>IMVE</v>
          </cell>
          <cell r="I6187" t="str">
            <v>IMPUESTO SOBRE LAS VENTAS</v>
          </cell>
          <cell r="J6187" t="str">
            <v>CR 1 11 41 TO B AP 101</v>
          </cell>
          <cell r="K6187" t="str">
            <v>17001</v>
          </cell>
          <cell r="L6187" t="str">
            <v>MANIZALES</v>
          </cell>
          <cell r="M6187" t="str">
            <v>3005306293</v>
          </cell>
        </row>
        <row r="6188">
          <cell r="A6188">
            <v>901372461</v>
          </cell>
          <cell r="B6188" t="str">
            <v>6</v>
          </cell>
          <cell r="C6188" t="str">
            <v/>
          </cell>
          <cell r="D6188" t="str">
            <v>NJ</v>
          </cell>
          <cell r="E6188" t="str">
            <v/>
          </cell>
          <cell r="F6188" t="str">
            <v/>
          </cell>
          <cell r="G6188" t="str">
            <v>LOCINGPRO S.A.S</v>
          </cell>
          <cell r="H6188" t="str">
            <v>IMVE</v>
          </cell>
          <cell r="I6188" t="str">
            <v>IMPUESTO SOBRE LAS VENTAS</v>
          </cell>
          <cell r="J6188" t="str">
            <v>CL 3 A 24 B 80 POR C BL 4 AP 101</v>
          </cell>
          <cell r="K6188" t="str">
            <v>15238</v>
          </cell>
          <cell r="L6188" t="str">
            <v>DUITAMA</v>
          </cell>
          <cell r="M6188" t="str">
            <v>3108532746</v>
          </cell>
        </row>
        <row r="6189">
          <cell r="A6189">
            <v>901372591</v>
          </cell>
          <cell r="B6189" t="str">
            <v>5</v>
          </cell>
          <cell r="C6189" t="str">
            <v/>
          </cell>
          <cell r="D6189" t="str">
            <v>NJ</v>
          </cell>
          <cell r="E6189" t="str">
            <v/>
          </cell>
          <cell r="F6189" t="str">
            <v/>
          </cell>
          <cell r="G6189" t="str">
            <v>SUMINISTROS DE LINEAS TECNICAS SAS</v>
          </cell>
          <cell r="H6189" t="str">
            <v>IMVE</v>
          </cell>
          <cell r="I6189" t="str">
            <v>IMPUESTO SOBRE LAS VENTAS</v>
          </cell>
          <cell r="J6189" t="str">
            <v xml:space="preserve"> CL 154 91 56 TO 14 OF 703</v>
          </cell>
          <cell r="K6189" t="str">
            <v>11001</v>
          </cell>
          <cell r="L6189" t="str">
            <v>BOGOTA DC</v>
          </cell>
          <cell r="M6189" t="str">
            <v>3146023058</v>
          </cell>
        </row>
        <row r="6190">
          <cell r="A6190">
            <v>901373884</v>
          </cell>
          <cell r="B6190" t="str">
            <v>2</v>
          </cell>
          <cell r="C6190" t="str">
            <v/>
          </cell>
          <cell r="D6190" t="str">
            <v>NJ</v>
          </cell>
          <cell r="E6190" t="str">
            <v/>
          </cell>
          <cell r="F6190" t="str">
            <v/>
          </cell>
          <cell r="G6190" t="str">
            <v>INGENIERIA Y POTENCIA DE OCCIDENTE S.A.S</v>
          </cell>
          <cell r="H6190" t="str">
            <v>IMVE</v>
          </cell>
          <cell r="I6190" t="str">
            <v>IMPUESTO SOBRE LAS VENTAS</v>
          </cell>
          <cell r="J6190" t="str">
            <v>CR 2 NORTE 63 95 BRR COLINAS DEL BOSQUE MULTIPLAZA DE OCCIDEN BG</v>
          </cell>
          <cell r="K6190" t="str">
            <v>66170</v>
          </cell>
          <cell r="L6190" t="str">
            <v>DOSQUEBRADAS</v>
          </cell>
          <cell r="M6190" t="str">
            <v>3207492368</v>
          </cell>
        </row>
        <row r="6191">
          <cell r="A6191">
            <v>901374038</v>
          </cell>
          <cell r="B6191" t="str">
            <v>2</v>
          </cell>
          <cell r="C6191" t="str">
            <v/>
          </cell>
          <cell r="D6191" t="str">
            <v>NJ</v>
          </cell>
          <cell r="E6191" t="str">
            <v/>
          </cell>
          <cell r="F6191" t="str">
            <v/>
          </cell>
          <cell r="G6191" t="str">
            <v>GRUPO DE INGENIERIA, ARQUITECTURA Y DISEÑO SOCIEDAD POR ACCIONES</v>
          </cell>
          <cell r="H6191" t="str">
            <v>IMVE</v>
          </cell>
          <cell r="I6191" t="str">
            <v>IMPUESTO SOBRE LAS VENTAS</v>
          </cell>
          <cell r="J6191" t="str">
            <v>CR 15 16 12 OF 502</v>
          </cell>
          <cell r="K6191" t="str">
            <v>15238</v>
          </cell>
          <cell r="L6191" t="str">
            <v>DUITAMA</v>
          </cell>
          <cell r="M6191" t="str">
            <v>32038573</v>
          </cell>
        </row>
        <row r="6192">
          <cell r="A6192">
            <v>901380787</v>
          </cell>
          <cell r="B6192" t="str">
            <v>5</v>
          </cell>
          <cell r="C6192" t="str">
            <v/>
          </cell>
          <cell r="D6192" t="str">
            <v>NJ</v>
          </cell>
          <cell r="E6192" t="str">
            <v/>
          </cell>
          <cell r="F6192" t="str">
            <v/>
          </cell>
          <cell r="G6192" t="str">
            <v>ANDINA DE ENERGIA S.A.S.</v>
          </cell>
          <cell r="H6192" t="str">
            <v>IMVE</v>
          </cell>
          <cell r="I6192" t="str">
            <v>IMPUESTO SOBRE LAS VENTAS</v>
          </cell>
          <cell r="J6192" t="str">
            <v>CL 105 18 A 20</v>
          </cell>
          <cell r="K6192" t="str">
            <v>11001</v>
          </cell>
          <cell r="L6192" t="str">
            <v>BOGOTA DC</v>
          </cell>
          <cell r="M6192" t="str">
            <v>6120700</v>
          </cell>
        </row>
        <row r="6193">
          <cell r="A6193">
            <v>901380930</v>
          </cell>
          <cell r="B6193" t="str">
            <v>2</v>
          </cell>
          <cell r="C6193" t="str">
            <v/>
          </cell>
          <cell r="D6193" t="str">
            <v>NJ</v>
          </cell>
          <cell r="E6193" t="str">
            <v/>
          </cell>
          <cell r="F6193" t="str">
            <v/>
          </cell>
          <cell r="G6193" t="str">
            <v>AIR- E S.A.S ESP</v>
          </cell>
          <cell r="H6193" t="str">
            <v>IMVE</v>
          </cell>
          <cell r="I6193" t="str">
            <v>IMPUESTO SOBRE LAS VENTAS</v>
          </cell>
          <cell r="J6193" t="str">
            <v>CR 55 72 109 P 6 ED CENTRO EJECUTIVO II</v>
          </cell>
          <cell r="K6193" t="str">
            <v>08001</v>
          </cell>
          <cell r="L6193" t="str">
            <v>BARRANQUILLA</v>
          </cell>
          <cell r="M6193" t="str">
            <v>3611000</v>
          </cell>
        </row>
        <row r="6194">
          <cell r="A6194">
            <v>901380949</v>
          </cell>
          <cell r="B6194" t="str">
            <v>1</v>
          </cell>
          <cell r="C6194" t="str">
            <v>923273133</v>
          </cell>
          <cell r="D6194" t="str">
            <v>NJ</v>
          </cell>
          <cell r="E6194" t="str">
            <v/>
          </cell>
          <cell r="F6194" t="str">
            <v/>
          </cell>
          <cell r="G6194" t="str">
            <v>CARIBEMAR DE LA COSTA SAS ESP</v>
          </cell>
          <cell r="H6194" t="str">
            <v>IMVE</v>
          </cell>
          <cell r="I6194" t="str">
            <v>IMPUESTO SOBRE LAS VENTAS</v>
          </cell>
          <cell r="J6194" t="str">
            <v>CR 55 72 109 P 6 ED CENTRO EJECUTIVO II</v>
          </cell>
          <cell r="K6194" t="str">
            <v>08001</v>
          </cell>
          <cell r="L6194" t="str">
            <v>BARRANQUILLA</v>
          </cell>
          <cell r="M6194" t="str">
            <v>3611000</v>
          </cell>
        </row>
        <row r="6195">
          <cell r="A6195">
            <v>901382752</v>
          </cell>
          <cell r="B6195" t="str">
            <v>7</v>
          </cell>
          <cell r="C6195" t="str">
            <v/>
          </cell>
          <cell r="D6195" t="str">
            <v>NJ</v>
          </cell>
          <cell r="E6195" t="str">
            <v/>
          </cell>
          <cell r="F6195" t="str">
            <v/>
          </cell>
          <cell r="G6195" t="str">
            <v>TRADING LAB SAS</v>
          </cell>
          <cell r="H6195" t="str">
            <v>IMVE</v>
          </cell>
          <cell r="I6195" t="str">
            <v>IMPUESTO SOBRE LAS VENTAS</v>
          </cell>
          <cell r="J6195" t="str">
            <v>CR 30 CL 65 A 40</v>
          </cell>
          <cell r="K6195" t="str">
            <v>17001</v>
          </cell>
          <cell r="L6195" t="str">
            <v>MANIZALES</v>
          </cell>
          <cell r="M6195" t="str">
            <v>3128666728</v>
          </cell>
        </row>
        <row r="6196">
          <cell r="A6196">
            <v>901384433</v>
          </cell>
          <cell r="B6196" t="str">
            <v>1</v>
          </cell>
          <cell r="C6196" t="str">
            <v/>
          </cell>
          <cell r="D6196" t="str">
            <v>NJ</v>
          </cell>
          <cell r="E6196" t="str">
            <v/>
          </cell>
          <cell r="F6196" t="str">
            <v/>
          </cell>
          <cell r="G6196" t="str">
            <v>BEAM ENERGY INNOVATION S.A.S. E.S.P.</v>
          </cell>
          <cell r="H6196" t="str">
            <v>IMVE</v>
          </cell>
          <cell r="I6196" t="str">
            <v>IMPUESTO SOBRE LAS VENTAS</v>
          </cell>
          <cell r="J6196" t="str">
            <v>CL 87 BIS 90 D 09</v>
          </cell>
          <cell r="K6196" t="str">
            <v>11001</v>
          </cell>
          <cell r="L6196" t="str">
            <v>BOGOTA DC</v>
          </cell>
          <cell r="M6196" t="str">
            <v>3505011407</v>
          </cell>
        </row>
        <row r="6197">
          <cell r="A6197">
            <v>901385159</v>
          </cell>
          <cell r="B6197" t="str">
            <v>2</v>
          </cell>
          <cell r="C6197" t="str">
            <v/>
          </cell>
          <cell r="D6197" t="str">
            <v>NJ</v>
          </cell>
          <cell r="E6197" t="str">
            <v/>
          </cell>
          <cell r="F6197" t="str">
            <v/>
          </cell>
          <cell r="G6197" t="str">
            <v>CONTROL 10 S.A.S</v>
          </cell>
          <cell r="H6197" t="str">
            <v>IMVE</v>
          </cell>
          <cell r="I6197" t="str">
            <v>IMPUESTO SOBRE LAS VENTAS</v>
          </cell>
          <cell r="J6197" t="str">
            <v xml:space="preserve"> CR 4  15 51 L  O  C  A  L 7</v>
          </cell>
          <cell r="K6197" t="str">
            <v>66001</v>
          </cell>
          <cell r="L6197" t="str">
            <v>PEREIRA</v>
          </cell>
          <cell r="M6197" t="str">
            <v>3218510085</v>
          </cell>
        </row>
        <row r="6198">
          <cell r="A6198">
            <v>901389464</v>
          </cell>
          <cell r="B6198" t="str">
            <v>2</v>
          </cell>
          <cell r="C6198" t="str">
            <v/>
          </cell>
          <cell r="D6198" t="str">
            <v>NJ</v>
          </cell>
          <cell r="E6198" t="str">
            <v/>
          </cell>
          <cell r="F6198" t="str">
            <v/>
          </cell>
          <cell r="G6198" t="str">
            <v>SUMINISTRADORA DE PINTURAS BOYACA SAS</v>
          </cell>
          <cell r="H6198" t="str">
            <v>IMVE</v>
          </cell>
          <cell r="I6198" t="str">
            <v>IMPUESTO SOBRE LAS VENTAS</v>
          </cell>
          <cell r="J6198" t="str">
            <v xml:space="preserve"> CL  9 24 80 AV AMERICAS</v>
          </cell>
          <cell r="K6198" t="str">
            <v>15104</v>
          </cell>
          <cell r="L6198" t="str">
            <v>BOYACA</v>
          </cell>
          <cell r="M6198" t="str">
            <v>3112658034</v>
          </cell>
        </row>
        <row r="6199">
          <cell r="A6199">
            <v>901390919</v>
          </cell>
          <cell r="B6199" t="str">
            <v>3</v>
          </cell>
          <cell r="C6199" t="str">
            <v/>
          </cell>
          <cell r="D6199" t="str">
            <v>NJ</v>
          </cell>
          <cell r="E6199" t="str">
            <v/>
          </cell>
          <cell r="F6199" t="str">
            <v/>
          </cell>
          <cell r="G6199" t="str">
            <v>INVERSIONES CIBOR SAS</v>
          </cell>
          <cell r="H6199" t="str">
            <v>IMVE</v>
          </cell>
          <cell r="I6199" t="str">
            <v>IMPUESTO SOBRE LAS VENTAS</v>
          </cell>
          <cell r="J6199" t="str">
            <v xml:space="preserve"> CR 14 77 A 61 AP 1101</v>
          </cell>
          <cell r="K6199" t="str">
            <v>11001</v>
          </cell>
          <cell r="L6199" t="str">
            <v>BOGOTA DC</v>
          </cell>
          <cell r="M6199" t="str">
            <v>3138871492</v>
          </cell>
        </row>
        <row r="6200">
          <cell r="A6200">
            <v>901392596</v>
          </cell>
          <cell r="B6200" t="str">
            <v>7</v>
          </cell>
          <cell r="C6200" t="str">
            <v/>
          </cell>
          <cell r="D6200" t="str">
            <v>NJ</v>
          </cell>
          <cell r="E6200" t="str">
            <v/>
          </cell>
          <cell r="F6200" t="str">
            <v/>
          </cell>
          <cell r="G6200" t="str">
            <v>PERIODICO EL DIARIO DE BOYACÁ S.A.S</v>
          </cell>
          <cell r="H6200" t="str">
            <v>RST</v>
          </cell>
          <cell r="I6200" t="str">
            <v>REGIMEN SIMPLE DE TRIBUTACION</v>
          </cell>
          <cell r="J6200" t="str">
            <v>TV 4 46 53</v>
          </cell>
          <cell r="K6200" t="str">
            <v>15001</v>
          </cell>
          <cell r="L6200" t="str">
            <v>TUNJA</v>
          </cell>
          <cell r="M6200" t="str">
            <v>3115006438</v>
          </cell>
        </row>
        <row r="6201">
          <cell r="A6201">
            <v>901399485</v>
          </cell>
          <cell r="B6201" t="str">
            <v>1</v>
          </cell>
          <cell r="C6201" t="str">
            <v/>
          </cell>
          <cell r="D6201" t="str">
            <v>NJ</v>
          </cell>
          <cell r="E6201" t="str">
            <v/>
          </cell>
          <cell r="F6201" t="str">
            <v/>
          </cell>
          <cell r="G6201" t="str">
            <v>J.M.T. IMPORTACIONES SAS</v>
          </cell>
          <cell r="H6201" t="str">
            <v>IMVE</v>
          </cell>
          <cell r="I6201" t="str">
            <v>IMPUESTO SOBRE LAS VENTAS</v>
          </cell>
          <cell r="J6201" t="str">
            <v>CL 16 5 97 BRR EL CENTRO</v>
          </cell>
          <cell r="K6201" t="str">
            <v>94001</v>
          </cell>
          <cell r="L6201" t="str">
            <v>INÍRIDA</v>
          </cell>
          <cell r="M6201" t="str">
            <v>5656225</v>
          </cell>
        </row>
        <row r="6202">
          <cell r="A6202">
            <v>901400902</v>
          </cell>
          <cell r="B6202" t="str">
            <v>3</v>
          </cell>
          <cell r="C6202" t="str">
            <v/>
          </cell>
          <cell r="D6202" t="str">
            <v>NJ</v>
          </cell>
          <cell r="E6202" t="str">
            <v/>
          </cell>
          <cell r="F6202" t="str">
            <v/>
          </cell>
          <cell r="G6202" t="str">
            <v>MANAGER COMPANY S.A.S</v>
          </cell>
          <cell r="H6202" t="str">
            <v>IMVE</v>
          </cell>
          <cell r="I6202" t="str">
            <v>IMPUESTO SOBRE LAS VENTAS</v>
          </cell>
          <cell r="J6202" t="str">
            <v>CARRERA 35 26 15 BARRIO NUEVO MAIZARO</v>
          </cell>
          <cell r="K6202" t="str">
            <v>50001</v>
          </cell>
          <cell r="L6202" t="str">
            <v>VILLAVICENCIO</v>
          </cell>
          <cell r="M6202" t="str">
            <v>3124442835</v>
          </cell>
        </row>
        <row r="6203">
          <cell r="A6203">
            <v>901401644</v>
          </cell>
          <cell r="B6203" t="str">
            <v>2</v>
          </cell>
          <cell r="C6203" t="str">
            <v/>
          </cell>
          <cell r="D6203" t="str">
            <v>NJ</v>
          </cell>
          <cell r="E6203" t="str">
            <v/>
          </cell>
          <cell r="F6203" t="str">
            <v/>
          </cell>
          <cell r="G6203" t="str">
            <v>MULTIDISTRIBUCIONES Y SERVICIOS TOPAGA S.A.S</v>
          </cell>
          <cell r="H6203" t="str">
            <v>IMVE</v>
          </cell>
          <cell r="I6203" t="str">
            <v>IMPUESTO SOBRE LAS VENTAS</v>
          </cell>
          <cell r="J6203" t="str">
            <v>CL 5 4 10</v>
          </cell>
          <cell r="K6203" t="str">
            <v>15820</v>
          </cell>
          <cell r="L6203" t="str">
            <v>TÓPAGA</v>
          </cell>
          <cell r="M6203" t="str">
            <v>32042866</v>
          </cell>
        </row>
        <row r="6204">
          <cell r="A6204">
            <v>901403268</v>
          </cell>
          <cell r="B6204" t="str">
            <v>5</v>
          </cell>
          <cell r="C6204" t="str">
            <v/>
          </cell>
          <cell r="D6204" t="str">
            <v>NJ</v>
          </cell>
          <cell r="E6204" t="str">
            <v/>
          </cell>
          <cell r="F6204" t="str">
            <v/>
          </cell>
          <cell r="G6204" t="str">
            <v>HOTELES DORADO PLAZA COLOMBIA S.A.S</v>
          </cell>
          <cell r="H6204" t="str">
            <v>IMVE</v>
          </cell>
          <cell r="I6204" t="str">
            <v>IMPUESTO SOBRE LAS VENTAS</v>
          </cell>
          <cell r="J6204" t="str">
            <v>CR 2  AV SAN MARTIN 441</v>
          </cell>
          <cell r="K6204" t="str">
            <v>13001</v>
          </cell>
          <cell r="L6204" t="str">
            <v>CARTAGENA</v>
          </cell>
          <cell r="M6204" t="str">
            <v>3145966945</v>
          </cell>
        </row>
        <row r="6205">
          <cell r="A6205">
            <v>901404255</v>
          </cell>
          <cell r="B6205" t="str">
            <v>4</v>
          </cell>
          <cell r="C6205" t="str">
            <v/>
          </cell>
          <cell r="D6205" t="str">
            <v>NJ</v>
          </cell>
          <cell r="E6205" t="str">
            <v/>
          </cell>
          <cell r="F6205" t="str">
            <v/>
          </cell>
          <cell r="G6205" t="str">
            <v>KHEPRI - CONSULTORA AMBIENTAL SAS</v>
          </cell>
          <cell r="H6205" t="str">
            <v>RST</v>
          </cell>
          <cell r="I6205" t="str">
            <v>REGIMEN SIMPLE DE TRIBUTACION</v>
          </cell>
          <cell r="J6205" t="str">
            <v>CL 63 34 69</v>
          </cell>
          <cell r="K6205" t="str">
            <v>17001</v>
          </cell>
          <cell r="L6205" t="str">
            <v>MANIZALES</v>
          </cell>
          <cell r="M6205" t="str">
            <v>3182029196</v>
          </cell>
        </row>
        <row r="6206">
          <cell r="A6206">
            <v>901405289</v>
          </cell>
          <cell r="B6206" t="str">
            <v>9</v>
          </cell>
          <cell r="C6206" t="str">
            <v/>
          </cell>
          <cell r="D6206" t="str">
            <v>NJ</v>
          </cell>
          <cell r="E6206" t="str">
            <v/>
          </cell>
          <cell r="F6206" t="str">
            <v/>
          </cell>
          <cell r="G6206" t="str">
            <v>FT CAPITAL COLOMBIA SAS</v>
          </cell>
          <cell r="H6206" t="str">
            <v>IMVE</v>
          </cell>
          <cell r="I6206" t="str">
            <v>IMPUESTO SOBRE LAS VENTAS</v>
          </cell>
          <cell r="J6206" t="str">
            <v>CL 97 A 8 10 ED NUEVE SIETE OF</v>
          </cell>
          <cell r="K6206" t="str">
            <v>11001</v>
          </cell>
          <cell r="L6206" t="str">
            <v>BOGOTA DC</v>
          </cell>
          <cell r="M6206" t="str">
            <v>6014414392</v>
          </cell>
        </row>
        <row r="6207">
          <cell r="A6207">
            <v>901405319</v>
          </cell>
          <cell r="B6207" t="str">
            <v>1</v>
          </cell>
          <cell r="C6207" t="str">
            <v/>
          </cell>
          <cell r="D6207" t="str">
            <v>NJ</v>
          </cell>
          <cell r="E6207" t="str">
            <v/>
          </cell>
          <cell r="F6207" t="str">
            <v/>
          </cell>
          <cell r="G6207" t="str">
            <v>HOTELES EMMA SAS ZOMAC</v>
          </cell>
          <cell r="H6207" t="str">
            <v>IMVE</v>
          </cell>
          <cell r="I6207" t="str">
            <v>IMPUESTO SOBRE LAS VENTAS</v>
          </cell>
          <cell r="J6207" t="str">
            <v>CALLE 10 20 06 BARRIO EL CENTRO</v>
          </cell>
          <cell r="K6207" t="str">
            <v>86568</v>
          </cell>
          <cell r="L6207" t="str">
            <v>PUERTO ASÍS</v>
          </cell>
          <cell r="M6207" t="str">
            <v>321826639</v>
          </cell>
        </row>
        <row r="6208">
          <cell r="A6208">
            <v>901406082</v>
          </cell>
          <cell r="B6208" t="str">
            <v>6</v>
          </cell>
          <cell r="C6208" t="str">
            <v/>
          </cell>
          <cell r="D6208" t="str">
            <v>NJ</v>
          </cell>
          <cell r="E6208" t="str">
            <v/>
          </cell>
          <cell r="F6208" t="str">
            <v/>
          </cell>
          <cell r="G6208" t="str">
            <v>NEWPLANET GROUP SAS</v>
          </cell>
          <cell r="H6208" t="str">
            <v>IMVE</v>
          </cell>
          <cell r="I6208" t="str">
            <v>IMPUESTO SOBRE LAS VENTAS</v>
          </cell>
          <cell r="J6208" t="str">
            <v>AV  AC 6 25 A 51 LC 1</v>
          </cell>
          <cell r="K6208" t="str">
            <v>11001</v>
          </cell>
          <cell r="L6208" t="str">
            <v>BOGOTA DC</v>
          </cell>
          <cell r="M6208" t="str">
            <v>3125303068</v>
          </cell>
        </row>
        <row r="6209">
          <cell r="A6209">
            <v>901408705</v>
          </cell>
          <cell r="B6209" t="str">
            <v>5</v>
          </cell>
          <cell r="C6209" t="str">
            <v/>
          </cell>
          <cell r="D6209" t="str">
            <v>NJ</v>
          </cell>
          <cell r="E6209" t="str">
            <v/>
          </cell>
          <cell r="F6209" t="str">
            <v/>
          </cell>
          <cell r="G6209" t="str">
            <v>CARBONIA GEOAMBIENTAL S.A.S</v>
          </cell>
          <cell r="H6209" t="str">
            <v>IMVE</v>
          </cell>
          <cell r="I6209" t="str">
            <v>IMPUESTO SOBRE LAS VENTAS</v>
          </cell>
          <cell r="J6209" t="str">
            <v>CR 5 14 46 P 2</v>
          </cell>
          <cell r="K6209" t="str">
            <v>17614</v>
          </cell>
          <cell r="L6209" t="str">
            <v>RIOSUCIO</v>
          </cell>
          <cell r="M6209" t="str">
            <v>3157655443</v>
          </cell>
        </row>
        <row r="6210">
          <cell r="A6210">
            <v>901408996</v>
          </cell>
          <cell r="B6210" t="str">
            <v>1</v>
          </cell>
          <cell r="C6210" t="str">
            <v/>
          </cell>
          <cell r="D6210" t="str">
            <v>NJ</v>
          </cell>
          <cell r="E6210" t="str">
            <v/>
          </cell>
          <cell r="F6210" t="str">
            <v/>
          </cell>
          <cell r="G6210" t="str">
            <v>ENGINEERING, MAINTENANCE AND TECHNOLOGY SAS</v>
          </cell>
          <cell r="H6210" t="str">
            <v>IMVE</v>
          </cell>
          <cell r="I6210" t="str">
            <v>IMPUESTO SOBRE LAS VENTAS</v>
          </cell>
          <cell r="J6210" t="str">
            <v>CL  64 D 69 D 11</v>
          </cell>
          <cell r="K6210" t="str">
            <v>11001</v>
          </cell>
          <cell r="L6210" t="str">
            <v>BOGOTA DC</v>
          </cell>
          <cell r="M6210" t="str">
            <v>3114824750</v>
          </cell>
        </row>
        <row r="6211">
          <cell r="A6211">
            <v>901409970</v>
          </cell>
          <cell r="B6211" t="str">
            <v>5</v>
          </cell>
          <cell r="C6211" t="str">
            <v/>
          </cell>
          <cell r="D6211" t="str">
            <v>NJ</v>
          </cell>
          <cell r="E6211" t="str">
            <v/>
          </cell>
          <cell r="F6211" t="str">
            <v/>
          </cell>
          <cell r="G6211" t="str">
            <v>SINDICATO DE TRABAJADORES DE GENSA S.A E.S.P</v>
          </cell>
          <cell r="H6211" t="str">
            <v>COIM</v>
          </cell>
          <cell r="I6211" t="str">
            <v>CONTROL DE IMPUESTOS</v>
          </cell>
          <cell r="J6211" t="str">
            <v>CL 49 C 11 BRR VIÑA DEL RIO</v>
          </cell>
          <cell r="K6211" t="str">
            <v>17001</v>
          </cell>
          <cell r="L6211" t="str">
            <v>MANIZALES</v>
          </cell>
          <cell r="M6211" t="str">
            <v>3146163887</v>
          </cell>
        </row>
        <row r="6212">
          <cell r="A6212">
            <v>901410393</v>
          </cell>
          <cell r="B6212" t="str">
            <v>7</v>
          </cell>
          <cell r="C6212" t="str">
            <v/>
          </cell>
          <cell r="D6212" t="str">
            <v>NJ</v>
          </cell>
          <cell r="E6212" t="str">
            <v/>
          </cell>
          <cell r="F6212" t="str">
            <v/>
          </cell>
          <cell r="G6212" t="str">
            <v>C TRADERS SAS</v>
          </cell>
          <cell r="H6212" t="str">
            <v>IMVE</v>
          </cell>
          <cell r="I6212" t="str">
            <v>IMPUESTO SOBRE LAS VENTAS</v>
          </cell>
          <cell r="J6212" t="str">
            <v xml:space="preserve"> AV AV LIBERTADORES 22 01 BR SAUSALITO</v>
          </cell>
          <cell r="K6212" t="str">
            <v>15516</v>
          </cell>
          <cell r="L6212" t="str">
            <v>PAIPA</v>
          </cell>
          <cell r="M6212" t="str">
            <v>3107669065</v>
          </cell>
        </row>
        <row r="6213">
          <cell r="A6213">
            <v>901411006</v>
          </cell>
          <cell r="B6213" t="str">
            <v>6</v>
          </cell>
          <cell r="C6213" t="str">
            <v/>
          </cell>
          <cell r="D6213" t="str">
            <v>NJ</v>
          </cell>
          <cell r="E6213" t="str">
            <v/>
          </cell>
          <cell r="F6213" t="str">
            <v/>
          </cell>
          <cell r="G6213" t="str">
            <v>POWER GRID INGENIERIA ELECTRICA SOCIEDAD POR ACCIONES SIMPLIFICA</v>
          </cell>
          <cell r="H6213" t="str">
            <v>IMVE</v>
          </cell>
          <cell r="I6213" t="str">
            <v>IMPUESTO SOBRE LAS VENTAS</v>
          </cell>
          <cell r="J6213" t="str">
            <v>CL 22 10 A 17</v>
          </cell>
          <cell r="K6213" t="str">
            <v>15238</v>
          </cell>
          <cell r="L6213" t="str">
            <v>DUITAMA</v>
          </cell>
          <cell r="M6213" t="str">
            <v>3182299578</v>
          </cell>
        </row>
        <row r="6214">
          <cell r="A6214">
            <v>901411010</v>
          </cell>
          <cell r="B6214" t="str">
            <v>6</v>
          </cell>
          <cell r="C6214" t="str">
            <v/>
          </cell>
          <cell r="D6214" t="str">
            <v>NJ</v>
          </cell>
          <cell r="E6214" t="str">
            <v/>
          </cell>
          <cell r="F6214" t="str">
            <v/>
          </cell>
          <cell r="G6214" t="str">
            <v>CONSORCIO ELECTRIFICACION MIRAFLORES</v>
          </cell>
          <cell r="H6214" t="str">
            <v>IMVE</v>
          </cell>
          <cell r="I6214" t="str">
            <v>IMPUESTO SOBRE LAS VENTAS</v>
          </cell>
          <cell r="J6214" t="str">
            <v>CR 20 A 26 81 BRR VILLA ANDREA</v>
          </cell>
          <cell r="K6214" t="str">
            <v>95001</v>
          </cell>
          <cell r="L6214" t="str">
            <v>SAN JOSÉ DEL GUAVIARE</v>
          </cell>
          <cell r="M6214" t="str">
            <v>3127823173</v>
          </cell>
        </row>
        <row r="6215">
          <cell r="A6215">
            <v>901411767</v>
          </cell>
          <cell r="B6215" t="str">
            <v>2</v>
          </cell>
          <cell r="C6215" t="str">
            <v/>
          </cell>
          <cell r="D6215" t="str">
            <v>NJ</v>
          </cell>
          <cell r="E6215" t="str">
            <v/>
          </cell>
          <cell r="F6215" t="str">
            <v/>
          </cell>
          <cell r="G6215" t="str">
            <v>ENERXIA COLOMBIA SAS ESP</v>
          </cell>
          <cell r="H6215" t="str">
            <v>IMVE</v>
          </cell>
          <cell r="I6215" t="str">
            <v>IMPUESTO SOBRE LAS VENTAS</v>
          </cell>
          <cell r="J6215" t="str">
            <v>CR 16 A 71 78</v>
          </cell>
          <cell r="K6215" t="str">
            <v>17001</v>
          </cell>
          <cell r="L6215" t="str">
            <v>MANIZALES</v>
          </cell>
          <cell r="M6215" t="str">
            <v>3002115101</v>
          </cell>
        </row>
        <row r="6216">
          <cell r="A6216">
            <v>901426508</v>
          </cell>
          <cell r="B6216" t="str">
            <v>7</v>
          </cell>
          <cell r="C6216" t="str">
            <v/>
          </cell>
          <cell r="D6216" t="str">
            <v>NJ</v>
          </cell>
          <cell r="E6216" t="str">
            <v/>
          </cell>
          <cell r="F6216" t="str">
            <v/>
          </cell>
          <cell r="G6216" t="str">
            <v>ALTINO LOGISERVIICIOS S.A.S.</v>
          </cell>
          <cell r="H6216" t="str">
            <v>IMVE</v>
          </cell>
          <cell r="I6216" t="str">
            <v>IMPUESTO SOBRE LAS VENTAS</v>
          </cell>
          <cell r="J6216" t="str">
            <v>DIAG. 3 6 50 CA 177</v>
          </cell>
          <cell r="K6216" t="str">
            <v>25473</v>
          </cell>
          <cell r="L6216" t="str">
            <v>MOSQUERA</v>
          </cell>
          <cell r="M6216" t="str">
            <v>3166933028</v>
          </cell>
        </row>
        <row r="6217">
          <cell r="A6217">
            <v>901428256</v>
          </cell>
          <cell r="B6217" t="str">
            <v>5</v>
          </cell>
          <cell r="C6217" t="str">
            <v/>
          </cell>
          <cell r="D6217" t="str">
            <v>NJ</v>
          </cell>
          <cell r="E6217" t="str">
            <v/>
          </cell>
          <cell r="F6217" t="str">
            <v/>
          </cell>
          <cell r="G6217" t="str">
            <v>ASESORÍAS INTEGRALES MJM SAS</v>
          </cell>
          <cell r="H6217" t="str">
            <v>IMVE</v>
          </cell>
          <cell r="I6217" t="str">
            <v>IMPUESTO SOBRE LAS VENTAS</v>
          </cell>
          <cell r="J6217" t="str">
            <v xml:space="preserve"> CL 98 A  69 B  43</v>
          </cell>
          <cell r="K6217" t="str">
            <v>11001</v>
          </cell>
          <cell r="L6217" t="str">
            <v>BOGOTA DC</v>
          </cell>
          <cell r="M6217" t="str">
            <v>3159253952</v>
          </cell>
        </row>
        <row r="6218">
          <cell r="A6218">
            <v>901439694</v>
          </cell>
          <cell r="B6218" t="str">
            <v>5</v>
          </cell>
          <cell r="C6218" t="str">
            <v/>
          </cell>
          <cell r="D6218" t="str">
            <v>NJ</v>
          </cell>
          <cell r="E6218" t="str">
            <v/>
          </cell>
          <cell r="F6218" t="str">
            <v/>
          </cell>
          <cell r="G6218" t="str">
            <v>CM INGENIERIA TERMICA SAS</v>
          </cell>
          <cell r="H6218" t="str">
            <v>IMVE</v>
          </cell>
          <cell r="I6218" t="str">
            <v>IMPUESTO SOBRE LAS VENTAS</v>
          </cell>
          <cell r="J6218" t="str">
            <v xml:space="preserve"> CR 31 A 11 26</v>
          </cell>
          <cell r="K6218" t="str">
            <v>11001</v>
          </cell>
          <cell r="L6218" t="str">
            <v>BOGOTA DC</v>
          </cell>
          <cell r="M6218" t="str">
            <v>6954485</v>
          </cell>
        </row>
        <row r="6219">
          <cell r="A6219">
            <v>901440288</v>
          </cell>
          <cell r="B6219" t="str">
            <v>1</v>
          </cell>
          <cell r="C6219" t="str">
            <v/>
          </cell>
          <cell r="D6219" t="str">
            <v>NJ</v>
          </cell>
          <cell r="E6219" t="str">
            <v/>
          </cell>
          <cell r="F6219" t="str">
            <v/>
          </cell>
          <cell r="G6219" t="str">
            <v>JIRIJIRIMO S.A.S</v>
          </cell>
          <cell r="H6219" t="str">
            <v>IMVE</v>
          </cell>
          <cell r="I6219" t="str">
            <v>IMPUESTO SOBRE LAS VENTAS</v>
          </cell>
          <cell r="J6219" t="str">
            <v>CR 14 10 207 BRR CENTRO</v>
          </cell>
          <cell r="K6219" t="str">
            <v>97001</v>
          </cell>
          <cell r="L6219" t="str">
            <v>MITÚ</v>
          </cell>
          <cell r="M6219" t="str">
            <v>3213076427</v>
          </cell>
        </row>
        <row r="6220">
          <cell r="A6220">
            <v>901442364</v>
          </cell>
          <cell r="B6220" t="str">
            <v>0</v>
          </cell>
          <cell r="C6220" t="str">
            <v/>
          </cell>
          <cell r="D6220" t="str">
            <v>NJ</v>
          </cell>
          <cell r="E6220" t="str">
            <v/>
          </cell>
          <cell r="F6220" t="str">
            <v/>
          </cell>
          <cell r="G6220" t="str">
            <v>CARBONES LOS CEREZOS S.A.S</v>
          </cell>
          <cell r="H6220" t="str">
            <v>RST</v>
          </cell>
          <cell r="I6220" t="str">
            <v>REGIMEN SIMPLE DE TRIBUTACION</v>
          </cell>
          <cell r="J6220" t="str">
            <v>CR 17 23 A 20</v>
          </cell>
          <cell r="K6220" t="str">
            <v>15516</v>
          </cell>
          <cell r="L6220" t="str">
            <v>PAIPA</v>
          </cell>
          <cell r="M6220" t="str">
            <v>3212915791</v>
          </cell>
        </row>
        <row r="6221">
          <cell r="A6221">
            <v>901442552</v>
          </cell>
          <cell r="B6221" t="str">
            <v>9</v>
          </cell>
          <cell r="C6221" t="str">
            <v/>
          </cell>
          <cell r="D6221" t="str">
            <v>NJ</v>
          </cell>
          <cell r="E6221" t="str">
            <v/>
          </cell>
          <cell r="F6221" t="str">
            <v/>
          </cell>
          <cell r="G6221" t="str">
            <v>SOCIEDAD MINERTRANS OCHOA S.A.S</v>
          </cell>
          <cell r="H6221" t="str">
            <v>RST</v>
          </cell>
          <cell r="I6221" t="str">
            <v>REGIMEN SIMPLE DE TRIBUTACION</v>
          </cell>
          <cell r="J6221" t="str">
            <v>CL 25 20 39 AP 201</v>
          </cell>
          <cell r="K6221" t="str">
            <v>15516</v>
          </cell>
          <cell r="L6221" t="str">
            <v>PAIPA</v>
          </cell>
          <cell r="M6221" t="str">
            <v>3193427943</v>
          </cell>
        </row>
        <row r="6222">
          <cell r="A6222">
            <v>901446886</v>
          </cell>
          <cell r="B6222" t="str">
            <v>1</v>
          </cell>
          <cell r="C6222" t="str">
            <v/>
          </cell>
          <cell r="D6222" t="str">
            <v>NJ</v>
          </cell>
          <cell r="E6222" t="str">
            <v/>
          </cell>
          <cell r="F6222" t="str">
            <v/>
          </cell>
          <cell r="G6222" t="str">
            <v>SERVI-PLOT S.A.S.</v>
          </cell>
          <cell r="H6222" t="str">
            <v>IMVE</v>
          </cell>
          <cell r="I6222" t="str">
            <v>IMPUESTO SOBRE LAS VENTAS</v>
          </cell>
          <cell r="J6222" t="str">
            <v>CL 11 15 52 I N 113</v>
          </cell>
          <cell r="K6222" t="str">
            <v>15759</v>
          </cell>
          <cell r="L6222" t="str">
            <v>SOGAMOSO</v>
          </cell>
          <cell r="M6222" t="str">
            <v>3124352502</v>
          </cell>
        </row>
        <row r="6223">
          <cell r="A6223">
            <v>901447817</v>
          </cell>
          <cell r="B6223" t="str">
            <v>8</v>
          </cell>
          <cell r="C6223" t="str">
            <v/>
          </cell>
          <cell r="D6223" t="str">
            <v>NJ</v>
          </cell>
          <cell r="E6223" t="str">
            <v/>
          </cell>
          <cell r="F6223" t="str">
            <v/>
          </cell>
          <cell r="G6223" t="str">
            <v>TECA INGENIERIA Y COMERCIALIZACION SAS</v>
          </cell>
          <cell r="H6223" t="str">
            <v>IMVE</v>
          </cell>
          <cell r="I6223" t="str">
            <v>IMPUESTO SOBRE LAS VENTAS</v>
          </cell>
          <cell r="J6223" t="str">
            <v>CR 9 NORTE 9 60 BL 7 AP 202</v>
          </cell>
          <cell r="K6223" t="str">
            <v>17001</v>
          </cell>
          <cell r="L6223" t="str">
            <v>MANIZALES</v>
          </cell>
          <cell r="M6223" t="str">
            <v>3206169467</v>
          </cell>
        </row>
        <row r="6224">
          <cell r="A6224">
            <v>901448217</v>
          </cell>
          <cell r="B6224" t="str">
            <v>3</v>
          </cell>
          <cell r="C6224" t="str">
            <v/>
          </cell>
          <cell r="D6224" t="str">
            <v>NJ</v>
          </cell>
          <cell r="E6224" t="str">
            <v/>
          </cell>
          <cell r="F6224" t="str">
            <v/>
          </cell>
          <cell r="G6224" t="str">
            <v>GRUPO MINERO DEL NORTE S.A.S.</v>
          </cell>
          <cell r="H6224" t="str">
            <v>IMVE</v>
          </cell>
          <cell r="I6224" t="str">
            <v>IMPUESTO SOBRE LAS VENTAS</v>
          </cell>
          <cell r="J6224" t="str">
            <v>CR 48 76 81</v>
          </cell>
          <cell r="K6224" t="str">
            <v>08001</v>
          </cell>
          <cell r="L6224" t="str">
            <v>BARRANQUILLA</v>
          </cell>
          <cell r="M6224" t="str">
            <v>3157901014</v>
          </cell>
        </row>
        <row r="6225">
          <cell r="A6225">
            <v>901450449</v>
          </cell>
          <cell r="B6225" t="str">
            <v>1</v>
          </cell>
          <cell r="C6225" t="str">
            <v/>
          </cell>
          <cell r="D6225" t="str">
            <v>NJ</v>
          </cell>
          <cell r="E6225" t="str">
            <v/>
          </cell>
          <cell r="F6225" t="str">
            <v/>
          </cell>
          <cell r="G6225" t="str">
            <v>RESISTENCIAS Y EQUIPOS INDUSTRIALES S.A.S</v>
          </cell>
          <cell r="H6225" t="str">
            <v>IMVE</v>
          </cell>
          <cell r="I6225" t="str">
            <v>IMPUESTO SOBRE LAS VENTAS</v>
          </cell>
          <cell r="J6225" t="str">
            <v>CR 51 C 67 A 47</v>
          </cell>
          <cell r="K6225" t="str">
            <v>17001</v>
          </cell>
          <cell r="L6225" t="str">
            <v>MANIZALES</v>
          </cell>
          <cell r="M6225" t="str">
            <v>4488680</v>
          </cell>
        </row>
        <row r="6226">
          <cell r="A6226">
            <v>901451816</v>
          </cell>
          <cell r="B6226" t="str">
            <v>6</v>
          </cell>
          <cell r="C6226" t="str">
            <v/>
          </cell>
          <cell r="D6226" t="str">
            <v>NJ</v>
          </cell>
          <cell r="E6226" t="str">
            <v/>
          </cell>
          <cell r="F6226" t="str">
            <v/>
          </cell>
          <cell r="G6226" t="str">
            <v>BOOSTING SAS</v>
          </cell>
          <cell r="H6226" t="str">
            <v>IMVE</v>
          </cell>
          <cell r="I6226" t="str">
            <v>IMPUESTO SOBRE LAS VENTAS</v>
          </cell>
          <cell r="J6226" t="str">
            <v>CR 100 5 169 OF 716 ED OASIS CENTRAL COMERCIAL UNICENTRO</v>
          </cell>
          <cell r="K6226" t="str">
            <v>76001</v>
          </cell>
          <cell r="L6226" t="str">
            <v>CALI</v>
          </cell>
          <cell r="M6226" t="str">
            <v>3173852916</v>
          </cell>
        </row>
        <row r="6227">
          <cell r="A6227">
            <v>901452415</v>
          </cell>
          <cell r="B6227" t="str">
            <v>0</v>
          </cell>
          <cell r="C6227" t="str">
            <v/>
          </cell>
          <cell r="D6227" t="str">
            <v>NJ</v>
          </cell>
          <cell r="E6227" t="str">
            <v/>
          </cell>
          <cell r="F6227" t="str">
            <v/>
          </cell>
          <cell r="G6227" t="str">
            <v>ASOCIACIÓN DE MUJERES EMPRENDEDORAS CON CONCIENCIA AMBIENTAL</v>
          </cell>
          <cell r="H6227" t="str">
            <v>IMVE</v>
          </cell>
          <cell r="I6227" t="str">
            <v>IMPUESTO SOBRE LAS VENTAS</v>
          </cell>
          <cell r="J6227" t="str">
            <v>VRD EL VOLCAN</v>
          </cell>
          <cell r="K6227" t="str">
            <v>15516</v>
          </cell>
          <cell r="L6227" t="str">
            <v>PAIPA</v>
          </cell>
          <cell r="M6227" t="str">
            <v>3148173688</v>
          </cell>
        </row>
        <row r="6228">
          <cell r="A6228">
            <v>901456435</v>
          </cell>
          <cell r="B6228" t="str">
            <v>6</v>
          </cell>
          <cell r="C6228" t="str">
            <v/>
          </cell>
          <cell r="D6228" t="str">
            <v>NJ</v>
          </cell>
          <cell r="E6228" t="str">
            <v/>
          </cell>
          <cell r="F6228" t="str">
            <v/>
          </cell>
          <cell r="G6228" t="str">
            <v>SOLUCIONES INDUSTRIALES TOTALES COLOMBIA SAS</v>
          </cell>
          <cell r="H6228" t="str">
            <v>IMVE</v>
          </cell>
          <cell r="I6228" t="str">
            <v>IMPUESTO SOBRE LAS VENTAS</v>
          </cell>
          <cell r="J6228" t="str">
            <v>CR 96 C 19 A 18 VILLEMAR-FONTIBON</v>
          </cell>
          <cell r="K6228" t="str">
            <v>11001</v>
          </cell>
          <cell r="L6228" t="str">
            <v>BOGOTA DC</v>
          </cell>
          <cell r="M6228" t="str">
            <v>3058632362</v>
          </cell>
        </row>
        <row r="6229">
          <cell r="A6229">
            <v>901458165</v>
          </cell>
          <cell r="B6229" t="str">
            <v>1</v>
          </cell>
          <cell r="C6229" t="str">
            <v/>
          </cell>
          <cell r="D6229" t="str">
            <v>NJ</v>
          </cell>
          <cell r="E6229" t="str">
            <v/>
          </cell>
          <cell r="F6229" t="str">
            <v/>
          </cell>
          <cell r="G6229" t="str">
            <v>CARBOPAIPA SAS</v>
          </cell>
          <cell r="H6229" t="str">
            <v>IMVE</v>
          </cell>
          <cell r="I6229" t="str">
            <v>IMPUESTO SOBRE LAS VENTAS</v>
          </cell>
          <cell r="J6229" t="str">
            <v>CL 30 # 29 - 63 BRR PABLO SOLANO</v>
          </cell>
          <cell r="K6229" t="str">
            <v>15516</v>
          </cell>
          <cell r="L6229" t="str">
            <v>PAIPA</v>
          </cell>
          <cell r="M6229" t="str">
            <v>3125005566</v>
          </cell>
        </row>
        <row r="6230">
          <cell r="A6230">
            <v>901460451</v>
          </cell>
          <cell r="B6230" t="str">
            <v>1</v>
          </cell>
          <cell r="C6230" t="str">
            <v/>
          </cell>
          <cell r="D6230" t="str">
            <v>NJ</v>
          </cell>
          <cell r="E6230" t="str">
            <v/>
          </cell>
          <cell r="F6230" t="str">
            <v/>
          </cell>
          <cell r="G6230" t="str">
            <v>INVERSIONES HOLTELERAS FL S.A.S.</v>
          </cell>
          <cell r="H6230" t="str">
            <v>IMVE</v>
          </cell>
          <cell r="I6230" t="str">
            <v>IMPUESTO SOBRE LAS VENTAS</v>
          </cell>
          <cell r="J6230" t="str">
            <v>BRR BOCAGRANDE CR 2 6 40</v>
          </cell>
          <cell r="K6230" t="str">
            <v>13001</v>
          </cell>
          <cell r="L6230" t="str">
            <v>CARTAGENA</v>
          </cell>
          <cell r="M6230" t="str">
            <v>3122656532</v>
          </cell>
        </row>
        <row r="6231">
          <cell r="A6231">
            <v>901461109</v>
          </cell>
          <cell r="B6231" t="str">
            <v>1</v>
          </cell>
          <cell r="C6231" t="str">
            <v/>
          </cell>
          <cell r="D6231" t="str">
            <v>NJ</v>
          </cell>
          <cell r="E6231" t="str">
            <v/>
          </cell>
          <cell r="F6231" t="str">
            <v/>
          </cell>
          <cell r="G6231" t="str">
            <v>TERRA INGENIERIA 2021 SAS</v>
          </cell>
          <cell r="H6231" t="str">
            <v>IMVE</v>
          </cell>
          <cell r="I6231" t="str">
            <v>IMPUESTO SOBRE LAS VENTAS</v>
          </cell>
          <cell r="J6231" t="str">
            <v>CR 36 B 35 06 VILLA VERDE</v>
          </cell>
          <cell r="K6231" t="str">
            <v>66001</v>
          </cell>
          <cell r="L6231" t="str">
            <v>PEREIRA</v>
          </cell>
          <cell r="M6231" t="str">
            <v>3212469802</v>
          </cell>
        </row>
        <row r="6232">
          <cell r="A6232">
            <v>901466389</v>
          </cell>
          <cell r="B6232" t="str">
            <v>8</v>
          </cell>
          <cell r="C6232" t="str">
            <v/>
          </cell>
          <cell r="D6232" t="str">
            <v>NJ</v>
          </cell>
          <cell r="E6232" t="str">
            <v/>
          </cell>
          <cell r="F6232" t="str">
            <v/>
          </cell>
          <cell r="G6232" t="str">
            <v>GZ SUMINISTROS MONTAJES Y SERVICIOS SAS</v>
          </cell>
          <cell r="H6232" t="str">
            <v>IMVE</v>
          </cell>
          <cell r="I6232" t="str">
            <v>IMPUESTO SOBRE LAS VENTAS</v>
          </cell>
          <cell r="J6232" t="str">
            <v>CL 4 36 31</v>
          </cell>
          <cell r="K6232" t="str">
            <v>11001</v>
          </cell>
          <cell r="L6232" t="str">
            <v>BOGOTA DC</v>
          </cell>
          <cell r="M6232" t="str">
            <v>3226009838</v>
          </cell>
        </row>
        <row r="6233">
          <cell r="A6233">
            <v>901466835</v>
          </cell>
          <cell r="B6233" t="str">
            <v>1</v>
          </cell>
          <cell r="C6233" t="str">
            <v/>
          </cell>
          <cell r="D6233" t="str">
            <v>NJ</v>
          </cell>
          <cell r="E6233" t="str">
            <v/>
          </cell>
          <cell r="F6233" t="str">
            <v/>
          </cell>
          <cell r="G6233" t="str">
            <v>PROMOHIT COLOMBIA SAS</v>
          </cell>
          <cell r="H6233" t="str">
            <v>IMVE</v>
          </cell>
          <cell r="I6233" t="str">
            <v>IMPUESTO SOBRE LAS VENTAS</v>
          </cell>
          <cell r="J6233" t="str">
            <v>CR 65 94A 81</v>
          </cell>
          <cell r="K6233" t="str">
            <v>11001</v>
          </cell>
          <cell r="L6233" t="str">
            <v>BOGOTA DC</v>
          </cell>
          <cell r="M6233" t="str">
            <v>2530674</v>
          </cell>
        </row>
        <row r="6234">
          <cell r="A6234">
            <v>901487189</v>
          </cell>
          <cell r="B6234" t="str">
            <v>1</v>
          </cell>
          <cell r="C6234" t="str">
            <v/>
          </cell>
          <cell r="D6234" t="str">
            <v>NJ</v>
          </cell>
          <cell r="E6234" t="str">
            <v/>
          </cell>
          <cell r="F6234" t="str">
            <v/>
          </cell>
          <cell r="G6234" t="str">
            <v>RCT PROTECCION LABORAL SAS</v>
          </cell>
          <cell r="H6234" t="str">
            <v>IMVE</v>
          </cell>
          <cell r="I6234" t="str">
            <v>IMPUESTO SOBRE LAS VENTAS</v>
          </cell>
          <cell r="J6234" t="str">
            <v xml:space="preserve"> CL 19 CR 13  07 BRR LOS LIBERTADORES</v>
          </cell>
          <cell r="K6234" t="str">
            <v>94001</v>
          </cell>
          <cell r="L6234" t="str">
            <v>INÍRIDA</v>
          </cell>
          <cell r="M6234" t="str">
            <v>3043512957</v>
          </cell>
        </row>
        <row r="6235">
          <cell r="A6235">
            <v>901491167</v>
          </cell>
          <cell r="B6235" t="str">
            <v>5</v>
          </cell>
          <cell r="C6235" t="str">
            <v/>
          </cell>
          <cell r="D6235" t="str">
            <v>NJ</v>
          </cell>
          <cell r="E6235" t="str">
            <v/>
          </cell>
          <cell r="F6235" t="str">
            <v/>
          </cell>
          <cell r="G6235" t="str">
            <v>INDUSTRIAS ELECTRICAS DEL VALLE S.A.S</v>
          </cell>
          <cell r="H6235" t="str">
            <v>IMVE</v>
          </cell>
          <cell r="I6235" t="str">
            <v>IMPUESTO SOBRE LAS VENTAS</v>
          </cell>
          <cell r="J6235" t="str">
            <v>CR 7 8 05</v>
          </cell>
          <cell r="K6235" t="str">
            <v>76520</v>
          </cell>
          <cell r="L6235" t="str">
            <v>PALMIRA</v>
          </cell>
          <cell r="M6235" t="str">
            <v>3185509725</v>
          </cell>
        </row>
        <row r="6236">
          <cell r="A6236">
            <v>901491551</v>
          </cell>
          <cell r="B6236" t="str">
            <v>0</v>
          </cell>
          <cell r="C6236" t="str">
            <v/>
          </cell>
          <cell r="D6236" t="str">
            <v>NJ</v>
          </cell>
          <cell r="E6236" t="str">
            <v/>
          </cell>
          <cell r="F6236" t="str">
            <v/>
          </cell>
          <cell r="G6236" t="str">
            <v>BANCO BTG PACTUAL COLOMBIA S.A.</v>
          </cell>
          <cell r="H6236" t="str">
            <v>RCAU</v>
          </cell>
          <cell r="I6236" t="str">
            <v>RESPONSABLE IVA - AUTORETENEDOR</v>
          </cell>
          <cell r="J6236" t="str">
            <v>CR 43  A 1 50 TO 2 P 10</v>
          </cell>
          <cell r="K6236" t="str">
            <v>05001</v>
          </cell>
          <cell r="L6236" t="str">
            <v>MEDELLÍN</v>
          </cell>
          <cell r="M6236" t="str">
            <v>6044484300</v>
          </cell>
        </row>
        <row r="6237">
          <cell r="A6237">
            <v>901492465</v>
          </cell>
          <cell r="B6237" t="str">
            <v>1</v>
          </cell>
          <cell r="C6237" t="str">
            <v/>
          </cell>
          <cell r="D6237" t="str">
            <v>NJ</v>
          </cell>
          <cell r="E6237" t="str">
            <v/>
          </cell>
          <cell r="F6237" t="str">
            <v/>
          </cell>
          <cell r="G6237" t="str">
            <v>GAMA 7 S.A.S</v>
          </cell>
          <cell r="H6237" t="str">
            <v>IMVE</v>
          </cell>
          <cell r="I6237" t="str">
            <v>IMPUESTO SOBRE LAS VENTAS</v>
          </cell>
          <cell r="J6237" t="str">
            <v>CR 2 41 15 BRR SANTA INES</v>
          </cell>
          <cell r="K6237" t="str">
            <v>15001</v>
          </cell>
          <cell r="L6237" t="str">
            <v>TUNJA</v>
          </cell>
          <cell r="M6237" t="str">
            <v>3187934893</v>
          </cell>
        </row>
        <row r="6238">
          <cell r="A6238">
            <v>901494665</v>
          </cell>
          <cell r="B6238" t="str">
            <v>5</v>
          </cell>
          <cell r="C6238" t="str">
            <v/>
          </cell>
          <cell r="D6238" t="str">
            <v>NJ</v>
          </cell>
          <cell r="E6238" t="str">
            <v/>
          </cell>
          <cell r="F6238" t="str">
            <v/>
          </cell>
          <cell r="G6238" t="str">
            <v>CONSORCIO AMAZOL</v>
          </cell>
          <cell r="H6238" t="str">
            <v>IMVE</v>
          </cell>
          <cell r="I6238" t="str">
            <v>IMPUESTO SOBRE LAS VENTAS</v>
          </cell>
          <cell r="J6238" t="str">
            <v xml:space="preserve"> AV 8 NORTE 23-89</v>
          </cell>
          <cell r="K6238" t="str">
            <v>76001</v>
          </cell>
          <cell r="L6238" t="str">
            <v>CALI</v>
          </cell>
          <cell r="M6238" t="str">
            <v>4868080</v>
          </cell>
        </row>
        <row r="6239">
          <cell r="A6239">
            <v>901497122</v>
          </cell>
          <cell r="B6239" t="str">
            <v>1</v>
          </cell>
          <cell r="C6239" t="str">
            <v/>
          </cell>
          <cell r="D6239" t="str">
            <v>NJ</v>
          </cell>
          <cell r="E6239" t="str">
            <v/>
          </cell>
          <cell r="F6239" t="str">
            <v/>
          </cell>
          <cell r="G6239" t="str">
            <v>INNOVA PARTNERS COLOMBIA SAS</v>
          </cell>
          <cell r="H6239" t="str">
            <v>IMVE</v>
          </cell>
          <cell r="I6239" t="str">
            <v>IMPUESTO SOBRE LAS VENTAS</v>
          </cell>
          <cell r="J6239" t="str">
            <v xml:space="preserve"> CL 62 A 59 20</v>
          </cell>
          <cell r="K6239" t="str">
            <v>05088</v>
          </cell>
          <cell r="L6239" t="str">
            <v>BELLO</v>
          </cell>
          <cell r="M6239" t="str">
            <v>2040335</v>
          </cell>
        </row>
        <row r="6240">
          <cell r="A6240">
            <v>901498962</v>
          </cell>
          <cell r="B6240" t="str">
            <v>6</v>
          </cell>
          <cell r="C6240" t="str">
            <v/>
          </cell>
          <cell r="D6240" t="str">
            <v>NJ</v>
          </cell>
          <cell r="E6240" t="str">
            <v/>
          </cell>
          <cell r="F6240" t="str">
            <v/>
          </cell>
          <cell r="G6240" t="str">
            <v>CONSORCIO SOLUZ</v>
          </cell>
          <cell r="H6240" t="str">
            <v>IMVE</v>
          </cell>
          <cell r="I6240" t="str">
            <v>IMPUESTO SOBRE LAS VENTAS</v>
          </cell>
          <cell r="J6240" t="str">
            <v xml:space="preserve"> CR 64 A 5 30 BRR EL LIMONAR</v>
          </cell>
          <cell r="K6240" t="str">
            <v>76001</v>
          </cell>
          <cell r="L6240" t="str">
            <v>CALI</v>
          </cell>
          <cell r="M6240" t="str">
            <v>3176630644</v>
          </cell>
        </row>
        <row r="6241">
          <cell r="A6241">
            <v>901501447</v>
          </cell>
          <cell r="B6241" t="str">
            <v>7</v>
          </cell>
          <cell r="C6241" t="str">
            <v/>
          </cell>
          <cell r="D6241" t="str">
            <v>NJ</v>
          </cell>
          <cell r="E6241" t="str">
            <v/>
          </cell>
          <cell r="F6241" t="str">
            <v/>
          </cell>
          <cell r="G6241" t="str">
            <v>M FELMINAS SAS</v>
          </cell>
          <cell r="H6241" t="str">
            <v>IMVE</v>
          </cell>
          <cell r="I6241" t="str">
            <v>IMPUESTO SOBRE LAS VENTAS</v>
          </cell>
          <cell r="J6241" t="str">
            <v>CR 18 11 73</v>
          </cell>
          <cell r="K6241" t="str">
            <v>15759</v>
          </cell>
          <cell r="L6241" t="str">
            <v>SOGAMOSO</v>
          </cell>
          <cell r="M6241" t="str">
            <v>3112013473</v>
          </cell>
        </row>
        <row r="6242">
          <cell r="A6242">
            <v>901503319</v>
          </cell>
          <cell r="B6242" t="str">
            <v>1</v>
          </cell>
          <cell r="C6242" t="str">
            <v/>
          </cell>
          <cell r="D6242" t="str">
            <v>NJ</v>
          </cell>
          <cell r="E6242" t="str">
            <v/>
          </cell>
          <cell r="F6242" t="str">
            <v/>
          </cell>
          <cell r="G6242" t="str">
            <v>CONSORCIO TRANSFORMADORES</v>
          </cell>
          <cell r="H6242" t="str">
            <v>IMVE</v>
          </cell>
          <cell r="I6242" t="str">
            <v>IMPUESTO SOBRE LAS VENTAS</v>
          </cell>
          <cell r="J6242" t="str">
            <v xml:space="preserve"> CL 94 NO. 21 -68 INT 604</v>
          </cell>
          <cell r="K6242" t="str">
            <v>11001</v>
          </cell>
          <cell r="L6242" t="str">
            <v>BOGOTA DC</v>
          </cell>
          <cell r="M6242" t="str">
            <v>3017890999</v>
          </cell>
        </row>
        <row r="6243">
          <cell r="A6243">
            <v>901504079</v>
          </cell>
          <cell r="B6243" t="str">
            <v>3</v>
          </cell>
          <cell r="C6243" t="str">
            <v/>
          </cell>
          <cell r="D6243" t="str">
            <v>NJ</v>
          </cell>
          <cell r="E6243" t="str">
            <v/>
          </cell>
          <cell r="F6243" t="str">
            <v/>
          </cell>
          <cell r="G6243" t="str">
            <v>EFFINGO SAS</v>
          </cell>
          <cell r="H6243" t="str">
            <v>IMVE</v>
          </cell>
          <cell r="I6243" t="str">
            <v>IMPUESTO SOBRE LAS VENTAS</v>
          </cell>
          <cell r="J6243" t="str">
            <v xml:space="preserve"> CR 24  65  30 ED GUAYACAN REAL</v>
          </cell>
          <cell r="K6243" t="str">
            <v>17001</v>
          </cell>
          <cell r="L6243" t="str">
            <v>MANIZALES</v>
          </cell>
          <cell r="M6243" t="str">
            <v>3108210604</v>
          </cell>
        </row>
        <row r="6244">
          <cell r="A6244">
            <v>901504185</v>
          </cell>
          <cell r="B6244" t="str">
            <v>6</v>
          </cell>
          <cell r="C6244" t="str">
            <v/>
          </cell>
          <cell r="D6244" t="str">
            <v>NJ</v>
          </cell>
          <cell r="E6244" t="str">
            <v/>
          </cell>
          <cell r="F6244" t="str">
            <v/>
          </cell>
          <cell r="G6244" t="str">
            <v>INVERSIONES JTC SAS</v>
          </cell>
          <cell r="H6244" t="str">
            <v>IMVE</v>
          </cell>
          <cell r="I6244" t="str">
            <v>IMPUESTO SOBRE LAS VENTAS</v>
          </cell>
          <cell r="J6244" t="str">
            <v>AV 25 13 72 BRR CENTRO</v>
          </cell>
          <cell r="K6244" t="str">
            <v>97001</v>
          </cell>
          <cell r="L6244" t="str">
            <v>MITÚ</v>
          </cell>
          <cell r="M6244" t="str">
            <v>3154266957</v>
          </cell>
        </row>
        <row r="6245">
          <cell r="A6245">
            <v>901505035</v>
          </cell>
          <cell r="B6245" t="str">
            <v>4</v>
          </cell>
          <cell r="C6245" t="str">
            <v/>
          </cell>
          <cell r="D6245" t="str">
            <v>NJ</v>
          </cell>
          <cell r="E6245" t="str">
            <v/>
          </cell>
          <cell r="F6245" t="str">
            <v/>
          </cell>
          <cell r="G6245" t="str">
            <v>INSTALACIONES Y MONTAJES ASPRILLA GOMEZ S.A.S.</v>
          </cell>
          <cell r="H6245" t="str">
            <v>IMVE</v>
          </cell>
          <cell r="I6245" t="str">
            <v>IMPUESTO SOBRE LAS VENTAS</v>
          </cell>
          <cell r="J6245" t="str">
            <v>CL 27 7 08 BRR EL SILENCIO</v>
          </cell>
          <cell r="K6245" t="str">
            <v>27001</v>
          </cell>
          <cell r="L6245" t="str">
            <v>QUIBDO</v>
          </cell>
          <cell r="M6245" t="str">
            <v>3146211754</v>
          </cell>
        </row>
        <row r="6246">
          <cell r="A6246">
            <v>901505490</v>
          </cell>
          <cell r="B6246" t="str">
            <v>2</v>
          </cell>
          <cell r="C6246" t="str">
            <v/>
          </cell>
          <cell r="D6246" t="str">
            <v>NJ</v>
          </cell>
          <cell r="E6246" t="str">
            <v/>
          </cell>
          <cell r="F6246" t="str">
            <v/>
          </cell>
          <cell r="G6246" t="str">
            <v>CONSORCIO AMAZONAS</v>
          </cell>
          <cell r="H6246" t="str">
            <v>IMVE</v>
          </cell>
          <cell r="I6246" t="str">
            <v>IMPUESTO SOBRE LAS VENTAS</v>
          </cell>
          <cell r="J6246" t="str">
            <v xml:space="preserve"> CR 27 A 78 58</v>
          </cell>
          <cell r="K6246" t="str">
            <v>11001</v>
          </cell>
          <cell r="L6246" t="str">
            <v>BOGOTA DC</v>
          </cell>
          <cell r="M6246" t="str">
            <v>6600292</v>
          </cell>
        </row>
        <row r="6247">
          <cell r="A6247">
            <v>901506953</v>
          </cell>
          <cell r="B6247" t="str">
            <v>5</v>
          </cell>
          <cell r="C6247" t="str">
            <v/>
          </cell>
          <cell r="D6247" t="str">
            <v>NJ</v>
          </cell>
          <cell r="E6247" t="str">
            <v/>
          </cell>
          <cell r="F6247" t="str">
            <v/>
          </cell>
          <cell r="G6247" t="str">
            <v>CONSORCIO SFV SOLANO 2021</v>
          </cell>
          <cell r="H6247" t="str">
            <v>IMVE</v>
          </cell>
          <cell r="I6247" t="str">
            <v>IMPUESTO SOBRE LAS VENTAS</v>
          </cell>
          <cell r="J6247" t="str">
            <v xml:space="preserve"> CL 61 7 52 OF 101</v>
          </cell>
          <cell r="K6247" t="str">
            <v>23001</v>
          </cell>
          <cell r="L6247" t="str">
            <v>MONTERÍA</v>
          </cell>
          <cell r="M6247" t="str">
            <v>7851149</v>
          </cell>
        </row>
        <row r="6248">
          <cell r="A6248">
            <v>901507830</v>
          </cell>
          <cell r="B6248" t="str">
            <v>2</v>
          </cell>
          <cell r="C6248" t="str">
            <v/>
          </cell>
          <cell r="D6248" t="str">
            <v>NJ</v>
          </cell>
          <cell r="E6248" t="str">
            <v/>
          </cell>
          <cell r="F6248" t="str">
            <v/>
          </cell>
          <cell r="G6248" t="str">
            <v>TRANSPORTE GUAPA S.A.S</v>
          </cell>
          <cell r="H6248" t="str">
            <v>IMVE</v>
          </cell>
          <cell r="I6248" t="str">
            <v>IMPUESTO SOBRE LAS VENTAS</v>
          </cell>
          <cell r="J6248" t="str">
            <v>BRR PANQUIACO</v>
          </cell>
          <cell r="K6248" t="str">
            <v>27075</v>
          </cell>
          <cell r="L6248" t="str">
            <v>BAHÍA SOLANO</v>
          </cell>
          <cell r="M6248" t="str">
            <v>3113194527</v>
          </cell>
        </row>
        <row r="6249">
          <cell r="A6249">
            <v>901511508</v>
          </cell>
          <cell r="B6249" t="str">
            <v>0</v>
          </cell>
          <cell r="C6249" t="str">
            <v/>
          </cell>
          <cell r="D6249" t="str">
            <v>NJ</v>
          </cell>
          <cell r="E6249" t="str">
            <v/>
          </cell>
          <cell r="F6249" t="str">
            <v/>
          </cell>
          <cell r="G6249" t="str">
            <v>PROYECTOS MINEROS GEMA SOCIEDAD POR ACCIONES SIMPLIFICADA</v>
          </cell>
          <cell r="H6249" t="str">
            <v>RST</v>
          </cell>
          <cell r="I6249" t="str">
            <v>REGIMEN SIMPLE DE TRIBUTACION</v>
          </cell>
          <cell r="J6249" t="str">
            <v xml:space="preserve"> MZ I CASA 13 BARRIO ESTACION DE ALEJANDRIA</v>
          </cell>
          <cell r="K6249" t="str">
            <v>15516</v>
          </cell>
          <cell r="L6249" t="str">
            <v>PAIPA</v>
          </cell>
          <cell r="M6249" t="str">
            <v>3133672561</v>
          </cell>
        </row>
        <row r="6250">
          <cell r="A6250">
            <v>901517489</v>
          </cell>
          <cell r="B6250" t="str">
            <v>6</v>
          </cell>
          <cell r="C6250" t="str">
            <v/>
          </cell>
          <cell r="D6250" t="str">
            <v>NJ</v>
          </cell>
          <cell r="E6250" t="str">
            <v/>
          </cell>
          <cell r="F6250" t="str">
            <v/>
          </cell>
          <cell r="G6250" t="str">
            <v>AGENCIA DE VIAJES LASER EXPRESS ZOMAC S.A.S.</v>
          </cell>
          <cell r="H6250" t="str">
            <v>IMVE</v>
          </cell>
          <cell r="I6250" t="str">
            <v>IMPUESTO SOBRE LAS VENTAS</v>
          </cell>
          <cell r="J6250" t="str">
            <v>CR 13 6 42 BRR CENTRO</v>
          </cell>
          <cell r="K6250" t="str">
            <v>99773</v>
          </cell>
          <cell r="L6250" t="str">
            <v>CUMARIBO</v>
          </cell>
          <cell r="M6250" t="str">
            <v>3115643040</v>
          </cell>
        </row>
        <row r="6251">
          <cell r="A6251">
            <v>901518046</v>
          </cell>
          <cell r="B6251" t="str">
            <v>1</v>
          </cell>
          <cell r="C6251" t="str">
            <v/>
          </cell>
          <cell r="D6251" t="str">
            <v>NJ</v>
          </cell>
          <cell r="E6251" t="str">
            <v/>
          </cell>
          <cell r="F6251" t="str">
            <v/>
          </cell>
          <cell r="G6251" t="str">
            <v>CONSORCIO SOLAR FUNDACIÓN UTK ÁMBAR</v>
          </cell>
          <cell r="H6251" t="str">
            <v>IMVE</v>
          </cell>
          <cell r="I6251" t="str">
            <v>IMPUESTO SOBRE LAS VENTAS</v>
          </cell>
          <cell r="J6251" t="str">
            <v xml:space="preserve"> CR 43 B  76 74</v>
          </cell>
          <cell r="K6251" t="str">
            <v>08001</v>
          </cell>
          <cell r="L6251" t="str">
            <v>BARRANQUILLA</v>
          </cell>
          <cell r="M6251" t="str">
            <v>3007334491</v>
          </cell>
        </row>
        <row r="6252">
          <cell r="A6252">
            <v>901518086</v>
          </cell>
          <cell r="B6252" t="str">
            <v>6</v>
          </cell>
          <cell r="C6252" t="str">
            <v/>
          </cell>
          <cell r="D6252" t="str">
            <v>NJ</v>
          </cell>
          <cell r="E6252" t="str">
            <v/>
          </cell>
          <cell r="F6252" t="str">
            <v/>
          </cell>
          <cell r="G6252" t="str">
            <v>CORPORACIÓN COLOMBIA MAS VERDE</v>
          </cell>
          <cell r="H6252" t="str">
            <v>REIC</v>
          </cell>
          <cell r="I6252" t="str">
            <v>RENTA REGIMEN ESPECIAL</v>
          </cell>
          <cell r="J6252" t="str">
            <v>CL 48 SUR 42 C 36 ED DOS VELAS OF 1504</v>
          </cell>
          <cell r="K6252" t="str">
            <v>05266</v>
          </cell>
          <cell r="L6252" t="str">
            <v>ENVIGADO</v>
          </cell>
          <cell r="M6252" t="str">
            <v>3148892718</v>
          </cell>
        </row>
        <row r="6253">
          <cell r="A6253">
            <v>901526307</v>
          </cell>
          <cell r="B6253" t="str">
            <v>2</v>
          </cell>
          <cell r="C6253" t="str">
            <v/>
          </cell>
          <cell r="D6253" t="str">
            <v>NJ</v>
          </cell>
          <cell r="E6253" t="str">
            <v/>
          </cell>
          <cell r="F6253" t="str">
            <v/>
          </cell>
          <cell r="G6253" t="str">
            <v>GRUPO VERDEN S.A.S</v>
          </cell>
          <cell r="H6253" t="str">
            <v>IMVE</v>
          </cell>
          <cell r="I6253" t="str">
            <v>IMPUESTO SOBRE LAS VENTAS</v>
          </cell>
          <cell r="J6253" t="str">
            <v>CL 9 18 120</v>
          </cell>
          <cell r="K6253" t="str">
            <v>15238</v>
          </cell>
          <cell r="L6253" t="str">
            <v>DUITAMA</v>
          </cell>
          <cell r="M6253" t="str">
            <v>3118362005</v>
          </cell>
        </row>
        <row r="6254">
          <cell r="A6254">
            <v>901526835</v>
          </cell>
          <cell r="B6254" t="str">
            <v>1</v>
          </cell>
          <cell r="C6254" t="str">
            <v/>
          </cell>
          <cell r="D6254" t="str">
            <v>NJ</v>
          </cell>
          <cell r="E6254" t="str">
            <v/>
          </cell>
          <cell r="F6254" t="str">
            <v/>
          </cell>
          <cell r="G6254" t="str">
            <v>CONTROL &amp; TECHNOLOGY S.A.S.</v>
          </cell>
          <cell r="H6254" t="str">
            <v>IMVE</v>
          </cell>
          <cell r="I6254" t="str">
            <v>IMPUESTO SOBRE LAS VENTAS</v>
          </cell>
          <cell r="J6254" t="str">
            <v>CR 80 15 164 OF 517 BRR SAN FERNANDO</v>
          </cell>
          <cell r="K6254" t="str">
            <v>13001</v>
          </cell>
          <cell r="L6254" t="str">
            <v>CARTAGENA</v>
          </cell>
          <cell r="M6254" t="str">
            <v>3112860742</v>
          </cell>
        </row>
        <row r="6255">
          <cell r="A6255">
            <v>901527683</v>
          </cell>
          <cell r="B6255" t="str">
            <v>1</v>
          </cell>
          <cell r="C6255" t="str">
            <v/>
          </cell>
          <cell r="D6255" t="str">
            <v>NJ</v>
          </cell>
          <cell r="E6255" t="str">
            <v/>
          </cell>
          <cell r="F6255" t="str">
            <v/>
          </cell>
          <cell r="G6255" t="str">
            <v>ILUMINACION INTELIGENTE BARBOSA S.A.S</v>
          </cell>
          <cell r="H6255" t="str">
            <v>IMVE</v>
          </cell>
          <cell r="I6255" t="str">
            <v>IMPUESTO SOBRE LAS VENTAS</v>
          </cell>
          <cell r="J6255" t="str">
            <v>CL 15 14 48</v>
          </cell>
          <cell r="K6255" t="str">
            <v>68077</v>
          </cell>
          <cell r="L6255" t="str">
            <v>BARBOSA</v>
          </cell>
          <cell r="M6255" t="str">
            <v>3116344933</v>
          </cell>
        </row>
        <row r="6256">
          <cell r="A6256">
            <v>901532373</v>
          </cell>
          <cell r="B6256" t="str">
            <v>3</v>
          </cell>
          <cell r="C6256" t="str">
            <v/>
          </cell>
          <cell r="D6256" t="str">
            <v>NJ</v>
          </cell>
          <cell r="E6256" t="str">
            <v/>
          </cell>
          <cell r="F6256" t="str">
            <v/>
          </cell>
          <cell r="G6256" t="str">
            <v>HUMAN LEARNING SAS</v>
          </cell>
          <cell r="H6256" t="str">
            <v>IMVE</v>
          </cell>
          <cell r="I6256" t="str">
            <v>IMPUESTO SOBRE LAS VENTAS</v>
          </cell>
          <cell r="J6256" t="str">
            <v xml:space="preserve"> MZ 4 CA 8A - ALTOS DE JAVA  BRR BAJO TABLAZO</v>
          </cell>
          <cell r="K6256" t="str">
            <v>11001</v>
          </cell>
          <cell r="L6256" t="str">
            <v>BOGOTA DC</v>
          </cell>
          <cell r="M6256" t="str">
            <v>3152849531</v>
          </cell>
        </row>
        <row r="6257">
          <cell r="A6257">
            <v>901535136</v>
          </cell>
          <cell r="B6257" t="str">
            <v>8</v>
          </cell>
          <cell r="C6257" t="str">
            <v/>
          </cell>
          <cell r="D6257" t="str">
            <v>NJ</v>
          </cell>
          <cell r="E6257" t="str">
            <v/>
          </cell>
          <cell r="F6257" t="str">
            <v/>
          </cell>
          <cell r="G6257" t="str">
            <v>CONSORCIO SOLUCIONES FOTOVOLTAICAS PUERTO ASIS</v>
          </cell>
          <cell r="H6257" t="str">
            <v>IMVE</v>
          </cell>
          <cell r="I6257" t="str">
            <v>IMPUESTO SOBRE LAS VENTAS</v>
          </cell>
          <cell r="J6257" t="str">
            <v>CL 19 26 51</v>
          </cell>
          <cell r="K6257" t="str">
            <v>81001</v>
          </cell>
          <cell r="L6257" t="str">
            <v>ARAUCA</v>
          </cell>
          <cell r="M6257" t="str">
            <v>3212152228</v>
          </cell>
        </row>
        <row r="6258">
          <cell r="A6258">
            <v>901541201</v>
          </cell>
          <cell r="B6258" t="str">
            <v>3</v>
          </cell>
          <cell r="C6258" t="str">
            <v/>
          </cell>
          <cell r="D6258" t="str">
            <v>NJ</v>
          </cell>
          <cell r="E6258" t="str">
            <v/>
          </cell>
          <cell r="F6258" t="str">
            <v/>
          </cell>
          <cell r="G6258" t="str">
            <v>AGROEXITO LA NOVENA S.A.S.</v>
          </cell>
          <cell r="H6258" t="str">
            <v>RECO</v>
          </cell>
          <cell r="I6258" t="str">
            <v>REGIMEN COMUN</v>
          </cell>
          <cell r="J6258" t="str">
            <v>CL 9 18 30</v>
          </cell>
          <cell r="K6258" t="str">
            <v>15759</v>
          </cell>
          <cell r="L6258" t="str">
            <v>SOGAMOSO</v>
          </cell>
          <cell r="M6258" t="str">
            <v>3108822768</v>
          </cell>
        </row>
        <row r="6259">
          <cell r="A6259">
            <v>901541876</v>
          </cell>
          <cell r="B6259" t="str">
            <v>4</v>
          </cell>
          <cell r="C6259" t="str">
            <v/>
          </cell>
          <cell r="D6259" t="str">
            <v>NJ</v>
          </cell>
          <cell r="E6259" t="str">
            <v/>
          </cell>
          <cell r="F6259" t="str">
            <v/>
          </cell>
          <cell r="G6259" t="str">
            <v>SOL DE LAS CIÉNAGAS S.A.S. E.S.P.</v>
          </cell>
          <cell r="H6259" t="str">
            <v>IMVE</v>
          </cell>
          <cell r="I6259" t="str">
            <v>IMPUESTO SOBRE LAS VENTAS</v>
          </cell>
          <cell r="J6259" t="str">
            <v>CL 70 BIS 4 41</v>
          </cell>
          <cell r="K6259" t="str">
            <v>17001</v>
          </cell>
          <cell r="L6259" t="str">
            <v>MANIZALES</v>
          </cell>
          <cell r="M6259" t="str">
            <v>6016354426</v>
          </cell>
        </row>
        <row r="6260">
          <cell r="A6260">
            <v>901544212</v>
          </cell>
          <cell r="B6260" t="str">
            <v>8</v>
          </cell>
          <cell r="C6260" t="str">
            <v/>
          </cell>
          <cell r="D6260" t="str">
            <v>NJ</v>
          </cell>
          <cell r="E6260" t="str">
            <v/>
          </cell>
          <cell r="F6260" t="str">
            <v/>
          </cell>
          <cell r="G6260" t="str">
            <v>CONSORCIO PROCTEK GROUP</v>
          </cell>
          <cell r="H6260" t="str">
            <v>IMVE</v>
          </cell>
          <cell r="I6260" t="str">
            <v>IMPUESTO SOBRE LAS VENTAS</v>
          </cell>
          <cell r="J6260" t="str">
            <v xml:space="preserve"> CR 50  134  66</v>
          </cell>
          <cell r="K6260" t="str">
            <v>11001</v>
          </cell>
          <cell r="L6260" t="str">
            <v>BOGOTA DC</v>
          </cell>
          <cell r="M6260" t="str">
            <v>7438828</v>
          </cell>
        </row>
        <row r="6261">
          <cell r="A6261">
            <v>901544737</v>
          </cell>
          <cell r="B6261" t="str">
            <v>2</v>
          </cell>
          <cell r="C6261" t="str">
            <v/>
          </cell>
          <cell r="D6261" t="str">
            <v>NJ</v>
          </cell>
          <cell r="E6261" t="str">
            <v/>
          </cell>
          <cell r="F6261" t="str">
            <v/>
          </cell>
          <cell r="G6261" t="str">
            <v>UNION TEMPORAL CONFEYMA 2021</v>
          </cell>
          <cell r="H6261" t="str">
            <v>IMVE</v>
          </cell>
          <cell r="I6261" t="str">
            <v>IMPUESTO SOBRE LAS VENTAS</v>
          </cell>
          <cell r="J6261" t="str">
            <v xml:space="preserve"> CR 10 17 66 OF 401</v>
          </cell>
          <cell r="K6261" t="str">
            <v>15104</v>
          </cell>
          <cell r="L6261" t="str">
            <v>BOYACA</v>
          </cell>
          <cell r="M6261" t="str">
            <v>3136710314</v>
          </cell>
        </row>
        <row r="6262">
          <cell r="A6262">
            <v>901545849</v>
          </cell>
          <cell r="B6262" t="str">
            <v>3</v>
          </cell>
          <cell r="C6262" t="str">
            <v/>
          </cell>
          <cell r="D6262" t="str">
            <v>NJ</v>
          </cell>
          <cell r="E6262" t="str">
            <v/>
          </cell>
          <cell r="F6262" t="str">
            <v/>
          </cell>
          <cell r="G6262" t="str">
            <v>CONSORCIO EDIFICACIONES 2021</v>
          </cell>
          <cell r="H6262" t="str">
            <v>IMVE</v>
          </cell>
          <cell r="I6262" t="str">
            <v>IMPUESTO SOBRE LAS VENTAS</v>
          </cell>
          <cell r="J6262" t="str">
            <v>CL 151 111 A 25</v>
          </cell>
          <cell r="K6262" t="str">
            <v>03</v>
          </cell>
          <cell r="L6262" t="str">
            <v>BOGOTA</v>
          </cell>
          <cell r="M6262" t="str">
            <v>CL 151 111 A 25</v>
          </cell>
        </row>
        <row r="6263">
          <cell r="A6263">
            <v>901551792</v>
          </cell>
          <cell r="B6263" t="str">
            <v>7</v>
          </cell>
          <cell r="C6263" t="str">
            <v/>
          </cell>
          <cell r="D6263" t="str">
            <v>NJ</v>
          </cell>
          <cell r="E6263" t="str">
            <v/>
          </cell>
          <cell r="F6263" t="str">
            <v/>
          </cell>
          <cell r="G6263" t="str">
            <v>PROYECTOS E INVERSIONES ORO NEGRO SAS</v>
          </cell>
          <cell r="H6263" t="str">
            <v>IMVE</v>
          </cell>
          <cell r="I6263" t="str">
            <v>IMPUESTO SOBRE LAS VENTAS</v>
          </cell>
          <cell r="J6263" t="str">
            <v>CL 26 20 48 IN 10</v>
          </cell>
          <cell r="K6263" t="str">
            <v>17001</v>
          </cell>
          <cell r="L6263" t="str">
            <v>MANIZALES</v>
          </cell>
          <cell r="M6263" t="str">
            <v>3122879248</v>
          </cell>
        </row>
        <row r="6264">
          <cell r="A6264">
            <v>901552810</v>
          </cell>
          <cell r="B6264" t="str">
            <v>6</v>
          </cell>
          <cell r="C6264" t="str">
            <v/>
          </cell>
          <cell r="D6264" t="str">
            <v>NJ</v>
          </cell>
          <cell r="E6264" t="str">
            <v/>
          </cell>
          <cell r="F6264" t="str">
            <v/>
          </cell>
          <cell r="G6264" t="str">
            <v>CONSORCIO VISION ENERGY</v>
          </cell>
          <cell r="H6264" t="str">
            <v>IMVE</v>
          </cell>
          <cell r="I6264" t="str">
            <v>IMPUESTO SOBRE LAS VENTAS</v>
          </cell>
          <cell r="J6264" t="str">
            <v>CR 64 A 5 30 BRR LIMONAR</v>
          </cell>
          <cell r="K6264" t="str">
            <v>76001</v>
          </cell>
          <cell r="L6264" t="str">
            <v>CALI</v>
          </cell>
          <cell r="M6264" t="str">
            <v>3842963</v>
          </cell>
        </row>
        <row r="6265">
          <cell r="A6265">
            <v>901555235</v>
          </cell>
          <cell r="B6265" t="str">
            <v>4</v>
          </cell>
          <cell r="C6265" t="str">
            <v/>
          </cell>
          <cell r="D6265" t="str">
            <v>NJ</v>
          </cell>
          <cell r="E6265" t="str">
            <v/>
          </cell>
          <cell r="F6265" t="str">
            <v/>
          </cell>
          <cell r="G6265" t="str">
            <v>SPK LA UNIÓN S.A.S. E.S.P</v>
          </cell>
          <cell r="H6265" t="str">
            <v>IMVE</v>
          </cell>
          <cell r="I6265" t="str">
            <v>IMPUESTO SOBRE LAS VENTAS</v>
          </cell>
          <cell r="J6265" t="str">
            <v>CR 11 77 A 49 OF 602</v>
          </cell>
          <cell r="K6265" t="str">
            <v>17001</v>
          </cell>
          <cell r="L6265" t="str">
            <v>MANIZALES</v>
          </cell>
          <cell r="M6265" t="str">
            <v>3118995235</v>
          </cell>
        </row>
        <row r="6266">
          <cell r="A6266">
            <v>901555240</v>
          </cell>
          <cell r="B6266" t="str">
            <v>1</v>
          </cell>
          <cell r="C6266" t="str">
            <v/>
          </cell>
          <cell r="D6266" t="str">
            <v>NJ</v>
          </cell>
          <cell r="E6266" t="str">
            <v/>
          </cell>
          <cell r="F6266" t="str">
            <v/>
          </cell>
          <cell r="G6266" t="str">
            <v>SPK LA MATA S.A.S E.S.P</v>
          </cell>
          <cell r="H6266" t="str">
            <v>IMVE</v>
          </cell>
          <cell r="I6266" t="str">
            <v>IMPUESTO SOBRE LAS VENTAS</v>
          </cell>
          <cell r="J6266" t="str">
            <v>CR 11 77 A 49 OF 602</v>
          </cell>
          <cell r="K6266" t="str">
            <v>17001</v>
          </cell>
          <cell r="L6266" t="str">
            <v>MANIZALES</v>
          </cell>
          <cell r="M6266" t="str">
            <v>3118995235</v>
          </cell>
        </row>
        <row r="6267">
          <cell r="A6267">
            <v>901557463</v>
          </cell>
          <cell r="B6267" t="str">
            <v>6</v>
          </cell>
          <cell r="C6267" t="str">
            <v/>
          </cell>
          <cell r="D6267" t="str">
            <v>NJ</v>
          </cell>
          <cell r="E6267" t="str">
            <v/>
          </cell>
          <cell r="F6267" t="str">
            <v/>
          </cell>
          <cell r="G6267" t="str">
            <v>AXCES CAPITAL S.A.S.</v>
          </cell>
          <cell r="H6267" t="str">
            <v>IMVE</v>
          </cell>
          <cell r="I6267" t="str">
            <v>IMPUESTO SOBRE LAS VENTAS</v>
          </cell>
          <cell r="J6267" t="str">
            <v>CL 7 SUR 42 70 OF 1801</v>
          </cell>
          <cell r="K6267" t="str">
            <v>05002</v>
          </cell>
          <cell r="L6267" t="str">
            <v>MEDELLIN</v>
          </cell>
          <cell r="M6267" t="str">
            <v>6043786666</v>
          </cell>
        </row>
        <row r="6268">
          <cell r="A6268">
            <v>901557572</v>
          </cell>
          <cell r="B6268" t="str">
            <v>0</v>
          </cell>
          <cell r="C6268" t="str">
            <v/>
          </cell>
          <cell r="D6268" t="str">
            <v>NJ</v>
          </cell>
          <cell r="E6268" t="str">
            <v/>
          </cell>
          <cell r="F6268" t="str">
            <v/>
          </cell>
          <cell r="G6268" t="str">
            <v>COMERCIALIZACIÓN Y EXPLOTACIÓN DE CARBONES TERMICOS S.A.S</v>
          </cell>
          <cell r="H6268" t="str">
            <v>REOR</v>
          </cell>
          <cell r="I6268" t="str">
            <v>RENTA REGIMEN ORDINARIO</v>
          </cell>
          <cell r="J6268" t="str">
            <v>CL 24 9 BIS 15</v>
          </cell>
          <cell r="K6268" t="str">
            <v>15759</v>
          </cell>
          <cell r="L6268" t="str">
            <v>SOGAMOSO</v>
          </cell>
          <cell r="M6268" t="str">
            <v>3136860066</v>
          </cell>
        </row>
        <row r="6269">
          <cell r="A6269">
            <v>901559099</v>
          </cell>
          <cell r="B6269" t="str">
            <v>7</v>
          </cell>
          <cell r="C6269" t="str">
            <v/>
          </cell>
          <cell r="D6269" t="str">
            <v>NJ</v>
          </cell>
          <cell r="E6269" t="str">
            <v/>
          </cell>
          <cell r="F6269" t="str">
            <v/>
          </cell>
          <cell r="G6269" t="str">
            <v>CONSORCIO ENERGIZANDO ANTIOQUIA</v>
          </cell>
          <cell r="H6269" t="str">
            <v>IMVE</v>
          </cell>
          <cell r="I6269" t="str">
            <v>IMPUESTO SOBRE LAS VENTAS</v>
          </cell>
          <cell r="J6269" t="str">
            <v xml:space="preserve"> C  R  A 27 A  78 58</v>
          </cell>
          <cell r="K6269" t="str">
            <v>11001</v>
          </cell>
          <cell r="L6269" t="str">
            <v>BOGOTA DC</v>
          </cell>
          <cell r="M6269" t="str">
            <v>3108668354</v>
          </cell>
        </row>
        <row r="6270">
          <cell r="A6270">
            <v>901560216</v>
          </cell>
          <cell r="B6270" t="str">
            <v>4</v>
          </cell>
          <cell r="C6270" t="str">
            <v/>
          </cell>
          <cell r="D6270" t="str">
            <v>NJ</v>
          </cell>
          <cell r="E6270" t="str">
            <v/>
          </cell>
          <cell r="F6270" t="str">
            <v/>
          </cell>
          <cell r="G6270" t="str">
            <v>CARBONES LA ACACIA SAS</v>
          </cell>
          <cell r="H6270" t="str">
            <v>REOR</v>
          </cell>
          <cell r="I6270" t="str">
            <v>RENTA REGIMEN ORDINARIO</v>
          </cell>
          <cell r="J6270" t="str">
            <v>CL 18 8 76</v>
          </cell>
          <cell r="K6270" t="str">
            <v>25843</v>
          </cell>
          <cell r="L6270" t="str">
            <v>VILLA DE SAN DIEGO DE UBATE</v>
          </cell>
          <cell r="M6270" t="str">
            <v>3232098268</v>
          </cell>
        </row>
        <row r="6271">
          <cell r="A6271">
            <v>901563240</v>
          </cell>
          <cell r="B6271" t="str">
            <v>5</v>
          </cell>
          <cell r="C6271" t="str">
            <v/>
          </cell>
          <cell r="D6271" t="str">
            <v>NJ</v>
          </cell>
          <cell r="E6271" t="str">
            <v/>
          </cell>
          <cell r="F6271" t="str">
            <v/>
          </cell>
          <cell r="G6271" t="str">
            <v>MIRLO CONSTRUCCIONES S.A.S</v>
          </cell>
          <cell r="H6271" t="str">
            <v>IMVE</v>
          </cell>
          <cell r="I6271" t="str">
            <v>IMPUESTO SOBRE LAS VENTAS</v>
          </cell>
          <cell r="J6271" t="str">
            <v>CL 11 10 36 ED OPORTO OF</v>
          </cell>
          <cell r="K6271" t="str">
            <v>17001</v>
          </cell>
          <cell r="L6271" t="str">
            <v>MANIZALES</v>
          </cell>
          <cell r="M6271" t="str">
            <v>3242799585</v>
          </cell>
        </row>
        <row r="6272">
          <cell r="A6272">
            <v>901575261</v>
          </cell>
          <cell r="B6272" t="str">
            <v>1</v>
          </cell>
          <cell r="C6272" t="str">
            <v/>
          </cell>
          <cell r="D6272" t="str">
            <v>NJ</v>
          </cell>
          <cell r="E6272" t="str">
            <v/>
          </cell>
          <cell r="F6272" t="str">
            <v/>
          </cell>
          <cell r="G6272" t="str">
            <v>RESTAURANTE VILLA MORENO EL LEGADO SAS</v>
          </cell>
          <cell r="H6272" t="str">
            <v>IMVE</v>
          </cell>
          <cell r="I6272" t="str">
            <v>IMPUESTO SOBRE LAS VENTAS</v>
          </cell>
          <cell r="J6272" t="str">
            <v>VDA CHAMEZA MAYOR SECTOR ALTO</v>
          </cell>
          <cell r="K6272" t="str">
            <v>15491</v>
          </cell>
          <cell r="L6272" t="str">
            <v>NOBSA</v>
          </cell>
          <cell r="M6272" t="str">
            <v>3209692332</v>
          </cell>
        </row>
        <row r="6273">
          <cell r="A6273">
            <v>901579608</v>
          </cell>
          <cell r="B6273" t="str">
            <v>1</v>
          </cell>
          <cell r="C6273" t="str">
            <v/>
          </cell>
          <cell r="D6273" t="str">
            <v>NJ</v>
          </cell>
          <cell r="E6273" t="str">
            <v/>
          </cell>
          <cell r="F6273" t="str">
            <v/>
          </cell>
          <cell r="G6273" t="str">
            <v>MINERALES E INVERSIONES JR S.A.S</v>
          </cell>
          <cell r="H6273" t="str">
            <v>IMVE</v>
          </cell>
          <cell r="I6273" t="str">
            <v>IMPUESTO SOBRE LAS VENTAS</v>
          </cell>
          <cell r="J6273" t="str">
            <v>CL 33 14 75 CA 29</v>
          </cell>
          <cell r="K6273" t="str">
            <v>15516</v>
          </cell>
          <cell r="L6273" t="str">
            <v>PAIPA</v>
          </cell>
          <cell r="M6273" t="str">
            <v>3105549475</v>
          </cell>
        </row>
        <row r="6274">
          <cell r="A6274">
            <v>901580183</v>
          </cell>
          <cell r="B6274" t="str">
            <v>5</v>
          </cell>
          <cell r="C6274" t="str">
            <v/>
          </cell>
          <cell r="D6274" t="str">
            <v>NJ</v>
          </cell>
          <cell r="E6274" t="str">
            <v/>
          </cell>
          <cell r="F6274" t="str">
            <v/>
          </cell>
          <cell r="G6274" t="str">
            <v>HOTEL VANGUARDIA NATURAL S.A.S.</v>
          </cell>
          <cell r="H6274" t="str">
            <v>IMVE</v>
          </cell>
          <cell r="I6274" t="str">
            <v>IMPUESTO SOBRE LAS VENTAS</v>
          </cell>
          <cell r="J6274" t="str">
            <v>KM 1 VIA RESTREPO VDA VANGUARDIA</v>
          </cell>
          <cell r="K6274" t="str">
            <v>50001</v>
          </cell>
          <cell r="L6274" t="str">
            <v>VILLAVICENCIO</v>
          </cell>
          <cell r="M6274" t="str">
            <v>3153253245</v>
          </cell>
        </row>
        <row r="6275">
          <cell r="A6275">
            <v>901580341</v>
          </cell>
          <cell r="B6275" t="str">
            <v>2</v>
          </cell>
          <cell r="C6275" t="str">
            <v/>
          </cell>
          <cell r="D6275" t="str">
            <v>NJ</v>
          </cell>
          <cell r="E6275" t="str">
            <v/>
          </cell>
          <cell r="F6275" t="str">
            <v/>
          </cell>
          <cell r="G6275" t="str">
            <v>SOCIEDAD CARBONERAS DE LOS ANDES SAS</v>
          </cell>
          <cell r="H6275" t="str">
            <v>RST</v>
          </cell>
          <cell r="I6275" t="str">
            <v>REGIMEN SIMPLE DE TRIBUTACION</v>
          </cell>
          <cell r="J6275" t="str">
            <v>CR 57 B 128 B 63 AP 207</v>
          </cell>
          <cell r="K6275" t="str">
            <v>11001</v>
          </cell>
          <cell r="L6275" t="str">
            <v>BOGOTA DC</v>
          </cell>
          <cell r="M6275" t="str">
            <v>3208136000</v>
          </cell>
        </row>
        <row r="6276">
          <cell r="A6276">
            <v>901591388</v>
          </cell>
          <cell r="B6276" t="str">
            <v>5</v>
          </cell>
          <cell r="C6276" t="str">
            <v/>
          </cell>
          <cell r="D6276" t="str">
            <v>NJ</v>
          </cell>
          <cell r="E6276" t="str">
            <v/>
          </cell>
          <cell r="F6276" t="str">
            <v/>
          </cell>
          <cell r="G6276" t="str">
            <v>CONSORCIO NUEVA ENERGIA SANTANDER</v>
          </cell>
          <cell r="H6276" t="str">
            <v>IMVE</v>
          </cell>
          <cell r="I6276" t="str">
            <v>IMPUESTO SOBRE LAS VENTAS</v>
          </cell>
          <cell r="J6276" t="str">
            <v>CL 14 C 64 A 70 OF 302 K</v>
          </cell>
          <cell r="K6276" t="str">
            <v>76001</v>
          </cell>
          <cell r="L6276" t="str">
            <v>CALI</v>
          </cell>
          <cell r="M6276" t="str">
            <v>3108852238</v>
          </cell>
        </row>
        <row r="6277">
          <cell r="A6277">
            <v>901592114</v>
          </cell>
          <cell r="B6277" t="str">
            <v>9</v>
          </cell>
          <cell r="C6277" t="str">
            <v/>
          </cell>
          <cell r="D6277" t="str">
            <v>NJ</v>
          </cell>
          <cell r="E6277" t="str">
            <v/>
          </cell>
          <cell r="F6277" t="str">
            <v/>
          </cell>
          <cell r="G6277" t="str">
            <v>CONSORCIO SFTV TIQUISIO</v>
          </cell>
          <cell r="H6277" t="str">
            <v>IMVE</v>
          </cell>
          <cell r="I6277" t="str">
            <v>IMPUESTO SOBRE LAS VENTAS</v>
          </cell>
          <cell r="J6277" t="str">
            <v>CL 23 66 39 IN 4 AP 501</v>
          </cell>
          <cell r="K6277" t="str">
            <v>11001</v>
          </cell>
          <cell r="L6277" t="str">
            <v>BOGOTA DC</v>
          </cell>
          <cell r="M6277" t="str">
            <v>3105762660</v>
          </cell>
        </row>
        <row r="6278">
          <cell r="A6278">
            <v>901594702</v>
          </cell>
          <cell r="B6278" t="str">
            <v>9</v>
          </cell>
          <cell r="C6278" t="str">
            <v/>
          </cell>
          <cell r="D6278" t="str">
            <v>NJ</v>
          </cell>
          <cell r="E6278" t="str">
            <v/>
          </cell>
          <cell r="F6278" t="str">
            <v/>
          </cell>
          <cell r="G6278" t="str">
            <v>SOCIEDAD MEDICA DE ESPECIALISTAS DE BOYACA SOMED IPS SAS</v>
          </cell>
          <cell r="H6278" t="str">
            <v>IMVE</v>
          </cell>
          <cell r="I6278" t="str">
            <v>IMPUESTO SOBRE LAS VENTAS</v>
          </cell>
          <cell r="J6278" t="str">
            <v>LC 10 CC VILLA PLAZA VILLA DE LEYVA BRR MONQUIRA</v>
          </cell>
          <cell r="K6278" t="str">
            <v>17001</v>
          </cell>
          <cell r="L6278" t="str">
            <v>MANIZALES</v>
          </cell>
          <cell r="M6278" t="str">
            <v>3209511881</v>
          </cell>
        </row>
        <row r="6279">
          <cell r="A6279">
            <v>901598738</v>
          </cell>
          <cell r="B6279" t="str">
            <v>1</v>
          </cell>
          <cell r="C6279" t="str">
            <v/>
          </cell>
          <cell r="D6279" t="str">
            <v>NJ</v>
          </cell>
          <cell r="E6279" t="str">
            <v/>
          </cell>
          <cell r="F6279" t="str">
            <v/>
          </cell>
          <cell r="G6279" t="str">
            <v>CARBONES Y TRITURADOS SAN PEDRO S.A.S</v>
          </cell>
          <cell r="H6279" t="str">
            <v>IMVE</v>
          </cell>
          <cell r="I6279" t="str">
            <v>IMPUESTO SOBRE LAS VENTAS</v>
          </cell>
          <cell r="J6279" t="str">
            <v xml:space="preserve"> CR 12 C  58 A  21 P 2</v>
          </cell>
          <cell r="K6279" t="str">
            <v>17001</v>
          </cell>
          <cell r="L6279" t="str">
            <v>MANIZALES</v>
          </cell>
          <cell r="M6279" t="str">
            <v>3212461192</v>
          </cell>
        </row>
        <row r="6280">
          <cell r="A6280">
            <v>901603022</v>
          </cell>
          <cell r="B6280" t="str">
            <v>9</v>
          </cell>
          <cell r="C6280" t="str">
            <v/>
          </cell>
          <cell r="D6280" t="str">
            <v>NJ</v>
          </cell>
          <cell r="E6280" t="str">
            <v/>
          </cell>
          <cell r="F6280" t="str">
            <v/>
          </cell>
          <cell r="G6280" t="str">
            <v>ARISTA CONSULTING INTERNATIONAL GROUP SAS BIC</v>
          </cell>
          <cell r="H6280" t="str">
            <v>IMVE</v>
          </cell>
          <cell r="I6280" t="str">
            <v>IMPUESTO SOBRE LAS VENTAS</v>
          </cell>
          <cell r="J6280" t="str">
            <v>CL 19 8 34 OF 1307</v>
          </cell>
          <cell r="K6280" t="str">
            <v>17001</v>
          </cell>
          <cell r="L6280" t="str">
            <v>MANIZALES</v>
          </cell>
          <cell r="M6280" t="str">
            <v>3128329290</v>
          </cell>
        </row>
        <row r="6281">
          <cell r="A6281">
            <v>901611892</v>
          </cell>
          <cell r="B6281" t="str">
            <v>3</v>
          </cell>
          <cell r="C6281" t="str">
            <v/>
          </cell>
          <cell r="D6281" t="str">
            <v>NJ</v>
          </cell>
          <cell r="E6281" t="str">
            <v/>
          </cell>
          <cell r="F6281" t="str">
            <v/>
          </cell>
          <cell r="G6281" t="str">
            <v>PRONTO TURISMO  S.A.S.</v>
          </cell>
          <cell r="H6281" t="str">
            <v>IMVE</v>
          </cell>
          <cell r="I6281" t="str">
            <v>IMPUESTO SOBRE LAS VENTAS</v>
          </cell>
          <cell r="J6281" t="str">
            <v>AER ALFONSO BONILLA ARAGON LOCAL 3220</v>
          </cell>
          <cell r="K6281" t="str">
            <v>76520</v>
          </cell>
          <cell r="L6281" t="str">
            <v>PALMIRA</v>
          </cell>
          <cell r="M6281" t="str">
            <v>3176483811</v>
          </cell>
        </row>
        <row r="6282">
          <cell r="A6282">
            <v>901622582</v>
          </cell>
          <cell r="B6282" t="str">
            <v>2</v>
          </cell>
          <cell r="C6282" t="str">
            <v/>
          </cell>
          <cell r="D6282" t="str">
            <v>NJ</v>
          </cell>
          <cell r="E6282" t="str">
            <v/>
          </cell>
          <cell r="F6282" t="str">
            <v/>
          </cell>
          <cell r="G6282" t="str">
            <v>ASOCIACION PARA EL DESARROLLO AGROPESQUERO Y AMBIENTAL DEL PACIF</v>
          </cell>
          <cell r="H6282" t="str">
            <v>IMVE</v>
          </cell>
          <cell r="I6282" t="str">
            <v>IMPUESTO SOBRE LAS VENTAS</v>
          </cell>
          <cell r="J6282" t="str">
            <v>BRR FILLO CASTRO AUT AVV</v>
          </cell>
          <cell r="K6282" t="str">
            <v>27075</v>
          </cell>
          <cell r="L6282" t="str">
            <v>BAHÍA SOLANO</v>
          </cell>
          <cell r="M6282" t="str">
            <v>3207553699</v>
          </cell>
        </row>
        <row r="6283">
          <cell r="A6283">
            <v>901623027</v>
          </cell>
          <cell r="B6283" t="str">
            <v>0</v>
          </cell>
          <cell r="C6283" t="str">
            <v/>
          </cell>
          <cell r="D6283" t="str">
            <v>NJ</v>
          </cell>
          <cell r="E6283" t="str">
            <v/>
          </cell>
          <cell r="F6283" t="str">
            <v/>
          </cell>
          <cell r="G6283" t="str">
            <v>CARBONES A S.A.S</v>
          </cell>
          <cell r="H6283" t="str">
            <v>RST</v>
          </cell>
          <cell r="I6283" t="str">
            <v>REGIMEN SIMPLE DE TRIBUTACION</v>
          </cell>
          <cell r="J6283" t="str">
            <v xml:space="preserve"> CR 17 26 A 15</v>
          </cell>
          <cell r="K6283" t="str">
            <v>15516</v>
          </cell>
          <cell r="L6283" t="str">
            <v>PAIPA</v>
          </cell>
          <cell r="M6283" t="str">
            <v>3212195791</v>
          </cell>
        </row>
        <row r="6284">
          <cell r="A6284">
            <v>901636055</v>
          </cell>
          <cell r="B6284" t="str">
            <v>3</v>
          </cell>
          <cell r="C6284" t="str">
            <v/>
          </cell>
          <cell r="D6284" t="str">
            <v>NJ</v>
          </cell>
          <cell r="E6284" t="str">
            <v/>
          </cell>
          <cell r="F6284" t="str">
            <v/>
          </cell>
          <cell r="G6284" t="str">
            <v>COMERCIALIZADORA OFFICETECH S.A.S</v>
          </cell>
          <cell r="H6284" t="str">
            <v>IMVE</v>
          </cell>
          <cell r="I6284" t="str">
            <v>IMPUESTO SOBRE LAS VENTAS</v>
          </cell>
          <cell r="J6284" t="str">
            <v xml:space="preserve"> CR 13 9 95</v>
          </cell>
          <cell r="K6284" t="str">
            <v>15001</v>
          </cell>
          <cell r="L6284" t="str">
            <v>TUNJA</v>
          </cell>
          <cell r="M6284" t="str">
            <v>3103252942</v>
          </cell>
        </row>
        <row r="6285">
          <cell r="A6285">
            <v>901640642</v>
          </cell>
          <cell r="B6285" t="str">
            <v>2</v>
          </cell>
          <cell r="C6285" t="str">
            <v/>
          </cell>
          <cell r="D6285" t="str">
            <v>NJ</v>
          </cell>
          <cell r="E6285" t="str">
            <v/>
          </cell>
          <cell r="F6285" t="str">
            <v/>
          </cell>
          <cell r="G6285" t="str">
            <v>KAIROS COAL CONSTRUCCIONES SAS</v>
          </cell>
          <cell r="H6285" t="str">
            <v>IMVE</v>
          </cell>
          <cell r="I6285" t="str">
            <v>IMPUESTO SOBRE LAS VENTAS</v>
          </cell>
          <cell r="J6285" t="str">
            <v xml:space="preserve"> MCP VEREDA SAN JOSE SECTOR EL OLIVO</v>
          </cell>
          <cell r="K6285" t="str">
            <v>15759</v>
          </cell>
          <cell r="L6285" t="str">
            <v>SOGAMOSO</v>
          </cell>
          <cell r="M6285" t="str">
            <v>3214523512</v>
          </cell>
        </row>
        <row r="6286">
          <cell r="A6286">
            <v>901642556</v>
          </cell>
          <cell r="B6286" t="str">
            <v>6</v>
          </cell>
          <cell r="C6286" t="str">
            <v/>
          </cell>
          <cell r="D6286" t="str">
            <v>NJ</v>
          </cell>
          <cell r="E6286" t="str">
            <v/>
          </cell>
          <cell r="F6286" t="str">
            <v/>
          </cell>
          <cell r="G6286" t="str">
            <v>INGTECNOVA S.A.S</v>
          </cell>
          <cell r="H6286" t="str">
            <v>RST</v>
          </cell>
          <cell r="I6286" t="str">
            <v>REGIMEN SIMPLE DE TRIBUTACION</v>
          </cell>
          <cell r="J6286" t="str">
            <v>CR 50 104 B 37 P T 505</v>
          </cell>
          <cell r="K6286" t="str">
            <v>11001</v>
          </cell>
          <cell r="L6286" t="str">
            <v>BOGOTA DC</v>
          </cell>
          <cell r="M6286" t="str">
            <v>3164954382</v>
          </cell>
        </row>
        <row r="6287">
          <cell r="A6287">
            <v>901665856</v>
          </cell>
          <cell r="B6287" t="str">
            <v>1</v>
          </cell>
          <cell r="C6287" t="str">
            <v/>
          </cell>
          <cell r="D6287" t="str">
            <v>NJ</v>
          </cell>
          <cell r="E6287" t="str">
            <v/>
          </cell>
          <cell r="F6287" t="str">
            <v/>
          </cell>
          <cell r="G6287" t="str">
            <v>CONSORCIO TUBERIAS 2022</v>
          </cell>
          <cell r="H6287" t="str">
            <v>IMVE</v>
          </cell>
          <cell r="I6287" t="str">
            <v>IMPUESTO SOBRE LAS VENTAS</v>
          </cell>
          <cell r="J6287" t="str">
            <v>CR 10 15 35</v>
          </cell>
          <cell r="K6287" t="str">
            <v>15759</v>
          </cell>
          <cell r="L6287" t="str">
            <v>SOGAMOSO</v>
          </cell>
          <cell r="M6287" t="str">
            <v>3134222981</v>
          </cell>
        </row>
        <row r="6288">
          <cell r="A6288">
            <v>901669792</v>
          </cell>
          <cell r="B6288" t="str">
            <v>5</v>
          </cell>
          <cell r="C6288" t="str">
            <v/>
          </cell>
          <cell r="D6288" t="str">
            <v>NJ</v>
          </cell>
          <cell r="E6288" t="str">
            <v/>
          </cell>
          <cell r="F6288" t="str">
            <v/>
          </cell>
          <cell r="G6288" t="str">
            <v>OP INGENIERIA Y MINAS SAS</v>
          </cell>
          <cell r="H6288" t="str">
            <v>IMVE</v>
          </cell>
          <cell r="I6288" t="str">
            <v>IMPUESTO SOBRE LAS VENTAS</v>
          </cell>
          <cell r="J6288" t="str">
            <v xml:space="preserve"> CL 14 9 54  O  F  C  202</v>
          </cell>
          <cell r="K6288" t="str">
            <v>15759</v>
          </cell>
          <cell r="L6288" t="str">
            <v>SOGAMOSO</v>
          </cell>
          <cell r="M6288" t="str">
            <v>3175741497</v>
          </cell>
        </row>
        <row r="6289">
          <cell r="A6289">
            <v>901673364</v>
          </cell>
          <cell r="B6289" t="str">
            <v>1</v>
          </cell>
          <cell r="C6289" t="str">
            <v/>
          </cell>
          <cell r="D6289" t="str">
            <v>NJ</v>
          </cell>
          <cell r="E6289" t="str">
            <v/>
          </cell>
          <cell r="F6289" t="str">
            <v/>
          </cell>
          <cell r="G6289" t="str">
            <v>CARBONES PRO UNO S.A.S.</v>
          </cell>
          <cell r="H6289" t="str">
            <v>RST</v>
          </cell>
          <cell r="I6289" t="str">
            <v>REGIMEN SIMPLE DE TRIBUTACION</v>
          </cell>
          <cell r="J6289" t="str">
            <v>CR 4 5 47</v>
          </cell>
          <cell r="K6289" t="str">
            <v>15296</v>
          </cell>
          <cell r="L6289" t="str">
            <v>GAMEZA</v>
          </cell>
          <cell r="M6289" t="str">
            <v>3112647462</v>
          </cell>
        </row>
        <row r="6290">
          <cell r="A6290">
            <v>901686440</v>
          </cell>
          <cell r="B6290" t="str">
            <v>1</v>
          </cell>
          <cell r="C6290" t="str">
            <v/>
          </cell>
          <cell r="D6290" t="str">
            <v>NJ</v>
          </cell>
          <cell r="E6290" t="str">
            <v/>
          </cell>
          <cell r="F6290" t="str">
            <v/>
          </cell>
          <cell r="G6290" t="str">
            <v>INTRADING CORP S.A.S</v>
          </cell>
          <cell r="H6290" t="str">
            <v>IMVE</v>
          </cell>
          <cell r="I6290" t="str">
            <v>IMPUESTO SOBRE LAS VENTAS</v>
          </cell>
          <cell r="J6290" t="str">
            <v>CL 20 B SUR 38 55 AP 504 ED BORINQUEN</v>
          </cell>
          <cell r="K6290" t="str">
            <v>05002</v>
          </cell>
          <cell r="L6290" t="str">
            <v>MEDELLIN</v>
          </cell>
          <cell r="M6290" t="str">
            <v>3233049747</v>
          </cell>
        </row>
        <row r="6291">
          <cell r="A6291">
            <v>901724557</v>
          </cell>
          <cell r="B6291" t="str">
            <v>6</v>
          </cell>
          <cell r="C6291" t="str">
            <v/>
          </cell>
          <cell r="D6291" t="str">
            <v>NJ</v>
          </cell>
          <cell r="E6291" t="str">
            <v/>
          </cell>
          <cell r="F6291" t="str">
            <v/>
          </cell>
          <cell r="G6291" t="str">
            <v>CONSORCIO ROSERIA</v>
          </cell>
          <cell r="H6291" t="str">
            <v>IMVE</v>
          </cell>
          <cell r="I6291" t="str">
            <v>IMPUESTO SOBRE LAS VENTAS</v>
          </cell>
          <cell r="J6291" t="str">
            <v xml:space="preserve"> CL 14 #4-69 BARRIO NAVARRO BONILLA</v>
          </cell>
          <cell r="K6291" t="str">
            <v>97001</v>
          </cell>
          <cell r="L6291" t="str">
            <v>MITÚ</v>
          </cell>
          <cell r="M6291" t="str">
            <v>3103178418</v>
          </cell>
        </row>
        <row r="6292">
          <cell r="A6292">
            <v>901725422</v>
          </cell>
          <cell r="B6292" t="str">
            <v>5</v>
          </cell>
          <cell r="C6292" t="str">
            <v/>
          </cell>
          <cell r="D6292" t="str">
            <v>NJ</v>
          </cell>
          <cell r="E6292" t="str">
            <v/>
          </cell>
          <cell r="F6292" t="str">
            <v/>
          </cell>
          <cell r="G6292" t="str">
            <v>CONSORCIO GENSA 2023</v>
          </cell>
          <cell r="H6292" t="str">
            <v>IMVE</v>
          </cell>
          <cell r="I6292" t="str">
            <v>IMPUESTO SOBRE LAS VENTAS</v>
          </cell>
          <cell r="J6292" t="str">
            <v>CR 12 93 78</v>
          </cell>
          <cell r="K6292" t="str">
            <v>11001</v>
          </cell>
          <cell r="L6292" t="str">
            <v>BOGOTA DC</v>
          </cell>
          <cell r="M6292" t="str">
            <v>3183696612</v>
          </cell>
        </row>
        <row r="6293">
          <cell r="A6293">
            <v>901736889</v>
          </cell>
          <cell r="B6293" t="str">
            <v>8</v>
          </cell>
          <cell r="C6293" t="str">
            <v/>
          </cell>
          <cell r="D6293" t="str">
            <v>NJ</v>
          </cell>
          <cell r="E6293" t="str">
            <v/>
          </cell>
          <cell r="F6293" t="str">
            <v/>
          </cell>
          <cell r="G6293" t="str">
            <v>CARBOMINERS SAS</v>
          </cell>
          <cell r="H6293" t="str">
            <v>REOR</v>
          </cell>
          <cell r="I6293" t="str">
            <v>RENTA REGIMEN ORDINARIO</v>
          </cell>
          <cell r="J6293" t="str">
            <v>CR 11 PARQUE LA VILLA OFICINA 403 ED COOPDESARROLLO</v>
          </cell>
          <cell r="K6293" t="str">
            <v>15759</v>
          </cell>
          <cell r="L6293" t="str">
            <v>SOGAMOSO</v>
          </cell>
          <cell r="M6293" t="str">
            <v>3123381160</v>
          </cell>
        </row>
        <row r="6294">
          <cell r="A6294">
            <v>990377970</v>
          </cell>
          <cell r="B6294" t="str">
            <v/>
          </cell>
          <cell r="C6294" t="str">
            <v/>
          </cell>
          <cell r="D6294" t="str">
            <v>NE</v>
          </cell>
          <cell r="E6294" t="str">
            <v/>
          </cell>
          <cell r="F6294" t="str">
            <v/>
          </cell>
          <cell r="G6294" t="str">
            <v>ENERTIS SOLAR INC</v>
          </cell>
          <cell r="H6294" t="str">
            <v>RECO</v>
          </cell>
          <cell r="I6294" t="str">
            <v>REGIMEN COMUN</v>
          </cell>
          <cell r="J6294" t="str">
            <v>SAN FRANCISCO CA</v>
          </cell>
          <cell r="K6294" t="str">
            <v>11001</v>
          </cell>
          <cell r="L6294" t="str">
            <v>BOGOTA DC</v>
          </cell>
          <cell r="M6294" t="str">
            <v>4159081059</v>
          </cell>
        </row>
        <row r="6295">
          <cell r="A6295">
            <v>1001298471</v>
          </cell>
          <cell r="B6295" t="str">
            <v/>
          </cell>
          <cell r="C6295" t="str">
            <v/>
          </cell>
          <cell r="D6295" t="str">
            <v>CC</v>
          </cell>
          <cell r="E6295" t="str">
            <v>ISABELA</v>
          </cell>
          <cell r="F6295" t="str">
            <v>BEDOYA OSPINA</v>
          </cell>
          <cell r="G6295" t="str">
            <v>BEDOYA OSPINA ISABELA</v>
          </cell>
          <cell r="H6295" t="str">
            <v>EXFU</v>
          </cell>
          <cell r="I6295" t="str">
            <v>EX-FUNCIONARIOS</v>
          </cell>
          <cell r="J6295" t="str">
            <v>CR 15 51 04</v>
          </cell>
          <cell r="K6295" t="str">
            <v>17001</v>
          </cell>
          <cell r="L6295" t="str">
            <v>MANIZALES</v>
          </cell>
          <cell r="M6295" t="str">
            <v>3122079516</v>
          </cell>
        </row>
        <row r="6296">
          <cell r="A6296">
            <v>1001440268</v>
          </cell>
          <cell r="B6296" t="str">
            <v/>
          </cell>
          <cell r="C6296" t="str">
            <v/>
          </cell>
          <cell r="D6296" t="str">
            <v>CC</v>
          </cell>
          <cell r="E6296" t="str">
            <v>JALID YOHANNA</v>
          </cell>
          <cell r="F6296" t="str">
            <v>CASTRO LOPEZ</v>
          </cell>
          <cell r="G6296" t="str">
            <v>CASTRO LOPEZ JALID YOHANNA</v>
          </cell>
          <cell r="H6296" t="str">
            <v>RESI</v>
          </cell>
          <cell r="I6296" t="str">
            <v>REGIMEN SIMPLIFICADO</v>
          </cell>
          <cell r="J6296" t="str">
            <v>VRD CRISTALES</v>
          </cell>
          <cell r="K6296" t="str">
            <v>17662</v>
          </cell>
          <cell r="L6296" t="str">
            <v>SAMANÁ</v>
          </cell>
          <cell r="M6296" t="str">
            <v>3147839984</v>
          </cell>
        </row>
        <row r="6297">
          <cell r="A6297">
            <v>1002459309</v>
          </cell>
          <cell r="B6297" t="str">
            <v/>
          </cell>
          <cell r="C6297" t="str">
            <v/>
          </cell>
          <cell r="D6297" t="str">
            <v>CC</v>
          </cell>
          <cell r="E6297" t="str">
            <v>SNEIDER ALEXANDER</v>
          </cell>
          <cell r="F6297" t="str">
            <v>HUERTAS</v>
          </cell>
          <cell r="G6297" t="str">
            <v>HUERTAS SNEIDER ALEXANDER</v>
          </cell>
          <cell r="H6297" t="str">
            <v>EXFU</v>
          </cell>
          <cell r="I6297" t="str">
            <v>EX-FUNCIONARIOS</v>
          </cell>
          <cell r="J6297" t="str">
            <v>CL 27 17 157</v>
          </cell>
          <cell r="K6297" t="str">
            <v>15238</v>
          </cell>
          <cell r="L6297" t="str">
            <v>DUITAMA</v>
          </cell>
          <cell r="M6297" t="str">
            <v>3004553720</v>
          </cell>
        </row>
        <row r="6298">
          <cell r="A6298">
            <v>1002460169</v>
          </cell>
          <cell r="B6298" t="str">
            <v/>
          </cell>
          <cell r="C6298" t="str">
            <v/>
          </cell>
          <cell r="D6298" t="str">
            <v>CC</v>
          </cell>
          <cell r="E6298" t="str">
            <v>JAVIER LEONARDO</v>
          </cell>
          <cell r="F6298" t="str">
            <v>RIOS LEON</v>
          </cell>
          <cell r="G6298" t="str">
            <v>RIOS LEON JAVIER LEONARDO</v>
          </cell>
          <cell r="H6298" t="str">
            <v>FUNC</v>
          </cell>
          <cell r="I6298" t="str">
            <v>FUNCIONARIO</v>
          </cell>
          <cell r="J6298" t="str">
            <v>VRD LA GERMANIA</v>
          </cell>
          <cell r="K6298" t="str">
            <v>15806</v>
          </cell>
          <cell r="L6298" t="str">
            <v>TIBASOSA</v>
          </cell>
          <cell r="M6298" t="str">
            <v>3102748092</v>
          </cell>
        </row>
        <row r="6299">
          <cell r="A6299">
            <v>1002460438</v>
          </cell>
          <cell r="B6299" t="str">
            <v/>
          </cell>
          <cell r="C6299" t="str">
            <v/>
          </cell>
          <cell r="D6299" t="str">
            <v>CC</v>
          </cell>
          <cell r="E6299" t="str">
            <v>ANDRÉS FELIPE</v>
          </cell>
          <cell r="F6299" t="str">
            <v>RUIZ NARANJO</v>
          </cell>
          <cell r="G6299" t="str">
            <v>RUIZ NARANJO ANDRÉS FELIPE</v>
          </cell>
          <cell r="H6299" t="str">
            <v>FUNC</v>
          </cell>
          <cell r="I6299" t="str">
            <v>FUNCIONARIO</v>
          </cell>
          <cell r="J6299" t="str">
            <v>CLLE 1 A # 6A 54</v>
          </cell>
          <cell r="K6299" t="str">
            <v>15238</v>
          </cell>
          <cell r="L6299" t="str">
            <v>DUITAMA</v>
          </cell>
          <cell r="M6299" t="str">
            <v>3172521946</v>
          </cell>
        </row>
        <row r="6300">
          <cell r="A6300">
            <v>1002461595</v>
          </cell>
          <cell r="B6300" t="str">
            <v/>
          </cell>
          <cell r="C6300" t="str">
            <v/>
          </cell>
          <cell r="D6300" t="str">
            <v>CC</v>
          </cell>
          <cell r="E6300" t="str">
            <v>DEISY JHOANA</v>
          </cell>
          <cell r="F6300" t="str">
            <v>CAMARGO BAEZ</v>
          </cell>
          <cell r="G6300" t="str">
            <v>CAMARGO BAEZ DEISY JHOANA</v>
          </cell>
          <cell r="H6300" t="str">
            <v>FUNC</v>
          </cell>
          <cell r="I6300" t="str">
            <v>FUNCIONARIO</v>
          </cell>
          <cell r="J6300" t="str">
            <v>CL 8 23 32</v>
          </cell>
          <cell r="K6300" t="str">
            <v>15238</v>
          </cell>
          <cell r="L6300" t="str">
            <v>DUITAMA</v>
          </cell>
          <cell r="M6300" t="str">
            <v>3213758669</v>
          </cell>
        </row>
        <row r="6301">
          <cell r="A6301">
            <v>1002461879</v>
          </cell>
          <cell r="B6301" t="str">
            <v/>
          </cell>
          <cell r="C6301" t="str">
            <v/>
          </cell>
          <cell r="D6301" t="str">
            <v>CC</v>
          </cell>
          <cell r="E6301" t="str">
            <v>JHOVER MATEO</v>
          </cell>
          <cell r="F6301" t="str">
            <v>MORENO RAMOS</v>
          </cell>
          <cell r="G6301" t="str">
            <v>MORENO RAMOS JHOVER MATEO</v>
          </cell>
          <cell r="H6301" t="str">
            <v>EXFU</v>
          </cell>
          <cell r="I6301" t="str">
            <v>EX-FUNCIONARIOS</v>
          </cell>
          <cell r="J6301" t="str">
            <v>CL 10 28 25</v>
          </cell>
          <cell r="K6301" t="str">
            <v>15238</v>
          </cell>
          <cell r="L6301" t="str">
            <v>DUITAMA</v>
          </cell>
          <cell r="M6301" t="str">
            <v>3133241688</v>
          </cell>
        </row>
        <row r="6302">
          <cell r="A6302">
            <v>1002480055</v>
          </cell>
          <cell r="B6302" t="str">
            <v/>
          </cell>
          <cell r="C6302" t="str">
            <v/>
          </cell>
          <cell r="D6302" t="str">
            <v>CC</v>
          </cell>
          <cell r="E6302" t="str">
            <v>BRAYAN ALEXANDER</v>
          </cell>
          <cell r="F6302" t="str">
            <v>RODRIGUEZ CELY</v>
          </cell>
          <cell r="G6302" t="str">
            <v>RODRIGUEZ CELY BRAYAN ALEXANDER</v>
          </cell>
          <cell r="H6302" t="str">
            <v>FUNC</v>
          </cell>
          <cell r="I6302" t="str">
            <v>FUNCIONARIO</v>
          </cell>
          <cell r="J6302" t="str">
            <v>VEREDA HORQUETA</v>
          </cell>
          <cell r="K6302" t="str">
            <v>15491</v>
          </cell>
          <cell r="L6302" t="str">
            <v>NOBSA</v>
          </cell>
          <cell r="M6302" t="str">
            <v>3215476101</v>
          </cell>
        </row>
        <row r="6303">
          <cell r="A6303">
            <v>1002524268</v>
          </cell>
          <cell r="B6303" t="str">
            <v/>
          </cell>
          <cell r="C6303" t="str">
            <v/>
          </cell>
          <cell r="D6303" t="str">
            <v>CC</v>
          </cell>
          <cell r="E6303" t="str">
            <v>BRAYAN ANTONIO</v>
          </cell>
          <cell r="F6303" t="str">
            <v>GARZON BUITRAGO</v>
          </cell>
          <cell r="G6303" t="str">
            <v>GARZON BUITRAGO BRAYAN ANTONIO</v>
          </cell>
          <cell r="H6303" t="str">
            <v>FUNC</v>
          </cell>
          <cell r="I6303" t="str">
            <v>FUNCIONARIO</v>
          </cell>
          <cell r="J6303" t="str">
            <v>CARRERA 11A BIS 54-22</v>
          </cell>
          <cell r="K6303" t="str">
            <v>15759</v>
          </cell>
          <cell r="L6303" t="str">
            <v>SOGAMOSO</v>
          </cell>
          <cell r="M6303" t="str">
            <v>3222180021</v>
          </cell>
        </row>
        <row r="6304">
          <cell r="A6304">
            <v>1002527867</v>
          </cell>
          <cell r="B6304" t="str">
            <v/>
          </cell>
          <cell r="C6304" t="str">
            <v/>
          </cell>
          <cell r="D6304" t="str">
            <v>CC</v>
          </cell>
          <cell r="E6304" t="str">
            <v>JHONATAN JULIAN</v>
          </cell>
          <cell r="F6304" t="str">
            <v>TOBAR FONSECA</v>
          </cell>
          <cell r="G6304" t="str">
            <v>TOBAR FONSECA JHONATAN JULIAN</v>
          </cell>
          <cell r="H6304" t="str">
            <v>FUNC</v>
          </cell>
          <cell r="I6304" t="str">
            <v>FUNCIONARIO</v>
          </cell>
          <cell r="J6304" t="str">
            <v>VEREDA SATIVA</v>
          </cell>
          <cell r="K6304" t="str">
            <v>15516</v>
          </cell>
          <cell r="L6304" t="str">
            <v>PAIPA</v>
          </cell>
          <cell r="M6304" t="str">
            <v>3213928180</v>
          </cell>
        </row>
        <row r="6305">
          <cell r="A6305">
            <v>1002537386</v>
          </cell>
          <cell r="B6305" t="str">
            <v/>
          </cell>
          <cell r="C6305" t="str">
            <v/>
          </cell>
          <cell r="D6305" t="str">
            <v>CC</v>
          </cell>
          <cell r="E6305" t="str">
            <v>LUIS FERNANDO</v>
          </cell>
          <cell r="F6305" t="str">
            <v>PLAZAS MORALES</v>
          </cell>
          <cell r="G6305" t="str">
            <v>PLAZAS MORALES LUIS FERNANDO</v>
          </cell>
          <cell r="H6305" t="str">
            <v>FUNC</v>
          </cell>
          <cell r="I6305" t="str">
            <v>FUNCIONARIO</v>
          </cell>
          <cell r="J6305" t="str">
            <v>CLLE 7 N. 11-34</v>
          </cell>
          <cell r="K6305" t="str">
            <v>15491</v>
          </cell>
          <cell r="L6305" t="str">
            <v>NOBSA</v>
          </cell>
          <cell r="M6305" t="str">
            <v>3123956172</v>
          </cell>
        </row>
        <row r="6306">
          <cell r="A6306">
            <v>1002538489</v>
          </cell>
          <cell r="B6306" t="str">
            <v/>
          </cell>
          <cell r="C6306" t="str">
            <v/>
          </cell>
          <cell r="D6306" t="str">
            <v>CC</v>
          </cell>
          <cell r="E6306" t="str">
            <v>CAMILO ANDRES</v>
          </cell>
          <cell r="F6306" t="str">
            <v>QUINTERO GÓMEZ</v>
          </cell>
          <cell r="G6306" t="str">
            <v>QUINTERO GÓMEZ CAMILO ANDRES</v>
          </cell>
          <cell r="H6306" t="str">
            <v>FUNC</v>
          </cell>
          <cell r="I6306" t="str">
            <v>FUNCIONARIO</v>
          </cell>
          <cell r="J6306" t="str">
            <v>VRD ROMITA</v>
          </cell>
          <cell r="K6306" t="str">
            <v>15516</v>
          </cell>
          <cell r="L6306" t="str">
            <v>PAIPA</v>
          </cell>
          <cell r="M6306" t="str">
            <v>3223776196</v>
          </cell>
        </row>
        <row r="6307">
          <cell r="A6307">
            <v>1002538987</v>
          </cell>
          <cell r="B6307" t="str">
            <v/>
          </cell>
          <cell r="C6307" t="str">
            <v/>
          </cell>
          <cell r="D6307" t="str">
            <v>TI</v>
          </cell>
          <cell r="E6307" t="str">
            <v>PAULA VALENTINA</v>
          </cell>
          <cell r="F6307" t="str">
            <v>CAMACHO MEJIA</v>
          </cell>
          <cell r="G6307" t="str">
            <v>CAMACHO MEJIA PAULA VALENTINA</v>
          </cell>
          <cell r="H6307" t="str">
            <v>FUNC</v>
          </cell>
          <cell r="I6307" t="str">
            <v>FUNCIONARIO</v>
          </cell>
          <cell r="J6307" t="str">
            <v>CR 10   24 B 50 BRR VILLA PANORAMA</v>
          </cell>
          <cell r="K6307" t="str">
            <v>15516</v>
          </cell>
          <cell r="L6307" t="str">
            <v>PAIPA</v>
          </cell>
          <cell r="M6307" t="str">
            <v>3213561646</v>
          </cell>
        </row>
        <row r="6308">
          <cell r="A6308">
            <v>1002539078</v>
          </cell>
          <cell r="B6308" t="str">
            <v/>
          </cell>
          <cell r="C6308" t="str">
            <v/>
          </cell>
          <cell r="D6308" t="str">
            <v>CC</v>
          </cell>
          <cell r="E6308" t="str">
            <v>MARIA CAMILA</v>
          </cell>
          <cell r="F6308" t="str">
            <v>MUÑOZ ROJAS</v>
          </cell>
          <cell r="G6308" t="str">
            <v>MUÑOZ ROJAS MARIA CAMILA</v>
          </cell>
          <cell r="H6308" t="str">
            <v>FUNC</v>
          </cell>
          <cell r="I6308" t="str">
            <v>FUNCIONARIO</v>
          </cell>
          <cell r="J6308" t="str">
            <v>VRD CANOCAS</v>
          </cell>
          <cell r="K6308" t="str">
            <v>15516</v>
          </cell>
          <cell r="L6308" t="str">
            <v>PAIPA</v>
          </cell>
          <cell r="M6308" t="str">
            <v>3106346319</v>
          </cell>
        </row>
        <row r="6309">
          <cell r="A6309">
            <v>1002539246</v>
          </cell>
          <cell r="B6309" t="str">
            <v/>
          </cell>
          <cell r="C6309" t="str">
            <v/>
          </cell>
          <cell r="D6309" t="str">
            <v>CC</v>
          </cell>
          <cell r="E6309" t="str">
            <v>DUVAN STIVEN</v>
          </cell>
          <cell r="F6309" t="str">
            <v>TRIANA MIRANDA</v>
          </cell>
          <cell r="G6309" t="str">
            <v>TRIANA MIRANDA DUVAN STIVEN</v>
          </cell>
          <cell r="H6309" t="str">
            <v>FUNC</v>
          </cell>
          <cell r="I6309" t="str">
            <v>FUNCIONARIO</v>
          </cell>
          <cell r="J6309" t="str">
            <v>AVD CIRC. 20-50</v>
          </cell>
          <cell r="K6309" t="str">
            <v>15238</v>
          </cell>
          <cell r="L6309" t="str">
            <v>DUITAMA</v>
          </cell>
          <cell r="M6309" t="str">
            <v>3209981780</v>
          </cell>
        </row>
        <row r="6310">
          <cell r="A6310">
            <v>1002542593</v>
          </cell>
          <cell r="B6310" t="str">
            <v/>
          </cell>
          <cell r="C6310" t="str">
            <v/>
          </cell>
          <cell r="D6310" t="str">
            <v>CC</v>
          </cell>
          <cell r="E6310" t="str">
            <v>JUAN FELIPE</v>
          </cell>
          <cell r="F6310" t="str">
            <v>MARIN ROMERO</v>
          </cell>
          <cell r="G6310" t="str">
            <v>MARIN ROMERO JUAN FELIPE</v>
          </cell>
          <cell r="H6310" t="str">
            <v>FUNC</v>
          </cell>
          <cell r="I6310" t="str">
            <v>FUNCIONARIO</v>
          </cell>
          <cell r="J6310" t="str">
            <v>CR 12 A 62-52</v>
          </cell>
          <cell r="K6310" t="str">
            <v>17001</v>
          </cell>
          <cell r="L6310" t="str">
            <v>MANIZALES</v>
          </cell>
          <cell r="M6310" t="str">
            <v>3143647878</v>
          </cell>
        </row>
        <row r="6311">
          <cell r="A6311">
            <v>1002544348</v>
          </cell>
          <cell r="B6311" t="str">
            <v/>
          </cell>
          <cell r="C6311" t="str">
            <v/>
          </cell>
          <cell r="D6311" t="str">
            <v>CC</v>
          </cell>
          <cell r="E6311" t="str">
            <v>MARIA CAMILA</v>
          </cell>
          <cell r="F6311" t="str">
            <v>CASTRILLON HENAO</v>
          </cell>
          <cell r="G6311" t="str">
            <v>CASTRILLON HENAO MARIA CAMILA</v>
          </cell>
          <cell r="H6311" t="str">
            <v>FUNC</v>
          </cell>
          <cell r="I6311" t="str">
            <v>FUNCIONARIO</v>
          </cell>
          <cell r="J6311" t="str">
            <v>CLLE 65 # 35-117</v>
          </cell>
          <cell r="K6311" t="str">
            <v>17001</v>
          </cell>
          <cell r="L6311" t="str">
            <v>MANIZALES</v>
          </cell>
          <cell r="M6311" t="str">
            <v>3225345497</v>
          </cell>
        </row>
        <row r="6312">
          <cell r="A6312">
            <v>1002551377</v>
          </cell>
          <cell r="B6312" t="str">
            <v/>
          </cell>
          <cell r="C6312" t="str">
            <v/>
          </cell>
          <cell r="D6312" t="str">
            <v>CC</v>
          </cell>
          <cell r="E6312" t="str">
            <v>YUBER JAVIER</v>
          </cell>
          <cell r="F6312" t="str">
            <v>RUIZ LÓPEZ</v>
          </cell>
          <cell r="G6312" t="str">
            <v>RUIZ LÓPEZ YUBER JAVIER</v>
          </cell>
          <cell r="H6312" t="str">
            <v>FUNC</v>
          </cell>
          <cell r="I6312" t="str">
            <v>FUNCIONARIO</v>
          </cell>
          <cell r="J6312" t="str">
            <v>VRD MIRABAL</v>
          </cell>
          <cell r="K6312" t="str">
            <v>15516</v>
          </cell>
          <cell r="L6312" t="str">
            <v>PAIPA</v>
          </cell>
          <cell r="M6312" t="str">
            <v>312898696</v>
          </cell>
        </row>
        <row r="6313">
          <cell r="A6313">
            <v>1002551398</v>
          </cell>
          <cell r="B6313" t="str">
            <v/>
          </cell>
          <cell r="C6313" t="str">
            <v/>
          </cell>
          <cell r="D6313" t="str">
            <v>CC</v>
          </cell>
          <cell r="E6313" t="str">
            <v>CRISTIAN DANILO</v>
          </cell>
          <cell r="F6313" t="str">
            <v>ROJAS FONSECA</v>
          </cell>
          <cell r="G6313" t="str">
            <v>ROJAS FONSECA CRISTIAN DANILO</v>
          </cell>
          <cell r="H6313" t="str">
            <v>FUNC</v>
          </cell>
          <cell r="I6313" t="str">
            <v>FUNCIONARIO</v>
          </cell>
          <cell r="J6313" t="str">
            <v>VRD LA ESPERANZA</v>
          </cell>
          <cell r="K6313" t="str">
            <v>15516</v>
          </cell>
          <cell r="L6313" t="str">
            <v>PAIPA</v>
          </cell>
          <cell r="M6313" t="str">
            <v>3211304563</v>
          </cell>
        </row>
        <row r="6314">
          <cell r="A6314">
            <v>1002566148</v>
          </cell>
          <cell r="B6314" t="str">
            <v/>
          </cell>
          <cell r="C6314" t="str">
            <v/>
          </cell>
          <cell r="D6314" t="str">
            <v>CC</v>
          </cell>
          <cell r="E6314" t="str">
            <v>SOFIA</v>
          </cell>
          <cell r="F6314" t="str">
            <v>LONDOÑO CARDONA</v>
          </cell>
          <cell r="G6314" t="str">
            <v>LONDOÑO CARDONA SOFIA</v>
          </cell>
          <cell r="H6314" t="str">
            <v>FUNC</v>
          </cell>
          <cell r="I6314" t="str">
            <v>FUNCIONARIO</v>
          </cell>
          <cell r="J6314" t="str">
            <v>CL 26 N 36 21</v>
          </cell>
          <cell r="K6314" t="str">
            <v>17001</v>
          </cell>
          <cell r="L6314" t="str">
            <v>MANIZALES</v>
          </cell>
          <cell r="M6314" t="str">
            <v>3216531070</v>
          </cell>
        </row>
        <row r="6315">
          <cell r="A6315">
            <v>1002607905</v>
          </cell>
          <cell r="B6315" t="str">
            <v/>
          </cell>
          <cell r="C6315" t="str">
            <v/>
          </cell>
          <cell r="D6315" t="str">
            <v>CC</v>
          </cell>
          <cell r="E6315" t="str">
            <v>JOSE SAMUEL</v>
          </cell>
          <cell r="F6315" t="str">
            <v>ROSSO CORONADO</v>
          </cell>
          <cell r="G6315" t="str">
            <v>ROSSO CORONADO JOSE SAMUEL</v>
          </cell>
          <cell r="H6315" t="str">
            <v>FUNC</v>
          </cell>
          <cell r="I6315" t="str">
            <v>FUNCIONARIO</v>
          </cell>
          <cell r="J6315" t="str">
            <v>VDA VOLCAN</v>
          </cell>
          <cell r="K6315" t="str">
            <v>15516</v>
          </cell>
          <cell r="L6315" t="str">
            <v>PAIPA</v>
          </cell>
          <cell r="M6315" t="str">
            <v>3143705595</v>
          </cell>
        </row>
        <row r="6316">
          <cell r="A6316">
            <v>1002620473</v>
          </cell>
          <cell r="B6316" t="str">
            <v/>
          </cell>
          <cell r="C6316" t="str">
            <v/>
          </cell>
          <cell r="D6316" t="str">
            <v>CC</v>
          </cell>
          <cell r="E6316" t="str">
            <v>KATHERINE</v>
          </cell>
          <cell r="F6316" t="str">
            <v>SERRANO AGUDELO</v>
          </cell>
          <cell r="G6316" t="str">
            <v>SERRANO AGUDELO KATHERINE</v>
          </cell>
          <cell r="H6316" t="str">
            <v>FUNC</v>
          </cell>
          <cell r="I6316" t="str">
            <v>FUNCIONARIO</v>
          </cell>
          <cell r="J6316" t="str">
            <v>CR 25 55 B 65</v>
          </cell>
          <cell r="K6316" t="str">
            <v>17001</v>
          </cell>
          <cell r="L6316" t="str">
            <v>MANIZALES</v>
          </cell>
          <cell r="M6316" t="str">
            <v>3148073258</v>
          </cell>
        </row>
        <row r="6317">
          <cell r="A6317">
            <v>1002632423</v>
          </cell>
          <cell r="B6317" t="str">
            <v/>
          </cell>
          <cell r="C6317" t="str">
            <v/>
          </cell>
          <cell r="D6317" t="str">
            <v>CC</v>
          </cell>
          <cell r="E6317" t="str">
            <v>JUAN ESTEBAN</v>
          </cell>
          <cell r="F6317" t="str">
            <v>GONZALEZ MORALES</v>
          </cell>
          <cell r="G6317" t="str">
            <v>GONZALEZ MORALES JUAN ESTEBAN</v>
          </cell>
          <cell r="H6317" t="str">
            <v>FUNC</v>
          </cell>
          <cell r="I6317" t="str">
            <v>FUNCIONARIO</v>
          </cell>
          <cell r="J6317" t="str">
            <v>CL 61 32 27</v>
          </cell>
          <cell r="K6317" t="str">
            <v>17001</v>
          </cell>
          <cell r="L6317" t="str">
            <v>MANIZALES</v>
          </cell>
          <cell r="M6317" t="str">
            <v>3008550221</v>
          </cell>
        </row>
        <row r="6318">
          <cell r="A6318">
            <v>1002633844</v>
          </cell>
          <cell r="B6318" t="str">
            <v/>
          </cell>
          <cell r="C6318" t="str">
            <v/>
          </cell>
          <cell r="D6318" t="str">
            <v>CC</v>
          </cell>
          <cell r="E6318" t="str">
            <v>JACOBO</v>
          </cell>
          <cell r="F6318" t="str">
            <v>ESCOBAR BENAVIDES</v>
          </cell>
          <cell r="G6318" t="str">
            <v>ESCOBAR BENAVIDES JACOBO</v>
          </cell>
          <cell r="H6318" t="str">
            <v>FUNC</v>
          </cell>
          <cell r="I6318" t="str">
            <v>FUNCIONARIO</v>
          </cell>
          <cell r="J6318" t="str">
            <v>CL 11 A 8 B 03</v>
          </cell>
          <cell r="K6318" t="str">
            <v>17873</v>
          </cell>
          <cell r="L6318" t="str">
            <v>VILLAMARÍA</v>
          </cell>
          <cell r="M6318" t="str">
            <v>3004672872</v>
          </cell>
        </row>
        <row r="6319">
          <cell r="A6319">
            <v>1002653267</v>
          </cell>
          <cell r="B6319" t="str">
            <v/>
          </cell>
          <cell r="C6319" t="str">
            <v/>
          </cell>
          <cell r="D6319" t="str">
            <v>CC</v>
          </cell>
          <cell r="E6319" t="str">
            <v>JUANITA</v>
          </cell>
          <cell r="F6319" t="str">
            <v>ARIAS VASQUEZ</v>
          </cell>
          <cell r="G6319" t="str">
            <v>ARIAS VASQUEZ JUANITA</v>
          </cell>
          <cell r="H6319" t="str">
            <v>FUNC</v>
          </cell>
          <cell r="I6319" t="str">
            <v>FUNCIONARIO</v>
          </cell>
          <cell r="J6319" t="str">
            <v>CL 61 A 32 8 AP 403</v>
          </cell>
          <cell r="K6319" t="str">
            <v>17001</v>
          </cell>
          <cell r="L6319" t="str">
            <v>MANIZALES</v>
          </cell>
          <cell r="M6319" t="str">
            <v>3105128266</v>
          </cell>
        </row>
        <row r="6320">
          <cell r="A6320">
            <v>1002670141</v>
          </cell>
          <cell r="B6320" t="str">
            <v/>
          </cell>
          <cell r="C6320" t="str">
            <v/>
          </cell>
          <cell r="D6320" t="str">
            <v>CC</v>
          </cell>
          <cell r="E6320" t="str">
            <v>DANIELA</v>
          </cell>
          <cell r="F6320" t="str">
            <v>TABARES HINCAPIE</v>
          </cell>
          <cell r="G6320" t="str">
            <v>TABARES HINCAPIE DANIELA</v>
          </cell>
          <cell r="H6320" t="str">
            <v>FUNC</v>
          </cell>
          <cell r="I6320" t="str">
            <v>FUNCIONARIO</v>
          </cell>
          <cell r="J6320" t="str">
            <v>CL 53 10 16 BRR VILLA HERMOSA</v>
          </cell>
          <cell r="K6320" t="str">
            <v>17001</v>
          </cell>
          <cell r="L6320" t="str">
            <v>MANIZALES</v>
          </cell>
          <cell r="M6320" t="str">
            <v>3144840762</v>
          </cell>
        </row>
        <row r="6321">
          <cell r="A6321">
            <v>1002693379</v>
          </cell>
          <cell r="B6321" t="str">
            <v/>
          </cell>
          <cell r="C6321" t="str">
            <v/>
          </cell>
          <cell r="D6321" t="str">
            <v>CC</v>
          </cell>
          <cell r="E6321" t="str">
            <v>LUZ ANGELA</v>
          </cell>
          <cell r="F6321" t="str">
            <v>BUITRAGO APONTE</v>
          </cell>
          <cell r="G6321" t="str">
            <v>BUITRAGO APONTE LUZ ANGELA</v>
          </cell>
          <cell r="H6321" t="str">
            <v>FUNC</v>
          </cell>
          <cell r="I6321" t="str">
            <v>FUNCIONARIO</v>
          </cell>
          <cell r="J6321" t="str">
            <v>CRA 1 D # 4A 101</v>
          </cell>
          <cell r="K6321" t="str">
            <v>15646</v>
          </cell>
          <cell r="L6321" t="str">
            <v>SAMACÁ</v>
          </cell>
          <cell r="M6321" t="str">
            <v>3133074124</v>
          </cell>
        </row>
        <row r="6322">
          <cell r="A6322">
            <v>1002720743</v>
          </cell>
          <cell r="B6322" t="str">
            <v/>
          </cell>
          <cell r="C6322" t="str">
            <v/>
          </cell>
          <cell r="D6322" t="str">
            <v>CC</v>
          </cell>
          <cell r="E6322" t="str">
            <v>YEISON RICARDO</v>
          </cell>
          <cell r="F6322" t="str">
            <v>PACHECO RODRIGUEZ</v>
          </cell>
          <cell r="G6322" t="str">
            <v>PACHECO RODRIGUEZ YEISON RICARDO</v>
          </cell>
          <cell r="H6322" t="str">
            <v>FUNC</v>
          </cell>
          <cell r="I6322" t="str">
            <v>FUNCIONARIO</v>
          </cell>
          <cell r="J6322" t="str">
            <v>CALLE 9 N° 21 9-60</v>
          </cell>
          <cell r="K6322" t="str">
            <v>15759</v>
          </cell>
          <cell r="L6322" t="str">
            <v>SOGAMOSO</v>
          </cell>
          <cell r="M6322" t="str">
            <v>0000000</v>
          </cell>
        </row>
        <row r="6323">
          <cell r="A6323">
            <v>1002726743</v>
          </cell>
          <cell r="B6323" t="str">
            <v/>
          </cell>
          <cell r="C6323" t="str">
            <v/>
          </cell>
          <cell r="D6323" t="str">
            <v>CC</v>
          </cell>
          <cell r="E6323" t="str">
            <v>YEISON RICARDO</v>
          </cell>
          <cell r="F6323" t="str">
            <v>PACHECO RODRIGUEZ</v>
          </cell>
          <cell r="G6323" t="str">
            <v>PACHECO RODRIGUEZ YEISON RICARDO</v>
          </cell>
          <cell r="H6323" t="str">
            <v>EXFU</v>
          </cell>
          <cell r="I6323" t="str">
            <v>EX-FUNCIONARIOS</v>
          </cell>
          <cell r="J6323" t="str">
            <v>CALLE 9 N° 21 9-60</v>
          </cell>
          <cell r="K6323" t="str">
            <v>15759</v>
          </cell>
          <cell r="L6323" t="str">
            <v>SOGAMOSO</v>
          </cell>
          <cell r="M6323" t="str">
            <v>000000</v>
          </cell>
        </row>
        <row r="6324">
          <cell r="A6324">
            <v>1002760143</v>
          </cell>
          <cell r="B6324" t="str">
            <v/>
          </cell>
          <cell r="C6324" t="str">
            <v/>
          </cell>
          <cell r="D6324" t="str">
            <v>CC</v>
          </cell>
          <cell r="E6324" t="str">
            <v>SANTIAGO SMITH</v>
          </cell>
          <cell r="F6324" t="str">
            <v>CHIRIVI SIERRA</v>
          </cell>
          <cell r="G6324" t="str">
            <v>CHIRIVI SIERRA SANTIAGO SMITH</v>
          </cell>
          <cell r="H6324" t="str">
            <v>FUNC</v>
          </cell>
          <cell r="I6324" t="str">
            <v>FUNCIONARIO</v>
          </cell>
          <cell r="J6324" t="str">
            <v>CLLE 42 # 9-74</v>
          </cell>
          <cell r="K6324" t="str">
            <v>15759</v>
          </cell>
          <cell r="L6324" t="str">
            <v>SOGAMOSO</v>
          </cell>
          <cell r="M6324" t="str">
            <v>3123126330</v>
          </cell>
        </row>
        <row r="6325">
          <cell r="A6325">
            <v>1002798280</v>
          </cell>
          <cell r="B6325" t="str">
            <v/>
          </cell>
          <cell r="C6325" t="str">
            <v/>
          </cell>
          <cell r="D6325" t="str">
            <v>CC</v>
          </cell>
          <cell r="E6325" t="str">
            <v>SERGIO</v>
          </cell>
          <cell r="F6325" t="str">
            <v>CASTAÑEDA ERNA</v>
          </cell>
          <cell r="G6325" t="str">
            <v>CASTAÑEDA ERNA SERGIO</v>
          </cell>
          <cell r="H6325" t="str">
            <v>EXFU</v>
          </cell>
          <cell r="I6325" t="str">
            <v>EX-FUNCIONARIOS</v>
          </cell>
          <cell r="J6325" t="str">
            <v>CL 5 37 12</v>
          </cell>
          <cell r="K6325" t="str">
            <v>17486</v>
          </cell>
          <cell r="L6325" t="str">
            <v>NEIRA</v>
          </cell>
          <cell r="M6325" t="str">
            <v>3008959306</v>
          </cell>
        </row>
        <row r="6326">
          <cell r="A6326">
            <v>1002800633</v>
          </cell>
          <cell r="B6326" t="str">
            <v>3</v>
          </cell>
          <cell r="C6326" t="str">
            <v/>
          </cell>
          <cell r="D6326" t="str">
            <v>NP</v>
          </cell>
          <cell r="E6326" t="str">
            <v>YEISON DAVID</v>
          </cell>
          <cell r="F6326" t="str">
            <v>MARIN GIRALDO</v>
          </cell>
          <cell r="G6326" t="str">
            <v>MARIN GIRALDO YEISON DAVID</v>
          </cell>
          <cell r="H6326" t="str">
            <v>NORE</v>
          </cell>
          <cell r="I6326" t="str">
            <v>NO RESPONSABLE DE IVA</v>
          </cell>
          <cell r="J6326" t="str">
            <v>BRR Chiquinquira</v>
          </cell>
          <cell r="K6326" t="str">
            <v>17541</v>
          </cell>
          <cell r="L6326" t="str">
            <v>PENSILVANIA</v>
          </cell>
          <cell r="M6326" t="str">
            <v>3232924474</v>
          </cell>
        </row>
        <row r="6327">
          <cell r="A6327">
            <v>1002817648</v>
          </cell>
          <cell r="B6327" t="str">
            <v/>
          </cell>
          <cell r="C6327" t="str">
            <v/>
          </cell>
          <cell r="D6327" t="str">
            <v>CC</v>
          </cell>
          <cell r="E6327" t="str">
            <v>MARIA CAMILA</v>
          </cell>
          <cell r="F6327" t="str">
            <v>OSORIO PENAGOS</v>
          </cell>
          <cell r="G6327" t="str">
            <v>OSORIO PENAGOS MARIA CAMILA</v>
          </cell>
          <cell r="H6327" t="str">
            <v>FUNC</v>
          </cell>
          <cell r="I6327" t="str">
            <v>FUNCIONARIO</v>
          </cell>
          <cell r="J6327" t="str">
            <v>CL 9 A 10 A 20</v>
          </cell>
          <cell r="K6327" t="str">
            <v>17873</v>
          </cell>
          <cell r="L6327" t="str">
            <v>VILLAMARÍA</v>
          </cell>
          <cell r="M6327" t="str">
            <v>3053594160</v>
          </cell>
        </row>
        <row r="6328">
          <cell r="A6328">
            <v>1002857461</v>
          </cell>
          <cell r="B6328" t="str">
            <v/>
          </cell>
          <cell r="C6328" t="str">
            <v/>
          </cell>
          <cell r="D6328" t="str">
            <v>CC</v>
          </cell>
          <cell r="E6328" t="str">
            <v>VERONICA</v>
          </cell>
          <cell r="F6328" t="str">
            <v>PEREZ PEREZ</v>
          </cell>
          <cell r="G6328" t="str">
            <v>PEREZ PEREZ VERONICA</v>
          </cell>
          <cell r="H6328" t="str">
            <v>FUNC</v>
          </cell>
          <cell r="I6328" t="str">
            <v>FUNCIONARIO</v>
          </cell>
          <cell r="J6328" t="str">
            <v>Cra 23 #47-85</v>
          </cell>
          <cell r="K6328" t="str">
            <v>17001</v>
          </cell>
          <cell r="L6328" t="str">
            <v>MANIZALES</v>
          </cell>
          <cell r="M6328" t="str">
            <v>3167162128</v>
          </cell>
        </row>
        <row r="6329">
          <cell r="A6329">
            <v>1002857532</v>
          </cell>
          <cell r="B6329" t="str">
            <v/>
          </cell>
          <cell r="C6329" t="str">
            <v/>
          </cell>
          <cell r="D6329" t="str">
            <v>CC</v>
          </cell>
          <cell r="E6329" t="str">
            <v>CAROLINA</v>
          </cell>
          <cell r="F6329" t="str">
            <v>ARIAS GARCIA</v>
          </cell>
          <cell r="G6329" t="str">
            <v>ARIAS GARCIA CAROLINA</v>
          </cell>
          <cell r="H6329" t="str">
            <v>FUNC</v>
          </cell>
          <cell r="I6329" t="str">
            <v>FUNCIONARIO</v>
          </cell>
          <cell r="J6329" t="str">
            <v>CL 49 81 02 BRR SAN CAYETANO</v>
          </cell>
          <cell r="K6329" t="str">
            <v>17001</v>
          </cell>
          <cell r="L6329" t="str">
            <v>MANIZALES</v>
          </cell>
          <cell r="M6329" t="str">
            <v>3136017929</v>
          </cell>
        </row>
        <row r="6330">
          <cell r="A6330">
            <v>1003843370</v>
          </cell>
          <cell r="B6330" t="str">
            <v/>
          </cell>
          <cell r="C6330" t="str">
            <v/>
          </cell>
          <cell r="D6330" t="str">
            <v>NE</v>
          </cell>
          <cell r="E6330" t="str">
            <v/>
          </cell>
          <cell r="F6330" t="str">
            <v/>
          </cell>
          <cell r="G6330" t="str">
            <v>TBOJOLIDAYS EMIRATOS ARABES UNIDOS</v>
          </cell>
          <cell r="H6330" t="str">
            <v>EXTR</v>
          </cell>
          <cell r="I6330" t="str">
            <v>EXTRANJERO</v>
          </cell>
          <cell r="J6330" t="str">
            <v>2408-A IIWA HEIGHTS 1 JLT-PH2-W3A-DUBAI</v>
          </cell>
          <cell r="K6330" t="str">
            <v>00</v>
          </cell>
          <cell r="L6330" t="str">
            <v>EXTERIOR</v>
          </cell>
          <cell r="M6330" t="str">
            <v>123456789</v>
          </cell>
        </row>
        <row r="6331">
          <cell r="A6331">
            <v>1003851873</v>
          </cell>
          <cell r="B6331" t="str">
            <v>6</v>
          </cell>
          <cell r="C6331" t="str">
            <v/>
          </cell>
          <cell r="D6331" t="str">
            <v>NP</v>
          </cell>
          <cell r="E6331" t="str">
            <v>Ruben Antonio</v>
          </cell>
          <cell r="F6331" t="str">
            <v>BEDOYA OSORIO</v>
          </cell>
          <cell r="G6331" t="str">
            <v>BEDOYA OSORIO Ruben Antonio</v>
          </cell>
          <cell r="H6331" t="str">
            <v>NORE</v>
          </cell>
          <cell r="I6331" t="str">
            <v>NO RESPONSABLE DE IVA</v>
          </cell>
          <cell r="J6331" t="str">
            <v>BRR CHOCOLATAL</v>
          </cell>
          <cell r="K6331" t="str">
            <v>27075</v>
          </cell>
          <cell r="L6331" t="str">
            <v>BAHÍA SOLANO</v>
          </cell>
          <cell r="M6331" t="str">
            <v>3183906756</v>
          </cell>
        </row>
        <row r="6332">
          <cell r="A6332">
            <v>1003864875</v>
          </cell>
          <cell r="B6332" t="str">
            <v/>
          </cell>
          <cell r="C6332" t="str">
            <v/>
          </cell>
          <cell r="D6332" t="str">
            <v>CC</v>
          </cell>
          <cell r="E6332" t="str">
            <v>LINA MARCELA</v>
          </cell>
          <cell r="F6332" t="str">
            <v>ARRIETA LOPEZ</v>
          </cell>
          <cell r="G6332" t="str">
            <v>ARRIETA LOPEZ LINA MARCELA</v>
          </cell>
          <cell r="H6332" t="str">
            <v>FUNC</v>
          </cell>
          <cell r="I6332" t="str">
            <v>FUNCIONARIO</v>
          </cell>
          <cell r="J6332" t="str">
            <v>CALL 1020 # 35A-22</v>
          </cell>
          <cell r="K6332" t="str">
            <v>17001</v>
          </cell>
          <cell r="L6332" t="str">
            <v>MANIZALES</v>
          </cell>
          <cell r="M6332" t="str">
            <v>3212532930</v>
          </cell>
        </row>
        <row r="6333">
          <cell r="A6333">
            <v>1003914295</v>
          </cell>
          <cell r="B6333" t="str">
            <v>0</v>
          </cell>
          <cell r="C6333" t="str">
            <v/>
          </cell>
          <cell r="D6333" t="str">
            <v>NP</v>
          </cell>
          <cell r="E6333" t="str">
            <v>SILVIA FERNANDA</v>
          </cell>
          <cell r="F6333" t="str">
            <v>VALOYES RENGIFO</v>
          </cell>
          <cell r="G6333" t="str">
            <v>VALOYES RENGIFO SILVIA FERNANDA</v>
          </cell>
          <cell r="H6333" t="str">
            <v>RESI</v>
          </cell>
          <cell r="I6333" t="str">
            <v>REGIMEN SIMPLIFICADO</v>
          </cell>
          <cell r="J6333" t="str">
            <v>CA FISCALES DE GENSA BRR TERMOMANZANA</v>
          </cell>
          <cell r="K6333" t="str">
            <v>15516</v>
          </cell>
          <cell r="L6333" t="str">
            <v>PAIPA</v>
          </cell>
          <cell r="M6333" t="str">
            <v>3146117633</v>
          </cell>
        </row>
        <row r="6334">
          <cell r="A6334">
            <v>1003928989</v>
          </cell>
          <cell r="B6334" t="str">
            <v/>
          </cell>
          <cell r="C6334" t="str">
            <v/>
          </cell>
          <cell r="D6334" t="str">
            <v>CC</v>
          </cell>
          <cell r="E6334" t="str">
            <v>JAIRO ANTONIO</v>
          </cell>
          <cell r="F6334" t="str">
            <v>OQUI RUIZ</v>
          </cell>
          <cell r="G6334" t="str">
            <v>OQUI RUIZ JAIRO ANTONIO</v>
          </cell>
          <cell r="H6334" t="str">
            <v>RESI</v>
          </cell>
          <cell r="I6334" t="str">
            <v>REGIMEN SIMPLIFICADO</v>
          </cell>
          <cell r="J6334" t="str">
            <v>QUIBDO</v>
          </cell>
          <cell r="K6334" t="str">
            <v>27001</v>
          </cell>
          <cell r="L6334" t="str">
            <v>QUIBDO</v>
          </cell>
          <cell r="M6334" t="str">
            <v>XXX</v>
          </cell>
        </row>
        <row r="6335">
          <cell r="A6335">
            <v>1003969174</v>
          </cell>
          <cell r="B6335" t="str">
            <v/>
          </cell>
          <cell r="C6335" t="str">
            <v/>
          </cell>
          <cell r="D6335" t="str">
            <v>CC</v>
          </cell>
          <cell r="E6335" t="str">
            <v>NERCIO</v>
          </cell>
          <cell r="F6335" t="str">
            <v>AMAGARA AMAGARA</v>
          </cell>
          <cell r="G6335" t="str">
            <v>AMAGARA AMAGARA NERCIO</v>
          </cell>
          <cell r="H6335" t="str">
            <v>RESI</v>
          </cell>
          <cell r="I6335" t="str">
            <v>REGIMEN SIMPLIFICADO</v>
          </cell>
          <cell r="J6335" t="str">
            <v>XXX</v>
          </cell>
          <cell r="K6335" t="str">
            <v>17001</v>
          </cell>
          <cell r="L6335" t="str">
            <v>MANIZALES</v>
          </cell>
          <cell r="M6335" t="str">
            <v>XXX</v>
          </cell>
        </row>
        <row r="6336">
          <cell r="A6336">
            <v>1004052125</v>
          </cell>
          <cell r="B6336" t="str">
            <v/>
          </cell>
          <cell r="C6336" t="str">
            <v/>
          </cell>
          <cell r="D6336" t="str">
            <v>CC</v>
          </cell>
          <cell r="E6336" t="str">
            <v>CARLOS ANDRES</v>
          </cell>
          <cell r="F6336" t="str">
            <v>URRUTIA MURILLO</v>
          </cell>
          <cell r="G6336" t="str">
            <v>URRUTIA MURILLO CARLOS ANDRES</v>
          </cell>
          <cell r="H6336" t="str">
            <v>FUNC</v>
          </cell>
          <cell r="I6336" t="str">
            <v>FUNCIONARIO</v>
          </cell>
          <cell r="J6336" t="str">
            <v>BRR NUEVO</v>
          </cell>
          <cell r="K6336" t="str">
            <v>27075</v>
          </cell>
          <cell r="L6336" t="str">
            <v>BAHÍA SOLANO</v>
          </cell>
          <cell r="M6336" t="str">
            <v>3215157453</v>
          </cell>
        </row>
        <row r="6337">
          <cell r="A6337">
            <v>1004600615</v>
          </cell>
          <cell r="B6337" t="str">
            <v/>
          </cell>
          <cell r="C6337" t="str">
            <v/>
          </cell>
          <cell r="D6337" t="str">
            <v>CC</v>
          </cell>
          <cell r="E6337" t="str">
            <v>JOSE ESTEBAN</v>
          </cell>
          <cell r="F6337" t="str">
            <v>PAI PASCAL</v>
          </cell>
          <cell r="G6337" t="str">
            <v>PAI PASCAL JOSE ESTEBAN</v>
          </cell>
          <cell r="H6337" t="str">
            <v>RESI</v>
          </cell>
          <cell r="I6337" t="str">
            <v>REGIMEN SIMPLIFICADO</v>
          </cell>
          <cell r="J6337" t="str">
            <v>TUMACO</v>
          </cell>
          <cell r="K6337" t="str">
            <v>52835</v>
          </cell>
          <cell r="L6337" t="str">
            <v>TUMACO</v>
          </cell>
          <cell r="M6337" t="str">
            <v>000</v>
          </cell>
        </row>
        <row r="6338">
          <cell r="A6338">
            <v>1004733102</v>
          </cell>
          <cell r="B6338" t="str">
            <v/>
          </cell>
          <cell r="C6338" t="str">
            <v/>
          </cell>
          <cell r="D6338" t="str">
            <v>TI</v>
          </cell>
          <cell r="E6338" t="str">
            <v>ANA MARIA</v>
          </cell>
          <cell r="F6338" t="str">
            <v>GUARIN VELEZ</v>
          </cell>
          <cell r="G6338" t="str">
            <v>GUARIN VELEZ ANA MARIA</v>
          </cell>
          <cell r="H6338" t="str">
            <v>FUNC</v>
          </cell>
          <cell r="I6338" t="str">
            <v>FUNCIONARIO</v>
          </cell>
          <cell r="J6338" t="str">
            <v>CR 11   59   54</v>
          </cell>
          <cell r="K6338" t="str">
            <v>17001</v>
          </cell>
          <cell r="L6338" t="str">
            <v>MANIZALES</v>
          </cell>
          <cell r="M6338" t="str">
            <v>3053264348</v>
          </cell>
        </row>
        <row r="6339">
          <cell r="A6339">
            <v>1006449975</v>
          </cell>
          <cell r="B6339" t="str">
            <v>7</v>
          </cell>
          <cell r="C6339" t="str">
            <v/>
          </cell>
          <cell r="D6339" t="str">
            <v>NP</v>
          </cell>
          <cell r="E6339" t="str">
            <v>KATHERINE</v>
          </cell>
          <cell r="F6339" t="str">
            <v>MORA PRADA</v>
          </cell>
          <cell r="G6339" t="str">
            <v>MORA PRADA KATHERINE</v>
          </cell>
          <cell r="H6339" t="str">
            <v>RESI</v>
          </cell>
          <cell r="I6339" t="str">
            <v>REGIMEN SIMPLIFICADO</v>
          </cell>
          <cell r="J6339" t="str">
            <v>CR 8 N 04 BRR CENTRO</v>
          </cell>
          <cell r="K6339" t="str">
            <v>99624</v>
          </cell>
          <cell r="L6339" t="str">
            <v>SANTA ROSALÍA</v>
          </cell>
          <cell r="M6339" t="str">
            <v>3202743852</v>
          </cell>
        </row>
        <row r="6340">
          <cell r="A6340">
            <v>1006449983</v>
          </cell>
          <cell r="B6340" t="str">
            <v/>
          </cell>
          <cell r="C6340" t="str">
            <v/>
          </cell>
          <cell r="D6340" t="str">
            <v>CC</v>
          </cell>
          <cell r="E6340" t="str">
            <v>SANTIAGO</v>
          </cell>
          <cell r="F6340" t="str">
            <v>SUAREZ MARTA</v>
          </cell>
          <cell r="G6340" t="str">
            <v>SUAREZ MARTA SANTIAGO</v>
          </cell>
          <cell r="H6340" t="str">
            <v>RESI</v>
          </cell>
          <cell r="I6340" t="str">
            <v>REGIMEN SIMPLIFICADO</v>
          </cell>
          <cell r="J6340" t="str">
            <v>XX</v>
          </cell>
          <cell r="K6340" t="str">
            <v>85430</v>
          </cell>
          <cell r="L6340" t="str">
            <v>TRINIDAD</v>
          </cell>
          <cell r="M6340" t="str">
            <v>XX</v>
          </cell>
        </row>
        <row r="6341">
          <cell r="A6341">
            <v>1006768772</v>
          </cell>
          <cell r="B6341" t="str">
            <v>7</v>
          </cell>
          <cell r="C6341" t="str">
            <v/>
          </cell>
          <cell r="D6341" t="str">
            <v>NP</v>
          </cell>
          <cell r="E6341" t="str">
            <v>JHONATAN ENRIQUE</v>
          </cell>
          <cell r="F6341" t="str">
            <v>MARTINEZ MARTINEZ</v>
          </cell>
          <cell r="G6341" t="str">
            <v>MARTINEZ MARTINEZ JHONATAN ENRIQUE</v>
          </cell>
          <cell r="H6341" t="str">
            <v>RESI</v>
          </cell>
          <cell r="I6341" t="str">
            <v>REGIMEN SIMPLIFICADO</v>
          </cell>
          <cell r="J6341" t="str">
            <v>GENSA - CASA FISCAL D 6</v>
          </cell>
          <cell r="K6341" t="str">
            <v>15516</v>
          </cell>
          <cell r="L6341" t="str">
            <v>PAIPA</v>
          </cell>
          <cell r="M6341" t="str">
            <v>3215418961</v>
          </cell>
        </row>
        <row r="6342">
          <cell r="A6342">
            <v>1006792983</v>
          </cell>
          <cell r="B6342" t="str">
            <v/>
          </cell>
          <cell r="C6342" t="str">
            <v/>
          </cell>
          <cell r="D6342" t="str">
            <v>CC</v>
          </cell>
          <cell r="E6342" t="str">
            <v>BRIAN STIVEN</v>
          </cell>
          <cell r="F6342" t="str">
            <v>ARENAS LARA</v>
          </cell>
          <cell r="G6342" t="str">
            <v>ARENAS LARA BRIAN STIVEN</v>
          </cell>
          <cell r="H6342" t="str">
            <v>FUNC</v>
          </cell>
          <cell r="I6342" t="str">
            <v>FUNCIONARIO</v>
          </cell>
          <cell r="J6342" t="str">
            <v>BARRIO 25 DE JULIO</v>
          </cell>
          <cell r="K6342" t="str">
            <v>94001</v>
          </cell>
          <cell r="L6342" t="str">
            <v>INÍRIDA</v>
          </cell>
          <cell r="M6342" t="str">
            <v>3202170391</v>
          </cell>
        </row>
        <row r="6343">
          <cell r="A6343">
            <v>1006964535</v>
          </cell>
          <cell r="B6343" t="str">
            <v/>
          </cell>
          <cell r="C6343" t="str">
            <v/>
          </cell>
          <cell r="D6343" t="str">
            <v>CC</v>
          </cell>
          <cell r="E6343" t="str">
            <v>LEOPOLDINO</v>
          </cell>
          <cell r="F6343" t="str">
            <v>CAYCEDO MURILLO</v>
          </cell>
          <cell r="G6343" t="str">
            <v>CAYCEDO MURILLO LEOPOLDINO</v>
          </cell>
          <cell r="H6343" t="str">
            <v>FUNC</v>
          </cell>
          <cell r="I6343" t="str">
            <v>FUNCIONARIO</v>
          </cell>
          <cell r="J6343" t="str">
            <v>CALLE 11 NRO. 6-37</v>
          </cell>
          <cell r="K6343" t="str">
            <v>97001</v>
          </cell>
          <cell r="L6343" t="str">
            <v>MITÚ</v>
          </cell>
          <cell r="M6343" t="str">
            <v>3223373783</v>
          </cell>
        </row>
        <row r="6344">
          <cell r="A6344">
            <v>1006965035</v>
          </cell>
          <cell r="B6344" t="str">
            <v/>
          </cell>
          <cell r="C6344" t="str">
            <v/>
          </cell>
          <cell r="D6344" t="str">
            <v>CC</v>
          </cell>
          <cell r="E6344" t="str">
            <v>AYDE CELINA</v>
          </cell>
          <cell r="F6344" t="str">
            <v>MOSQUERA HERNANDEZ</v>
          </cell>
          <cell r="G6344" t="str">
            <v>MOSQUERA HERNANDEZ AYDE CELINA</v>
          </cell>
          <cell r="H6344" t="str">
            <v>RESI</v>
          </cell>
          <cell r="I6344" t="str">
            <v>REGIMEN SIMPLIFICADO</v>
          </cell>
          <cell r="J6344" t="str">
            <v>BRR CASAS FISCALES DE TERMOPAIPA</v>
          </cell>
          <cell r="K6344" t="str">
            <v>15516</v>
          </cell>
          <cell r="L6344" t="str">
            <v>PAIPA</v>
          </cell>
          <cell r="M6344" t="str">
            <v>3106829132</v>
          </cell>
        </row>
        <row r="6345">
          <cell r="A6345">
            <v>1006965089</v>
          </cell>
          <cell r="B6345" t="str">
            <v>9</v>
          </cell>
          <cell r="C6345" t="str">
            <v/>
          </cell>
          <cell r="D6345" t="str">
            <v>NP</v>
          </cell>
          <cell r="E6345" t="str">
            <v>MONICA DANIELA</v>
          </cell>
          <cell r="F6345" t="str">
            <v>VELASQUEZ TIVOLI</v>
          </cell>
          <cell r="G6345" t="str">
            <v>VELASQUEZ TIVOLI MONICA DANIELA</v>
          </cell>
          <cell r="H6345" t="str">
            <v>RESI</v>
          </cell>
          <cell r="I6345" t="str">
            <v>REGIMEN SIMPLIFICADO</v>
          </cell>
          <cell r="J6345" t="str">
            <v>KM 3</v>
          </cell>
          <cell r="K6345" t="str">
            <v>15516</v>
          </cell>
          <cell r="L6345" t="str">
            <v>PAIPA</v>
          </cell>
          <cell r="M6345" t="str">
            <v>3105839781</v>
          </cell>
        </row>
        <row r="6346">
          <cell r="A6346">
            <v>1006978316</v>
          </cell>
          <cell r="B6346" t="str">
            <v>2</v>
          </cell>
          <cell r="C6346" t="str">
            <v/>
          </cell>
          <cell r="D6346" t="str">
            <v>NP</v>
          </cell>
          <cell r="E6346" t="str">
            <v>ROMAN HERNEY</v>
          </cell>
          <cell r="F6346" t="str">
            <v>HERNANDEZ GOMEZ</v>
          </cell>
          <cell r="G6346" t="str">
            <v>HERNANDEZ GOMEZ ROMAN HERNEY</v>
          </cell>
          <cell r="H6346" t="str">
            <v>RESI</v>
          </cell>
          <cell r="I6346" t="str">
            <v>REGIMEN SIMPLIFICADO</v>
          </cell>
          <cell r="J6346" t="str">
            <v>CA FISCALES GENSA</v>
          </cell>
          <cell r="K6346" t="str">
            <v>15516</v>
          </cell>
          <cell r="L6346" t="str">
            <v>PAIPA</v>
          </cell>
          <cell r="M6346" t="str">
            <v>3213956104</v>
          </cell>
        </row>
        <row r="6347">
          <cell r="A6347">
            <v>1006979002</v>
          </cell>
          <cell r="B6347" t="str">
            <v/>
          </cell>
          <cell r="C6347" t="str">
            <v/>
          </cell>
          <cell r="D6347" t="str">
            <v>CC</v>
          </cell>
          <cell r="E6347" t="str">
            <v>HARRISON DANILO</v>
          </cell>
          <cell r="F6347" t="str">
            <v>GOMEZ GONZALEZ</v>
          </cell>
          <cell r="G6347" t="str">
            <v>GOMEZ GONZALEZ HARRISON DANILO</v>
          </cell>
          <cell r="H6347" t="str">
            <v>FUNC</v>
          </cell>
          <cell r="I6347" t="str">
            <v>FUNCIONARIO</v>
          </cell>
          <cell r="J6347" t="str">
            <v>Comunidad guamal Mitú</v>
          </cell>
          <cell r="K6347" t="str">
            <v>97001</v>
          </cell>
          <cell r="L6347" t="str">
            <v>MITÚ</v>
          </cell>
          <cell r="M6347" t="str">
            <v>3102308023</v>
          </cell>
        </row>
        <row r="6348">
          <cell r="A6348">
            <v>1007036904</v>
          </cell>
          <cell r="B6348" t="str">
            <v/>
          </cell>
          <cell r="C6348" t="str">
            <v/>
          </cell>
          <cell r="D6348" t="str">
            <v>CC</v>
          </cell>
          <cell r="E6348" t="str">
            <v>RINA AMPARO</v>
          </cell>
          <cell r="F6348" t="str">
            <v>GOMEZ BAUTISTA</v>
          </cell>
          <cell r="G6348" t="str">
            <v>GOMEZ BAUTISTA RINA AMPARO</v>
          </cell>
          <cell r="H6348" t="str">
            <v>FUNC</v>
          </cell>
          <cell r="I6348" t="str">
            <v>FUNCIONARIO</v>
          </cell>
          <cell r="J6348" t="str">
            <v>BRR BELARMINO</v>
          </cell>
          <cell r="K6348" t="str">
            <v>97001</v>
          </cell>
          <cell r="L6348" t="str">
            <v>MITÚ</v>
          </cell>
          <cell r="M6348" t="str">
            <v>3142801186</v>
          </cell>
        </row>
        <row r="6349">
          <cell r="A6349">
            <v>1007132182</v>
          </cell>
          <cell r="B6349" t="str">
            <v/>
          </cell>
          <cell r="C6349" t="str">
            <v/>
          </cell>
          <cell r="D6349" t="str">
            <v>CC</v>
          </cell>
          <cell r="E6349" t="str">
            <v>CESAR DUVAN</v>
          </cell>
          <cell r="F6349" t="str">
            <v>RODRIGUEZ BARRERA</v>
          </cell>
          <cell r="G6349" t="str">
            <v>RODRIGUEZ BARRERA CESAR DUVAN</v>
          </cell>
          <cell r="H6349" t="str">
            <v>FUNC</v>
          </cell>
          <cell r="I6349" t="str">
            <v>FUNCIONARIO</v>
          </cell>
          <cell r="J6349" t="str">
            <v>CL 15 A 42 30</v>
          </cell>
          <cell r="K6349" t="str">
            <v>15238</v>
          </cell>
          <cell r="L6349" t="str">
            <v>DUITAMA</v>
          </cell>
          <cell r="M6349" t="str">
            <v>3133309067</v>
          </cell>
        </row>
        <row r="6350">
          <cell r="A6350">
            <v>1007227036</v>
          </cell>
          <cell r="B6350" t="str">
            <v/>
          </cell>
          <cell r="C6350" t="str">
            <v/>
          </cell>
          <cell r="D6350" t="str">
            <v>CC</v>
          </cell>
          <cell r="E6350" t="str">
            <v>MANUELA</v>
          </cell>
          <cell r="F6350" t="str">
            <v>MOTTA MEJIA</v>
          </cell>
          <cell r="G6350" t="str">
            <v>MOTTA MEJIA MANUELA</v>
          </cell>
          <cell r="H6350" t="str">
            <v>FUNC</v>
          </cell>
          <cell r="I6350" t="str">
            <v>FUNCIONARIO</v>
          </cell>
          <cell r="J6350" t="str">
            <v>CR 9 D 7 A 8</v>
          </cell>
          <cell r="K6350" t="str">
            <v>17001</v>
          </cell>
          <cell r="L6350" t="str">
            <v>MANIZALES</v>
          </cell>
          <cell r="M6350" t="str">
            <v>3187489980</v>
          </cell>
        </row>
        <row r="6351">
          <cell r="A6351">
            <v>1007233337</v>
          </cell>
          <cell r="B6351" t="str">
            <v/>
          </cell>
          <cell r="C6351" t="str">
            <v/>
          </cell>
          <cell r="D6351" t="str">
            <v>CC</v>
          </cell>
          <cell r="E6351" t="str">
            <v>CATALINA</v>
          </cell>
          <cell r="F6351" t="str">
            <v>SOLANO ARIAS</v>
          </cell>
          <cell r="G6351" t="str">
            <v>SOLANO ARIAS CATALINA</v>
          </cell>
          <cell r="H6351" t="str">
            <v>EXFU</v>
          </cell>
          <cell r="I6351" t="str">
            <v>EX-FUNCIONARIOS</v>
          </cell>
          <cell r="J6351" t="str">
            <v>CL 58 A 22 34</v>
          </cell>
          <cell r="K6351" t="str">
            <v>17001</v>
          </cell>
          <cell r="L6351" t="str">
            <v>MANIZALES</v>
          </cell>
          <cell r="M6351" t="str">
            <v>3218456487</v>
          </cell>
        </row>
        <row r="6352">
          <cell r="A6352">
            <v>1007234382</v>
          </cell>
          <cell r="B6352" t="str">
            <v/>
          </cell>
          <cell r="C6352" t="str">
            <v/>
          </cell>
          <cell r="D6352" t="str">
            <v>CC</v>
          </cell>
          <cell r="E6352" t="str">
            <v>MARIA ALEJANDRA</v>
          </cell>
          <cell r="F6352" t="str">
            <v>VALENCIA QUIROGA</v>
          </cell>
          <cell r="G6352" t="str">
            <v>VALENCIA QUIROGA MARIA ALEJANDRA</v>
          </cell>
          <cell r="H6352" t="str">
            <v>FUNC</v>
          </cell>
          <cell r="I6352" t="str">
            <v>FUNCIONARIO</v>
          </cell>
          <cell r="J6352" t="str">
            <v>CRA 8 58 B 01</v>
          </cell>
          <cell r="K6352" t="str">
            <v>17001</v>
          </cell>
          <cell r="L6352" t="str">
            <v>MANIZALES</v>
          </cell>
          <cell r="M6352" t="str">
            <v>3217048816</v>
          </cell>
        </row>
        <row r="6353">
          <cell r="A6353">
            <v>1007234999</v>
          </cell>
          <cell r="B6353" t="str">
            <v/>
          </cell>
          <cell r="C6353" t="str">
            <v/>
          </cell>
          <cell r="D6353" t="str">
            <v>CC</v>
          </cell>
          <cell r="E6353" t="str">
            <v>DANIELA</v>
          </cell>
          <cell r="F6353" t="str">
            <v>ARENAS FRANCO</v>
          </cell>
          <cell r="G6353" t="str">
            <v>ARENAS FRANCO DANIELA</v>
          </cell>
          <cell r="H6353" t="str">
            <v>FUNC</v>
          </cell>
          <cell r="I6353" t="str">
            <v>FUNCIONARIO</v>
          </cell>
          <cell r="J6353" t="str">
            <v>CR 28 46</v>
          </cell>
          <cell r="K6353" t="str">
            <v>17001</v>
          </cell>
          <cell r="L6353" t="str">
            <v>MANIZALES</v>
          </cell>
          <cell r="M6353" t="str">
            <v>3127245326</v>
          </cell>
        </row>
        <row r="6354">
          <cell r="A6354">
            <v>1007305438</v>
          </cell>
          <cell r="B6354" t="str">
            <v/>
          </cell>
          <cell r="C6354" t="str">
            <v/>
          </cell>
          <cell r="D6354" t="str">
            <v>CC</v>
          </cell>
          <cell r="E6354" t="str">
            <v>DIANA CAROLINA</v>
          </cell>
          <cell r="F6354" t="str">
            <v>FONSECA FONSECA</v>
          </cell>
          <cell r="G6354" t="str">
            <v>FONSECA FONSECA DIANA CAROLINA</v>
          </cell>
          <cell r="H6354" t="str">
            <v>FUNC</v>
          </cell>
          <cell r="I6354" t="str">
            <v>FUNCIONARIO</v>
          </cell>
          <cell r="J6354" t="str">
            <v>VRD EL SALITRE FCA LA ESPERANZA</v>
          </cell>
          <cell r="K6354" t="str">
            <v>15516</v>
          </cell>
          <cell r="L6354" t="str">
            <v>PAIPA</v>
          </cell>
          <cell r="M6354" t="str">
            <v>3188547504</v>
          </cell>
        </row>
        <row r="6355">
          <cell r="A6355">
            <v>1007305509</v>
          </cell>
          <cell r="B6355" t="str">
            <v/>
          </cell>
          <cell r="C6355" t="str">
            <v/>
          </cell>
          <cell r="D6355" t="str">
            <v>CC</v>
          </cell>
          <cell r="E6355" t="str">
            <v>ANDERSON SNEYDER</v>
          </cell>
          <cell r="F6355" t="str">
            <v>FONSECA FONSECA</v>
          </cell>
          <cell r="G6355" t="str">
            <v>FONSECA FONSECA ANDERSON SNEYDER</v>
          </cell>
          <cell r="H6355" t="str">
            <v>FUNC</v>
          </cell>
          <cell r="I6355" t="str">
            <v>FUNCIONARIO</v>
          </cell>
          <cell r="J6355" t="str">
            <v>CLLE 27 19 29</v>
          </cell>
          <cell r="K6355" t="str">
            <v>15516</v>
          </cell>
          <cell r="L6355" t="str">
            <v>PAIPA</v>
          </cell>
          <cell r="M6355" t="str">
            <v>3158752317</v>
          </cell>
        </row>
        <row r="6356">
          <cell r="A6356">
            <v>1007305734</v>
          </cell>
          <cell r="B6356" t="str">
            <v/>
          </cell>
          <cell r="C6356" t="str">
            <v/>
          </cell>
          <cell r="D6356" t="str">
            <v>CC</v>
          </cell>
          <cell r="E6356" t="str">
            <v>DIEGO ALEXANDER</v>
          </cell>
          <cell r="F6356" t="str">
            <v>FONSECA FONSECA</v>
          </cell>
          <cell r="G6356" t="str">
            <v>FONSECA FONSECA DIEGO ALEXANDER</v>
          </cell>
          <cell r="H6356" t="str">
            <v>FUNC</v>
          </cell>
          <cell r="I6356" t="str">
            <v>FUNCIONARIO</v>
          </cell>
          <cell r="J6356" t="str">
            <v>VEREDA EL VOLVAN</v>
          </cell>
          <cell r="K6356" t="str">
            <v>15516</v>
          </cell>
          <cell r="L6356" t="str">
            <v>PAIPA</v>
          </cell>
          <cell r="M6356" t="str">
            <v>3133341801</v>
          </cell>
        </row>
        <row r="6357">
          <cell r="A6357">
            <v>1007305759</v>
          </cell>
          <cell r="B6357" t="str">
            <v/>
          </cell>
          <cell r="C6357" t="str">
            <v/>
          </cell>
          <cell r="D6357" t="str">
            <v>CC</v>
          </cell>
          <cell r="E6357" t="str">
            <v>JHONATTAN CAMILO</v>
          </cell>
          <cell r="F6357" t="str">
            <v>VELANDIA COY</v>
          </cell>
          <cell r="G6357" t="str">
            <v>VELANDIA COY JHONATTAN CAMILO</v>
          </cell>
          <cell r="H6357" t="str">
            <v>EXFU</v>
          </cell>
          <cell r="I6357" t="str">
            <v>EX-FUNCIONARIOS</v>
          </cell>
          <cell r="J6357" t="str">
            <v>CR 15 30 20</v>
          </cell>
          <cell r="K6357" t="str">
            <v>15516</v>
          </cell>
          <cell r="L6357" t="str">
            <v>PAIPA</v>
          </cell>
          <cell r="M6357" t="str">
            <v>3104534306</v>
          </cell>
        </row>
        <row r="6358">
          <cell r="A6358">
            <v>1007329967</v>
          </cell>
          <cell r="B6358" t="str">
            <v/>
          </cell>
          <cell r="C6358" t="str">
            <v/>
          </cell>
          <cell r="D6358" t="str">
            <v>CC</v>
          </cell>
          <cell r="E6358" t="str">
            <v>ALEXANDER</v>
          </cell>
          <cell r="F6358" t="str">
            <v>VALENCIA BOTERO</v>
          </cell>
          <cell r="G6358" t="str">
            <v>VALENCIA BOTERO ALEXANDER</v>
          </cell>
          <cell r="H6358" t="str">
            <v>FUNC</v>
          </cell>
          <cell r="I6358" t="str">
            <v>FUNCIONARIO</v>
          </cell>
          <cell r="J6358" t="str">
            <v>BARRIO CUERVO ARAOZ</v>
          </cell>
          <cell r="K6358" t="str">
            <v>97001</v>
          </cell>
          <cell r="L6358" t="str">
            <v>MITÚ</v>
          </cell>
          <cell r="M6358" t="str">
            <v>3203776755</v>
          </cell>
        </row>
        <row r="6359">
          <cell r="A6359">
            <v>1007373037</v>
          </cell>
          <cell r="B6359" t="str">
            <v>9</v>
          </cell>
          <cell r="C6359" t="str">
            <v/>
          </cell>
          <cell r="D6359" t="str">
            <v>NP</v>
          </cell>
          <cell r="E6359" t="str">
            <v>DAYANNA PATRICIA</v>
          </cell>
          <cell r="F6359" t="str">
            <v>RAMIREZ PEREZ</v>
          </cell>
          <cell r="G6359" t="str">
            <v>RAMIREZ PEREZ DAYANNA PATRICIA</v>
          </cell>
          <cell r="H6359" t="str">
            <v>RESI</v>
          </cell>
          <cell r="I6359" t="str">
            <v>REGIMEN SIMPLIFICADO</v>
          </cell>
          <cell r="J6359" t="str">
            <v xml:space="preserve"> CASAS FISCALES DE LA TERMOELECTRICA</v>
          </cell>
          <cell r="K6359" t="str">
            <v>15516</v>
          </cell>
          <cell r="L6359" t="str">
            <v>PAIPA</v>
          </cell>
          <cell r="M6359" t="str">
            <v>3162900394</v>
          </cell>
        </row>
        <row r="6360">
          <cell r="A6360">
            <v>1007379446</v>
          </cell>
          <cell r="B6360" t="str">
            <v/>
          </cell>
          <cell r="C6360" t="str">
            <v/>
          </cell>
          <cell r="D6360" t="str">
            <v>CC</v>
          </cell>
          <cell r="E6360" t="str">
            <v>JUAN SEBASTIAN</v>
          </cell>
          <cell r="F6360" t="str">
            <v>NIÑO CORREDOR</v>
          </cell>
          <cell r="G6360" t="str">
            <v>NIÑO CORREDOR JUAN SEBASTIAN</v>
          </cell>
          <cell r="H6360" t="str">
            <v>EXFU</v>
          </cell>
          <cell r="I6360" t="str">
            <v>EX-FUNCIONARIOS</v>
          </cell>
          <cell r="J6360" t="str">
            <v>CL 24 A 22 57</v>
          </cell>
          <cell r="K6360" t="str">
            <v>15238</v>
          </cell>
          <cell r="L6360" t="str">
            <v>DUITAMA</v>
          </cell>
          <cell r="M6360" t="str">
            <v>3124902986</v>
          </cell>
        </row>
        <row r="6361">
          <cell r="A6361">
            <v>1007420329</v>
          </cell>
          <cell r="B6361" t="str">
            <v/>
          </cell>
          <cell r="C6361" t="str">
            <v/>
          </cell>
          <cell r="D6361" t="str">
            <v>CC</v>
          </cell>
          <cell r="E6361" t="str">
            <v>ANGELY MARIANE</v>
          </cell>
          <cell r="F6361" t="str">
            <v>GUERRERO LEMUS</v>
          </cell>
          <cell r="G6361" t="str">
            <v>GUERRERO LEMUS ANGELY MARIANE</v>
          </cell>
          <cell r="H6361" t="str">
            <v>FUNC</v>
          </cell>
          <cell r="I6361" t="str">
            <v>FUNCIONARIO</v>
          </cell>
          <cell r="J6361" t="str">
            <v>TV 20 20 A 70</v>
          </cell>
          <cell r="K6361" t="str">
            <v>15759</v>
          </cell>
          <cell r="L6361" t="str">
            <v>SOGAMOSO</v>
          </cell>
          <cell r="M6361" t="str">
            <v>3135254845</v>
          </cell>
        </row>
        <row r="6362">
          <cell r="A6362">
            <v>1007420531</v>
          </cell>
          <cell r="B6362" t="str">
            <v/>
          </cell>
          <cell r="C6362" t="str">
            <v/>
          </cell>
          <cell r="D6362" t="str">
            <v>CC</v>
          </cell>
          <cell r="E6362" t="str">
            <v>BRAYAN LEONARDO</v>
          </cell>
          <cell r="F6362" t="str">
            <v>PICO RODRIGUEZ</v>
          </cell>
          <cell r="G6362" t="str">
            <v>PICO RODRIGUEZ BRAYAN LEONARDO</v>
          </cell>
          <cell r="H6362" t="str">
            <v>FUNC</v>
          </cell>
          <cell r="I6362" t="str">
            <v>FUNCIONARIO</v>
          </cell>
          <cell r="J6362" t="str">
            <v>CALLE 42 # 11-76</v>
          </cell>
          <cell r="K6362" t="str">
            <v>15759</v>
          </cell>
          <cell r="L6362" t="str">
            <v>SOGAMOSO</v>
          </cell>
          <cell r="M6362" t="str">
            <v>3103112657</v>
          </cell>
        </row>
        <row r="6363">
          <cell r="A6363">
            <v>1007420541</v>
          </cell>
          <cell r="B6363" t="str">
            <v/>
          </cell>
          <cell r="C6363" t="str">
            <v/>
          </cell>
          <cell r="D6363" t="str">
            <v>CC</v>
          </cell>
          <cell r="E6363" t="str">
            <v>CRISTIAN FERNANDO</v>
          </cell>
          <cell r="F6363" t="str">
            <v>RICAURTE ALARCON</v>
          </cell>
          <cell r="G6363" t="str">
            <v>RICAURTE ALARCON CRISTIAN FERNANDO</v>
          </cell>
          <cell r="H6363" t="str">
            <v>FUNC</v>
          </cell>
          <cell r="I6363" t="str">
            <v>FUNCIONARIO</v>
          </cell>
          <cell r="J6363" t="str">
            <v>CALLE 34 N° 12-51</v>
          </cell>
          <cell r="K6363" t="str">
            <v>15759</v>
          </cell>
          <cell r="L6363" t="str">
            <v>SOGAMOSO</v>
          </cell>
          <cell r="M6363" t="str">
            <v>3144376995</v>
          </cell>
        </row>
        <row r="6364">
          <cell r="A6364">
            <v>1007507256</v>
          </cell>
          <cell r="B6364" t="str">
            <v/>
          </cell>
          <cell r="C6364" t="str">
            <v/>
          </cell>
          <cell r="D6364" t="str">
            <v>CC</v>
          </cell>
          <cell r="E6364" t="str">
            <v>ELVER</v>
          </cell>
          <cell r="F6364" t="str">
            <v>NAMPIA PEDROZA</v>
          </cell>
          <cell r="G6364" t="str">
            <v>NAMPIA PEDROZA ELVER</v>
          </cell>
          <cell r="H6364" t="str">
            <v>RESI</v>
          </cell>
          <cell r="I6364" t="str">
            <v>REGIMEN SIMPLIFICADO</v>
          </cell>
          <cell r="J6364" t="str">
            <v>MEDIO BAUDO</v>
          </cell>
          <cell r="K6364" t="str">
            <v>27430</v>
          </cell>
          <cell r="L6364" t="str">
            <v>MEDIO BAUDÓ</v>
          </cell>
          <cell r="M6364" t="str">
            <v>XXX</v>
          </cell>
        </row>
        <row r="6365">
          <cell r="A6365">
            <v>1007575142</v>
          </cell>
          <cell r="B6365" t="str">
            <v/>
          </cell>
          <cell r="C6365" t="str">
            <v/>
          </cell>
          <cell r="D6365" t="str">
            <v>CC</v>
          </cell>
          <cell r="E6365" t="str">
            <v>TOMAS ALEJANDRO</v>
          </cell>
          <cell r="F6365" t="str">
            <v>GONZALEZ GARCIA</v>
          </cell>
          <cell r="G6365" t="str">
            <v>GONZALEZ GARCIA TOMAS ALEJANDRO</v>
          </cell>
          <cell r="H6365" t="str">
            <v>FUNC</v>
          </cell>
          <cell r="I6365" t="str">
            <v>FUNCIONARIO</v>
          </cell>
          <cell r="J6365" t="str">
            <v>AV PANAMERICANA N° 103 TO3 79</v>
          </cell>
          <cell r="K6365" t="str">
            <v>17001</v>
          </cell>
          <cell r="L6365" t="str">
            <v>MANIZALES</v>
          </cell>
          <cell r="M6365" t="str">
            <v>3504256488</v>
          </cell>
        </row>
        <row r="6366">
          <cell r="A6366">
            <v>1007604480</v>
          </cell>
          <cell r="B6366" t="str">
            <v>1</v>
          </cell>
          <cell r="C6366" t="str">
            <v/>
          </cell>
          <cell r="D6366" t="str">
            <v>NP</v>
          </cell>
          <cell r="E6366" t="str">
            <v>LIZET DAYANA</v>
          </cell>
          <cell r="F6366" t="str">
            <v>FLOREZ MOSQUERA</v>
          </cell>
          <cell r="G6366" t="str">
            <v>FLOREZ MOSQUERA LIZET DAYANA</v>
          </cell>
          <cell r="H6366" t="str">
            <v>NORE</v>
          </cell>
          <cell r="I6366" t="str">
            <v>NO RESPONSABLE DE IVA</v>
          </cell>
          <cell r="J6366" t="str">
            <v>BRR CHOCOLATAL</v>
          </cell>
          <cell r="K6366" t="str">
            <v>17001</v>
          </cell>
          <cell r="L6366" t="str">
            <v>MANIZALES</v>
          </cell>
          <cell r="M6366" t="str">
            <v>3103504397</v>
          </cell>
        </row>
        <row r="6367">
          <cell r="A6367">
            <v>1007678130</v>
          </cell>
          <cell r="B6367" t="str">
            <v/>
          </cell>
          <cell r="C6367" t="str">
            <v/>
          </cell>
          <cell r="D6367" t="str">
            <v>CC</v>
          </cell>
          <cell r="E6367" t="str">
            <v>SANDRA PAOLA</v>
          </cell>
          <cell r="F6367" t="str">
            <v>GUACHE SANTANA</v>
          </cell>
          <cell r="G6367" t="str">
            <v>GUACHE SANTANA SANDRA PAOLA</v>
          </cell>
          <cell r="H6367" t="str">
            <v>EXFU</v>
          </cell>
          <cell r="I6367" t="str">
            <v>EX-FUNCIONARIOS</v>
          </cell>
          <cell r="J6367" t="str">
            <v>CR 28 17 59 MZ J CA 10</v>
          </cell>
          <cell r="K6367" t="str">
            <v>85001</v>
          </cell>
          <cell r="L6367" t="str">
            <v>YOPAL</v>
          </cell>
          <cell r="M6367" t="str">
            <v>3204347302</v>
          </cell>
        </row>
        <row r="6368">
          <cell r="A6368">
            <v>1007751124</v>
          </cell>
          <cell r="B6368" t="str">
            <v/>
          </cell>
          <cell r="C6368" t="str">
            <v/>
          </cell>
          <cell r="D6368" t="str">
            <v>CC</v>
          </cell>
          <cell r="E6368" t="str">
            <v>LAURA CAMILA</v>
          </cell>
          <cell r="F6368" t="str">
            <v>ZEA ACOSTA</v>
          </cell>
          <cell r="G6368" t="str">
            <v>ZEA ACOSTA LAURA CAMILA</v>
          </cell>
          <cell r="H6368" t="str">
            <v>EXFU</v>
          </cell>
          <cell r="I6368" t="str">
            <v>EX-FUNCIONARIOS</v>
          </cell>
          <cell r="J6368" t="str">
            <v>CR 11 28 15 SUR</v>
          </cell>
          <cell r="K6368" t="str">
            <v>15759</v>
          </cell>
          <cell r="L6368" t="str">
            <v>SOGAMOSO</v>
          </cell>
          <cell r="M6368" t="str">
            <v>3202835006</v>
          </cell>
        </row>
        <row r="6369">
          <cell r="A6369">
            <v>1007774207</v>
          </cell>
          <cell r="B6369" t="str">
            <v/>
          </cell>
          <cell r="C6369" t="str">
            <v/>
          </cell>
          <cell r="D6369" t="str">
            <v>CC</v>
          </cell>
          <cell r="E6369" t="str">
            <v>JOILYN VALENTINA</v>
          </cell>
          <cell r="F6369" t="str">
            <v>REYES RODRIGUEZ</v>
          </cell>
          <cell r="G6369" t="str">
            <v>REYES RODRIGUEZ JOILYN VALENTINA</v>
          </cell>
          <cell r="H6369" t="str">
            <v>FUNC</v>
          </cell>
          <cell r="I6369" t="str">
            <v>FUNCIONARIO</v>
          </cell>
          <cell r="J6369" t="str">
            <v>Carrera 15 20- 34</v>
          </cell>
          <cell r="K6369" t="str">
            <v>15238</v>
          </cell>
          <cell r="L6369" t="str">
            <v>DUITAMA</v>
          </cell>
          <cell r="M6369" t="str">
            <v>3224290656</v>
          </cell>
        </row>
        <row r="6370">
          <cell r="A6370">
            <v>1010002200</v>
          </cell>
          <cell r="B6370" t="str">
            <v/>
          </cell>
          <cell r="C6370" t="str">
            <v/>
          </cell>
          <cell r="D6370" t="str">
            <v>CC</v>
          </cell>
          <cell r="E6370" t="str">
            <v>YEIMI PAOLA</v>
          </cell>
          <cell r="F6370" t="str">
            <v>GARCIA GARCIA</v>
          </cell>
          <cell r="G6370" t="str">
            <v>GARCIA GARCIA YEIMI PAOLA</v>
          </cell>
          <cell r="H6370" t="str">
            <v>FUNC</v>
          </cell>
          <cell r="I6370" t="str">
            <v>FUNCIONARIO</v>
          </cell>
          <cell r="J6370" t="str">
            <v>CLL 4 13A 10</v>
          </cell>
          <cell r="K6370" t="str">
            <v>15516</v>
          </cell>
          <cell r="L6370" t="str">
            <v>PAIPA</v>
          </cell>
          <cell r="M6370" t="str">
            <v>3209773132</v>
          </cell>
        </row>
        <row r="6371">
          <cell r="A6371">
            <v>1010071908</v>
          </cell>
          <cell r="B6371" t="str">
            <v/>
          </cell>
          <cell r="C6371" t="str">
            <v/>
          </cell>
          <cell r="D6371" t="str">
            <v>CC</v>
          </cell>
          <cell r="E6371" t="str">
            <v>IVAN ANDRES</v>
          </cell>
          <cell r="F6371" t="str">
            <v>LARA LARGO</v>
          </cell>
          <cell r="G6371" t="str">
            <v>LARA LARGO IVAN ANDRES</v>
          </cell>
          <cell r="H6371" t="str">
            <v>FUNC</v>
          </cell>
          <cell r="I6371" t="str">
            <v>FUNCIONARIO</v>
          </cell>
          <cell r="J6371" t="str">
            <v>BARRIO PORVENIR</v>
          </cell>
          <cell r="K6371" t="str">
            <v>94001</v>
          </cell>
          <cell r="L6371" t="str">
            <v>INÍRIDA</v>
          </cell>
          <cell r="M6371" t="str">
            <v>3145528435</v>
          </cell>
        </row>
        <row r="6372">
          <cell r="A6372">
            <v>1010095569</v>
          </cell>
          <cell r="B6372" t="str">
            <v/>
          </cell>
          <cell r="C6372" t="str">
            <v/>
          </cell>
          <cell r="D6372" t="str">
            <v>CC</v>
          </cell>
          <cell r="E6372" t="str">
            <v>DANIEL SANTIAGO</v>
          </cell>
          <cell r="F6372" t="str">
            <v>HUERFANO ALVAREZ</v>
          </cell>
          <cell r="G6372" t="str">
            <v>HUERFANO ALVAREZ DANIEL SANTIAGO</v>
          </cell>
          <cell r="H6372" t="str">
            <v>FUNC</v>
          </cell>
          <cell r="I6372" t="str">
            <v>FUNCIONARIO</v>
          </cell>
          <cell r="J6372" t="str">
            <v>CR 17 10 05</v>
          </cell>
          <cell r="K6372" t="str">
            <v>15759</v>
          </cell>
          <cell r="L6372" t="str">
            <v>SOGAMOSO</v>
          </cell>
          <cell r="M6372" t="str">
            <v>3133622350</v>
          </cell>
        </row>
        <row r="6373">
          <cell r="A6373">
            <v>1010178998</v>
          </cell>
          <cell r="B6373" t="str">
            <v>7</v>
          </cell>
          <cell r="C6373" t="str">
            <v/>
          </cell>
          <cell r="D6373" t="str">
            <v>NP</v>
          </cell>
          <cell r="E6373" t="str">
            <v>DIEGO FERNANDO</v>
          </cell>
          <cell r="F6373" t="str">
            <v>PEÑARANDA PAREDES</v>
          </cell>
          <cell r="G6373" t="str">
            <v>PEÑARANDA PAREDES DIEGO FERNANDO</v>
          </cell>
          <cell r="H6373" t="str">
            <v>NORE</v>
          </cell>
          <cell r="I6373" t="str">
            <v>NO RESPONSABLE DE IVA</v>
          </cell>
          <cell r="J6373" t="str">
            <v>CR 19 10 A 09</v>
          </cell>
          <cell r="K6373" t="str">
            <v>15238</v>
          </cell>
          <cell r="L6373" t="str">
            <v>DUITAMA</v>
          </cell>
          <cell r="M6373" t="str">
            <v>3142982407</v>
          </cell>
        </row>
        <row r="6374">
          <cell r="A6374">
            <v>1010181868</v>
          </cell>
          <cell r="B6374" t="str">
            <v>9</v>
          </cell>
          <cell r="C6374" t="str">
            <v/>
          </cell>
          <cell r="D6374" t="str">
            <v>NP</v>
          </cell>
          <cell r="E6374" t="str">
            <v>LEIDY CAROLINA</v>
          </cell>
          <cell r="F6374" t="str">
            <v>CASTRO MENDEZ</v>
          </cell>
          <cell r="G6374" t="str">
            <v>CASTRO MENDEZ LEIDY CAROLINA</v>
          </cell>
          <cell r="H6374" t="str">
            <v>RESI</v>
          </cell>
          <cell r="I6374" t="str">
            <v>REGIMEN SIMPLIFICADO</v>
          </cell>
          <cell r="J6374" t="str">
            <v>CL 80 A  118 30 IN 2 AP 404</v>
          </cell>
          <cell r="K6374" t="str">
            <v>11001</v>
          </cell>
          <cell r="L6374" t="str">
            <v>BOGOTA DC</v>
          </cell>
          <cell r="M6374" t="str">
            <v>4756309</v>
          </cell>
        </row>
        <row r="6375">
          <cell r="A6375">
            <v>1010186365</v>
          </cell>
          <cell r="B6375" t="str">
            <v>9</v>
          </cell>
          <cell r="C6375" t="str">
            <v/>
          </cell>
          <cell r="D6375" t="str">
            <v>NP</v>
          </cell>
          <cell r="E6375" t="str">
            <v>ZULMA MILENA</v>
          </cell>
          <cell r="F6375" t="str">
            <v>MORENO CURTIDOR</v>
          </cell>
          <cell r="G6375" t="str">
            <v>MORENO CURTIDOR ZULMA MILENA</v>
          </cell>
          <cell r="H6375" t="str">
            <v>RESI</v>
          </cell>
          <cell r="I6375" t="str">
            <v>REGIMEN SIMPLIFICADO</v>
          </cell>
          <cell r="J6375" t="str">
            <v>CL 183 BL 3 11 55 AP 202 BRR SAN ANTONIO NORTE</v>
          </cell>
          <cell r="K6375" t="str">
            <v>11001</v>
          </cell>
          <cell r="L6375" t="str">
            <v>BOGOTA DC</v>
          </cell>
          <cell r="M6375" t="str">
            <v>3114884022</v>
          </cell>
        </row>
        <row r="6376">
          <cell r="A6376">
            <v>1010198806</v>
          </cell>
          <cell r="B6376" t="str">
            <v>7</v>
          </cell>
          <cell r="C6376" t="str">
            <v/>
          </cell>
          <cell r="D6376" t="str">
            <v>NP</v>
          </cell>
          <cell r="E6376" t="str">
            <v>CRISTHIAN SMITH</v>
          </cell>
          <cell r="F6376" t="str">
            <v>VARON HENAO</v>
          </cell>
          <cell r="G6376" t="str">
            <v>VARON HENAO CRISTHIAN SMITH</v>
          </cell>
          <cell r="H6376" t="str">
            <v>RESI</v>
          </cell>
          <cell r="I6376" t="str">
            <v>REGIMEN SIMPLIFICADO</v>
          </cell>
          <cell r="J6376" t="str">
            <v>BRR LOS  COMUNEROS CL 20 10 74</v>
          </cell>
          <cell r="K6376" t="str">
            <v>94001</v>
          </cell>
          <cell r="L6376" t="str">
            <v>INÍRIDA</v>
          </cell>
          <cell r="M6376" t="str">
            <v>3143231621</v>
          </cell>
        </row>
        <row r="6377">
          <cell r="A6377">
            <v>1010201845</v>
          </cell>
          <cell r="B6377" t="str">
            <v>7</v>
          </cell>
          <cell r="C6377" t="str">
            <v/>
          </cell>
          <cell r="D6377" t="str">
            <v>NP</v>
          </cell>
          <cell r="E6377" t="str">
            <v>JOHIMER ANDRES</v>
          </cell>
          <cell r="F6377" t="str">
            <v>GASCA PEÑA</v>
          </cell>
          <cell r="G6377" t="str">
            <v>GASCA PEÑA JOHIMER ANDRES</v>
          </cell>
          <cell r="H6377" t="str">
            <v>IMVE</v>
          </cell>
          <cell r="I6377" t="str">
            <v>IMPUESTO SOBRE LAS VENTAS</v>
          </cell>
          <cell r="J6377" t="str">
            <v>TV 13 12 55</v>
          </cell>
          <cell r="K6377" t="str">
            <v>97001</v>
          </cell>
          <cell r="L6377" t="str">
            <v>MITÚ</v>
          </cell>
          <cell r="M6377" t="str">
            <v>3127878802</v>
          </cell>
        </row>
        <row r="6378">
          <cell r="A6378">
            <v>1010201884</v>
          </cell>
          <cell r="B6378" t="str">
            <v/>
          </cell>
          <cell r="C6378" t="str">
            <v/>
          </cell>
          <cell r="D6378" t="str">
            <v>CC</v>
          </cell>
          <cell r="E6378" t="str">
            <v>GUILLERMO ALEJANDRO</v>
          </cell>
          <cell r="F6378" t="str">
            <v>PARRA ARDILA</v>
          </cell>
          <cell r="G6378" t="str">
            <v>PARRA ARDILA GUILLERMO ALEJANDRO</v>
          </cell>
          <cell r="H6378" t="str">
            <v>FUNC</v>
          </cell>
          <cell r="I6378" t="str">
            <v>FUNCIONARIO</v>
          </cell>
          <cell r="J6378" t="str">
            <v>CL 17 A   27   34</v>
          </cell>
          <cell r="K6378" t="str">
            <v>85001</v>
          </cell>
          <cell r="L6378" t="str">
            <v>YOPAL</v>
          </cell>
          <cell r="M6378" t="str">
            <v>3015261979</v>
          </cell>
        </row>
        <row r="6379">
          <cell r="A6379">
            <v>1010214752</v>
          </cell>
          <cell r="B6379" t="str">
            <v>7</v>
          </cell>
          <cell r="C6379" t="str">
            <v/>
          </cell>
          <cell r="D6379" t="str">
            <v>NP</v>
          </cell>
          <cell r="E6379" t="str">
            <v>ADRIANA DEL PILAR</v>
          </cell>
          <cell r="F6379" t="str">
            <v>GRANADOS CABALLERO</v>
          </cell>
          <cell r="G6379" t="str">
            <v>GRANADOS CABALLERO ADRIANA DEL PILAR</v>
          </cell>
          <cell r="H6379" t="str">
            <v>NORE</v>
          </cell>
          <cell r="I6379" t="str">
            <v>NO RESPONSABLE DE IVA</v>
          </cell>
          <cell r="J6379" t="str">
            <v>CR 48 22 80 CA 49</v>
          </cell>
          <cell r="K6379" t="str">
            <v>11001</v>
          </cell>
          <cell r="L6379" t="str">
            <v>BOGOTA DC</v>
          </cell>
          <cell r="M6379" t="str">
            <v>3112121502</v>
          </cell>
        </row>
        <row r="6380">
          <cell r="A6380">
            <v>1012350742</v>
          </cell>
          <cell r="B6380" t="str">
            <v/>
          </cell>
          <cell r="C6380" t="str">
            <v/>
          </cell>
          <cell r="D6380" t="str">
            <v>CC</v>
          </cell>
          <cell r="E6380" t="str">
            <v>JEIMY JHOANNA</v>
          </cell>
          <cell r="F6380" t="str">
            <v>HOLGUIN GONZALEZ</v>
          </cell>
          <cell r="G6380" t="str">
            <v>HOLGUIN GONZALEZ JEIMY JHOANNA</v>
          </cell>
          <cell r="H6380" t="str">
            <v>FUNC</v>
          </cell>
          <cell r="I6380" t="str">
            <v>FUNCIONARIO</v>
          </cell>
          <cell r="J6380" t="str">
            <v>CALLE 5  13  A 10</v>
          </cell>
          <cell r="K6380" t="str">
            <v>17001</v>
          </cell>
          <cell r="L6380" t="str">
            <v>MANIZALES</v>
          </cell>
          <cell r="M6380" t="str">
            <v>3126131811</v>
          </cell>
        </row>
        <row r="6381">
          <cell r="A6381">
            <v>1012353977</v>
          </cell>
          <cell r="B6381" t="str">
            <v>1</v>
          </cell>
          <cell r="C6381" t="str">
            <v/>
          </cell>
          <cell r="D6381" t="str">
            <v>NP</v>
          </cell>
          <cell r="E6381" t="str">
            <v>ERICK FABIAN</v>
          </cell>
          <cell r="F6381" t="str">
            <v>VARON HENAO</v>
          </cell>
          <cell r="G6381" t="str">
            <v>VARON HENAO ERICK FABIAN</v>
          </cell>
          <cell r="H6381" t="str">
            <v>NORE</v>
          </cell>
          <cell r="I6381" t="str">
            <v>NO RESPONSABLE DE IVA</v>
          </cell>
          <cell r="J6381" t="str">
            <v xml:space="preserve"> CL 20  10 74 BRR COMUNEROS</v>
          </cell>
          <cell r="K6381" t="str">
            <v>94001</v>
          </cell>
          <cell r="L6381" t="str">
            <v>INÍRIDA</v>
          </cell>
          <cell r="M6381" t="str">
            <v>3188621897</v>
          </cell>
        </row>
        <row r="6382">
          <cell r="A6382">
            <v>1014183490</v>
          </cell>
          <cell r="B6382" t="str">
            <v>2</v>
          </cell>
          <cell r="C6382" t="str">
            <v/>
          </cell>
          <cell r="D6382" t="str">
            <v>NP</v>
          </cell>
          <cell r="E6382" t="str">
            <v>CESAR ANDRES</v>
          </cell>
          <cell r="F6382" t="str">
            <v>ZAMORA PARRADO</v>
          </cell>
          <cell r="G6382" t="str">
            <v>ZAMORA PARRADO CESAR ANDRES</v>
          </cell>
          <cell r="H6382" t="str">
            <v>RESI</v>
          </cell>
          <cell r="I6382" t="str">
            <v>REGIMEN SIMPLIFICADO</v>
          </cell>
          <cell r="J6382" t="str">
            <v>CL 77 A  BIS   105 B  22 BRR GARCES NAVAS</v>
          </cell>
          <cell r="K6382" t="str">
            <v>11001</v>
          </cell>
          <cell r="L6382" t="str">
            <v>BOGOTA DC</v>
          </cell>
          <cell r="M6382" t="str">
            <v>2319661</v>
          </cell>
        </row>
        <row r="6383">
          <cell r="A6383">
            <v>1014191610</v>
          </cell>
          <cell r="B6383" t="str">
            <v>3</v>
          </cell>
          <cell r="C6383" t="str">
            <v/>
          </cell>
          <cell r="D6383" t="str">
            <v>NP</v>
          </cell>
          <cell r="E6383" t="str">
            <v>JAVIER ENRIQUE</v>
          </cell>
          <cell r="F6383" t="str">
            <v>MENDEZ BONILLA</v>
          </cell>
          <cell r="G6383" t="str">
            <v>MENDEZ BONILLA JAVIER ENRIQUE</v>
          </cell>
          <cell r="H6383" t="str">
            <v>REOR</v>
          </cell>
          <cell r="I6383" t="str">
            <v>RENTA REGIMEN ORDINARIO</v>
          </cell>
          <cell r="J6383" t="str">
            <v>DG 85 76 21 AP 107 BRR LA ESPAÑOLA</v>
          </cell>
          <cell r="K6383" t="str">
            <v>11001</v>
          </cell>
          <cell r="L6383" t="str">
            <v>BOGOTA DC</v>
          </cell>
          <cell r="M6383" t="str">
            <v>5372602</v>
          </cell>
        </row>
        <row r="6384">
          <cell r="A6384">
            <v>1015430349</v>
          </cell>
          <cell r="B6384" t="str">
            <v>5</v>
          </cell>
          <cell r="C6384" t="str">
            <v/>
          </cell>
          <cell r="D6384" t="str">
            <v>NP</v>
          </cell>
          <cell r="E6384" t="str">
            <v>NATALIA CAROLINA</v>
          </cell>
          <cell r="F6384" t="str">
            <v>RINCON JAIMES</v>
          </cell>
          <cell r="G6384" t="str">
            <v>RINCON JAIMES NATALIA CAROLINA</v>
          </cell>
          <cell r="H6384" t="str">
            <v>NORE</v>
          </cell>
          <cell r="I6384" t="str">
            <v>NO RESPONSABLE DE IVA</v>
          </cell>
          <cell r="J6384" t="str">
            <v>62 CR 64 75  TORRE 3 AP 911 CON EL LABRADOR II</v>
          </cell>
          <cell r="K6384" t="str">
            <v>11001</v>
          </cell>
          <cell r="L6384" t="str">
            <v>BOGOTA DC</v>
          </cell>
          <cell r="M6384" t="str">
            <v>4281530</v>
          </cell>
        </row>
        <row r="6385">
          <cell r="A6385">
            <v>1015437493</v>
          </cell>
          <cell r="B6385" t="str">
            <v/>
          </cell>
          <cell r="C6385" t="str">
            <v/>
          </cell>
          <cell r="D6385" t="str">
            <v>CC</v>
          </cell>
          <cell r="E6385" t="str">
            <v>AIDA LUZ</v>
          </cell>
          <cell r="F6385" t="str">
            <v>FLOREZ CHAVEZ</v>
          </cell>
          <cell r="G6385" t="str">
            <v>FLOREZ CHAVEZ AIDA LUZ</v>
          </cell>
          <cell r="H6385" t="str">
            <v>FUNC</v>
          </cell>
          <cell r="I6385" t="str">
            <v>FUNCIONARIO</v>
          </cell>
          <cell r="J6385" t="str">
            <v>CR 22 A 75 46</v>
          </cell>
          <cell r="K6385" t="str">
            <v>17001</v>
          </cell>
          <cell r="L6385" t="str">
            <v>MANIZALES</v>
          </cell>
          <cell r="M6385" t="str">
            <v>3165237964</v>
          </cell>
        </row>
        <row r="6386">
          <cell r="A6386">
            <v>1015460107</v>
          </cell>
          <cell r="B6386" t="str">
            <v>8</v>
          </cell>
          <cell r="C6386" t="str">
            <v/>
          </cell>
          <cell r="D6386" t="str">
            <v>NP</v>
          </cell>
          <cell r="E6386" t="str">
            <v>PAULA ANDREA</v>
          </cell>
          <cell r="F6386" t="str">
            <v>RODAS CRUZ</v>
          </cell>
          <cell r="G6386" t="str">
            <v>RODAS CRUZ PAULA ANDREA</v>
          </cell>
          <cell r="H6386" t="str">
            <v>NORE</v>
          </cell>
          <cell r="I6386" t="str">
            <v>NO RESPONSABLE DE IVA</v>
          </cell>
          <cell r="J6386" t="str">
            <v>CL 11 6 41</v>
          </cell>
          <cell r="K6386" t="str">
            <v>17001</v>
          </cell>
          <cell r="L6386" t="str">
            <v>MANIZALES</v>
          </cell>
          <cell r="M6386" t="str">
            <v>3204640851</v>
          </cell>
        </row>
        <row r="6387">
          <cell r="A6387">
            <v>1017164006</v>
          </cell>
          <cell r="B6387" t="str">
            <v/>
          </cell>
          <cell r="C6387" t="str">
            <v/>
          </cell>
          <cell r="D6387" t="str">
            <v>CC</v>
          </cell>
          <cell r="E6387" t="str">
            <v>VERONICA</v>
          </cell>
          <cell r="F6387" t="str">
            <v>CUESTA GIRON</v>
          </cell>
          <cell r="G6387" t="str">
            <v>CUESTA GIRON VERONICA</v>
          </cell>
          <cell r="H6387" t="str">
            <v>FUNC</v>
          </cell>
          <cell r="I6387" t="str">
            <v>FUNCIONARIO</v>
          </cell>
          <cell r="J6387" t="str">
            <v>BRR LA FLORES</v>
          </cell>
          <cell r="K6387" t="str">
            <v>27075</v>
          </cell>
          <cell r="L6387" t="str">
            <v>BAHÍA SOLANO</v>
          </cell>
          <cell r="M6387" t="str">
            <v>3213373375</v>
          </cell>
        </row>
        <row r="6388">
          <cell r="A6388">
            <v>1017204216</v>
          </cell>
          <cell r="B6388" t="str">
            <v>3</v>
          </cell>
          <cell r="C6388" t="str">
            <v/>
          </cell>
          <cell r="D6388" t="str">
            <v>NP</v>
          </cell>
          <cell r="E6388" t="str">
            <v>KARINA</v>
          </cell>
          <cell r="F6388" t="str">
            <v>LOZANO SAAVEDRA</v>
          </cell>
          <cell r="G6388" t="str">
            <v>LOZANO SAAVEDRA KARINA</v>
          </cell>
          <cell r="H6388" t="str">
            <v>RESI</v>
          </cell>
          <cell r="I6388" t="str">
            <v>REGIMEN SIMPLIFICADO</v>
          </cell>
          <cell r="J6388" t="str">
            <v>BRR PANQUIACO CR 2</v>
          </cell>
          <cell r="K6388" t="str">
            <v>27075</v>
          </cell>
          <cell r="L6388" t="str">
            <v>BAHÍA SOLANO</v>
          </cell>
          <cell r="M6388" t="str">
            <v>3113194527</v>
          </cell>
        </row>
        <row r="6389">
          <cell r="A6389">
            <v>1018410125</v>
          </cell>
          <cell r="B6389" t="str">
            <v/>
          </cell>
          <cell r="C6389" t="str">
            <v/>
          </cell>
          <cell r="D6389" t="str">
            <v>CC</v>
          </cell>
          <cell r="E6389" t="str">
            <v>FELIX</v>
          </cell>
          <cell r="F6389" t="str">
            <v>RINCON TOBO</v>
          </cell>
          <cell r="G6389" t="str">
            <v>RINCON TOBO FELIX</v>
          </cell>
          <cell r="H6389" t="str">
            <v>FUNC</v>
          </cell>
          <cell r="I6389" t="str">
            <v>FUNCIONARIO</v>
          </cell>
          <cell r="J6389" t="str">
            <v>CR 03 A   1 B 23 SEC CERRO PINO</v>
          </cell>
          <cell r="K6389" t="str">
            <v>15516</v>
          </cell>
          <cell r="L6389" t="str">
            <v>PAIPA</v>
          </cell>
          <cell r="M6389" t="str">
            <v>3102643825</v>
          </cell>
        </row>
        <row r="6390">
          <cell r="A6390">
            <v>1018413703</v>
          </cell>
          <cell r="B6390" t="str">
            <v>9</v>
          </cell>
          <cell r="C6390" t="str">
            <v/>
          </cell>
          <cell r="D6390" t="str">
            <v>NP</v>
          </cell>
          <cell r="E6390" t="str">
            <v>LUIS GUILLERMO</v>
          </cell>
          <cell r="F6390" t="str">
            <v>MONTAÑA NARVAEZ</v>
          </cell>
          <cell r="G6390" t="str">
            <v>MONTAÑA NARVAEZ LUIS GUILLERMO</v>
          </cell>
          <cell r="H6390" t="str">
            <v>RESI</v>
          </cell>
          <cell r="I6390" t="str">
            <v>REGIMEN SIMPLIFICADO</v>
          </cell>
          <cell r="J6390" t="str">
            <v>CL 10 7 48 BRR LA SOLEDAD</v>
          </cell>
          <cell r="K6390" t="str">
            <v>17380</v>
          </cell>
          <cell r="L6390" t="str">
            <v>LA DORADA</v>
          </cell>
          <cell r="M6390" t="str">
            <v>8572390</v>
          </cell>
        </row>
        <row r="6391">
          <cell r="A6391">
            <v>1018445603</v>
          </cell>
          <cell r="B6391" t="str">
            <v>8</v>
          </cell>
          <cell r="C6391" t="str">
            <v/>
          </cell>
          <cell r="D6391" t="str">
            <v>NP</v>
          </cell>
          <cell r="E6391" t="str">
            <v>MARIANA</v>
          </cell>
          <cell r="F6391" t="str">
            <v>LENIS OROZCO</v>
          </cell>
          <cell r="G6391" t="str">
            <v>LENIS OROZCO MARIANA</v>
          </cell>
          <cell r="H6391" t="str">
            <v>RCPN</v>
          </cell>
          <cell r="I6391" t="str">
            <v>RESPONSABLE IVA PERSONA NATURAL</v>
          </cell>
          <cell r="J6391" t="str">
            <v>CL 20  6 64 ED SEGUROS BOLIVAR   OF 301</v>
          </cell>
          <cell r="K6391" t="str">
            <v>66001</v>
          </cell>
          <cell r="L6391" t="str">
            <v>PEREIRA</v>
          </cell>
          <cell r="M6391" t="str">
            <v>3331443</v>
          </cell>
        </row>
        <row r="6392">
          <cell r="A6392">
            <v>1019012577</v>
          </cell>
          <cell r="B6392" t="str">
            <v/>
          </cell>
          <cell r="C6392" t="str">
            <v/>
          </cell>
          <cell r="D6392" t="str">
            <v>CC</v>
          </cell>
          <cell r="E6392" t="str">
            <v>MARIA ANTONIA</v>
          </cell>
          <cell r="F6392" t="str">
            <v>DUQUE LONDOÑO</v>
          </cell>
          <cell r="G6392" t="str">
            <v>DUQUE LONDOÑO MARIA ANTONIA</v>
          </cell>
          <cell r="H6392" t="str">
            <v>FUNC</v>
          </cell>
          <cell r="I6392" t="str">
            <v>FUNCIONARIO</v>
          </cell>
          <cell r="J6392" t="str">
            <v>CUCHILLA DE LAS SANTAS SANTA CRUZ DE LA SIERRA</v>
          </cell>
          <cell r="K6392" t="str">
            <v>17001</v>
          </cell>
          <cell r="L6392" t="str">
            <v>MANIZALES</v>
          </cell>
          <cell r="M6392" t="str">
            <v>3226235268</v>
          </cell>
        </row>
        <row r="6393">
          <cell r="A6393">
            <v>1019103181</v>
          </cell>
          <cell r="B6393" t="str">
            <v/>
          </cell>
          <cell r="C6393" t="str">
            <v/>
          </cell>
          <cell r="D6393" t="str">
            <v>CC</v>
          </cell>
          <cell r="E6393" t="str">
            <v>ANA MARIA</v>
          </cell>
          <cell r="F6393" t="str">
            <v>SUCERQUIA OSPINA</v>
          </cell>
          <cell r="G6393" t="str">
            <v>SUCERQUIA OSPINA ANA MARIA</v>
          </cell>
          <cell r="H6393" t="str">
            <v>FUNC</v>
          </cell>
          <cell r="I6393" t="str">
            <v>FUNCIONARIO</v>
          </cell>
          <cell r="J6393" t="str">
            <v>CRA 19 No 62A - 15</v>
          </cell>
          <cell r="K6393" t="str">
            <v>17001</v>
          </cell>
          <cell r="L6393" t="str">
            <v>MANIZALES</v>
          </cell>
          <cell r="M6393" t="str">
            <v>3118358655</v>
          </cell>
        </row>
        <row r="6394">
          <cell r="A6394">
            <v>1020465179</v>
          </cell>
          <cell r="B6394" t="str">
            <v/>
          </cell>
          <cell r="C6394" t="str">
            <v/>
          </cell>
          <cell r="D6394" t="str">
            <v>CC</v>
          </cell>
          <cell r="E6394" t="str">
            <v>ANDRÉS FELIPE</v>
          </cell>
          <cell r="F6394" t="str">
            <v>TAMAYO HIGUITA</v>
          </cell>
          <cell r="G6394" t="str">
            <v>TAMAYO HIGUITA ANDRÉS FELIPE</v>
          </cell>
          <cell r="H6394" t="str">
            <v>FUNC</v>
          </cell>
          <cell r="I6394" t="str">
            <v>FUNCIONARIO</v>
          </cell>
          <cell r="J6394" t="str">
            <v>CL 56 A N 81 33</v>
          </cell>
          <cell r="K6394" t="str">
            <v>27075</v>
          </cell>
          <cell r="L6394" t="str">
            <v>BAHÍA SOLANO</v>
          </cell>
          <cell r="M6394" t="str">
            <v>3126751618</v>
          </cell>
        </row>
        <row r="6395">
          <cell r="A6395">
            <v>1020712930</v>
          </cell>
          <cell r="B6395" t="str">
            <v>4</v>
          </cell>
          <cell r="C6395" t="str">
            <v/>
          </cell>
          <cell r="D6395" t="str">
            <v>NP</v>
          </cell>
          <cell r="E6395" t="str">
            <v>DANIEL SANTIAgo</v>
          </cell>
          <cell r="F6395" t="str">
            <v>WILLS RESTREPO</v>
          </cell>
          <cell r="G6395" t="str">
            <v>WILLS RESTREPO DANIEL SANTIAGO</v>
          </cell>
          <cell r="H6395" t="str">
            <v>NORE</v>
          </cell>
          <cell r="I6395" t="str">
            <v>NO RESPONSABLE DE IVA</v>
          </cell>
          <cell r="J6395" t="str">
            <v>CR 7 75 98 A P 402</v>
          </cell>
          <cell r="K6395" t="str">
            <v>11001</v>
          </cell>
          <cell r="L6395" t="str">
            <v>BOGOTA DC</v>
          </cell>
          <cell r="M6395" t="str">
            <v>217</v>
          </cell>
        </row>
        <row r="6396">
          <cell r="A6396">
            <v>1020749284</v>
          </cell>
          <cell r="B6396" t="str">
            <v>4</v>
          </cell>
          <cell r="C6396" t="str">
            <v/>
          </cell>
          <cell r="D6396" t="str">
            <v>NP</v>
          </cell>
          <cell r="E6396" t="str">
            <v>DIANA MARCELA</v>
          </cell>
          <cell r="F6396" t="str">
            <v>CELY GARZON</v>
          </cell>
          <cell r="G6396" t="str">
            <v>CELY GARZON DIANA MARCELA</v>
          </cell>
          <cell r="H6396" t="str">
            <v>REOR</v>
          </cell>
          <cell r="I6396" t="str">
            <v>RENTA REGIMEN ORDINARIO</v>
          </cell>
          <cell r="J6396" t="str">
            <v>CR 8 190 83 AP 101</v>
          </cell>
          <cell r="K6396" t="str">
            <v>03</v>
          </cell>
          <cell r="L6396" t="str">
            <v>BOGOTA</v>
          </cell>
          <cell r="M6396" t="str">
            <v>3013060070</v>
          </cell>
        </row>
        <row r="6397">
          <cell r="A6397">
            <v>1020764593</v>
          </cell>
          <cell r="B6397" t="str">
            <v>8</v>
          </cell>
          <cell r="C6397" t="str">
            <v/>
          </cell>
          <cell r="D6397" t="str">
            <v>NP</v>
          </cell>
          <cell r="E6397" t="str">
            <v>YURY VIVIANA</v>
          </cell>
          <cell r="F6397" t="str">
            <v>MARTINEZ CAMACHO</v>
          </cell>
          <cell r="G6397" t="str">
            <v>MARTINEZ CAMACHO YURY VIVIANA</v>
          </cell>
          <cell r="H6397" t="str">
            <v>RESI</v>
          </cell>
          <cell r="I6397" t="str">
            <v>REGIMEN SIMPLIFICADO</v>
          </cell>
          <cell r="J6397" t="str">
            <v>CL 142 C 141 B 60 CR 179</v>
          </cell>
          <cell r="K6397" t="str">
            <v>03</v>
          </cell>
          <cell r="L6397" t="str">
            <v>BOGOTA</v>
          </cell>
          <cell r="M6397" t="str">
            <v>3046596578</v>
          </cell>
        </row>
        <row r="6398">
          <cell r="A6398">
            <v>1020769870</v>
          </cell>
          <cell r="B6398" t="str">
            <v/>
          </cell>
          <cell r="C6398" t="str">
            <v/>
          </cell>
          <cell r="D6398" t="str">
            <v>CC</v>
          </cell>
          <cell r="E6398" t="str">
            <v>SARA MARIA</v>
          </cell>
          <cell r="F6398" t="str">
            <v>RAMIREZ ARIAS</v>
          </cell>
          <cell r="G6398" t="str">
            <v>RAMIREZ ARIAS SARA MARIA</v>
          </cell>
          <cell r="H6398" t="str">
            <v>NORE</v>
          </cell>
          <cell r="I6398" t="str">
            <v>NO RESPONSABLE DE IVA</v>
          </cell>
          <cell r="J6398" t="str">
            <v>CR 5 87 19</v>
          </cell>
          <cell r="K6398" t="str">
            <v>11001</v>
          </cell>
          <cell r="L6398" t="str">
            <v>BOGOTA DC</v>
          </cell>
          <cell r="M6398" t="str">
            <v>3187071227</v>
          </cell>
        </row>
        <row r="6399">
          <cell r="A6399">
            <v>1020801421</v>
          </cell>
          <cell r="B6399" t="str">
            <v/>
          </cell>
          <cell r="C6399" t="str">
            <v/>
          </cell>
          <cell r="D6399" t="str">
            <v>CC</v>
          </cell>
          <cell r="E6399" t="str">
            <v>LUISA FERNANDA</v>
          </cell>
          <cell r="F6399" t="str">
            <v>ESCOBAR TORO</v>
          </cell>
          <cell r="G6399" t="str">
            <v>ESCOBAR TORO LUISA FERNANDA</v>
          </cell>
          <cell r="H6399" t="str">
            <v>FUNC</v>
          </cell>
          <cell r="I6399" t="str">
            <v>FUNCIONARIO</v>
          </cell>
          <cell r="J6399" t="str">
            <v>KM 3 KM A</v>
          </cell>
          <cell r="K6399" t="str">
            <v>15516</v>
          </cell>
          <cell r="L6399" t="str">
            <v>PAIPA</v>
          </cell>
          <cell r="M6399" t="str">
            <v>3104578901</v>
          </cell>
        </row>
        <row r="6400">
          <cell r="A6400">
            <v>1022328006</v>
          </cell>
          <cell r="B6400" t="str">
            <v/>
          </cell>
          <cell r="C6400" t="str">
            <v/>
          </cell>
          <cell r="D6400" t="str">
            <v>CC</v>
          </cell>
          <cell r="E6400" t="str">
            <v>WILMAR ALFREDO</v>
          </cell>
          <cell r="F6400" t="str">
            <v>URREGO MARTINEZ</v>
          </cell>
          <cell r="G6400" t="str">
            <v>URREGO MARTINEZ WILMAR ALFREDO</v>
          </cell>
          <cell r="H6400" t="str">
            <v>RESI</v>
          </cell>
          <cell r="I6400" t="str">
            <v>REGIMEN SIMPLIFICADO</v>
          </cell>
          <cell r="J6400" t="str">
            <v>TV 63   8   37 SUR</v>
          </cell>
          <cell r="K6400" t="str">
            <v>11001</v>
          </cell>
          <cell r="L6400" t="str">
            <v>BOGOTA DC</v>
          </cell>
          <cell r="M6400" t="str">
            <v>3102389866</v>
          </cell>
        </row>
        <row r="6401">
          <cell r="A6401">
            <v>1022379931</v>
          </cell>
          <cell r="B6401" t="str">
            <v/>
          </cell>
          <cell r="C6401" t="str">
            <v/>
          </cell>
          <cell r="D6401" t="str">
            <v>CC</v>
          </cell>
          <cell r="E6401" t="str">
            <v>CARLOS ALEXANDER</v>
          </cell>
          <cell r="F6401" t="str">
            <v>URREGO MARTINEZ</v>
          </cell>
          <cell r="G6401" t="str">
            <v>URREGO MARTINEZ CARLOS ALEXANDER</v>
          </cell>
          <cell r="H6401" t="str">
            <v>RESI</v>
          </cell>
          <cell r="I6401" t="str">
            <v>REGIMEN SIMPLIFICADO</v>
          </cell>
          <cell r="J6401" t="str">
            <v>CR 63   8   37 SUR</v>
          </cell>
          <cell r="K6401" t="str">
            <v>11001</v>
          </cell>
          <cell r="L6401" t="str">
            <v>BOGOTA DC</v>
          </cell>
          <cell r="M6401" t="str">
            <v>4175398</v>
          </cell>
        </row>
        <row r="6402">
          <cell r="A6402">
            <v>1022925022</v>
          </cell>
          <cell r="B6402" t="str">
            <v>3</v>
          </cell>
          <cell r="C6402" t="str">
            <v/>
          </cell>
          <cell r="D6402" t="str">
            <v>NP</v>
          </cell>
          <cell r="E6402" t="str">
            <v>GABRIEL FERNANDO</v>
          </cell>
          <cell r="F6402" t="str">
            <v>MURCIA ARCILA</v>
          </cell>
          <cell r="G6402" t="str">
            <v>MURCIA ARCILA GABRIEL FERNANDO</v>
          </cell>
          <cell r="H6402" t="str">
            <v>RESI</v>
          </cell>
          <cell r="I6402" t="str">
            <v>REGIMEN SIMPLIFICADO</v>
          </cell>
          <cell r="J6402" t="str">
            <v>CR 14  10 04</v>
          </cell>
          <cell r="K6402" t="str">
            <v>97001</v>
          </cell>
          <cell r="L6402" t="str">
            <v>MITÚ</v>
          </cell>
          <cell r="M6402" t="str">
            <v>5642220</v>
          </cell>
        </row>
        <row r="6403">
          <cell r="A6403">
            <v>1022938709</v>
          </cell>
          <cell r="B6403" t="str">
            <v/>
          </cell>
          <cell r="C6403" t="str">
            <v/>
          </cell>
          <cell r="D6403" t="str">
            <v>CC</v>
          </cell>
          <cell r="E6403" t="str">
            <v>JORGE WILLIAM</v>
          </cell>
          <cell r="F6403" t="str">
            <v>GIRALDO RATIVA</v>
          </cell>
          <cell r="G6403" t="str">
            <v>GIRALDO RATIVA JORGE WILLIAM</v>
          </cell>
          <cell r="H6403" t="str">
            <v>FUNC</v>
          </cell>
          <cell r="I6403" t="str">
            <v>FUNCIONARIO</v>
          </cell>
          <cell r="J6403" t="str">
            <v>CR 34 N 101 17</v>
          </cell>
          <cell r="K6403" t="str">
            <v>17001</v>
          </cell>
          <cell r="L6403" t="str">
            <v>MANIZALES</v>
          </cell>
          <cell r="M6403" t="str">
            <v>3193350898</v>
          </cell>
        </row>
        <row r="6404">
          <cell r="A6404">
            <v>1023886578</v>
          </cell>
          <cell r="B6404" t="str">
            <v>1</v>
          </cell>
          <cell r="C6404" t="str">
            <v/>
          </cell>
          <cell r="D6404" t="str">
            <v>NP</v>
          </cell>
          <cell r="E6404" t="str">
            <v>EDWIN ERNESTO</v>
          </cell>
          <cell r="F6404" t="str">
            <v>SUAREZ NARVAEZ</v>
          </cell>
          <cell r="G6404" t="str">
            <v>SUAREZ NARVAEZ EDWIN ERNESTO</v>
          </cell>
          <cell r="H6404" t="str">
            <v>RESI</v>
          </cell>
          <cell r="I6404" t="str">
            <v>REGIMEN SIMPLIFICADO</v>
          </cell>
          <cell r="J6404" t="str">
            <v>CR 84 75 BIS 69 BRR SOLEDAD NORTE</v>
          </cell>
          <cell r="K6404" t="str">
            <v>17001</v>
          </cell>
          <cell r="L6404" t="str">
            <v>MANIZALES</v>
          </cell>
          <cell r="M6404" t="str">
            <v>3186849803</v>
          </cell>
        </row>
        <row r="6405">
          <cell r="A6405">
            <v>1030537215</v>
          </cell>
          <cell r="B6405" t="str">
            <v>2</v>
          </cell>
          <cell r="C6405" t="str">
            <v/>
          </cell>
          <cell r="D6405" t="str">
            <v>NP</v>
          </cell>
          <cell r="E6405" t="str">
            <v>ANDREA ALEXANDRA</v>
          </cell>
          <cell r="F6405" t="str">
            <v>CASTILLO BONILLA</v>
          </cell>
          <cell r="G6405" t="str">
            <v>CASTILLO BONILLA ANDREA ALEXANDRA</v>
          </cell>
          <cell r="H6405" t="str">
            <v>RESI</v>
          </cell>
          <cell r="I6405" t="str">
            <v>REGIMEN SIMPLIFICADO</v>
          </cell>
          <cell r="J6405" t="str">
            <v>CL 6 B 79 C 81 EN 40 AP 480 BRR CASTILLA</v>
          </cell>
          <cell r="K6405" t="str">
            <v>11001</v>
          </cell>
          <cell r="L6405" t="str">
            <v>BOGOTA DC</v>
          </cell>
          <cell r="M6405" t="str">
            <v>3017598448</v>
          </cell>
        </row>
        <row r="6406">
          <cell r="A6406">
            <v>1030550663</v>
          </cell>
          <cell r="B6406" t="str">
            <v>2</v>
          </cell>
          <cell r="C6406" t="str">
            <v/>
          </cell>
          <cell r="D6406" t="str">
            <v>NP</v>
          </cell>
          <cell r="E6406" t="str">
            <v>CARLOS ANDRES</v>
          </cell>
          <cell r="F6406" t="str">
            <v>ROJAS RAMIREZ</v>
          </cell>
          <cell r="G6406" t="str">
            <v>ROJAS RAMIREZ CARLOS ANDRES</v>
          </cell>
          <cell r="H6406" t="str">
            <v>RESI</v>
          </cell>
          <cell r="I6406" t="str">
            <v>REGIMEN SIMPLIFICADO</v>
          </cell>
          <cell r="J6406" t="str">
            <v>CR 78 A 35 A 32 SUR P 3 BRR KENNEDY</v>
          </cell>
          <cell r="K6406" t="str">
            <v>11001</v>
          </cell>
          <cell r="L6406" t="str">
            <v>BOGOTA DC</v>
          </cell>
          <cell r="M6406" t="str">
            <v>4547064</v>
          </cell>
        </row>
        <row r="6407">
          <cell r="A6407">
            <v>1030596507</v>
          </cell>
          <cell r="B6407" t="str">
            <v>1</v>
          </cell>
          <cell r="C6407" t="str">
            <v/>
          </cell>
          <cell r="D6407" t="str">
            <v>NP</v>
          </cell>
          <cell r="E6407" t="str">
            <v>FRANCISCO JAVIER</v>
          </cell>
          <cell r="F6407" t="str">
            <v>QUIROGA ALBA</v>
          </cell>
          <cell r="G6407" t="str">
            <v>QUIROGA ALBA FRANCISCO JAVIER</v>
          </cell>
          <cell r="H6407" t="str">
            <v>RESI</v>
          </cell>
          <cell r="I6407" t="str">
            <v>REGIMEN SIMPLIFICADO</v>
          </cell>
          <cell r="J6407" t="str">
            <v>CR 6 53 26 AP 305</v>
          </cell>
          <cell r="K6407" t="str">
            <v>11001</v>
          </cell>
          <cell r="L6407" t="str">
            <v>BOGOTA DC</v>
          </cell>
          <cell r="M6407" t="str">
            <v>9066185</v>
          </cell>
        </row>
        <row r="6408">
          <cell r="A6408">
            <v>1030656912</v>
          </cell>
          <cell r="B6408" t="str">
            <v/>
          </cell>
          <cell r="C6408" t="str">
            <v/>
          </cell>
          <cell r="D6408" t="str">
            <v>CC</v>
          </cell>
          <cell r="E6408" t="str">
            <v>JOHAN SMITH</v>
          </cell>
          <cell r="F6408" t="str">
            <v>VILLAMIZAR TABARES</v>
          </cell>
          <cell r="G6408" t="str">
            <v>VILLAMIZAR TABARES JOHAN SMITH</v>
          </cell>
          <cell r="H6408" t="str">
            <v>FUNC</v>
          </cell>
          <cell r="I6408" t="str">
            <v>FUNCIONARIO</v>
          </cell>
          <cell r="J6408" t="str">
            <v>CR 35   10 D BRR NOGALES</v>
          </cell>
          <cell r="K6408" t="str">
            <v>17001</v>
          </cell>
          <cell r="L6408" t="str">
            <v>MANIZALES</v>
          </cell>
          <cell r="M6408" t="str">
            <v>3114797701</v>
          </cell>
        </row>
        <row r="6409">
          <cell r="A6409">
            <v>1031165490</v>
          </cell>
          <cell r="B6409" t="str">
            <v/>
          </cell>
          <cell r="C6409" t="str">
            <v/>
          </cell>
          <cell r="D6409" t="str">
            <v>CC</v>
          </cell>
          <cell r="E6409" t="str">
            <v>ANDREA JULIANA</v>
          </cell>
          <cell r="F6409" t="str">
            <v>GIRALDO GALLEGO</v>
          </cell>
          <cell r="G6409" t="str">
            <v>GIRALDO GALLEGO ANDREA JULIANA</v>
          </cell>
          <cell r="H6409" t="str">
            <v>FUNC</v>
          </cell>
          <cell r="I6409" t="str">
            <v>FUNCIONARIO</v>
          </cell>
          <cell r="J6409" t="str">
            <v>CR 37 68 20 BRR FATIMA</v>
          </cell>
          <cell r="K6409" t="str">
            <v>17001</v>
          </cell>
          <cell r="L6409" t="str">
            <v>MANIZALES</v>
          </cell>
          <cell r="M6409" t="str">
            <v>3127620892</v>
          </cell>
        </row>
        <row r="6410">
          <cell r="A6410">
            <v>1032377741</v>
          </cell>
          <cell r="B6410" t="str">
            <v>5</v>
          </cell>
          <cell r="C6410" t="str">
            <v/>
          </cell>
          <cell r="D6410" t="str">
            <v>NP</v>
          </cell>
          <cell r="E6410" t="str">
            <v>GIOVANA ANDREA</v>
          </cell>
          <cell r="F6410" t="str">
            <v>BUSTOS PEREZ</v>
          </cell>
          <cell r="G6410" t="str">
            <v>BUSTOS PEREZ GIOVANA ANDREA</v>
          </cell>
          <cell r="H6410" t="str">
            <v>NORE</v>
          </cell>
          <cell r="I6410" t="str">
            <v>NO RESPONSABLE DE IVA</v>
          </cell>
          <cell r="J6410" t="str">
            <v>CR 111 A 148 88 IN 3 AP 101 BRR SUBA</v>
          </cell>
          <cell r="K6410" t="str">
            <v>11001</v>
          </cell>
          <cell r="L6410" t="str">
            <v>BOGOTA DC</v>
          </cell>
          <cell r="M6410" t="str">
            <v>6617310</v>
          </cell>
        </row>
        <row r="6411">
          <cell r="A6411">
            <v>1032392975</v>
          </cell>
          <cell r="B6411" t="str">
            <v/>
          </cell>
          <cell r="C6411" t="str">
            <v/>
          </cell>
          <cell r="D6411" t="str">
            <v>CC</v>
          </cell>
          <cell r="E6411" t="str">
            <v>DIEGO FERNANDO</v>
          </cell>
          <cell r="F6411" t="str">
            <v>GONZALEZ USECHE</v>
          </cell>
          <cell r="G6411" t="str">
            <v>GONZALEZ USECHE DIEGO FERNANDO</v>
          </cell>
          <cell r="H6411" t="str">
            <v>FUNC</v>
          </cell>
          <cell r="I6411" t="str">
            <v>FUNCIONARIO</v>
          </cell>
          <cell r="J6411" t="str">
            <v>CR 19 18 03</v>
          </cell>
          <cell r="K6411" t="str">
            <v>97001</v>
          </cell>
          <cell r="L6411" t="str">
            <v>MITÚ</v>
          </cell>
          <cell r="M6411" t="str">
            <v>3172843000</v>
          </cell>
        </row>
        <row r="6412">
          <cell r="A6412">
            <v>1032401846</v>
          </cell>
          <cell r="B6412" t="str">
            <v/>
          </cell>
          <cell r="C6412" t="str">
            <v/>
          </cell>
          <cell r="D6412" t="str">
            <v>CC</v>
          </cell>
          <cell r="E6412" t="str">
            <v>JHON HENRY</v>
          </cell>
          <cell r="F6412" t="str">
            <v>SANDOVAL SANDOVAL</v>
          </cell>
          <cell r="G6412" t="str">
            <v>SANDOVAL SANDOVAL JHON HENRY</v>
          </cell>
          <cell r="H6412" t="str">
            <v>FUNC</v>
          </cell>
          <cell r="I6412" t="str">
            <v>FUNCIONARIO</v>
          </cell>
          <cell r="J6412" t="str">
            <v>CR 16 A   167 C 10 BL 2 AP 501</v>
          </cell>
          <cell r="K6412" t="str">
            <v>17001</v>
          </cell>
          <cell r="L6412" t="str">
            <v>MANIZALES</v>
          </cell>
          <cell r="M6412" t="str">
            <v>6727142</v>
          </cell>
        </row>
        <row r="6413">
          <cell r="A6413">
            <v>1032411122</v>
          </cell>
          <cell r="B6413" t="str">
            <v>1</v>
          </cell>
          <cell r="C6413" t="str">
            <v/>
          </cell>
          <cell r="D6413" t="str">
            <v>NP</v>
          </cell>
          <cell r="E6413" t="str">
            <v>LUZ ELVIRA</v>
          </cell>
          <cell r="F6413" t="str">
            <v>LEON  SANABRIA</v>
          </cell>
          <cell r="G6413" t="str">
            <v>LEON  SANABRIA LUZ ELVIRA</v>
          </cell>
          <cell r="H6413" t="str">
            <v>RESI</v>
          </cell>
          <cell r="I6413" t="str">
            <v>REGIMEN SIMPLIFICADO</v>
          </cell>
          <cell r="J6413" t="str">
            <v>CR 18 A 5 89 BRR EDUARDO SANTOS</v>
          </cell>
          <cell r="K6413" t="str">
            <v>11001</v>
          </cell>
          <cell r="L6413" t="str">
            <v>BOGOTA DC</v>
          </cell>
          <cell r="M6413" t="str">
            <v>3209484286</v>
          </cell>
        </row>
        <row r="6414">
          <cell r="A6414">
            <v>1032412831</v>
          </cell>
          <cell r="B6414" t="str">
            <v>1</v>
          </cell>
          <cell r="C6414" t="str">
            <v/>
          </cell>
          <cell r="D6414" t="str">
            <v>NP</v>
          </cell>
          <cell r="E6414" t="str">
            <v>MARTHA CECILIA</v>
          </cell>
          <cell r="F6414" t="str">
            <v>GUERRERO CARREÑO</v>
          </cell>
          <cell r="G6414" t="str">
            <v>GUERRERO CARREÑO MARTHA CECILIA</v>
          </cell>
          <cell r="H6414" t="str">
            <v>RECO</v>
          </cell>
          <cell r="I6414" t="str">
            <v>REGIMEN COMUN</v>
          </cell>
          <cell r="J6414" t="str">
            <v>CL 52 A 9 55 AP 202</v>
          </cell>
          <cell r="K6414" t="str">
            <v>11001</v>
          </cell>
          <cell r="L6414" t="str">
            <v>BOGOTA DC</v>
          </cell>
          <cell r="M6414" t="str">
            <v>3143045030</v>
          </cell>
        </row>
        <row r="6415">
          <cell r="A6415">
            <v>1032421620</v>
          </cell>
          <cell r="B6415" t="str">
            <v>0</v>
          </cell>
          <cell r="C6415" t="str">
            <v/>
          </cell>
          <cell r="D6415" t="str">
            <v>NP</v>
          </cell>
          <cell r="E6415" t="str">
            <v>JENNY PAOLA</v>
          </cell>
          <cell r="F6415" t="str">
            <v>GARCIA ROJAS</v>
          </cell>
          <cell r="G6415" t="str">
            <v>GARCIA ROJAS JENNY PAOLA</v>
          </cell>
          <cell r="H6415" t="str">
            <v>RESI</v>
          </cell>
          <cell r="I6415" t="str">
            <v>REGIMEN SIMPLIFICADO</v>
          </cell>
          <cell r="J6415" t="str">
            <v>CL 17 10 59</v>
          </cell>
          <cell r="K6415" t="str">
            <v>15759</v>
          </cell>
          <cell r="L6415" t="str">
            <v>SOGAMOSO</v>
          </cell>
          <cell r="M6415" t="str">
            <v>3218599752</v>
          </cell>
        </row>
        <row r="6416">
          <cell r="A6416">
            <v>1033676465</v>
          </cell>
          <cell r="B6416" t="str">
            <v>3</v>
          </cell>
          <cell r="C6416" t="str">
            <v/>
          </cell>
          <cell r="D6416" t="str">
            <v>NP</v>
          </cell>
          <cell r="E6416" t="str">
            <v>OSCAR ALCIDES</v>
          </cell>
          <cell r="F6416" t="str">
            <v>PRADA LEON</v>
          </cell>
          <cell r="G6416" t="str">
            <v>PRADA LEON OSCAR ALCIDES</v>
          </cell>
          <cell r="H6416" t="str">
            <v>RESI</v>
          </cell>
          <cell r="I6416" t="str">
            <v>REGIMEN SIMPLIFICADO</v>
          </cell>
          <cell r="J6416" t="str">
            <v>CL 68 C SUR   9 A 49</v>
          </cell>
          <cell r="K6416" t="str">
            <v>11001</v>
          </cell>
          <cell r="L6416" t="str">
            <v>BOGOTA DC</v>
          </cell>
          <cell r="M6416" t="str">
            <v>4636516</v>
          </cell>
        </row>
        <row r="6417">
          <cell r="A6417">
            <v>1033710099</v>
          </cell>
          <cell r="B6417" t="str">
            <v/>
          </cell>
          <cell r="C6417" t="str">
            <v/>
          </cell>
          <cell r="D6417" t="str">
            <v>CC</v>
          </cell>
          <cell r="E6417" t="str">
            <v>JUAN CAMILO</v>
          </cell>
          <cell r="F6417" t="str">
            <v>PALACIOS</v>
          </cell>
          <cell r="G6417" t="str">
            <v>PALACIOS JUAN CAMILO</v>
          </cell>
          <cell r="H6417" t="str">
            <v>RESI</v>
          </cell>
          <cell r="I6417" t="str">
            <v>REGIMEN SIMPLIFICADO</v>
          </cell>
          <cell r="J6417" t="str">
            <v>CL 20   25   18</v>
          </cell>
          <cell r="K6417" t="str">
            <v>85001</v>
          </cell>
          <cell r="L6417" t="str">
            <v>YOPAL</v>
          </cell>
          <cell r="M6417" t="str">
            <v>3115290942</v>
          </cell>
        </row>
        <row r="6418">
          <cell r="A6418">
            <v>1033750179</v>
          </cell>
          <cell r="B6418" t="str">
            <v>8</v>
          </cell>
          <cell r="C6418" t="str">
            <v/>
          </cell>
          <cell r="D6418" t="str">
            <v>NP</v>
          </cell>
          <cell r="E6418" t="str">
            <v>JENNY LORENA</v>
          </cell>
          <cell r="F6418" t="str">
            <v>RAMIREZ</v>
          </cell>
          <cell r="G6418" t="str">
            <v>RAMIREZ JENNY LORENA</v>
          </cell>
          <cell r="H6418" t="str">
            <v>IMVE</v>
          </cell>
          <cell r="I6418" t="str">
            <v>IMPUESTO SOBRE LAS VENTAS</v>
          </cell>
          <cell r="J6418" t="str">
            <v>AV CR 72 38 A 75</v>
          </cell>
          <cell r="K6418" t="str">
            <v>11001</v>
          </cell>
          <cell r="L6418" t="str">
            <v>BOGOTA DC</v>
          </cell>
          <cell r="M6418" t="str">
            <v>3212662447</v>
          </cell>
        </row>
        <row r="6419">
          <cell r="A6419">
            <v>1035869286</v>
          </cell>
          <cell r="B6419" t="str">
            <v/>
          </cell>
          <cell r="C6419" t="str">
            <v/>
          </cell>
          <cell r="D6419" t="str">
            <v>CC</v>
          </cell>
          <cell r="E6419" t="str">
            <v>LEIDI</v>
          </cell>
          <cell r="F6419" t="str">
            <v>VALOIS URRUTIA</v>
          </cell>
          <cell r="G6419" t="str">
            <v>VALOIS URRUTIA LEIDI</v>
          </cell>
          <cell r="H6419" t="str">
            <v>FUNC</v>
          </cell>
          <cell r="I6419" t="str">
            <v>FUNCIONARIO</v>
          </cell>
          <cell r="J6419" t="str">
            <v>BRR FRANCISCO ONNELLY</v>
          </cell>
          <cell r="K6419" t="str">
            <v>27075</v>
          </cell>
          <cell r="L6419" t="str">
            <v>BAHÍA SOLANO</v>
          </cell>
          <cell r="M6419" t="str">
            <v>3147350082</v>
          </cell>
        </row>
        <row r="6420">
          <cell r="A6420">
            <v>1036675846</v>
          </cell>
          <cell r="B6420" t="str">
            <v/>
          </cell>
          <cell r="C6420" t="str">
            <v/>
          </cell>
          <cell r="D6420" t="str">
            <v>CC</v>
          </cell>
          <cell r="E6420" t="str">
            <v>KATHERINE</v>
          </cell>
          <cell r="F6420" t="str">
            <v>CORTES ROJAS</v>
          </cell>
          <cell r="G6420" t="str">
            <v>CORTES ROJAS KATHERINE</v>
          </cell>
          <cell r="H6420" t="str">
            <v>EXFU</v>
          </cell>
          <cell r="I6420" t="str">
            <v>EX-FUNCIONARIOS</v>
          </cell>
          <cell r="J6420" t="str">
            <v>CRA 7 CVON CALLE 93</v>
          </cell>
          <cell r="K6420" t="str">
            <v>27075</v>
          </cell>
          <cell r="L6420" t="str">
            <v>BAHÍA SOLANO</v>
          </cell>
          <cell r="M6420" t="str">
            <v>3156659447</v>
          </cell>
        </row>
        <row r="6421">
          <cell r="A6421">
            <v>1036838893</v>
          </cell>
          <cell r="B6421" t="str">
            <v/>
          </cell>
          <cell r="C6421" t="str">
            <v/>
          </cell>
          <cell r="D6421" t="str">
            <v>CC</v>
          </cell>
          <cell r="E6421" t="str">
            <v>VICTOR ALFONSO</v>
          </cell>
          <cell r="F6421" t="str">
            <v>HENAO BEDOYA</v>
          </cell>
          <cell r="G6421" t="str">
            <v>HENAO BEDOYA VICTOR ALFONSO</v>
          </cell>
          <cell r="H6421" t="str">
            <v>RESI</v>
          </cell>
          <cell r="I6421" t="str">
            <v>REGIMEN SIMPLIFICADO</v>
          </cell>
          <cell r="J6421" t="str">
            <v>FCA LA ESPERANZA SEC CHORRO RICO</v>
          </cell>
          <cell r="K6421" t="str">
            <v>17662</v>
          </cell>
          <cell r="L6421" t="str">
            <v>SAMANÁ</v>
          </cell>
          <cell r="M6421" t="str">
            <v>3218447298</v>
          </cell>
        </row>
        <row r="6422">
          <cell r="A6422">
            <v>1036839374</v>
          </cell>
          <cell r="B6422" t="str">
            <v/>
          </cell>
          <cell r="C6422" t="str">
            <v/>
          </cell>
          <cell r="D6422" t="str">
            <v>CC</v>
          </cell>
          <cell r="E6422" t="str">
            <v>CARLOS ALBEIRO</v>
          </cell>
          <cell r="F6422" t="str">
            <v>PEREZ PEREZ</v>
          </cell>
          <cell r="G6422" t="str">
            <v>PEREZ PEREZ CARLOS ALBEIRO</v>
          </cell>
          <cell r="H6422" t="str">
            <v>RESI</v>
          </cell>
          <cell r="I6422" t="str">
            <v>REGIMEN SIMPLIFICADO</v>
          </cell>
          <cell r="J6422" t="str">
            <v>CA   1 BRR CRISTALES VIA LA REINA</v>
          </cell>
          <cell r="K6422" t="str">
            <v>17662</v>
          </cell>
          <cell r="L6422" t="str">
            <v>SAMANÁ</v>
          </cell>
          <cell r="M6422" t="str">
            <v>3126718756</v>
          </cell>
        </row>
        <row r="6423">
          <cell r="A6423">
            <v>1036839986</v>
          </cell>
          <cell r="B6423" t="str">
            <v/>
          </cell>
          <cell r="C6423" t="str">
            <v/>
          </cell>
          <cell r="D6423" t="str">
            <v>CC</v>
          </cell>
          <cell r="E6423" t="str">
            <v>OVER DE JESUS</v>
          </cell>
          <cell r="F6423" t="str">
            <v>CIFUENTES MORALES</v>
          </cell>
          <cell r="G6423" t="str">
            <v>CIFUENTES MORALES OVER DE JESUS</v>
          </cell>
          <cell r="H6423" t="str">
            <v>RESI</v>
          </cell>
          <cell r="I6423" t="str">
            <v>REGIMEN SIMPLIFICADO</v>
          </cell>
          <cell r="J6423" t="str">
            <v>FCA TOLDA SECA   VRD BUENA VISTA BAJA</v>
          </cell>
          <cell r="K6423" t="str">
            <v>17662</v>
          </cell>
          <cell r="L6423" t="str">
            <v>SAMANÁ</v>
          </cell>
          <cell r="M6423" t="str">
            <v>3145357107</v>
          </cell>
        </row>
        <row r="6424">
          <cell r="A6424">
            <v>1036840124</v>
          </cell>
          <cell r="B6424" t="str">
            <v>0</v>
          </cell>
          <cell r="C6424" t="str">
            <v/>
          </cell>
          <cell r="D6424" t="str">
            <v>NP</v>
          </cell>
          <cell r="E6424" t="str">
            <v>AIXA CATALINA</v>
          </cell>
          <cell r="F6424" t="str">
            <v>OSPINA QUINTERO</v>
          </cell>
          <cell r="G6424" t="str">
            <v>OSPINA QUINTERO AIXA CATALINA</v>
          </cell>
          <cell r="H6424" t="str">
            <v>NORE</v>
          </cell>
          <cell r="I6424" t="str">
            <v>NO RESPONSABLE DE IVA</v>
          </cell>
          <cell r="J6424" t="str">
            <v>C PUEBLO NUEVO</v>
          </cell>
          <cell r="K6424" t="str">
            <v>17541</v>
          </cell>
          <cell r="L6424" t="str">
            <v>PENSILVANIA</v>
          </cell>
          <cell r="M6424" t="str">
            <v>3103883422</v>
          </cell>
        </row>
        <row r="6425">
          <cell r="A6425">
            <v>1037070447</v>
          </cell>
          <cell r="B6425" t="str">
            <v/>
          </cell>
          <cell r="C6425" t="str">
            <v/>
          </cell>
          <cell r="D6425" t="str">
            <v>CC</v>
          </cell>
          <cell r="E6425" t="str">
            <v>GERMAN ORLEY</v>
          </cell>
          <cell r="F6425" t="str">
            <v>MORALES</v>
          </cell>
          <cell r="G6425" t="str">
            <v>MORALES GERMAN ORLEY</v>
          </cell>
          <cell r="H6425" t="str">
            <v>FUNC</v>
          </cell>
          <cell r="I6425" t="str">
            <v>FUNCIONARIO</v>
          </cell>
          <cell r="J6425" t="str">
            <v>POR DEFINIR</v>
          </cell>
          <cell r="K6425" t="str">
            <v>17001</v>
          </cell>
          <cell r="L6425" t="str">
            <v>MANIZALES</v>
          </cell>
          <cell r="M6425" t="str">
            <v>POR DEFINIR</v>
          </cell>
        </row>
        <row r="6426">
          <cell r="A6426">
            <v>1037071279</v>
          </cell>
          <cell r="B6426" t="str">
            <v/>
          </cell>
          <cell r="C6426" t="str">
            <v/>
          </cell>
          <cell r="D6426" t="str">
            <v>CC</v>
          </cell>
          <cell r="E6426" t="str">
            <v>VICTOR JULIAN</v>
          </cell>
          <cell r="F6426" t="str">
            <v>URREA QUINTERO</v>
          </cell>
          <cell r="G6426" t="str">
            <v>URREA QUINTERO VICTOR JULIAN</v>
          </cell>
          <cell r="H6426" t="str">
            <v>FUNC</v>
          </cell>
          <cell r="I6426" t="str">
            <v>FUNCIONARIO</v>
          </cell>
          <cell r="J6426" t="str">
            <v>BRR CENTRO</v>
          </cell>
          <cell r="K6426" t="str">
            <v>97001</v>
          </cell>
          <cell r="L6426" t="str">
            <v>MITÚ</v>
          </cell>
          <cell r="M6426" t="str">
            <v>3165654458</v>
          </cell>
        </row>
        <row r="6427">
          <cell r="A6427">
            <v>1037584951</v>
          </cell>
          <cell r="B6427" t="str">
            <v>0</v>
          </cell>
          <cell r="C6427" t="str">
            <v/>
          </cell>
          <cell r="D6427" t="str">
            <v>NP</v>
          </cell>
          <cell r="E6427" t="str">
            <v>JUAN FERNANDO</v>
          </cell>
          <cell r="F6427" t="str">
            <v>ISAZA ANGEL</v>
          </cell>
          <cell r="G6427" t="str">
            <v>ISAZA ANGEL JUAN FERNANDO</v>
          </cell>
          <cell r="H6427" t="str">
            <v>NORE</v>
          </cell>
          <cell r="I6427" t="str">
            <v>NO RESPONSABLE DE IVA</v>
          </cell>
          <cell r="J6427" t="str">
            <v>CR 79 B B 45 E 17 BL 30 AP 302 URB LOS PINOS</v>
          </cell>
          <cell r="K6427" t="str">
            <v>05002</v>
          </cell>
          <cell r="L6427" t="str">
            <v>MEDELLIN</v>
          </cell>
          <cell r="M6427" t="str">
            <v>3012049375</v>
          </cell>
        </row>
        <row r="6428">
          <cell r="A6428">
            <v>1037606628</v>
          </cell>
          <cell r="B6428" t="str">
            <v/>
          </cell>
          <cell r="C6428" t="str">
            <v/>
          </cell>
          <cell r="D6428" t="str">
            <v>CC</v>
          </cell>
          <cell r="E6428" t="str">
            <v>KATERIN JOHANNA</v>
          </cell>
          <cell r="F6428" t="str">
            <v>ALVAREZ PEREZ</v>
          </cell>
          <cell r="G6428" t="str">
            <v>ALVAREZ PEREZ KATERIN JOHANNA</v>
          </cell>
          <cell r="H6428" t="str">
            <v>RESI</v>
          </cell>
          <cell r="I6428" t="str">
            <v>REGIMEN SIMPLIFICADO</v>
          </cell>
          <cell r="J6428" t="str">
            <v>VRD CRISTALES</v>
          </cell>
          <cell r="K6428" t="str">
            <v>17001</v>
          </cell>
          <cell r="L6428" t="str">
            <v>MANIZALES</v>
          </cell>
          <cell r="M6428" t="str">
            <v>3218609303</v>
          </cell>
        </row>
        <row r="6429">
          <cell r="A6429">
            <v>1037633775</v>
          </cell>
          <cell r="B6429" t="str">
            <v/>
          </cell>
          <cell r="C6429" t="str">
            <v/>
          </cell>
          <cell r="D6429" t="str">
            <v>CC</v>
          </cell>
          <cell r="E6429" t="str">
            <v>ANDRES FELIPE</v>
          </cell>
          <cell r="F6429" t="str">
            <v>FLOREZ GUTIERREZ</v>
          </cell>
          <cell r="G6429" t="str">
            <v>FLOREZ GUTIERREZ ANDRES FELIPE</v>
          </cell>
          <cell r="H6429" t="str">
            <v>FUNC</v>
          </cell>
          <cell r="I6429" t="str">
            <v>FUNCIONARIO</v>
          </cell>
          <cell r="J6429" t="str">
            <v>CL 38   32 A   41 BL D AP 204</v>
          </cell>
          <cell r="K6429" t="str">
            <v>17001</v>
          </cell>
          <cell r="L6429" t="str">
            <v>MANIZALES</v>
          </cell>
          <cell r="M6429" t="str">
            <v>8839938</v>
          </cell>
        </row>
        <row r="6430">
          <cell r="A6430">
            <v>1038332403</v>
          </cell>
          <cell r="B6430" t="str">
            <v/>
          </cell>
          <cell r="C6430" t="str">
            <v/>
          </cell>
          <cell r="D6430" t="str">
            <v>CC</v>
          </cell>
          <cell r="E6430" t="str">
            <v>WEIMAR DE JESUS</v>
          </cell>
          <cell r="F6430" t="str">
            <v>BORJA DAVID</v>
          </cell>
          <cell r="G6430" t="str">
            <v>BORJA DAVID WEIMAR DE JESUS</v>
          </cell>
          <cell r="H6430" t="str">
            <v>PNSA</v>
          </cell>
          <cell r="I6430" t="str">
            <v>PNA NATURAL SIN ACTIVIDAD ECONOC</v>
          </cell>
          <cell r="J6430" t="str">
            <v>FRONTINO ANTIOQUIA</v>
          </cell>
          <cell r="K6430" t="str">
            <v>05284</v>
          </cell>
          <cell r="L6430" t="str">
            <v>FRONTINO</v>
          </cell>
          <cell r="M6430" t="str">
            <v>12345678</v>
          </cell>
        </row>
        <row r="6431">
          <cell r="A6431">
            <v>1047447106</v>
          </cell>
          <cell r="B6431" t="str">
            <v>3</v>
          </cell>
          <cell r="C6431" t="str">
            <v/>
          </cell>
          <cell r="D6431" t="str">
            <v>NP</v>
          </cell>
          <cell r="E6431" t="str">
            <v>ALBERTO ENRIQUE</v>
          </cell>
          <cell r="F6431" t="str">
            <v>FAYAD LEMAITRE</v>
          </cell>
          <cell r="G6431" t="str">
            <v>FAYAD LEMAITRE ALBERTO ENRIQUE</v>
          </cell>
          <cell r="H6431" t="str">
            <v>REOR</v>
          </cell>
          <cell r="I6431" t="str">
            <v>RENTA REGIMEN ORDINARIO</v>
          </cell>
          <cell r="J6431" t="str">
            <v>BRR CASTILLO GRANDE CL 5 A 1238 ED CRISTINA AP 5 A</v>
          </cell>
          <cell r="K6431" t="str">
            <v>13001</v>
          </cell>
          <cell r="L6431" t="str">
            <v>CARTAGENA</v>
          </cell>
          <cell r="M6431" t="str">
            <v>6657593</v>
          </cell>
        </row>
        <row r="6432">
          <cell r="A6432">
            <v>1049607965</v>
          </cell>
          <cell r="B6432" t="str">
            <v>8</v>
          </cell>
          <cell r="C6432" t="str">
            <v/>
          </cell>
          <cell r="D6432" t="str">
            <v>NP</v>
          </cell>
          <cell r="E6432" t="str">
            <v>DAVID FELIPE</v>
          </cell>
          <cell r="F6432" t="str">
            <v>PACHON LAITON</v>
          </cell>
          <cell r="G6432" t="str">
            <v>PACHON LAITON DAVID FELIPE</v>
          </cell>
          <cell r="H6432" t="str">
            <v>RESI</v>
          </cell>
          <cell r="I6432" t="str">
            <v>REGIMEN SIMPLIFICADO</v>
          </cell>
          <cell r="J6432" t="str">
            <v>CR 16 A  BIS  36 A  16 BRR CALLEJA</v>
          </cell>
          <cell r="K6432" t="str">
            <v>15001</v>
          </cell>
          <cell r="L6432" t="str">
            <v>TUNJA</v>
          </cell>
          <cell r="M6432" t="str">
            <v>3118268744</v>
          </cell>
        </row>
        <row r="6433">
          <cell r="A6433">
            <v>1049609964</v>
          </cell>
          <cell r="B6433" t="str">
            <v/>
          </cell>
          <cell r="C6433" t="str">
            <v/>
          </cell>
          <cell r="D6433" t="str">
            <v>CC</v>
          </cell>
          <cell r="E6433" t="str">
            <v>DIEGO ALEJANDRO</v>
          </cell>
          <cell r="F6433" t="str">
            <v>ACEVEDO PARDO</v>
          </cell>
          <cell r="G6433" t="str">
            <v>ACEVEDO PARDO DIEGO ALEJANDRO</v>
          </cell>
          <cell r="H6433" t="str">
            <v>FUNC</v>
          </cell>
          <cell r="I6433" t="str">
            <v>FUNCIONARIO</v>
          </cell>
          <cell r="J6433" t="str">
            <v>VRD MIRABAL</v>
          </cell>
          <cell r="K6433" t="str">
            <v>15516</v>
          </cell>
          <cell r="L6433" t="str">
            <v>PAIPA</v>
          </cell>
          <cell r="M6433" t="str">
            <v>3219089403</v>
          </cell>
        </row>
        <row r="6434">
          <cell r="A6434">
            <v>1049610862</v>
          </cell>
          <cell r="B6434" t="str">
            <v>9</v>
          </cell>
          <cell r="C6434" t="str">
            <v/>
          </cell>
          <cell r="D6434" t="str">
            <v>NP</v>
          </cell>
          <cell r="E6434" t="str">
            <v>LUIS ALFREDO</v>
          </cell>
          <cell r="F6434" t="str">
            <v>MONROY BURGOS</v>
          </cell>
          <cell r="G6434" t="str">
            <v>MONROY BURGOS LUIS ALFREDO</v>
          </cell>
          <cell r="H6434" t="str">
            <v>RESI</v>
          </cell>
          <cell r="I6434" t="str">
            <v>REGIMEN SIMPLIFICADO</v>
          </cell>
          <cell r="J6434" t="str">
            <v>CR 9   46   18</v>
          </cell>
          <cell r="K6434" t="str">
            <v>85001</v>
          </cell>
          <cell r="L6434" t="str">
            <v>YOPAL</v>
          </cell>
          <cell r="M6434" t="str">
            <v>3112612352</v>
          </cell>
        </row>
        <row r="6435">
          <cell r="A6435">
            <v>1049613088</v>
          </cell>
          <cell r="B6435" t="str">
            <v/>
          </cell>
          <cell r="C6435" t="str">
            <v/>
          </cell>
          <cell r="D6435" t="str">
            <v>CC</v>
          </cell>
          <cell r="E6435" t="str">
            <v>JUAN SEBASTIAN</v>
          </cell>
          <cell r="F6435" t="str">
            <v>CALDERON PIÑEROS</v>
          </cell>
          <cell r="G6435" t="str">
            <v>CALDERON PIÑEROS JUAN SEBASTIAN</v>
          </cell>
          <cell r="H6435" t="str">
            <v>FUNC</v>
          </cell>
          <cell r="I6435" t="str">
            <v>FUNCIONARIO</v>
          </cell>
          <cell r="J6435" t="str">
            <v>CR 3   41 A   05</v>
          </cell>
          <cell r="K6435" t="str">
            <v>15516</v>
          </cell>
          <cell r="L6435" t="str">
            <v>PAIPA</v>
          </cell>
          <cell r="M6435" t="str">
            <v>7402079</v>
          </cell>
        </row>
        <row r="6436">
          <cell r="A6436">
            <v>1049613105</v>
          </cell>
          <cell r="B6436" t="str">
            <v/>
          </cell>
          <cell r="C6436" t="str">
            <v/>
          </cell>
          <cell r="D6436" t="str">
            <v>CC</v>
          </cell>
          <cell r="E6436" t="str">
            <v>NELLY JOHANA</v>
          </cell>
          <cell r="F6436" t="str">
            <v>MORALES QUIROGA</v>
          </cell>
          <cell r="G6436" t="str">
            <v>MORALES QUIROGA NELLY JOHANA</v>
          </cell>
          <cell r="H6436" t="str">
            <v>FUNC</v>
          </cell>
          <cell r="I6436" t="str">
            <v>FUNCIONARIO</v>
          </cell>
          <cell r="J6436" t="str">
            <v>AV ORIENTAL 3   70 IN 8</v>
          </cell>
          <cell r="K6436" t="str">
            <v>15516</v>
          </cell>
          <cell r="L6436" t="str">
            <v>PAIPA</v>
          </cell>
          <cell r="M6436" t="str">
            <v>3223901808</v>
          </cell>
        </row>
        <row r="6437">
          <cell r="A6437">
            <v>1049616859</v>
          </cell>
          <cell r="B6437" t="str">
            <v>3</v>
          </cell>
          <cell r="C6437" t="str">
            <v/>
          </cell>
          <cell r="D6437" t="str">
            <v>NP</v>
          </cell>
          <cell r="E6437" t="str">
            <v>CESAR AUGUSTO</v>
          </cell>
          <cell r="F6437" t="str">
            <v>LEON ROJAS</v>
          </cell>
          <cell r="G6437" t="str">
            <v>LEON ROJAS CESAR AUGUSTO</v>
          </cell>
          <cell r="H6437" t="str">
            <v>RESI</v>
          </cell>
          <cell r="I6437" t="str">
            <v>REGIMEN SIMPLIFICADO</v>
          </cell>
          <cell r="J6437" t="str">
            <v>CL 32 1 C 56 OF 702 ED EL PRADO BRR MESOPOTAMIA</v>
          </cell>
          <cell r="K6437" t="str">
            <v>15001</v>
          </cell>
          <cell r="L6437" t="str">
            <v>TUNJA</v>
          </cell>
          <cell r="M6437" t="str">
            <v>3102576600</v>
          </cell>
        </row>
        <row r="6438">
          <cell r="A6438">
            <v>1049618774</v>
          </cell>
          <cell r="B6438" t="str">
            <v>5</v>
          </cell>
          <cell r="C6438" t="str">
            <v/>
          </cell>
          <cell r="D6438" t="str">
            <v>NP</v>
          </cell>
          <cell r="E6438" t="str">
            <v>GUSTAVO ADOLFO</v>
          </cell>
          <cell r="F6438" t="str">
            <v>MUÑOZ LANCHEROS</v>
          </cell>
          <cell r="G6438" t="str">
            <v>MUÑOZ LANCHEROS GUSTAVO ADOLFO</v>
          </cell>
          <cell r="H6438" t="str">
            <v>RESI</v>
          </cell>
          <cell r="I6438" t="str">
            <v>REGIMEN SIMPLIFICADO</v>
          </cell>
          <cell r="J6438" t="str">
            <v xml:space="preserve"> CR 19 C  7 A  78</v>
          </cell>
          <cell r="K6438" t="str">
            <v>15001</v>
          </cell>
          <cell r="L6438" t="str">
            <v>TUNJA</v>
          </cell>
          <cell r="M6438" t="str">
            <v>3114508536</v>
          </cell>
        </row>
        <row r="6439">
          <cell r="A6439">
            <v>1049620134</v>
          </cell>
          <cell r="B6439" t="str">
            <v/>
          </cell>
          <cell r="C6439" t="str">
            <v/>
          </cell>
          <cell r="D6439" t="str">
            <v>CC</v>
          </cell>
          <cell r="E6439" t="str">
            <v>JONATHAN DANILO</v>
          </cell>
          <cell r="F6439" t="str">
            <v>CUEVAS MATEUS</v>
          </cell>
          <cell r="G6439" t="str">
            <v>CUEVAS MATEUS JONATHAN DANILO</v>
          </cell>
          <cell r="H6439" t="str">
            <v>FUNC</v>
          </cell>
          <cell r="I6439" t="str">
            <v>FUNCIONARIO</v>
          </cell>
          <cell r="J6439" t="str">
            <v>CASA 4 MZ A CONDOMINIO VERSALLES PAIPA</v>
          </cell>
          <cell r="K6439" t="str">
            <v>15516</v>
          </cell>
          <cell r="L6439" t="str">
            <v>PAIPA</v>
          </cell>
          <cell r="M6439" t="str">
            <v>3102430070</v>
          </cell>
        </row>
        <row r="6440">
          <cell r="A6440">
            <v>1049622976</v>
          </cell>
          <cell r="B6440" t="str">
            <v/>
          </cell>
          <cell r="C6440" t="str">
            <v/>
          </cell>
          <cell r="D6440" t="str">
            <v>CC</v>
          </cell>
          <cell r="E6440" t="str">
            <v>MARCELA</v>
          </cell>
          <cell r="F6440" t="str">
            <v>PATIÑO LEON</v>
          </cell>
          <cell r="G6440" t="str">
            <v>PATIÑO LEON MARCELA</v>
          </cell>
          <cell r="H6440" t="str">
            <v>FUNC</v>
          </cell>
          <cell r="I6440" t="str">
            <v>FUNCIONARIO</v>
          </cell>
          <cell r="J6440" t="str">
            <v>CR 13   25   52 BRR SANTA LUCIA</v>
          </cell>
          <cell r="K6440" t="str">
            <v>15001</v>
          </cell>
          <cell r="L6440" t="str">
            <v>TUNJA</v>
          </cell>
          <cell r="M6440" t="str">
            <v>3003839867</v>
          </cell>
        </row>
        <row r="6441">
          <cell r="A6441">
            <v>1049624211</v>
          </cell>
          <cell r="B6441" t="str">
            <v>5</v>
          </cell>
          <cell r="C6441" t="str">
            <v/>
          </cell>
          <cell r="D6441" t="str">
            <v>NP</v>
          </cell>
          <cell r="E6441" t="str">
            <v>JHON JAIRO</v>
          </cell>
          <cell r="F6441" t="str">
            <v>RODRIGUEZ TORRES</v>
          </cell>
          <cell r="G6441" t="str">
            <v>RODRIGUEZ TORRES JHON JAIRO</v>
          </cell>
          <cell r="H6441" t="str">
            <v>RESI</v>
          </cell>
          <cell r="I6441" t="str">
            <v>REGIMEN SIMPLIFICADO</v>
          </cell>
          <cell r="J6441" t="str">
            <v xml:space="preserve"> CR 10 64 A  13</v>
          </cell>
          <cell r="K6441" t="str">
            <v>15001</v>
          </cell>
          <cell r="L6441" t="str">
            <v>TUNJA</v>
          </cell>
          <cell r="M6441" t="str">
            <v>3137022502</v>
          </cell>
        </row>
        <row r="6442">
          <cell r="A6442">
            <v>1049624438</v>
          </cell>
          <cell r="B6442" t="str">
            <v/>
          </cell>
          <cell r="C6442" t="str">
            <v/>
          </cell>
          <cell r="D6442" t="str">
            <v>CC</v>
          </cell>
          <cell r="E6442" t="str">
            <v>ANGELA JULIANA</v>
          </cell>
          <cell r="F6442" t="str">
            <v>PEÑA SALGADO</v>
          </cell>
          <cell r="G6442" t="str">
            <v>PEÑA SALGADO ANGELA JULIANA</v>
          </cell>
          <cell r="H6442" t="str">
            <v>FUNC</v>
          </cell>
          <cell r="I6442" t="str">
            <v>FUNCIONARIO</v>
          </cell>
          <cell r="J6442" t="str">
            <v>TV 10 23 75</v>
          </cell>
          <cell r="K6442" t="str">
            <v>15001</v>
          </cell>
          <cell r="L6442" t="str">
            <v>TUNJA</v>
          </cell>
          <cell r="M6442" t="str">
            <v>3023801367</v>
          </cell>
        </row>
        <row r="6443">
          <cell r="A6443">
            <v>1049626690</v>
          </cell>
          <cell r="B6443" t="str">
            <v/>
          </cell>
          <cell r="C6443" t="str">
            <v/>
          </cell>
          <cell r="D6443" t="str">
            <v>CC</v>
          </cell>
          <cell r="E6443" t="str">
            <v>CARLOS ANDRES</v>
          </cell>
          <cell r="F6443" t="str">
            <v>ZORRO REYES</v>
          </cell>
          <cell r="G6443" t="str">
            <v>ZORRO REYES CARLOS ANDRES</v>
          </cell>
          <cell r="H6443" t="str">
            <v>FUNC</v>
          </cell>
          <cell r="I6443" t="str">
            <v>FUNCIONARIO</v>
          </cell>
          <cell r="J6443" t="str">
            <v>TV 0 A ESTE 66 A 19</v>
          </cell>
          <cell r="K6443" t="str">
            <v>17001</v>
          </cell>
          <cell r="L6443" t="str">
            <v>MANIZALES</v>
          </cell>
          <cell r="M6443" t="str">
            <v>3114505235</v>
          </cell>
        </row>
        <row r="6444">
          <cell r="A6444">
            <v>1049634124</v>
          </cell>
          <cell r="B6444" t="str">
            <v/>
          </cell>
          <cell r="C6444" t="str">
            <v/>
          </cell>
          <cell r="D6444" t="str">
            <v>CC</v>
          </cell>
          <cell r="E6444" t="str">
            <v>BRANDON YESID</v>
          </cell>
          <cell r="F6444" t="str">
            <v>PARADA FONSECA</v>
          </cell>
          <cell r="G6444" t="str">
            <v>PARADA FONSECA BRANDON YESID</v>
          </cell>
          <cell r="H6444" t="str">
            <v>FUNC</v>
          </cell>
          <cell r="I6444" t="str">
            <v>FUNCIONARIO</v>
          </cell>
          <cell r="J6444" t="str">
            <v>PAIPA</v>
          </cell>
          <cell r="K6444" t="str">
            <v>15516</v>
          </cell>
          <cell r="L6444" t="str">
            <v>PAIPA</v>
          </cell>
          <cell r="M6444" t="str">
            <v>0000</v>
          </cell>
        </row>
        <row r="6445">
          <cell r="A6445">
            <v>1049634802</v>
          </cell>
          <cell r="B6445" t="str">
            <v>0</v>
          </cell>
          <cell r="C6445" t="str">
            <v/>
          </cell>
          <cell r="D6445" t="str">
            <v>NP</v>
          </cell>
          <cell r="E6445" t="str">
            <v>CRISTIAN DANIEL</v>
          </cell>
          <cell r="F6445" t="str">
            <v>CLAVIJO SANGUINO</v>
          </cell>
          <cell r="G6445" t="str">
            <v>CLAVIJO SANGUINO CRISTIAN DANIEL</v>
          </cell>
          <cell r="H6445" t="str">
            <v>RECO</v>
          </cell>
          <cell r="I6445" t="str">
            <v>REGIMEN COMUN</v>
          </cell>
          <cell r="J6445" t="str">
            <v>CR 19 9 51</v>
          </cell>
          <cell r="K6445" t="str">
            <v>15238</v>
          </cell>
          <cell r="L6445" t="str">
            <v>DUITAMA</v>
          </cell>
          <cell r="M6445" t="str">
            <v>3115989564</v>
          </cell>
        </row>
        <row r="6446">
          <cell r="A6446">
            <v>1049657544</v>
          </cell>
          <cell r="B6446" t="str">
            <v/>
          </cell>
          <cell r="C6446" t="str">
            <v/>
          </cell>
          <cell r="D6446" t="str">
            <v>CC</v>
          </cell>
          <cell r="E6446" t="str">
            <v>YUDI NATALIA</v>
          </cell>
          <cell r="F6446" t="str">
            <v>GAITAN MONTAÑO</v>
          </cell>
          <cell r="G6446" t="str">
            <v>GAITAN MONTAÑO YUDI NATALIA</v>
          </cell>
          <cell r="H6446" t="str">
            <v>FUNC</v>
          </cell>
          <cell r="I6446" t="str">
            <v>FUNCIONARIO</v>
          </cell>
          <cell r="J6446" t="str">
            <v>CALLE 28 19 A 31</v>
          </cell>
          <cell r="K6446" t="str">
            <v>15516</v>
          </cell>
          <cell r="L6446" t="str">
            <v>PAIPA</v>
          </cell>
          <cell r="M6446" t="str">
            <v>3219093167</v>
          </cell>
        </row>
        <row r="6447">
          <cell r="A6447">
            <v>1050602371</v>
          </cell>
          <cell r="B6447" t="str">
            <v/>
          </cell>
          <cell r="C6447" t="str">
            <v/>
          </cell>
          <cell r="D6447" t="str">
            <v>CC</v>
          </cell>
          <cell r="E6447" t="str">
            <v>CRISTIAN DAVID</v>
          </cell>
          <cell r="F6447" t="str">
            <v>RIVERA GÓMEZ</v>
          </cell>
          <cell r="G6447" t="str">
            <v>RIVERA GÓMEZ CRISTIAN DAVID</v>
          </cell>
          <cell r="H6447" t="str">
            <v>FUNC</v>
          </cell>
          <cell r="I6447" t="str">
            <v>FUNCIONARIO</v>
          </cell>
          <cell r="J6447" t="str">
            <v>CL 13 9 09</v>
          </cell>
          <cell r="K6447" t="str">
            <v>15238</v>
          </cell>
          <cell r="L6447" t="str">
            <v>DUITAMA</v>
          </cell>
          <cell r="M6447" t="str">
            <v>3145109090</v>
          </cell>
        </row>
        <row r="6448">
          <cell r="A6448">
            <v>1051240049</v>
          </cell>
          <cell r="B6448" t="str">
            <v>6</v>
          </cell>
          <cell r="C6448" t="str">
            <v/>
          </cell>
          <cell r="D6448" t="str">
            <v>NP</v>
          </cell>
          <cell r="E6448" t="str">
            <v>LUIS ARTURO</v>
          </cell>
          <cell r="F6448" t="str">
            <v>OTALORA BASTIDAS</v>
          </cell>
          <cell r="G6448" t="str">
            <v>OTALORA BASTIDAS LUIS ARTURO</v>
          </cell>
          <cell r="H6448" t="str">
            <v>RESI</v>
          </cell>
          <cell r="I6448" t="str">
            <v>REGIMEN SIMPLIFICADO</v>
          </cell>
          <cell r="J6448" t="str">
            <v>SEC TERMO 3 VRD EL VOLCAN</v>
          </cell>
          <cell r="K6448" t="str">
            <v>15516</v>
          </cell>
          <cell r="L6448" t="str">
            <v>PAIPA</v>
          </cell>
          <cell r="M6448" t="str">
            <v>3132594461</v>
          </cell>
        </row>
        <row r="6449">
          <cell r="A6449">
            <v>1051502508</v>
          </cell>
          <cell r="B6449" t="str">
            <v>0</v>
          </cell>
          <cell r="C6449" t="str">
            <v/>
          </cell>
          <cell r="D6449" t="str">
            <v>NP</v>
          </cell>
          <cell r="E6449" t="str">
            <v>WILMER GERARDO</v>
          </cell>
          <cell r="F6449" t="str">
            <v>LOPEZ PACHON</v>
          </cell>
          <cell r="G6449" t="str">
            <v>LOPEZ PACHON WILMER GERARDO</v>
          </cell>
          <cell r="H6449" t="str">
            <v>NORE</v>
          </cell>
          <cell r="I6449" t="str">
            <v>NO RESPONSABLE DE IVA</v>
          </cell>
          <cell r="J6449" t="str">
            <v xml:space="preserve"> CL 11 N 28 04</v>
          </cell>
          <cell r="K6449" t="str">
            <v>15759</v>
          </cell>
          <cell r="L6449" t="str">
            <v>SOGAMOSO</v>
          </cell>
          <cell r="M6449" t="str">
            <v>3144145926</v>
          </cell>
        </row>
        <row r="6450">
          <cell r="A6450">
            <v>1052020606</v>
          </cell>
          <cell r="B6450" t="str">
            <v/>
          </cell>
          <cell r="C6450" t="str">
            <v/>
          </cell>
          <cell r="D6450" t="str">
            <v>CC</v>
          </cell>
          <cell r="E6450" t="str">
            <v>ALIRIO</v>
          </cell>
          <cell r="F6450" t="str">
            <v>CELY VARGAS</v>
          </cell>
          <cell r="G6450" t="str">
            <v>CELY VARGAS ALIRIO</v>
          </cell>
          <cell r="H6450" t="str">
            <v>FUNC</v>
          </cell>
          <cell r="I6450" t="str">
            <v>FUNCIONARIO</v>
          </cell>
          <cell r="J6450" t="str">
            <v>CL 26 A 13 75</v>
          </cell>
          <cell r="K6450" t="str">
            <v>15759</v>
          </cell>
          <cell r="L6450" t="str">
            <v>SOGAMOSO</v>
          </cell>
          <cell r="M6450" t="str">
            <v>3203402514</v>
          </cell>
        </row>
        <row r="6451">
          <cell r="A6451">
            <v>1052021055</v>
          </cell>
          <cell r="B6451" t="str">
            <v/>
          </cell>
          <cell r="C6451" t="str">
            <v/>
          </cell>
          <cell r="D6451" t="str">
            <v>CC</v>
          </cell>
          <cell r="E6451" t="str">
            <v>YESSICA TATIANA</v>
          </cell>
          <cell r="F6451" t="str">
            <v>ALVAREZ SANCHEZ</v>
          </cell>
          <cell r="G6451" t="str">
            <v>ALVAREZ SANCHEZ YESSICA TATIANA</v>
          </cell>
          <cell r="H6451" t="str">
            <v>FUNC</v>
          </cell>
          <cell r="I6451" t="str">
            <v>FUNCIONARIO</v>
          </cell>
          <cell r="J6451" t="str">
            <v>BRR NUEVA FLORESTA CA 9 M Z</v>
          </cell>
          <cell r="K6451" t="str">
            <v>15516</v>
          </cell>
          <cell r="L6451" t="str">
            <v>PAIPA</v>
          </cell>
          <cell r="M6451" t="str">
            <v>3209704908</v>
          </cell>
        </row>
        <row r="6452">
          <cell r="A6452">
            <v>1052312509</v>
          </cell>
          <cell r="B6452" t="str">
            <v/>
          </cell>
          <cell r="C6452" t="str">
            <v/>
          </cell>
          <cell r="D6452" t="str">
            <v>CC</v>
          </cell>
          <cell r="E6452" t="str">
            <v>WILMER MAURICIO</v>
          </cell>
          <cell r="F6452" t="str">
            <v>CASTRO PINEDA</v>
          </cell>
          <cell r="G6452" t="str">
            <v>CASTRO PINEDA WILMER MAURICIO</v>
          </cell>
          <cell r="H6452" t="str">
            <v>FUNC</v>
          </cell>
          <cell r="I6452" t="str">
            <v>FUNCIONARIO</v>
          </cell>
          <cell r="J6452" t="str">
            <v>CR 30 19 36</v>
          </cell>
          <cell r="K6452" t="str">
            <v>15238</v>
          </cell>
          <cell r="L6452" t="str">
            <v>DUITAMA</v>
          </cell>
          <cell r="M6452" t="str">
            <v>3132465270</v>
          </cell>
        </row>
        <row r="6453">
          <cell r="A6453">
            <v>1052312933</v>
          </cell>
          <cell r="B6453" t="str">
            <v/>
          </cell>
          <cell r="C6453" t="str">
            <v/>
          </cell>
          <cell r="D6453" t="str">
            <v>CC</v>
          </cell>
          <cell r="E6453" t="str">
            <v>FREDY ALEXANDER</v>
          </cell>
          <cell r="F6453" t="str">
            <v>PEREZ CARDENAS</v>
          </cell>
          <cell r="G6453" t="str">
            <v>PEREZ CARDENAS FREDY ALEXANDER</v>
          </cell>
          <cell r="H6453" t="str">
            <v>FUNC</v>
          </cell>
          <cell r="I6453" t="str">
            <v>FUNCIONARIO</v>
          </cell>
          <cell r="J6453" t="str">
            <v>CARRERA 6 No 10-46 BELEN</v>
          </cell>
          <cell r="K6453" t="str">
            <v>15087</v>
          </cell>
          <cell r="L6453" t="str">
            <v>BELÉN</v>
          </cell>
          <cell r="M6453" t="str">
            <v>3115477028</v>
          </cell>
        </row>
        <row r="6454">
          <cell r="A6454">
            <v>1052355500</v>
          </cell>
          <cell r="B6454" t="str">
            <v/>
          </cell>
          <cell r="C6454" t="str">
            <v/>
          </cell>
          <cell r="D6454" t="str">
            <v>CC</v>
          </cell>
          <cell r="E6454" t="str">
            <v>DIEGO JULIAN</v>
          </cell>
          <cell r="F6454" t="str">
            <v>AVELLA RODRIGUEZ</v>
          </cell>
          <cell r="G6454" t="str">
            <v>AVELLA RODRIGUEZ DIEGO JULIAN</v>
          </cell>
          <cell r="H6454" t="str">
            <v>FUNC</v>
          </cell>
          <cell r="I6454" t="str">
            <v>FUNCIONARIO</v>
          </cell>
          <cell r="J6454" t="str">
            <v>CL 21   27   20 CON LOS HEROES</v>
          </cell>
          <cell r="K6454" t="str">
            <v>15001</v>
          </cell>
          <cell r="L6454" t="str">
            <v>TUNJA</v>
          </cell>
          <cell r="M6454" t="str">
            <v>7617374</v>
          </cell>
        </row>
        <row r="6455">
          <cell r="A6455">
            <v>1052378489</v>
          </cell>
          <cell r="B6455" t="str">
            <v/>
          </cell>
          <cell r="C6455" t="str">
            <v/>
          </cell>
          <cell r="D6455" t="str">
            <v>CC</v>
          </cell>
          <cell r="E6455" t="str">
            <v>SONIA LORENA</v>
          </cell>
          <cell r="F6455" t="str">
            <v>BARRERA MORALES</v>
          </cell>
          <cell r="G6455" t="str">
            <v>BARRERA MORALES SONIA LORENA</v>
          </cell>
          <cell r="H6455" t="str">
            <v>FUNC</v>
          </cell>
          <cell r="I6455" t="str">
            <v>FUNCIONARIO</v>
          </cell>
          <cell r="J6455" t="str">
            <v>CR 10   8   09</v>
          </cell>
          <cell r="K6455" t="str">
            <v>15516</v>
          </cell>
          <cell r="L6455" t="str">
            <v>PAIPA</v>
          </cell>
          <cell r="M6455" t="str">
            <v>3209342910</v>
          </cell>
        </row>
        <row r="6456">
          <cell r="A6456">
            <v>1052378503</v>
          </cell>
          <cell r="B6456" t="str">
            <v/>
          </cell>
          <cell r="C6456" t="str">
            <v/>
          </cell>
          <cell r="D6456" t="str">
            <v>CC</v>
          </cell>
          <cell r="E6456" t="str">
            <v>DIEGO ANDRÉS</v>
          </cell>
          <cell r="F6456" t="str">
            <v>ZABALA BOHORQUEZ</v>
          </cell>
          <cell r="G6456" t="str">
            <v>ZABALA BOHORQUEZ DIEGO ANDRÉS</v>
          </cell>
          <cell r="H6456" t="str">
            <v>FUNC</v>
          </cell>
          <cell r="I6456" t="str">
            <v>FUNCIONARIO</v>
          </cell>
          <cell r="J6456" t="str">
            <v>ROBLEDALES 4 TORRE 10 APTO 503</v>
          </cell>
          <cell r="K6456" t="str">
            <v>15238</v>
          </cell>
          <cell r="L6456" t="str">
            <v>DUITAMA</v>
          </cell>
          <cell r="M6456" t="str">
            <v>3204364878</v>
          </cell>
        </row>
        <row r="6457">
          <cell r="A6457">
            <v>1052379441</v>
          </cell>
          <cell r="B6457" t="str">
            <v/>
          </cell>
          <cell r="C6457" t="str">
            <v/>
          </cell>
          <cell r="D6457" t="str">
            <v>CC</v>
          </cell>
          <cell r="E6457" t="str">
            <v>CLARA TATIANA</v>
          </cell>
          <cell r="F6457" t="str">
            <v>MARTINEZ GALLO</v>
          </cell>
          <cell r="G6457" t="str">
            <v>MARTINEZ GALLO CLARA TATIANA</v>
          </cell>
          <cell r="H6457" t="str">
            <v>EXFU</v>
          </cell>
          <cell r="I6457" t="str">
            <v>EX-FUNCIONARIOS</v>
          </cell>
          <cell r="J6457" t="str">
            <v>CL 17 2 110 AP 304 TO 2</v>
          </cell>
          <cell r="K6457" t="str">
            <v>15516</v>
          </cell>
          <cell r="L6457" t="str">
            <v>PAIPA</v>
          </cell>
          <cell r="M6457" t="str">
            <v>3173181211</v>
          </cell>
        </row>
        <row r="6458">
          <cell r="A6458">
            <v>1052379606</v>
          </cell>
          <cell r="B6458" t="str">
            <v/>
          </cell>
          <cell r="C6458" t="str">
            <v/>
          </cell>
          <cell r="D6458" t="str">
            <v>CC</v>
          </cell>
          <cell r="E6458" t="str">
            <v>JUAN DIEGO</v>
          </cell>
          <cell r="F6458" t="str">
            <v>BECERRA ROJAS</v>
          </cell>
          <cell r="G6458" t="str">
            <v>BECERRA ROJAS JUAN DIEGO</v>
          </cell>
          <cell r="H6458" t="str">
            <v>FUNC</v>
          </cell>
          <cell r="I6458" t="str">
            <v>FUNCIONARIO</v>
          </cell>
          <cell r="J6458" t="str">
            <v>CLLE 5 # 3-17</v>
          </cell>
          <cell r="K6458" t="str">
            <v>15238</v>
          </cell>
          <cell r="L6458" t="str">
            <v>DUITAMA</v>
          </cell>
          <cell r="M6458" t="str">
            <v>3125841274</v>
          </cell>
        </row>
        <row r="6459">
          <cell r="A6459">
            <v>1052379673</v>
          </cell>
          <cell r="B6459" t="str">
            <v>4</v>
          </cell>
          <cell r="C6459" t="str">
            <v/>
          </cell>
          <cell r="D6459" t="str">
            <v>NP</v>
          </cell>
          <cell r="E6459" t="str">
            <v>JUAN CAMILO</v>
          </cell>
          <cell r="F6459" t="str">
            <v>SANCHEZ CUESTA</v>
          </cell>
          <cell r="G6459" t="str">
            <v>SANCHEZ CUESTA JUAN CAMILO</v>
          </cell>
          <cell r="H6459" t="str">
            <v>RESI</v>
          </cell>
          <cell r="I6459" t="str">
            <v>REGIMEN SIMPLIFICADO</v>
          </cell>
          <cell r="J6459" t="str">
            <v>DG 38 18 89</v>
          </cell>
          <cell r="K6459" t="str">
            <v>15001</v>
          </cell>
          <cell r="L6459" t="str">
            <v>TUNJA</v>
          </cell>
          <cell r="M6459" t="str">
            <v>3125970184</v>
          </cell>
        </row>
        <row r="6460">
          <cell r="A6460">
            <v>1052379955</v>
          </cell>
          <cell r="B6460" t="str">
            <v/>
          </cell>
          <cell r="C6460" t="str">
            <v/>
          </cell>
          <cell r="D6460" t="str">
            <v>CC</v>
          </cell>
          <cell r="E6460" t="str">
            <v>LADY PAOLA</v>
          </cell>
          <cell r="F6460" t="str">
            <v>GARZON CIFUENTES</v>
          </cell>
          <cell r="G6460" t="str">
            <v>GARZON CIFUENTES LADY PAOLA</v>
          </cell>
          <cell r="H6460" t="str">
            <v>FUNC</v>
          </cell>
          <cell r="I6460" t="str">
            <v>FUNCIONARIO</v>
          </cell>
          <cell r="J6460" t="str">
            <v>CR 22   14   45</v>
          </cell>
          <cell r="K6460" t="str">
            <v>17001</v>
          </cell>
          <cell r="L6460" t="str">
            <v>MANIZALES</v>
          </cell>
          <cell r="M6460" t="str">
            <v>0</v>
          </cell>
        </row>
        <row r="6461">
          <cell r="A6461">
            <v>1052380019</v>
          </cell>
          <cell r="B6461" t="str">
            <v/>
          </cell>
          <cell r="C6461" t="str">
            <v/>
          </cell>
          <cell r="D6461" t="str">
            <v>CC</v>
          </cell>
          <cell r="E6461" t="str">
            <v>MIGUEL ANGEL</v>
          </cell>
          <cell r="F6461" t="str">
            <v>BECERRA VALDERRAMA</v>
          </cell>
          <cell r="G6461" t="str">
            <v>BECERRA VALDERRAMA MIGUEL ANGEL</v>
          </cell>
          <cell r="H6461" t="str">
            <v>FUNC</v>
          </cell>
          <cell r="I6461" t="str">
            <v>FUNCIONARIO</v>
          </cell>
          <cell r="J6461" t="str">
            <v>DG 11 A B 11</v>
          </cell>
          <cell r="K6461" t="str">
            <v>15238</v>
          </cell>
          <cell r="L6461" t="str">
            <v>DUITAMA</v>
          </cell>
          <cell r="M6461" t="str">
            <v>3203093435</v>
          </cell>
        </row>
        <row r="6462">
          <cell r="A6462">
            <v>1052380149</v>
          </cell>
          <cell r="B6462" t="str">
            <v>8</v>
          </cell>
          <cell r="C6462" t="str">
            <v/>
          </cell>
          <cell r="D6462" t="str">
            <v>NP</v>
          </cell>
          <cell r="E6462" t="str">
            <v>DANIEL ELIAS</v>
          </cell>
          <cell r="F6462" t="str">
            <v>SALAS VELANDIA</v>
          </cell>
          <cell r="G6462" t="str">
            <v>SALAS VELANDIA DANIEL ELIAS</v>
          </cell>
          <cell r="H6462" t="str">
            <v>RECO</v>
          </cell>
          <cell r="I6462" t="str">
            <v>REGIMEN COMUN</v>
          </cell>
          <cell r="J6462" t="str">
            <v>CR 31 14 51 CA 2</v>
          </cell>
          <cell r="K6462" t="str">
            <v>15238</v>
          </cell>
          <cell r="L6462" t="str">
            <v>DUITAMA</v>
          </cell>
          <cell r="M6462" t="str">
            <v>3118458927</v>
          </cell>
        </row>
        <row r="6463">
          <cell r="A6463">
            <v>1052380221</v>
          </cell>
          <cell r="B6463" t="str">
            <v/>
          </cell>
          <cell r="C6463" t="str">
            <v/>
          </cell>
          <cell r="D6463" t="str">
            <v>CC</v>
          </cell>
          <cell r="E6463" t="str">
            <v>BAUTISTA BARON</v>
          </cell>
          <cell r="F6463" t="str">
            <v>JENNY ALEXANDRA</v>
          </cell>
          <cell r="G6463" t="str">
            <v>BAUTISTA BARON JENNY ALEXANDRA</v>
          </cell>
          <cell r="H6463" t="str">
            <v>FUNC</v>
          </cell>
          <cell r="I6463" t="str">
            <v>FUNCIONARIO</v>
          </cell>
          <cell r="J6463" t="str">
            <v>CL 54 11B 60</v>
          </cell>
          <cell r="K6463" t="str">
            <v>15516</v>
          </cell>
          <cell r="L6463" t="str">
            <v>PAIPA</v>
          </cell>
          <cell r="M6463" t="str">
            <v>3115767867</v>
          </cell>
        </row>
        <row r="6464">
          <cell r="A6464">
            <v>1052380547</v>
          </cell>
          <cell r="B6464" t="str">
            <v/>
          </cell>
          <cell r="C6464" t="str">
            <v/>
          </cell>
          <cell r="D6464" t="str">
            <v>CC</v>
          </cell>
          <cell r="E6464" t="str">
            <v>EDGAR ALONSO</v>
          </cell>
          <cell r="F6464" t="str">
            <v>LA ROTTA PEDRAZA</v>
          </cell>
          <cell r="G6464" t="str">
            <v>LA ROTTA PEDRAZA EDGAR ALONSO</v>
          </cell>
          <cell r="H6464" t="str">
            <v>FUNC</v>
          </cell>
          <cell r="I6464" t="str">
            <v>FUNCIONARIO</v>
          </cell>
          <cell r="J6464" t="str">
            <v>CRA 3 # 18-46</v>
          </cell>
          <cell r="K6464" t="str">
            <v>15238</v>
          </cell>
          <cell r="L6464" t="str">
            <v>DUITAMA</v>
          </cell>
          <cell r="M6464" t="str">
            <v>3115635655</v>
          </cell>
        </row>
        <row r="6465">
          <cell r="A6465">
            <v>1052380703</v>
          </cell>
          <cell r="B6465" t="str">
            <v/>
          </cell>
          <cell r="C6465" t="str">
            <v/>
          </cell>
          <cell r="D6465" t="str">
            <v>CC</v>
          </cell>
          <cell r="E6465" t="str">
            <v>LISANDRO ENRIQUE</v>
          </cell>
          <cell r="F6465" t="str">
            <v>LARA QUINTERO</v>
          </cell>
          <cell r="G6465" t="str">
            <v>LARA QUINTERO LISANDRO ENRIQUE</v>
          </cell>
          <cell r="H6465" t="str">
            <v>FUNC</v>
          </cell>
          <cell r="I6465" t="str">
            <v>FUNCIONARIO</v>
          </cell>
          <cell r="J6465" t="str">
            <v>CARRERA 17 No 6-42 DUITAMA</v>
          </cell>
          <cell r="K6465" t="str">
            <v>15238</v>
          </cell>
          <cell r="L6465" t="str">
            <v>DUITAMA</v>
          </cell>
          <cell r="M6465" t="str">
            <v>3125628605</v>
          </cell>
        </row>
        <row r="6466">
          <cell r="A6466">
            <v>1052380718</v>
          </cell>
          <cell r="B6466" t="str">
            <v/>
          </cell>
          <cell r="C6466" t="str">
            <v/>
          </cell>
          <cell r="D6466" t="str">
            <v>CC</v>
          </cell>
          <cell r="E6466" t="str">
            <v>DIEGO FERNANDO</v>
          </cell>
          <cell r="F6466" t="str">
            <v>CARDENAS SUAREZ</v>
          </cell>
          <cell r="G6466" t="str">
            <v>CARDENAS SUAREZ DIEGO FERNANDO</v>
          </cell>
          <cell r="H6466" t="str">
            <v>FUNC</v>
          </cell>
          <cell r="I6466" t="str">
            <v>FUNCIONARIO</v>
          </cell>
          <cell r="J6466" t="str">
            <v>CR 33 12 53</v>
          </cell>
          <cell r="K6466" t="str">
            <v>15238</v>
          </cell>
          <cell r="L6466" t="str">
            <v>DUITAMA</v>
          </cell>
          <cell r="M6466" t="str">
            <v>3214390698</v>
          </cell>
        </row>
        <row r="6467">
          <cell r="A6467">
            <v>1052380740</v>
          </cell>
          <cell r="B6467" t="str">
            <v/>
          </cell>
          <cell r="C6467" t="str">
            <v/>
          </cell>
          <cell r="D6467" t="str">
            <v>CC</v>
          </cell>
          <cell r="E6467" t="str">
            <v>LUISA KAREN</v>
          </cell>
          <cell r="F6467" t="str">
            <v>RODRIGUEZ ESCOBAR</v>
          </cell>
          <cell r="G6467" t="str">
            <v>LUISA KAREN RODRIGUEZ ESCOBAR</v>
          </cell>
          <cell r="H6467" t="str">
            <v>FUNC</v>
          </cell>
          <cell r="I6467" t="str">
            <v>FUNCIONARIO</v>
          </cell>
          <cell r="J6467" t="str">
            <v>CR 26   22   26 BRR EL CERRITO</v>
          </cell>
          <cell r="K6467" t="str">
            <v>15516</v>
          </cell>
          <cell r="L6467" t="str">
            <v>PAIPA</v>
          </cell>
          <cell r="M6467" t="str">
            <v>7606287</v>
          </cell>
        </row>
        <row r="6468">
          <cell r="A6468">
            <v>1052381158</v>
          </cell>
          <cell r="B6468" t="str">
            <v>9</v>
          </cell>
          <cell r="C6468" t="str">
            <v/>
          </cell>
          <cell r="D6468" t="str">
            <v>NP</v>
          </cell>
          <cell r="E6468" t="str">
            <v>JHON FERNANDO</v>
          </cell>
          <cell r="F6468" t="str">
            <v>SOLER ALVAREZ</v>
          </cell>
          <cell r="G6468" t="str">
            <v>SOLER ALVAREZ JHON FERNANDO</v>
          </cell>
          <cell r="H6468" t="str">
            <v>NORE</v>
          </cell>
          <cell r="I6468" t="str">
            <v>NO RESPONSABLE DE IVA</v>
          </cell>
          <cell r="J6468" t="str">
            <v>CL 16 2 33</v>
          </cell>
          <cell r="K6468" t="str">
            <v>15238</v>
          </cell>
          <cell r="L6468" t="str">
            <v>DUITAMA</v>
          </cell>
          <cell r="M6468" t="str">
            <v>3133284465</v>
          </cell>
        </row>
        <row r="6469">
          <cell r="A6469">
            <v>1052381496</v>
          </cell>
          <cell r="B6469" t="str">
            <v/>
          </cell>
          <cell r="C6469" t="str">
            <v/>
          </cell>
          <cell r="D6469" t="str">
            <v>CC</v>
          </cell>
          <cell r="E6469" t="str">
            <v>JONNATAN SCHNEIDER</v>
          </cell>
          <cell r="F6469" t="str">
            <v>PUERTO MORALES</v>
          </cell>
          <cell r="G6469" t="str">
            <v>PUERTO MORALES JONNATAN SCHNEIDER</v>
          </cell>
          <cell r="H6469" t="str">
            <v>FUNC</v>
          </cell>
          <cell r="I6469" t="str">
            <v>FUNCIONARIO</v>
          </cell>
          <cell r="J6469" t="str">
            <v>CALLE 9 No 2-61 INTE 6</v>
          </cell>
          <cell r="K6469" t="str">
            <v>15759</v>
          </cell>
          <cell r="L6469" t="str">
            <v>SOGAMOSO</v>
          </cell>
          <cell r="M6469" t="str">
            <v>3154823199</v>
          </cell>
        </row>
        <row r="6470">
          <cell r="A6470">
            <v>1052381751</v>
          </cell>
          <cell r="B6470" t="str">
            <v/>
          </cell>
          <cell r="C6470" t="str">
            <v/>
          </cell>
          <cell r="D6470" t="str">
            <v>CC</v>
          </cell>
          <cell r="E6470" t="str">
            <v>GUSTAVO</v>
          </cell>
          <cell r="F6470" t="str">
            <v>ALARCON LOPEZ</v>
          </cell>
          <cell r="G6470" t="str">
            <v>ALARCON LOPEZ GUSTAVO</v>
          </cell>
          <cell r="H6470" t="str">
            <v>RESI</v>
          </cell>
          <cell r="I6470" t="str">
            <v>REGIMEN SIMPLIFICADO</v>
          </cell>
          <cell r="J6470" t="str">
            <v>MCP SOGAMOSO</v>
          </cell>
          <cell r="K6470" t="str">
            <v>15759</v>
          </cell>
          <cell r="L6470" t="str">
            <v>SOGAMOSO</v>
          </cell>
          <cell r="M6470" t="str">
            <v>SIN NRO</v>
          </cell>
        </row>
        <row r="6471">
          <cell r="A6471">
            <v>1052382370</v>
          </cell>
          <cell r="B6471" t="str">
            <v/>
          </cell>
          <cell r="C6471" t="str">
            <v/>
          </cell>
          <cell r="D6471" t="str">
            <v>CC</v>
          </cell>
          <cell r="E6471" t="str">
            <v>DILSON ERASMO</v>
          </cell>
          <cell r="F6471" t="str">
            <v>BARRAGAN NIÑO</v>
          </cell>
          <cell r="G6471" t="str">
            <v>BARRAGAN NIÑO DILSON ERASMO</v>
          </cell>
          <cell r="H6471" t="str">
            <v>FUNC</v>
          </cell>
          <cell r="I6471" t="str">
            <v>FUNCIONARIO</v>
          </cell>
          <cell r="J6471" t="str">
            <v>CL 23 C 4 A 85 BRR SAN CARLOS</v>
          </cell>
          <cell r="K6471" t="str">
            <v>15759</v>
          </cell>
          <cell r="L6471" t="str">
            <v>SOGAMOSO</v>
          </cell>
          <cell r="M6471" t="str">
            <v>3118867589</v>
          </cell>
        </row>
        <row r="6472">
          <cell r="A6472">
            <v>1052382643</v>
          </cell>
          <cell r="B6472" t="str">
            <v/>
          </cell>
          <cell r="C6472" t="str">
            <v/>
          </cell>
          <cell r="D6472" t="str">
            <v>CC</v>
          </cell>
          <cell r="E6472" t="str">
            <v>JUAN MANUEL</v>
          </cell>
          <cell r="F6472" t="str">
            <v>GONZALEZ TRIANA</v>
          </cell>
          <cell r="G6472" t="str">
            <v>GONZALEZ TRIANA JUAN MANUEL</v>
          </cell>
          <cell r="H6472" t="str">
            <v>FUNC</v>
          </cell>
          <cell r="I6472" t="str">
            <v>FUNCIONARIO</v>
          </cell>
          <cell r="J6472" t="str">
            <v>CR 23 B 21 28</v>
          </cell>
          <cell r="K6472" t="str">
            <v>15238</v>
          </cell>
          <cell r="L6472" t="str">
            <v>DUITAMA</v>
          </cell>
          <cell r="M6472" t="str">
            <v>3123154221</v>
          </cell>
        </row>
        <row r="6473">
          <cell r="A6473">
            <v>1052383238</v>
          </cell>
          <cell r="B6473" t="str">
            <v/>
          </cell>
          <cell r="C6473" t="str">
            <v/>
          </cell>
          <cell r="D6473" t="str">
            <v>CC</v>
          </cell>
          <cell r="E6473" t="str">
            <v>WILMER FABIAN</v>
          </cell>
          <cell r="F6473" t="str">
            <v>SOSA ZEA</v>
          </cell>
          <cell r="G6473" t="str">
            <v>SOSA ZEA WILMER FABIAN</v>
          </cell>
          <cell r="H6473" t="str">
            <v>FUNC</v>
          </cell>
          <cell r="I6473" t="str">
            <v>FUNCIONARIO</v>
          </cell>
          <cell r="J6473" t="str">
            <v>CALLE 17 No 11-15 DUITAMA</v>
          </cell>
          <cell r="K6473" t="str">
            <v>15238</v>
          </cell>
          <cell r="L6473" t="str">
            <v>DUITAMA</v>
          </cell>
          <cell r="M6473" t="str">
            <v>3204489469</v>
          </cell>
        </row>
        <row r="6474">
          <cell r="A6474">
            <v>1052383473</v>
          </cell>
          <cell r="B6474" t="str">
            <v>3</v>
          </cell>
          <cell r="C6474" t="str">
            <v/>
          </cell>
          <cell r="D6474" t="str">
            <v>NP</v>
          </cell>
          <cell r="E6474" t="str">
            <v>CARLOS LEANDRO</v>
          </cell>
          <cell r="F6474" t="str">
            <v>CASTRO FUQUEN</v>
          </cell>
          <cell r="G6474" t="str">
            <v>CASTRO FUQUEN CARLOS LEANDRO</v>
          </cell>
          <cell r="H6474" t="str">
            <v>IMVE</v>
          </cell>
          <cell r="I6474" t="str">
            <v>IMPUESTO SOBRE LAS VENTAS</v>
          </cell>
          <cell r="J6474" t="str">
            <v>CL 10 18 33</v>
          </cell>
          <cell r="K6474" t="str">
            <v>15238</v>
          </cell>
          <cell r="L6474" t="str">
            <v>DUITAMA</v>
          </cell>
          <cell r="M6474" t="str">
            <v>3125093979</v>
          </cell>
        </row>
        <row r="6475">
          <cell r="A6475">
            <v>1052383544</v>
          </cell>
          <cell r="B6475" t="str">
            <v/>
          </cell>
          <cell r="C6475" t="str">
            <v/>
          </cell>
          <cell r="D6475" t="str">
            <v>CC</v>
          </cell>
          <cell r="E6475" t="str">
            <v>MIGUEL IGNACIO</v>
          </cell>
          <cell r="F6475" t="str">
            <v>MARTINEZ RINCON</v>
          </cell>
          <cell r="G6475" t="str">
            <v>MARTINEZ RINCON MIGUEL IGNACIO</v>
          </cell>
          <cell r="H6475" t="str">
            <v>FUNC</v>
          </cell>
          <cell r="I6475" t="str">
            <v>FUNCIONARIO</v>
          </cell>
          <cell r="J6475" t="str">
            <v>carrera 25 a No 11-24 DUITAMA</v>
          </cell>
          <cell r="K6475" t="str">
            <v>15238</v>
          </cell>
          <cell r="L6475" t="str">
            <v>DUITAMA</v>
          </cell>
          <cell r="M6475" t="str">
            <v>3144182481</v>
          </cell>
        </row>
        <row r="6476">
          <cell r="A6476">
            <v>1052383634</v>
          </cell>
          <cell r="B6476" t="str">
            <v/>
          </cell>
          <cell r="C6476" t="str">
            <v/>
          </cell>
          <cell r="D6476" t="str">
            <v>CC</v>
          </cell>
          <cell r="E6476" t="str">
            <v>JAKSON ARBEY</v>
          </cell>
          <cell r="F6476" t="str">
            <v>TORRES CAMARGO</v>
          </cell>
          <cell r="G6476" t="str">
            <v>TORRES CAMARGO JAKSON ARBEY</v>
          </cell>
          <cell r="H6476" t="str">
            <v>FUNC</v>
          </cell>
          <cell r="I6476" t="str">
            <v>FUNCIONARIO</v>
          </cell>
          <cell r="J6476" t="str">
            <v>CALLE 12 No 1-21 DUITAMA</v>
          </cell>
          <cell r="K6476" t="str">
            <v>15238</v>
          </cell>
          <cell r="L6476" t="str">
            <v>DUITAMA</v>
          </cell>
          <cell r="M6476" t="str">
            <v>3123809823</v>
          </cell>
        </row>
        <row r="6477">
          <cell r="A6477">
            <v>1052384111</v>
          </cell>
          <cell r="B6477" t="str">
            <v>7</v>
          </cell>
          <cell r="C6477" t="str">
            <v/>
          </cell>
          <cell r="D6477" t="str">
            <v>NP</v>
          </cell>
          <cell r="E6477" t="str">
            <v>WILMAR ALEJANDRO</v>
          </cell>
          <cell r="F6477" t="str">
            <v>ROJAS MESA</v>
          </cell>
          <cell r="G6477" t="str">
            <v>ROJAS MESA WILMAR ALEJANDRO</v>
          </cell>
          <cell r="H6477" t="str">
            <v>RESI</v>
          </cell>
          <cell r="I6477" t="str">
            <v>REGIMEN SIMPLIFICADO</v>
          </cell>
          <cell r="J6477" t="str">
            <v>CL 11 14 55</v>
          </cell>
          <cell r="K6477" t="str">
            <v>15238</v>
          </cell>
          <cell r="L6477" t="str">
            <v>DUITAMA</v>
          </cell>
          <cell r="M6477" t="str">
            <v>3125854540</v>
          </cell>
        </row>
        <row r="6478">
          <cell r="A6478">
            <v>1052384862</v>
          </cell>
          <cell r="B6478" t="str">
            <v>1</v>
          </cell>
          <cell r="C6478" t="str">
            <v/>
          </cell>
          <cell r="D6478" t="str">
            <v>NP</v>
          </cell>
          <cell r="E6478" t="str">
            <v>CARLOS EDUARDO</v>
          </cell>
          <cell r="F6478" t="str">
            <v>GOMEZ MEDINA</v>
          </cell>
          <cell r="G6478" t="str">
            <v>GOMEZ MEDINA CARLOS EDUARDO</v>
          </cell>
          <cell r="H6478" t="str">
            <v>RESI</v>
          </cell>
          <cell r="I6478" t="str">
            <v>REGIMEN SIMPLIFICADO</v>
          </cell>
          <cell r="J6478" t="str">
            <v>CL 19 7 86 BL C AP 501 URB TORRES DE LA ARBOLEDA</v>
          </cell>
          <cell r="K6478" t="str">
            <v>15238</v>
          </cell>
          <cell r="L6478" t="str">
            <v>DUITAMA</v>
          </cell>
          <cell r="M6478" t="str">
            <v>3103338222</v>
          </cell>
        </row>
        <row r="6479">
          <cell r="A6479">
            <v>1052385607</v>
          </cell>
          <cell r="B6479" t="str">
            <v>2</v>
          </cell>
          <cell r="C6479" t="str">
            <v/>
          </cell>
          <cell r="D6479" t="str">
            <v>NP</v>
          </cell>
          <cell r="E6479" t="str">
            <v>JHON FREDDY</v>
          </cell>
          <cell r="F6479" t="str">
            <v>DONCEL GONZALEZ</v>
          </cell>
          <cell r="G6479" t="str">
            <v>DONCEL GONZALEZ JHON FREDDY</v>
          </cell>
          <cell r="H6479" t="str">
            <v>RESI</v>
          </cell>
          <cell r="I6479" t="str">
            <v>REGIMEN SIMPLIFICADO</v>
          </cell>
          <cell r="J6479" t="str">
            <v>CR 16 A  5 94</v>
          </cell>
          <cell r="K6479" t="str">
            <v>15238</v>
          </cell>
          <cell r="L6479" t="str">
            <v>DUITAMA</v>
          </cell>
          <cell r="M6479" t="str">
            <v>3186686564</v>
          </cell>
        </row>
        <row r="6480">
          <cell r="A6480">
            <v>1052386244</v>
          </cell>
          <cell r="B6480" t="str">
            <v/>
          </cell>
          <cell r="C6480" t="str">
            <v/>
          </cell>
          <cell r="D6480" t="str">
            <v>CC</v>
          </cell>
          <cell r="E6480" t="str">
            <v>CARLOS RICARDO</v>
          </cell>
          <cell r="F6480" t="str">
            <v>CARVAJAL SOTO</v>
          </cell>
          <cell r="G6480" t="str">
            <v>CARVAJAL SOTO CARLOS RICARDO</v>
          </cell>
          <cell r="H6480" t="str">
            <v>FUNC</v>
          </cell>
          <cell r="I6480" t="str">
            <v>FUNCIONARIO</v>
          </cell>
          <cell r="J6480" t="str">
            <v>PAIPA</v>
          </cell>
          <cell r="K6480" t="str">
            <v>15516</v>
          </cell>
          <cell r="L6480" t="str">
            <v>PAIPA</v>
          </cell>
          <cell r="M6480" t="str">
            <v>3102451168</v>
          </cell>
        </row>
        <row r="6481">
          <cell r="A6481">
            <v>1052386559</v>
          </cell>
          <cell r="B6481" t="str">
            <v>1</v>
          </cell>
          <cell r="C6481" t="str">
            <v/>
          </cell>
          <cell r="D6481" t="str">
            <v>NP</v>
          </cell>
          <cell r="E6481" t="str">
            <v>WALTER CAMILO</v>
          </cell>
          <cell r="F6481" t="str">
            <v>LOPEZ HURTADO</v>
          </cell>
          <cell r="G6481" t="str">
            <v>LOPEZ HURTADO WALTER CAMILO</v>
          </cell>
          <cell r="H6481" t="str">
            <v>RESI</v>
          </cell>
          <cell r="I6481" t="str">
            <v>REGIMEN SIMPLIFICADO</v>
          </cell>
          <cell r="J6481" t="str">
            <v>CL 20  30 52 BRR CAMILO TORRES</v>
          </cell>
          <cell r="K6481" t="str">
            <v>15238</v>
          </cell>
          <cell r="L6481" t="str">
            <v>DUITAMA</v>
          </cell>
          <cell r="M6481" t="str">
            <v>3112398244</v>
          </cell>
        </row>
        <row r="6482">
          <cell r="A6482">
            <v>1052387011</v>
          </cell>
          <cell r="B6482" t="str">
            <v/>
          </cell>
          <cell r="C6482" t="str">
            <v/>
          </cell>
          <cell r="D6482" t="str">
            <v>CC</v>
          </cell>
          <cell r="E6482" t="str">
            <v>CARLOS ANDRES</v>
          </cell>
          <cell r="F6482" t="str">
            <v>NIÑO ROJAS</v>
          </cell>
          <cell r="G6482" t="str">
            <v>NIÑO ROJAS CARLOS ANDRES</v>
          </cell>
          <cell r="H6482" t="str">
            <v>FUNC</v>
          </cell>
          <cell r="I6482" t="str">
            <v>FUNCIONARIO</v>
          </cell>
          <cell r="J6482" t="str">
            <v>CALLE 4a No 4-39 DUITAMA</v>
          </cell>
          <cell r="K6482" t="str">
            <v>15238</v>
          </cell>
          <cell r="L6482" t="str">
            <v>DUITAMA</v>
          </cell>
          <cell r="M6482" t="str">
            <v>3202809542</v>
          </cell>
        </row>
        <row r="6483">
          <cell r="A6483">
            <v>1052387208</v>
          </cell>
          <cell r="B6483" t="str">
            <v/>
          </cell>
          <cell r="C6483" t="str">
            <v/>
          </cell>
          <cell r="D6483" t="str">
            <v>CC</v>
          </cell>
          <cell r="E6483" t="str">
            <v>JONATHAN ROLANDO</v>
          </cell>
          <cell r="F6483" t="str">
            <v>BECERRA REYES</v>
          </cell>
          <cell r="G6483" t="str">
            <v>BECERRA REYES JONATHAN ROLANDO</v>
          </cell>
          <cell r="H6483" t="str">
            <v>FUNC</v>
          </cell>
          <cell r="I6483" t="str">
            <v>FUNCIONARIO</v>
          </cell>
          <cell r="J6483" t="str">
            <v>CARRERA 30 No 12A-88 DUITAMA</v>
          </cell>
          <cell r="K6483" t="str">
            <v>15238</v>
          </cell>
          <cell r="L6483" t="str">
            <v>DUITAMA</v>
          </cell>
          <cell r="M6483" t="str">
            <v>3114654883</v>
          </cell>
        </row>
        <row r="6484">
          <cell r="A6484">
            <v>1052387358</v>
          </cell>
          <cell r="B6484" t="str">
            <v/>
          </cell>
          <cell r="C6484" t="str">
            <v/>
          </cell>
          <cell r="D6484" t="str">
            <v>CC</v>
          </cell>
          <cell r="E6484" t="str">
            <v>VICTOR WILMER</v>
          </cell>
          <cell r="F6484" t="str">
            <v>DIAZ SANDOVAL</v>
          </cell>
          <cell r="G6484" t="str">
            <v>DIAZ SANDOVAL VICTOR WILMER</v>
          </cell>
          <cell r="H6484" t="str">
            <v>FUNC</v>
          </cell>
          <cell r="I6484" t="str">
            <v>FUNCIONARIO</v>
          </cell>
          <cell r="J6484" t="str">
            <v>CALLE 5 No 4-50 LAS DELICIAS - DUITAMA</v>
          </cell>
          <cell r="K6484" t="str">
            <v>15238</v>
          </cell>
          <cell r="L6484" t="str">
            <v>DUITAMA</v>
          </cell>
          <cell r="M6484" t="str">
            <v>3132523036</v>
          </cell>
        </row>
        <row r="6485">
          <cell r="A6485">
            <v>1052387755</v>
          </cell>
          <cell r="B6485" t="str">
            <v>3</v>
          </cell>
          <cell r="C6485" t="str">
            <v/>
          </cell>
          <cell r="D6485" t="str">
            <v>NP</v>
          </cell>
          <cell r="E6485" t="str">
            <v>ELVER</v>
          </cell>
          <cell r="F6485" t="str">
            <v>INFANTE MOLANO</v>
          </cell>
          <cell r="G6485" t="str">
            <v>INFANTE MOLANO ELVER</v>
          </cell>
          <cell r="H6485" t="str">
            <v>NORE</v>
          </cell>
          <cell r="I6485" t="str">
            <v>NO RESPONSABLE DE IVA</v>
          </cell>
          <cell r="J6485" t="str">
            <v>CRA 30 N° 8-41</v>
          </cell>
          <cell r="K6485" t="str">
            <v>15238</v>
          </cell>
          <cell r="L6485" t="str">
            <v>DUITAMA</v>
          </cell>
          <cell r="M6485" t="str">
            <v>3124229759</v>
          </cell>
        </row>
        <row r="6486">
          <cell r="A6486">
            <v>1052387766</v>
          </cell>
          <cell r="B6486" t="str">
            <v/>
          </cell>
          <cell r="C6486" t="str">
            <v/>
          </cell>
          <cell r="D6486" t="str">
            <v>CC</v>
          </cell>
          <cell r="E6486" t="str">
            <v>LIZETH LORENA</v>
          </cell>
          <cell r="F6486" t="str">
            <v>MERCHAN COLMENARES</v>
          </cell>
          <cell r="G6486" t="str">
            <v>MERCHAN COLMENARES LIZETH LORENA</v>
          </cell>
          <cell r="H6486" t="str">
            <v>FUNC</v>
          </cell>
          <cell r="I6486" t="str">
            <v>FUNCIONARIO</v>
          </cell>
          <cell r="J6486" t="str">
            <v>CR 32 191305</v>
          </cell>
          <cell r="K6486" t="str">
            <v>15238</v>
          </cell>
          <cell r="L6486" t="str">
            <v>DUITAMA</v>
          </cell>
          <cell r="M6486" t="str">
            <v>3124787217</v>
          </cell>
        </row>
        <row r="6487">
          <cell r="A6487">
            <v>1052388445</v>
          </cell>
          <cell r="B6487" t="str">
            <v/>
          </cell>
          <cell r="C6487" t="str">
            <v/>
          </cell>
          <cell r="D6487" t="str">
            <v>CC</v>
          </cell>
          <cell r="E6487" t="str">
            <v>JORGE LEONARDO</v>
          </cell>
          <cell r="F6487" t="str">
            <v>JIMENEZ HERRERA</v>
          </cell>
          <cell r="G6487" t="str">
            <v>JIMENEZ HERRERA JORGE LEONARDO</v>
          </cell>
          <cell r="H6487" t="str">
            <v>FUNC</v>
          </cell>
          <cell r="I6487" t="str">
            <v>FUNCIONARIO</v>
          </cell>
          <cell r="J6487" t="str">
            <v>CALLE 3A No 9-64 DUITAMA</v>
          </cell>
          <cell r="K6487" t="str">
            <v>17001</v>
          </cell>
          <cell r="L6487" t="str">
            <v>MANIZALES</v>
          </cell>
          <cell r="M6487" t="str">
            <v>3107804774</v>
          </cell>
        </row>
        <row r="6488">
          <cell r="A6488">
            <v>1052388486</v>
          </cell>
          <cell r="B6488" t="str">
            <v>1</v>
          </cell>
          <cell r="C6488" t="str">
            <v/>
          </cell>
          <cell r="D6488" t="str">
            <v>NP</v>
          </cell>
          <cell r="E6488" t="str">
            <v>ELIANA ALEXANDRA</v>
          </cell>
          <cell r="F6488" t="str">
            <v>GUTIERREZ MORENO</v>
          </cell>
          <cell r="G6488" t="str">
            <v>GUTIERREZ MORENO ELIANA ALEXANDRA</v>
          </cell>
          <cell r="H6488" t="str">
            <v>RESI</v>
          </cell>
          <cell r="I6488" t="str">
            <v>REGIMEN SIMPLIFICADO</v>
          </cell>
          <cell r="J6488" t="str">
            <v>CL 9 21 37</v>
          </cell>
          <cell r="K6488" t="str">
            <v>15238</v>
          </cell>
          <cell r="L6488" t="str">
            <v>DUITAMA</v>
          </cell>
          <cell r="M6488" t="str">
            <v>3208178880</v>
          </cell>
        </row>
        <row r="6489">
          <cell r="A6489">
            <v>1052388921</v>
          </cell>
          <cell r="B6489" t="str">
            <v/>
          </cell>
          <cell r="C6489" t="str">
            <v/>
          </cell>
          <cell r="D6489" t="str">
            <v>CC</v>
          </cell>
          <cell r="E6489" t="str">
            <v>ROSAS ACEVEDO</v>
          </cell>
          <cell r="F6489" t="str">
            <v>JAIRO ISMAEL</v>
          </cell>
          <cell r="G6489" t="str">
            <v>JAIRO ISMAEL ROSAS ACEVEDO</v>
          </cell>
          <cell r="H6489" t="str">
            <v>FUNC</v>
          </cell>
          <cell r="I6489" t="str">
            <v>FUNCIONARIO</v>
          </cell>
          <cell r="J6489" t="str">
            <v>CL 8 25 18</v>
          </cell>
          <cell r="K6489" t="str">
            <v>15759</v>
          </cell>
          <cell r="L6489" t="str">
            <v>SOGAMOSO</v>
          </cell>
          <cell r="M6489" t="str">
            <v>3204771428</v>
          </cell>
        </row>
        <row r="6490">
          <cell r="A6490">
            <v>1052389009</v>
          </cell>
          <cell r="B6490" t="str">
            <v/>
          </cell>
          <cell r="C6490" t="str">
            <v/>
          </cell>
          <cell r="D6490" t="str">
            <v>CC</v>
          </cell>
          <cell r="E6490" t="str">
            <v>WILLIAM MIGUEL</v>
          </cell>
          <cell r="F6490" t="str">
            <v>GONZALEZ  ZARABANDA</v>
          </cell>
          <cell r="G6490" t="str">
            <v>GONZALEZ  ZARABANDA WILLIAM MIGUEL</v>
          </cell>
          <cell r="H6490" t="str">
            <v>FUNC</v>
          </cell>
          <cell r="I6490" t="str">
            <v>FUNCIONARIO</v>
          </cell>
          <cell r="J6490" t="str">
            <v>CALLE 17 No 1-14 DUITAMA</v>
          </cell>
          <cell r="K6490" t="str">
            <v>15238</v>
          </cell>
          <cell r="L6490" t="str">
            <v>DUITAMA</v>
          </cell>
          <cell r="M6490" t="str">
            <v>3203082251</v>
          </cell>
        </row>
        <row r="6491">
          <cell r="A6491">
            <v>1052389246</v>
          </cell>
          <cell r="B6491" t="str">
            <v/>
          </cell>
          <cell r="C6491" t="str">
            <v/>
          </cell>
          <cell r="D6491" t="str">
            <v>CC</v>
          </cell>
          <cell r="E6491" t="str">
            <v>GEISSON ANDRES</v>
          </cell>
          <cell r="F6491" t="str">
            <v>ALVAREZ BARREARA</v>
          </cell>
          <cell r="G6491" t="str">
            <v>ALVAREZ BARREARA GEISSON ANDRES</v>
          </cell>
          <cell r="H6491" t="str">
            <v>FUNC</v>
          </cell>
          <cell r="I6491" t="str">
            <v>FUNCIONARIO</v>
          </cell>
          <cell r="J6491" t="str">
            <v>CR 07   18   06</v>
          </cell>
          <cell r="K6491" t="str">
            <v>15516</v>
          </cell>
          <cell r="L6491" t="str">
            <v>PAIPA</v>
          </cell>
          <cell r="M6491" t="str">
            <v>3124260948</v>
          </cell>
        </row>
        <row r="6492">
          <cell r="A6492">
            <v>1052389853</v>
          </cell>
          <cell r="B6492" t="str">
            <v/>
          </cell>
          <cell r="C6492" t="str">
            <v/>
          </cell>
          <cell r="D6492" t="str">
            <v>CC</v>
          </cell>
          <cell r="E6492" t="str">
            <v>JOSE LUIS</v>
          </cell>
          <cell r="F6492" t="str">
            <v>SANCHEZ PATIÑO</v>
          </cell>
          <cell r="G6492" t="str">
            <v>SANCHEZ PATIÑO JOSE LUIS</v>
          </cell>
          <cell r="H6492" t="str">
            <v>FUNC</v>
          </cell>
          <cell r="I6492" t="str">
            <v>FUNCIONARIO</v>
          </cell>
          <cell r="J6492" t="str">
            <v>CALLE 14 N° 4-30</v>
          </cell>
          <cell r="K6492" t="str">
            <v>15238</v>
          </cell>
          <cell r="L6492" t="str">
            <v>DUITAMA</v>
          </cell>
          <cell r="M6492" t="str">
            <v>3204089009</v>
          </cell>
        </row>
        <row r="6493">
          <cell r="A6493">
            <v>1052390691</v>
          </cell>
          <cell r="B6493" t="str">
            <v/>
          </cell>
          <cell r="C6493" t="str">
            <v/>
          </cell>
          <cell r="D6493" t="str">
            <v>CC</v>
          </cell>
          <cell r="E6493" t="str">
            <v>DIANA FERNANDA</v>
          </cell>
          <cell r="F6493" t="str">
            <v>ABRIL REYES</v>
          </cell>
          <cell r="G6493" t="str">
            <v>ABRIL REYES DIANA FERNANDA</v>
          </cell>
          <cell r="H6493" t="str">
            <v>FUNC</v>
          </cell>
          <cell r="I6493" t="str">
            <v>FUNCIONARIO</v>
          </cell>
          <cell r="J6493" t="str">
            <v>CR 18   20 CEN</v>
          </cell>
          <cell r="K6493" t="str">
            <v>17001</v>
          </cell>
          <cell r="L6493" t="str">
            <v>MANIZALES</v>
          </cell>
          <cell r="M6493" t="str">
            <v>3142153209</v>
          </cell>
        </row>
        <row r="6494">
          <cell r="A6494">
            <v>1052391425</v>
          </cell>
          <cell r="B6494" t="str">
            <v/>
          </cell>
          <cell r="C6494" t="str">
            <v/>
          </cell>
          <cell r="D6494" t="str">
            <v>CC</v>
          </cell>
          <cell r="E6494" t="str">
            <v>WILLIAM CAMILO</v>
          </cell>
          <cell r="F6494" t="str">
            <v>SALAMANCA BECERRA</v>
          </cell>
          <cell r="G6494" t="str">
            <v>SALAMANCA BECERRA WILLIAM CAMILO</v>
          </cell>
          <cell r="H6494" t="str">
            <v>FUNC</v>
          </cell>
          <cell r="I6494" t="str">
            <v>FUNCIONARIO</v>
          </cell>
          <cell r="J6494" t="str">
            <v>CARRERA 17A N° 15-23</v>
          </cell>
          <cell r="K6494" t="str">
            <v>15516</v>
          </cell>
          <cell r="L6494" t="str">
            <v>PAIPA</v>
          </cell>
          <cell r="M6494" t="str">
            <v>3204320072</v>
          </cell>
        </row>
        <row r="6495">
          <cell r="A6495">
            <v>1052391872</v>
          </cell>
          <cell r="B6495" t="str">
            <v/>
          </cell>
          <cell r="C6495" t="str">
            <v/>
          </cell>
          <cell r="D6495" t="str">
            <v>CC</v>
          </cell>
          <cell r="E6495" t="str">
            <v>WILLIAM ARIEL</v>
          </cell>
          <cell r="F6495" t="str">
            <v>CASTRO CAMARGO</v>
          </cell>
          <cell r="G6495" t="str">
            <v>CASTRO CAMARGO WILLIAM ARIEL</v>
          </cell>
          <cell r="H6495" t="str">
            <v>FUNC</v>
          </cell>
          <cell r="I6495" t="str">
            <v>FUNCIONARIO</v>
          </cell>
          <cell r="J6495" t="str">
            <v>CARRERA 17 No 22-59 DUITAMA</v>
          </cell>
          <cell r="K6495" t="str">
            <v>15238</v>
          </cell>
          <cell r="L6495" t="str">
            <v>DUITAMA</v>
          </cell>
          <cell r="M6495" t="str">
            <v>3212467247</v>
          </cell>
        </row>
        <row r="6496">
          <cell r="A6496">
            <v>1052392022</v>
          </cell>
          <cell r="B6496" t="str">
            <v/>
          </cell>
          <cell r="C6496" t="str">
            <v/>
          </cell>
          <cell r="D6496" t="str">
            <v>CC</v>
          </cell>
          <cell r="E6496" t="str">
            <v>CLAUDIA CENETH</v>
          </cell>
          <cell r="F6496" t="str">
            <v>PEREZ RINCON</v>
          </cell>
          <cell r="G6496" t="str">
            <v>PEREZ RINCON CLAUDIA CENETH</v>
          </cell>
          <cell r="H6496" t="str">
            <v>FUNC</v>
          </cell>
          <cell r="I6496" t="str">
            <v>FUNCIONARIO</v>
          </cell>
          <cell r="J6496" t="str">
            <v>BRR VILLAS DEL MUNDIAL  BL 7 AP 402</v>
          </cell>
          <cell r="K6496" t="str">
            <v>17001</v>
          </cell>
          <cell r="L6496" t="str">
            <v>MANIZALES</v>
          </cell>
          <cell r="M6496" t="str">
            <v>3114496596</v>
          </cell>
        </row>
        <row r="6497">
          <cell r="A6497">
            <v>1052392417</v>
          </cell>
          <cell r="B6497" t="str">
            <v/>
          </cell>
          <cell r="C6497" t="str">
            <v/>
          </cell>
          <cell r="D6497" t="str">
            <v>CC</v>
          </cell>
          <cell r="E6497" t="str">
            <v>WILMAR YAMIT</v>
          </cell>
          <cell r="F6497" t="str">
            <v>NITOLA SUAREZ</v>
          </cell>
          <cell r="G6497" t="str">
            <v>NITOLA SUAREZ WILMAR YAMIT</v>
          </cell>
          <cell r="H6497" t="str">
            <v>FUNC</v>
          </cell>
          <cell r="I6497" t="str">
            <v>FUNCIONARIO</v>
          </cell>
          <cell r="J6497" t="str">
            <v>CL 146 5 C 119</v>
          </cell>
          <cell r="K6497" t="str">
            <v>15238</v>
          </cell>
          <cell r="L6497" t="str">
            <v>DUITAMA</v>
          </cell>
          <cell r="M6497" t="str">
            <v>3124313191</v>
          </cell>
        </row>
        <row r="6498">
          <cell r="A6498">
            <v>1052393261</v>
          </cell>
          <cell r="B6498" t="str">
            <v/>
          </cell>
          <cell r="C6498" t="str">
            <v/>
          </cell>
          <cell r="D6498" t="str">
            <v>CC</v>
          </cell>
          <cell r="E6498" t="str">
            <v>OMAR YESID</v>
          </cell>
          <cell r="F6498" t="str">
            <v>ORDUZ ROSAS</v>
          </cell>
          <cell r="G6498" t="str">
            <v>ORDUZ ROSAS OMAR YESID</v>
          </cell>
          <cell r="H6498" t="str">
            <v>FUNC</v>
          </cell>
          <cell r="I6498" t="str">
            <v>FUNCIONARIO</v>
          </cell>
          <cell r="J6498" t="str">
            <v>CL 21 A 37 93</v>
          </cell>
          <cell r="K6498" t="str">
            <v>15238</v>
          </cell>
          <cell r="L6498" t="str">
            <v>DUITAMA</v>
          </cell>
          <cell r="M6498" t="str">
            <v>3135521907</v>
          </cell>
        </row>
        <row r="6499">
          <cell r="A6499">
            <v>1052393534</v>
          </cell>
          <cell r="B6499" t="str">
            <v/>
          </cell>
          <cell r="C6499" t="str">
            <v/>
          </cell>
          <cell r="D6499" t="str">
            <v>CC</v>
          </cell>
          <cell r="E6499" t="str">
            <v>ANDRES CAMILO</v>
          </cell>
          <cell r="F6499" t="str">
            <v>GOMEZ TARAZONA</v>
          </cell>
          <cell r="G6499" t="str">
            <v>GOMEZ TARAZONA ANDRES CAMILO</v>
          </cell>
          <cell r="H6499" t="str">
            <v>FUNC</v>
          </cell>
          <cell r="I6499" t="str">
            <v>FUNCIONARIO</v>
          </cell>
          <cell r="J6499" t="str">
            <v>CARRERA 12 No 22-40</v>
          </cell>
          <cell r="K6499" t="str">
            <v>15238</v>
          </cell>
          <cell r="L6499" t="str">
            <v>DUITAMA</v>
          </cell>
          <cell r="M6499" t="str">
            <v>3202936760</v>
          </cell>
        </row>
        <row r="6500">
          <cell r="A6500">
            <v>1052395090</v>
          </cell>
          <cell r="B6500" t="str">
            <v/>
          </cell>
          <cell r="C6500" t="str">
            <v/>
          </cell>
          <cell r="D6500" t="str">
            <v>CC</v>
          </cell>
          <cell r="E6500" t="str">
            <v>ANA MARIA</v>
          </cell>
          <cell r="F6500" t="str">
            <v xml:space="preserve"> MORALES BAUTISTA</v>
          </cell>
          <cell r="G6500" t="str">
            <v xml:space="preserve"> MORALES BAUTISTA ANA MARIA</v>
          </cell>
          <cell r="H6500" t="str">
            <v>FUNC</v>
          </cell>
          <cell r="I6500" t="str">
            <v>FUNCIONARIO</v>
          </cell>
          <cell r="J6500" t="str">
            <v>CR 9   17 A   23</v>
          </cell>
          <cell r="K6500" t="str">
            <v>17001</v>
          </cell>
          <cell r="L6500" t="str">
            <v>MANIZALES</v>
          </cell>
          <cell r="M6500" t="str">
            <v>3132898544</v>
          </cell>
        </row>
        <row r="6501">
          <cell r="A6501">
            <v>1052395523</v>
          </cell>
          <cell r="B6501" t="str">
            <v/>
          </cell>
          <cell r="C6501" t="str">
            <v/>
          </cell>
          <cell r="D6501" t="str">
            <v>CC</v>
          </cell>
          <cell r="E6501" t="str">
            <v>ANDRES EDUARDO</v>
          </cell>
          <cell r="F6501" t="str">
            <v>GALVIS CAMARGO</v>
          </cell>
          <cell r="G6501" t="str">
            <v>GALVIS CAMARGO ANDRES EDUARDO</v>
          </cell>
          <cell r="H6501" t="str">
            <v>FUNC</v>
          </cell>
          <cell r="I6501" t="str">
            <v>FUNCIONARIO</v>
          </cell>
          <cell r="J6501" t="str">
            <v>URBANIZACION MARGARITA SUAREZ</v>
          </cell>
          <cell r="K6501" t="str">
            <v>15516</v>
          </cell>
          <cell r="L6501" t="str">
            <v>PAIPA</v>
          </cell>
          <cell r="M6501" t="str">
            <v>3204738329</v>
          </cell>
        </row>
        <row r="6502">
          <cell r="A6502">
            <v>1052395925</v>
          </cell>
          <cell r="B6502" t="str">
            <v/>
          </cell>
          <cell r="C6502" t="str">
            <v/>
          </cell>
          <cell r="D6502" t="str">
            <v>CC</v>
          </cell>
          <cell r="E6502" t="str">
            <v>JHON HENRY</v>
          </cell>
          <cell r="F6502" t="str">
            <v>GOMEZ BENITEZ</v>
          </cell>
          <cell r="G6502" t="str">
            <v>GOMEZ BENITEZ JHON HENRY</v>
          </cell>
          <cell r="H6502" t="str">
            <v>FUNC</v>
          </cell>
          <cell r="I6502" t="str">
            <v>FUNCIONARIO</v>
          </cell>
          <cell r="J6502" t="str">
            <v>CALLE 19 No 43-75 DUITAMA</v>
          </cell>
          <cell r="K6502" t="str">
            <v>15238</v>
          </cell>
          <cell r="L6502" t="str">
            <v>DUITAMA</v>
          </cell>
          <cell r="M6502" t="str">
            <v>3123422207</v>
          </cell>
        </row>
        <row r="6503">
          <cell r="A6503">
            <v>1052396011</v>
          </cell>
          <cell r="B6503" t="str">
            <v/>
          </cell>
          <cell r="C6503" t="str">
            <v/>
          </cell>
          <cell r="D6503" t="str">
            <v>CC</v>
          </cell>
          <cell r="E6503" t="str">
            <v>DARIO HERNANDO</v>
          </cell>
          <cell r="F6503" t="str">
            <v>BENITEZ ESPEJO</v>
          </cell>
          <cell r="G6503" t="str">
            <v>BENITEZ ESPEJO DARIO HERNANDO</v>
          </cell>
          <cell r="H6503" t="str">
            <v>FUNC</v>
          </cell>
          <cell r="I6503" t="str">
            <v>FUNCIONARIO</v>
          </cell>
          <cell r="J6503" t="str">
            <v>VRD PUENTE LA BALZA</v>
          </cell>
          <cell r="K6503" t="str">
            <v>17001</v>
          </cell>
          <cell r="L6503" t="str">
            <v>MANIZALES</v>
          </cell>
          <cell r="M6503" t="str">
            <v>3108672854</v>
          </cell>
        </row>
        <row r="6504">
          <cell r="A6504">
            <v>1052396158</v>
          </cell>
          <cell r="B6504" t="str">
            <v>4</v>
          </cell>
          <cell r="C6504" t="str">
            <v/>
          </cell>
          <cell r="D6504" t="str">
            <v>NP</v>
          </cell>
          <cell r="E6504" t="str">
            <v>YESSICA PAOLA</v>
          </cell>
          <cell r="F6504" t="str">
            <v>BECERRA DIAZ</v>
          </cell>
          <cell r="G6504" t="str">
            <v>BECERRA DIAZ YESSICA PAOLA</v>
          </cell>
          <cell r="H6504" t="str">
            <v>RESI</v>
          </cell>
          <cell r="I6504" t="str">
            <v>REGIMEN SIMPLIFICADO</v>
          </cell>
          <cell r="J6504" t="str">
            <v>CR 5 C 14 B 115 BRR COLOMBIA</v>
          </cell>
          <cell r="K6504" t="str">
            <v>15238</v>
          </cell>
          <cell r="L6504" t="str">
            <v>DUITAMA</v>
          </cell>
          <cell r="M6504" t="str">
            <v>3002976927</v>
          </cell>
        </row>
        <row r="6505">
          <cell r="A6505">
            <v>1052397530</v>
          </cell>
          <cell r="B6505" t="str">
            <v>6</v>
          </cell>
          <cell r="C6505" t="str">
            <v/>
          </cell>
          <cell r="D6505" t="str">
            <v>NP</v>
          </cell>
          <cell r="E6505" t="str">
            <v>FRANCY MAYORLY</v>
          </cell>
          <cell r="F6505" t="str">
            <v>SISA CRISTANCHO</v>
          </cell>
          <cell r="G6505" t="str">
            <v>SISA CRISTANCHO FRANCY MAYORLY</v>
          </cell>
          <cell r="H6505" t="str">
            <v>RESI</v>
          </cell>
          <cell r="I6505" t="str">
            <v>REGIMEN SIMPLIFICADO</v>
          </cell>
          <cell r="J6505" t="str">
            <v>CL 18 19 24</v>
          </cell>
          <cell r="K6505" t="str">
            <v>15238</v>
          </cell>
          <cell r="L6505" t="str">
            <v>DUITAMA</v>
          </cell>
          <cell r="M6505" t="str">
            <v>3124207863</v>
          </cell>
        </row>
        <row r="6506">
          <cell r="A6506">
            <v>1052398930</v>
          </cell>
          <cell r="B6506" t="str">
            <v/>
          </cell>
          <cell r="C6506" t="str">
            <v/>
          </cell>
          <cell r="D6506" t="str">
            <v>CC</v>
          </cell>
          <cell r="E6506" t="str">
            <v>EDWIN RICARDO</v>
          </cell>
          <cell r="F6506" t="str">
            <v>BECERRA GODOY</v>
          </cell>
          <cell r="G6506" t="str">
            <v>BECERRA GODOY EDWIN RICARDO</v>
          </cell>
          <cell r="H6506" t="str">
            <v>FUNC</v>
          </cell>
          <cell r="I6506" t="str">
            <v>FUNCIONARIO</v>
          </cell>
          <cell r="J6506" t="str">
            <v>CALLE 27 N° 17-40 P4</v>
          </cell>
          <cell r="K6506" t="str">
            <v>15238</v>
          </cell>
          <cell r="L6506" t="str">
            <v>DUITAMA</v>
          </cell>
          <cell r="M6506" t="str">
            <v>3115851261</v>
          </cell>
        </row>
        <row r="6507">
          <cell r="A6507">
            <v>1052399938</v>
          </cell>
          <cell r="B6507" t="str">
            <v/>
          </cell>
          <cell r="C6507" t="str">
            <v/>
          </cell>
          <cell r="D6507" t="str">
            <v>CC</v>
          </cell>
          <cell r="E6507" t="str">
            <v>EDWIN JOSE</v>
          </cell>
          <cell r="F6507" t="str">
            <v>CELY ORTIZ</v>
          </cell>
          <cell r="G6507" t="str">
            <v>CELY ORTIZ EDWIN JOSE</v>
          </cell>
          <cell r="H6507" t="str">
            <v>FUNC</v>
          </cell>
          <cell r="I6507" t="str">
            <v>FUNCIONARIO</v>
          </cell>
          <cell r="J6507" t="str">
            <v>CR 43 20 03</v>
          </cell>
          <cell r="K6507" t="str">
            <v>15238</v>
          </cell>
          <cell r="L6507" t="str">
            <v>DUITAMA</v>
          </cell>
          <cell r="M6507" t="str">
            <v>3142449248</v>
          </cell>
        </row>
        <row r="6508">
          <cell r="A6508">
            <v>1052400305</v>
          </cell>
          <cell r="B6508" t="str">
            <v/>
          </cell>
          <cell r="C6508" t="str">
            <v/>
          </cell>
          <cell r="D6508" t="str">
            <v>CC</v>
          </cell>
          <cell r="E6508" t="str">
            <v>ZULMA CRISTINA</v>
          </cell>
          <cell r="F6508" t="str">
            <v>MESA MEDINA</v>
          </cell>
          <cell r="G6508" t="str">
            <v>MESA MEDINA ZULMA CRISTINA</v>
          </cell>
          <cell r="H6508" t="str">
            <v>FUNC</v>
          </cell>
          <cell r="I6508" t="str">
            <v>FUNCIONARIO</v>
          </cell>
          <cell r="J6508" t="str">
            <v>VRD LA TRINIDAD</v>
          </cell>
          <cell r="K6508" t="str">
            <v>15516</v>
          </cell>
          <cell r="L6508" t="str">
            <v>PAIPA</v>
          </cell>
          <cell r="M6508" t="str">
            <v>3209342910</v>
          </cell>
        </row>
        <row r="6509">
          <cell r="A6509">
            <v>1052400870</v>
          </cell>
          <cell r="B6509" t="str">
            <v/>
          </cell>
          <cell r="C6509" t="str">
            <v/>
          </cell>
          <cell r="D6509" t="str">
            <v>CC</v>
          </cell>
          <cell r="E6509" t="str">
            <v>SANDRA YANNETH</v>
          </cell>
          <cell r="F6509" t="str">
            <v>BECERRA HERNANDEZ</v>
          </cell>
          <cell r="G6509" t="str">
            <v>BECERRA HERNANDEZ SANDRA YANNETH</v>
          </cell>
          <cell r="H6509" t="str">
            <v>EXFU</v>
          </cell>
          <cell r="I6509" t="str">
            <v>EX-FUNCIONARIOS</v>
          </cell>
          <cell r="J6509" t="str">
            <v>MUNICIPIO DE DUITAMA</v>
          </cell>
          <cell r="K6509" t="str">
            <v>15238</v>
          </cell>
          <cell r="L6509" t="str">
            <v>DUITAMA</v>
          </cell>
          <cell r="M6509" t="str">
            <v>3219829757</v>
          </cell>
        </row>
        <row r="6510">
          <cell r="A6510">
            <v>1052401347</v>
          </cell>
          <cell r="B6510" t="str">
            <v/>
          </cell>
          <cell r="C6510" t="str">
            <v/>
          </cell>
          <cell r="D6510" t="str">
            <v>CC</v>
          </cell>
          <cell r="E6510" t="str">
            <v>ROOGER JESITH</v>
          </cell>
          <cell r="F6510" t="str">
            <v>FUQUEN SANDOVAL</v>
          </cell>
          <cell r="G6510" t="str">
            <v>FUQUEN SANDOVAL ROOGER JESITH</v>
          </cell>
          <cell r="H6510" t="str">
            <v>FUNC</v>
          </cell>
          <cell r="I6510" t="str">
            <v>FUNCIONARIO</v>
          </cell>
          <cell r="J6510" t="str">
            <v>CR 11 A 22 161</v>
          </cell>
          <cell r="K6510" t="str">
            <v>15516</v>
          </cell>
          <cell r="L6510" t="str">
            <v>PAIPA</v>
          </cell>
          <cell r="M6510" t="str">
            <v>3142196294</v>
          </cell>
        </row>
        <row r="6511">
          <cell r="A6511">
            <v>1052402083</v>
          </cell>
          <cell r="B6511" t="str">
            <v/>
          </cell>
          <cell r="C6511" t="str">
            <v/>
          </cell>
          <cell r="D6511" t="str">
            <v>CC</v>
          </cell>
          <cell r="E6511" t="str">
            <v>WILMER ANDRES</v>
          </cell>
          <cell r="F6511" t="str">
            <v>SISA CASTRO</v>
          </cell>
          <cell r="G6511" t="str">
            <v>SISA CASTRO WILMER ANDRES</v>
          </cell>
          <cell r="H6511" t="str">
            <v>FUNC</v>
          </cell>
          <cell r="I6511" t="str">
            <v>FUNCIONARIO</v>
          </cell>
          <cell r="J6511" t="str">
            <v>CL 19  15 70 BRR SOLANO DUITAMA BOYACA</v>
          </cell>
          <cell r="K6511" t="str">
            <v>15516</v>
          </cell>
          <cell r="L6511" t="str">
            <v>PAIPA</v>
          </cell>
          <cell r="M6511" t="str">
            <v>3103354331</v>
          </cell>
        </row>
        <row r="6512">
          <cell r="A6512">
            <v>1052403063</v>
          </cell>
          <cell r="B6512" t="str">
            <v/>
          </cell>
          <cell r="C6512" t="str">
            <v/>
          </cell>
          <cell r="D6512" t="str">
            <v>CC</v>
          </cell>
          <cell r="E6512" t="str">
            <v>MAYERLY ROCIO</v>
          </cell>
          <cell r="F6512" t="str">
            <v>DALLOS RINCON</v>
          </cell>
          <cell r="G6512" t="str">
            <v>DALLOS RINCON MAYERLY ROCIO</v>
          </cell>
          <cell r="H6512" t="str">
            <v>FUNC</v>
          </cell>
          <cell r="I6512" t="str">
            <v>FUNCIONARIO</v>
          </cell>
          <cell r="J6512" t="str">
            <v>CL 13   34   35 BRR LA ESPERANZA</v>
          </cell>
          <cell r="K6512" t="str">
            <v>17001</v>
          </cell>
          <cell r="L6512" t="str">
            <v>MANIZALES</v>
          </cell>
          <cell r="M6512" t="str">
            <v>3207899781</v>
          </cell>
        </row>
        <row r="6513">
          <cell r="A6513">
            <v>1052403261</v>
          </cell>
          <cell r="B6513" t="str">
            <v/>
          </cell>
          <cell r="C6513" t="str">
            <v/>
          </cell>
          <cell r="D6513" t="str">
            <v>CC</v>
          </cell>
          <cell r="E6513" t="str">
            <v>ANDRES LEONARDO</v>
          </cell>
          <cell r="F6513" t="str">
            <v>TAVERA SARMIENTO</v>
          </cell>
          <cell r="G6513" t="str">
            <v>TAVERA SARMIENTO ANDRES LEONARDO</v>
          </cell>
          <cell r="H6513" t="str">
            <v>FUNC</v>
          </cell>
          <cell r="I6513" t="str">
            <v>FUNCIONARIO</v>
          </cell>
          <cell r="J6513" t="str">
            <v>CL 23 C   4   76 BRR</v>
          </cell>
          <cell r="K6513" t="str">
            <v>15516</v>
          </cell>
          <cell r="L6513" t="str">
            <v>PAIPA</v>
          </cell>
          <cell r="M6513" t="str">
            <v>3138964660</v>
          </cell>
        </row>
        <row r="6514">
          <cell r="A6514">
            <v>1052403647</v>
          </cell>
          <cell r="B6514" t="str">
            <v/>
          </cell>
          <cell r="C6514" t="str">
            <v/>
          </cell>
          <cell r="D6514" t="str">
            <v>CC</v>
          </cell>
          <cell r="E6514" t="str">
            <v>HELMER MAURICIO</v>
          </cell>
          <cell r="F6514" t="str">
            <v>HURTADO ARAQUE</v>
          </cell>
          <cell r="G6514" t="str">
            <v>HURTADO ARAQUE HELMER MAURICIO</v>
          </cell>
          <cell r="H6514" t="str">
            <v>FUNC</v>
          </cell>
          <cell r="I6514" t="str">
            <v>FUNCIONARIO</v>
          </cell>
          <cell r="J6514" t="str">
            <v>BRR PANTANO DE VARGAS</v>
          </cell>
          <cell r="K6514" t="str">
            <v>17001</v>
          </cell>
          <cell r="L6514" t="str">
            <v>MANIZALES</v>
          </cell>
          <cell r="M6514" t="str">
            <v>3142505286</v>
          </cell>
        </row>
        <row r="6515">
          <cell r="A6515">
            <v>1052404492</v>
          </cell>
          <cell r="B6515" t="str">
            <v/>
          </cell>
          <cell r="C6515" t="str">
            <v/>
          </cell>
          <cell r="D6515" t="str">
            <v>CC</v>
          </cell>
          <cell r="E6515" t="str">
            <v>GINA LORENA</v>
          </cell>
          <cell r="F6515" t="str">
            <v>CARREÑO PUENTES</v>
          </cell>
          <cell r="G6515" t="str">
            <v>CARREÑO PUENTES GINA LORENA</v>
          </cell>
          <cell r="H6515" t="str">
            <v>FUNC</v>
          </cell>
          <cell r="I6515" t="str">
            <v>FUNCIONARIO</v>
          </cell>
          <cell r="J6515" t="str">
            <v>CALLE 15A N° 3-36</v>
          </cell>
          <cell r="K6515" t="str">
            <v>15238</v>
          </cell>
          <cell r="L6515" t="str">
            <v>DUITAMA</v>
          </cell>
          <cell r="M6515" t="str">
            <v>3124282536</v>
          </cell>
        </row>
        <row r="6516">
          <cell r="A6516">
            <v>1052405433</v>
          </cell>
          <cell r="B6516" t="str">
            <v/>
          </cell>
          <cell r="C6516" t="str">
            <v/>
          </cell>
          <cell r="D6516" t="str">
            <v>CC</v>
          </cell>
          <cell r="E6516" t="str">
            <v>JOHN SEBASTIAN</v>
          </cell>
          <cell r="F6516" t="str">
            <v>CRISTANCHO CASTAÑO</v>
          </cell>
          <cell r="G6516" t="str">
            <v>CRISTANCHO CASTAÑO JOHN SEBASTIAN</v>
          </cell>
          <cell r="H6516" t="str">
            <v>EXFU</v>
          </cell>
          <cell r="I6516" t="str">
            <v>EX-FUNCIONARIOS</v>
          </cell>
          <cell r="J6516" t="str">
            <v>CARRERA 5 N° 6-53</v>
          </cell>
          <cell r="K6516" t="str">
            <v>15238</v>
          </cell>
          <cell r="L6516" t="str">
            <v>DUITAMA</v>
          </cell>
          <cell r="M6516" t="str">
            <v>3212142435</v>
          </cell>
        </row>
        <row r="6517">
          <cell r="A6517">
            <v>1052406070</v>
          </cell>
          <cell r="B6517" t="str">
            <v/>
          </cell>
          <cell r="C6517" t="str">
            <v/>
          </cell>
          <cell r="D6517" t="str">
            <v>CC</v>
          </cell>
          <cell r="E6517" t="str">
            <v>PAOLA ALEJANDRA</v>
          </cell>
          <cell r="F6517" t="str">
            <v>SALCEDO PARRA</v>
          </cell>
          <cell r="G6517" t="str">
            <v>SALCEDO PARRA PAOLA ALEJANDRA</v>
          </cell>
          <cell r="H6517" t="str">
            <v>FUNC</v>
          </cell>
          <cell r="I6517" t="str">
            <v>FUNCIONARIO</v>
          </cell>
          <cell r="J6517" t="str">
            <v>CR 11 A   15   42</v>
          </cell>
          <cell r="K6517" t="str">
            <v>17001</v>
          </cell>
          <cell r="L6517" t="str">
            <v>MANIZALES</v>
          </cell>
          <cell r="M6517" t="str">
            <v>3143087190</v>
          </cell>
        </row>
        <row r="6518">
          <cell r="A6518">
            <v>1052406354</v>
          </cell>
          <cell r="B6518" t="str">
            <v/>
          </cell>
          <cell r="C6518" t="str">
            <v/>
          </cell>
          <cell r="D6518" t="str">
            <v>CC</v>
          </cell>
          <cell r="E6518" t="str">
            <v>JULIAN RICARDO</v>
          </cell>
          <cell r="F6518" t="str">
            <v>SILVA CORODOBA</v>
          </cell>
          <cell r="G6518" t="str">
            <v>SILVA CORODOBA JULIAN RICARDO</v>
          </cell>
          <cell r="H6518" t="str">
            <v>FUNC</v>
          </cell>
          <cell r="I6518" t="str">
            <v>FUNCIONARIO</v>
          </cell>
          <cell r="J6518" t="str">
            <v>CL 9   8   20</v>
          </cell>
          <cell r="K6518" t="str">
            <v>15516</v>
          </cell>
          <cell r="L6518" t="str">
            <v>PAIPA</v>
          </cell>
          <cell r="M6518" t="str">
            <v>3115010996</v>
          </cell>
        </row>
        <row r="6519">
          <cell r="A6519">
            <v>1052407185</v>
          </cell>
          <cell r="B6519" t="str">
            <v/>
          </cell>
          <cell r="C6519" t="str">
            <v/>
          </cell>
          <cell r="D6519" t="str">
            <v>CC</v>
          </cell>
          <cell r="E6519" t="str">
            <v>DANIEL FELIPE</v>
          </cell>
          <cell r="F6519" t="str">
            <v>PALACIO VARGAS</v>
          </cell>
          <cell r="G6519" t="str">
            <v>PALACIO VARGAS DANIEL FELIPE</v>
          </cell>
          <cell r="H6519" t="str">
            <v>FUNC</v>
          </cell>
          <cell r="I6519" t="str">
            <v>FUNCIONARIO</v>
          </cell>
          <cell r="J6519" t="str">
            <v>CR 39 15 A 20</v>
          </cell>
          <cell r="K6519" t="str">
            <v>15238</v>
          </cell>
          <cell r="L6519" t="str">
            <v>DUITAMA</v>
          </cell>
          <cell r="M6519" t="str">
            <v>3132248952</v>
          </cell>
        </row>
        <row r="6520">
          <cell r="A6520">
            <v>1052408404</v>
          </cell>
          <cell r="B6520" t="str">
            <v/>
          </cell>
          <cell r="C6520" t="str">
            <v/>
          </cell>
          <cell r="D6520" t="str">
            <v>CC</v>
          </cell>
          <cell r="E6520" t="str">
            <v>DAVID EDUARDO</v>
          </cell>
          <cell r="F6520" t="str">
            <v>FUENTES SIMBAQUEVA</v>
          </cell>
          <cell r="G6520" t="str">
            <v>FUENTES SIMBAQUEVA DAVID EDUARDO</v>
          </cell>
          <cell r="H6520" t="str">
            <v>FUNC</v>
          </cell>
          <cell r="I6520" t="str">
            <v>FUNCIONARIO</v>
          </cell>
          <cell r="J6520" t="str">
            <v>BRRIO CERRITO ENCANTA MZ CASA 73</v>
          </cell>
          <cell r="K6520" t="str">
            <v>15238</v>
          </cell>
          <cell r="L6520" t="str">
            <v>DUITAMA</v>
          </cell>
          <cell r="M6520" t="str">
            <v>3207011905</v>
          </cell>
        </row>
        <row r="6521">
          <cell r="A6521">
            <v>1052409576</v>
          </cell>
          <cell r="B6521" t="str">
            <v>8</v>
          </cell>
          <cell r="C6521" t="str">
            <v/>
          </cell>
          <cell r="D6521" t="str">
            <v>NP</v>
          </cell>
          <cell r="E6521" t="str">
            <v>VIVIANA PATRICIA</v>
          </cell>
          <cell r="F6521" t="str">
            <v>COLMENARES GOYENECHE</v>
          </cell>
          <cell r="G6521" t="str">
            <v>COLMENARES GOYENECHE VIVIANA PATRICIA</v>
          </cell>
          <cell r="H6521" t="str">
            <v>NORE</v>
          </cell>
          <cell r="I6521" t="str">
            <v>NO RESPONSABLE DE IVA</v>
          </cell>
          <cell r="J6521" t="str">
            <v>CR 16 A 5 04</v>
          </cell>
          <cell r="K6521" t="str">
            <v>15238</v>
          </cell>
          <cell r="L6521" t="str">
            <v>DUITAMA</v>
          </cell>
          <cell r="M6521" t="str">
            <v>3108564936</v>
          </cell>
        </row>
        <row r="6522">
          <cell r="A6522">
            <v>1052411444</v>
          </cell>
          <cell r="B6522" t="str">
            <v/>
          </cell>
          <cell r="C6522" t="str">
            <v/>
          </cell>
          <cell r="D6522" t="str">
            <v>CC</v>
          </cell>
          <cell r="E6522" t="str">
            <v>DAGOBERTO</v>
          </cell>
          <cell r="F6522" t="str">
            <v>VILLAMIL BARRERA</v>
          </cell>
          <cell r="G6522" t="str">
            <v>VILLAMIL BARRERA DAGOBERTO</v>
          </cell>
          <cell r="H6522" t="str">
            <v>FUNC</v>
          </cell>
          <cell r="I6522" t="str">
            <v>FUNCIONARIO</v>
          </cell>
          <cell r="J6522" t="str">
            <v>CR 17   10   73</v>
          </cell>
          <cell r="K6522" t="str">
            <v>15238</v>
          </cell>
          <cell r="L6522" t="str">
            <v>DUITAMA</v>
          </cell>
          <cell r="M6522" t="str">
            <v>3232051786</v>
          </cell>
        </row>
        <row r="6523">
          <cell r="A6523">
            <v>1052411462</v>
          </cell>
          <cell r="B6523" t="str">
            <v/>
          </cell>
          <cell r="C6523" t="str">
            <v/>
          </cell>
          <cell r="D6523" t="str">
            <v>CC</v>
          </cell>
          <cell r="E6523" t="str">
            <v>LADY JULIETH</v>
          </cell>
          <cell r="F6523" t="str">
            <v>BARRAGAN PAIPILLA</v>
          </cell>
          <cell r="G6523" t="str">
            <v>BARRAGAN PAIPILLA LADY JULIETH</v>
          </cell>
          <cell r="H6523" t="str">
            <v>EXFU</v>
          </cell>
          <cell r="I6523" t="str">
            <v>EX-FUNCIONARIOS</v>
          </cell>
          <cell r="J6523" t="str">
            <v>CALLE 14 N° 08-08</v>
          </cell>
          <cell r="K6523" t="str">
            <v>15759</v>
          </cell>
          <cell r="L6523" t="str">
            <v>SOGAMOSO</v>
          </cell>
          <cell r="M6523" t="str">
            <v>3125008018</v>
          </cell>
        </row>
        <row r="6524">
          <cell r="A6524">
            <v>1052415332</v>
          </cell>
          <cell r="B6524" t="str">
            <v/>
          </cell>
          <cell r="C6524" t="str">
            <v/>
          </cell>
          <cell r="D6524" t="str">
            <v>CC</v>
          </cell>
          <cell r="E6524" t="str">
            <v>ANDREA NATALY</v>
          </cell>
          <cell r="F6524" t="str">
            <v>CASTAÑEDA BARRERA</v>
          </cell>
          <cell r="G6524" t="str">
            <v>CASTAÑEDA BARRERA ANDREA NATALY</v>
          </cell>
          <cell r="H6524" t="str">
            <v>FUNC</v>
          </cell>
          <cell r="I6524" t="str">
            <v>FUNCIONARIO</v>
          </cell>
          <cell r="J6524" t="str">
            <v>CR 17 N 3-97</v>
          </cell>
          <cell r="K6524" t="str">
            <v>15516</v>
          </cell>
          <cell r="L6524" t="str">
            <v>PAIPA</v>
          </cell>
          <cell r="M6524" t="str">
            <v>3228964307</v>
          </cell>
        </row>
        <row r="6525">
          <cell r="A6525">
            <v>1052837042</v>
          </cell>
          <cell r="B6525" t="str">
            <v/>
          </cell>
          <cell r="C6525" t="str">
            <v/>
          </cell>
          <cell r="D6525" t="str">
            <v>CC</v>
          </cell>
          <cell r="E6525" t="str">
            <v>SANTIAGO ANDRÉS</v>
          </cell>
          <cell r="F6525" t="str">
            <v>PITA VARGAS</v>
          </cell>
          <cell r="G6525" t="str">
            <v>PITA VARGAS SANTIAGO ANDRÉS</v>
          </cell>
          <cell r="H6525" t="str">
            <v>FUNC</v>
          </cell>
          <cell r="I6525" t="str">
            <v>FUNCIONARIO</v>
          </cell>
          <cell r="J6525" t="str">
            <v>MANZANA E CASA # 4 VILLA MARINA</v>
          </cell>
          <cell r="K6525" t="str">
            <v>15238</v>
          </cell>
          <cell r="L6525" t="str">
            <v>DUITAMA</v>
          </cell>
          <cell r="M6525" t="str">
            <v>3145425035</v>
          </cell>
        </row>
        <row r="6526">
          <cell r="A6526">
            <v>1052949874</v>
          </cell>
          <cell r="B6526" t="str">
            <v>4</v>
          </cell>
          <cell r="C6526" t="str">
            <v/>
          </cell>
          <cell r="D6526" t="str">
            <v>NP</v>
          </cell>
          <cell r="E6526" t="str">
            <v>LORENA PATRICIA</v>
          </cell>
          <cell r="F6526" t="str">
            <v>NAVARRO COMAS</v>
          </cell>
          <cell r="G6526" t="str">
            <v>NAVARRO COMAS LORENA PATRICIA</v>
          </cell>
          <cell r="H6526" t="str">
            <v>NORE</v>
          </cell>
          <cell r="I6526" t="str">
            <v>NO RESPONSABLE DE IVA</v>
          </cell>
          <cell r="J6526" t="str">
            <v>CR 19 28 64 BRR BRISAS DEL PALMAR</v>
          </cell>
          <cell r="K6526" t="str">
            <v>94001</v>
          </cell>
          <cell r="L6526" t="str">
            <v>INÍRIDA</v>
          </cell>
          <cell r="M6526" t="str">
            <v>3208881046</v>
          </cell>
        </row>
        <row r="6527">
          <cell r="A6527">
            <v>1053302018</v>
          </cell>
          <cell r="B6527" t="str">
            <v/>
          </cell>
          <cell r="C6527" t="str">
            <v/>
          </cell>
          <cell r="D6527" t="str">
            <v>CC</v>
          </cell>
          <cell r="E6527" t="str">
            <v>JUAN CARLOS</v>
          </cell>
          <cell r="F6527" t="str">
            <v>ALFONSO ROJAS</v>
          </cell>
          <cell r="G6527" t="str">
            <v>ALFONSO ROJAS JUAN CARLOS</v>
          </cell>
          <cell r="H6527" t="str">
            <v>FUNC</v>
          </cell>
          <cell r="I6527" t="str">
            <v>FUNCIONARIO</v>
          </cell>
          <cell r="J6527" t="str">
            <v>CALLE 20 A No 20-49 INT 4</v>
          </cell>
          <cell r="K6527" t="str">
            <v>15001</v>
          </cell>
          <cell r="L6527" t="str">
            <v>TUNJA</v>
          </cell>
          <cell r="M6527" t="str">
            <v>3114626905</v>
          </cell>
        </row>
        <row r="6528">
          <cell r="A6528">
            <v>1053559134</v>
          </cell>
          <cell r="B6528" t="str">
            <v>2</v>
          </cell>
          <cell r="C6528" t="str">
            <v/>
          </cell>
          <cell r="D6528" t="str">
            <v>NP</v>
          </cell>
          <cell r="E6528" t="str">
            <v>CRISTIAN FABIAN</v>
          </cell>
          <cell r="F6528" t="str">
            <v>DUITAMA CARO</v>
          </cell>
          <cell r="G6528" t="str">
            <v>DUITAMA CARO CRISTIAN FABIAN</v>
          </cell>
          <cell r="H6528" t="str">
            <v>NORE</v>
          </cell>
          <cell r="I6528" t="str">
            <v>NO RESPONSABLE DE IVA</v>
          </cell>
          <cell r="J6528" t="str">
            <v>CR 4A  7 21 BRR BOCHICA</v>
          </cell>
          <cell r="K6528" t="str">
            <v>15001</v>
          </cell>
          <cell r="L6528" t="str">
            <v>TUNJA</v>
          </cell>
          <cell r="M6528" t="str">
            <v>3046056105</v>
          </cell>
        </row>
        <row r="6529">
          <cell r="A6529">
            <v>1053587046</v>
          </cell>
          <cell r="B6529" t="str">
            <v/>
          </cell>
          <cell r="C6529" t="str">
            <v/>
          </cell>
          <cell r="D6529" t="str">
            <v>CC</v>
          </cell>
          <cell r="E6529" t="str">
            <v>LUZ ANGELICA</v>
          </cell>
          <cell r="F6529" t="str">
            <v>HERRERA ACOSTA</v>
          </cell>
          <cell r="G6529" t="str">
            <v>HERRERA ACOSTA LUZ ANGELICA</v>
          </cell>
          <cell r="H6529" t="str">
            <v>FUNC</v>
          </cell>
          <cell r="I6529" t="str">
            <v>FUNCIONARIO</v>
          </cell>
          <cell r="J6529" t="str">
            <v>VRD BONZA</v>
          </cell>
          <cell r="K6529" t="str">
            <v>15516</v>
          </cell>
          <cell r="L6529" t="str">
            <v>PAIPA</v>
          </cell>
          <cell r="M6529" t="str">
            <v>3208724121</v>
          </cell>
        </row>
        <row r="6530">
          <cell r="A6530">
            <v>1053587694</v>
          </cell>
          <cell r="B6530" t="str">
            <v/>
          </cell>
          <cell r="C6530" t="str">
            <v/>
          </cell>
          <cell r="D6530" t="str">
            <v>CC</v>
          </cell>
          <cell r="E6530" t="str">
            <v>JEFERSON ORLANDO</v>
          </cell>
          <cell r="F6530" t="str">
            <v>OTALORA GUAQUIDA</v>
          </cell>
          <cell r="G6530" t="str">
            <v>OTALORA GUAQUIDA JEFERSON ORLANDO</v>
          </cell>
          <cell r="H6530" t="str">
            <v>FUNC</v>
          </cell>
          <cell r="I6530" t="str">
            <v>FUNCIONARIO</v>
          </cell>
          <cell r="J6530" t="str">
            <v>VEREDA BONZA</v>
          </cell>
          <cell r="K6530" t="str">
            <v>15759</v>
          </cell>
          <cell r="L6530" t="str">
            <v>SOGAMOSO</v>
          </cell>
          <cell r="M6530" t="str">
            <v>3103907938</v>
          </cell>
        </row>
        <row r="6531">
          <cell r="A6531">
            <v>1053604192</v>
          </cell>
          <cell r="B6531" t="str">
            <v/>
          </cell>
          <cell r="C6531" t="str">
            <v/>
          </cell>
          <cell r="D6531" t="str">
            <v>CC</v>
          </cell>
          <cell r="E6531" t="str">
            <v>JULIO ALDEMAR</v>
          </cell>
          <cell r="F6531" t="str">
            <v>BOCIGA QUINTERO</v>
          </cell>
          <cell r="G6531" t="str">
            <v>BOCIGA QUINTERO JULIO ALDEMAR</v>
          </cell>
          <cell r="H6531" t="str">
            <v>FUNC</v>
          </cell>
          <cell r="I6531" t="str">
            <v>FUNCIONARIO</v>
          </cell>
          <cell r="J6531" t="str">
            <v>AV LIBERTADORES   37   26</v>
          </cell>
          <cell r="K6531" t="str">
            <v>15516</v>
          </cell>
          <cell r="L6531" t="str">
            <v>PAIPA</v>
          </cell>
          <cell r="M6531" t="str">
            <v>3156757737</v>
          </cell>
        </row>
        <row r="6532">
          <cell r="A6532">
            <v>1053604503</v>
          </cell>
          <cell r="B6532" t="str">
            <v/>
          </cell>
          <cell r="C6532" t="str">
            <v/>
          </cell>
          <cell r="D6532" t="str">
            <v>CC</v>
          </cell>
          <cell r="E6532" t="str">
            <v>RAUL DARIO</v>
          </cell>
          <cell r="F6532" t="str">
            <v>QUIJANO BARRERA</v>
          </cell>
          <cell r="G6532" t="str">
            <v>QUIJANO BARRERA RAUL DARIO</v>
          </cell>
          <cell r="H6532" t="str">
            <v>FUNC</v>
          </cell>
          <cell r="I6532" t="str">
            <v>FUNCIONARIO</v>
          </cell>
          <cell r="J6532" t="str">
            <v>CARRERA 27 No 27-26 PAIPA</v>
          </cell>
          <cell r="K6532" t="str">
            <v>15516</v>
          </cell>
          <cell r="L6532" t="str">
            <v>PAIPA</v>
          </cell>
          <cell r="M6532" t="str">
            <v>3005799873</v>
          </cell>
        </row>
        <row r="6533">
          <cell r="A6533">
            <v>1053604581</v>
          </cell>
          <cell r="B6533" t="str">
            <v>4</v>
          </cell>
          <cell r="C6533" t="str">
            <v/>
          </cell>
          <cell r="D6533" t="str">
            <v>NP</v>
          </cell>
          <cell r="E6533" t="str">
            <v>DIANA CAROLINA</v>
          </cell>
          <cell r="F6533" t="str">
            <v>FONSECA SUESCA</v>
          </cell>
          <cell r="G6533" t="str">
            <v>FONSECA SUESCA DIANA CAROLINA</v>
          </cell>
          <cell r="H6533" t="str">
            <v>IMVE</v>
          </cell>
          <cell r="I6533" t="str">
            <v>IMPUESTO SOBRE LAS VENTAS</v>
          </cell>
          <cell r="J6533" t="str">
            <v>CL 27 17 21</v>
          </cell>
          <cell r="K6533" t="str">
            <v>15516</v>
          </cell>
          <cell r="L6533" t="str">
            <v>PAIPA</v>
          </cell>
          <cell r="M6533" t="str">
            <v>3188413619</v>
          </cell>
        </row>
        <row r="6534">
          <cell r="A6534">
            <v>1053604678</v>
          </cell>
          <cell r="B6534" t="str">
            <v/>
          </cell>
          <cell r="C6534" t="str">
            <v/>
          </cell>
          <cell r="D6534" t="str">
            <v>CC</v>
          </cell>
          <cell r="E6534" t="str">
            <v>JAIME ANDRES</v>
          </cell>
          <cell r="F6534" t="str">
            <v>SOGAMOSO VLDERRAMA</v>
          </cell>
          <cell r="G6534" t="str">
            <v>SOGAMOSO VLDERRAMA JAIME ANDRES</v>
          </cell>
          <cell r="H6534" t="str">
            <v>FUNC</v>
          </cell>
          <cell r="I6534" t="str">
            <v>FUNCIONARIO</v>
          </cell>
          <cell r="J6534" t="str">
            <v>TRANS 24 No 29B-56 PAIPA</v>
          </cell>
          <cell r="K6534" t="str">
            <v>15516</v>
          </cell>
          <cell r="L6534" t="str">
            <v>PAIPA</v>
          </cell>
          <cell r="M6534" t="str">
            <v>3142487397</v>
          </cell>
        </row>
        <row r="6535">
          <cell r="A6535">
            <v>1053604736</v>
          </cell>
          <cell r="B6535" t="str">
            <v/>
          </cell>
          <cell r="C6535" t="str">
            <v/>
          </cell>
          <cell r="D6535" t="str">
            <v>CC</v>
          </cell>
          <cell r="E6535" t="str">
            <v>RICARDO</v>
          </cell>
          <cell r="F6535" t="str">
            <v>BECERRA NIÑO</v>
          </cell>
          <cell r="G6535" t="str">
            <v>BECERRA NIÑO RICARDO</v>
          </cell>
          <cell r="H6535" t="str">
            <v>FUNC</v>
          </cell>
          <cell r="I6535" t="str">
            <v>FUNCIONARIO</v>
          </cell>
          <cell r="J6535" t="str">
            <v>CR 27   27   42</v>
          </cell>
          <cell r="K6535" t="str">
            <v>15516</v>
          </cell>
          <cell r="L6535" t="str">
            <v>PAIPA</v>
          </cell>
          <cell r="M6535" t="str">
            <v>3115550288</v>
          </cell>
        </row>
        <row r="6536">
          <cell r="A6536">
            <v>1053604941</v>
          </cell>
          <cell r="B6536" t="str">
            <v/>
          </cell>
          <cell r="C6536" t="str">
            <v/>
          </cell>
          <cell r="D6536" t="str">
            <v>CC</v>
          </cell>
          <cell r="E6536" t="str">
            <v>JHON EDISON</v>
          </cell>
          <cell r="F6536" t="str">
            <v>MONROY RODRIGUEZ</v>
          </cell>
          <cell r="G6536" t="str">
            <v>MONROY RODRIGUEZ JHON EDISON</v>
          </cell>
          <cell r="H6536" t="str">
            <v>FUNC</v>
          </cell>
          <cell r="I6536" t="str">
            <v>FUNCIONARIO</v>
          </cell>
          <cell r="J6536" t="str">
            <v>CALLE 20 No 12 - 07 PAIPA</v>
          </cell>
          <cell r="K6536" t="str">
            <v>15516</v>
          </cell>
          <cell r="L6536" t="str">
            <v>PAIPA</v>
          </cell>
          <cell r="M6536" t="str">
            <v>32047131215</v>
          </cell>
        </row>
        <row r="6537">
          <cell r="A6537">
            <v>1053605382</v>
          </cell>
          <cell r="B6537" t="str">
            <v/>
          </cell>
          <cell r="C6537" t="str">
            <v/>
          </cell>
          <cell r="D6537" t="str">
            <v>CC</v>
          </cell>
          <cell r="E6537" t="str">
            <v>JOSE URIEL</v>
          </cell>
          <cell r="F6537" t="str">
            <v>OCHOA PEDRAZA</v>
          </cell>
          <cell r="G6537" t="str">
            <v>OCHOA PEDRAZA JOSE URIEL</v>
          </cell>
          <cell r="H6537" t="str">
            <v>FUNC</v>
          </cell>
          <cell r="I6537" t="str">
            <v>FUNCIONARIO</v>
          </cell>
          <cell r="J6537" t="str">
            <v>VRD CRUZ BONZA</v>
          </cell>
          <cell r="K6537" t="str">
            <v>15516</v>
          </cell>
          <cell r="L6537" t="str">
            <v>PAIPA</v>
          </cell>
          <cell r="M6537" t="str">
            <v>3214535436</v>
          </cell>
        </row>
        <row r="6538">
          <cell r="A6538">
            <v>1053605402</v>
          </cell>
          <cell r="B6538" t="str">
            <v>9</v>
          </cell>
          <cell r="C6538" t="str">
            <v/>
          </cell>
          <cell r="D6538" t="str">
            <v>NP</v>
          </cell>
          <cell r="E6538" t="str">
            <v>MARIA DEL PILAR</v>
          </cell>
          <cell r="F6538" t="str">
            <v xml:space="preserve">GARCIA </v>
          </cell>
          <cell r="G6538" t="str">
            <v>GARCIA  MARIA DEL PILAR</v>
          </cell>
          <cell r="H6538" t="str">
            <v>RESI</v>
          </cell>
          <cell r="I6538" t="str">
            <v>REGIMEN SIMPLIFICADO</v>
          </cell>
          <cell r="J6538" t="str">
            <v>CL 14 18 75</v>
          </cell>
          <cell r="K6538" t="str">
            <v>15238</v>
          </cell>
          <cell r="L6538" t="str">
            <v>DUITAMA</v>
          </cell>
          <cell r="M6538" t="str">
            <v>3132937729</v>
          </cell>
        </row>
        <row r="6539">
          <cell r="A6539">
            <v>1053605840</v>
          </cell>
          <cell r="B6539" t="str">
            <v>1</v>
          </cell>
          <cell r="C6539" t="str">
            <v/>
          </cell>
          <cell r="D6539" t="str">
            <v>NP</v>
          </cell>
          <cell r="E6539" t="str">
            <v>CINDY CATALINA</v>
          </cell>
          <cell r="F6539" t="str">
            <v>SAAVEDRA MARTIEZ</v>
          </cell>
          <cell r="G6539" t="str">
            <v>SAAVEDRA MARTIEZ CINDY CATALINA</v>
          </cell>
          <cell r="H6539" t="str">
            <v>RESI</v>
          </cell>
          <cell r="I6539" t="str">
            <v>REGIMEN SIMPLIFICADO</v>
          </cell>
          <cell r="J6539" t="str">
            <v>CR 26   23   20 BRR LOS ROSALES</v>
          </cell>
          <cell r="K6539" t="str">
            <v>17001</v>
          </cell>
          <cell r="L6539" t="str">
            <v>MANIZALES</v>
          </cell>
          <cell r="M6539" t="str">
            <v>3122699678</v>
          </cell>
        </row>
        <row r="6540">
          <cell r="A6540">
            <v>1053605874</v>
          </cell>
          <cell r="B6540" t="str">
            <v/>
          </cell>
          <cell r="C6540" t="str">
            <v/>
          </cell>
          <cell r="D6540" t="str">
            <v>CC</v>
          </cell>
          <cell r="E6540" t="str">
            <v>SIMON ALEJANDRO</v>
          </cell>
          <cell r="F6540" t="str">
            <v>BOLIVAR ROJAS</v>
          </cell>
          <cell r="G6540" t="str">
            <v>BOLIVAR ROJAS SIMON ALEJANDRO</v>
          </cell>
          <cell r="H6540" t="str">
            <v>FUNC</v>
          </cell>
          <cell r="I6540" t="str">
            <v>FUNCIONARIO</v>
          </cell>
          <cell r="J6540" t="str">
            <v>VDA VOLCAN BAJO</v>
          </cell>
          <cell r="K6540" t="str">
            <v>15516</v>
          </cell>
          <cell r="L6540" t="str">
            <v>PAIPA</v>
          </cell>
          <cell r="M6540" t="str">
            <v>3112804842</v>
          </cell>
        </row>
        <row r="6541">
          <cell r="A6541">
            <v>1053605912</v>
          </cell>
          <cell r="B6541" t="str">
            <v/>
          </cell>
          <cell r="C6541" t="str">
            <v/>
          </cell>
          <cell r="D6541" t="str">
            <v>CC</v>
          </cell>
          <cell r="E6541" t="str">
            <v>ERIKA DANIELA</v>
          </cell>
          <cell r="F6541" t="str">
            <v>DIAZ DIAZ</v>
          </cell>
          <cell r="G6541" t="str">
            <v>DIAZ DIAZ ERIKA DANIELA</v>
          </cell>
          <cell r="H6541" t="str">
            <v>FUNC</v>
          </cell>
          <cell r="I6541" t="str">
            <v>FUNCIONARIO</v>
          </cell>
          <cell r="J6541" t="str">
            <v>CRA 24 N° 11A 39</v>
          </cell>
          <cell r="K6541" t="str">
            <v>15238</v>
          </cell>
          <cell r="L6541" t="str">
            <v>DUITAMA</v>
          </cell>
          <cell r="M6541" t="str">
            <v>3118098678</v>
          </cell>
        </row>
        <row r="6542">
          <cell r="A6542">
            <v>1053605941</v>
          </cell>
          <cell r="B6542" t="str">
            <v/>
          </cell>
          <cell r="C6542" t="str">
            <v/>
          </cell>
          <cell r="D6542" t="str">
            <v>CC</v>
          </cell>
          <cell r="E6542" t="str">
            <v>CRISTIAN JOSE</v>
          </cell>
          <cell r="F6542" t="str">
            <v>MESA MONROY</v>
          </cell>
          <cell r="G6542" t="str">
            <v>MESA MONROY CRISTIAN JOSE</v>
          </cell>
          <cell r="H6542" t="str">
            <v>FUNC</v>
          </cell>
          <cell r="I6542" t="str">
            <v>FUNCIONARIO</v>
          </cell>
          <cell r="J6542" t="str">
            <v>CALLE 21 No 17-49</v>
          </cell>
          <cell r="K6542" t="str">
            <v>15516</v>
          </cell>
          <cell r="L6542" t="str">
            <v>PAIPA</v>
          </cell>
          <cell r="M6542" t="str">
            <v>3118698562</v>
          </cell>
        </row>
        <row r="6543">
          <cell r="A6543">
            <v>1053607216</v>
          </cell>
          <cell r="B6543" t="str">
            <v>4</v>
          </cell>
          <cell r="C6543" t="str">
            <v/>
          </cell>
          <cell r="D6543" t="str">
            <v>NP</v>
          </cell>
          <cell r="E6543" t="str">
            <v>DIEGO ARGEMIRO</v>
          </cell>
          <cell r="F6543" t="str">
            <v>OCASIONES PUERTO</v>
          </cell>
          <cell r="G6543" t="str">
            <v>OCASIONES PUERTO DIEGO ARGEMIRO</v>
          </cell>
          <cell r="H6543" t="str">
            <v>RESI</v>
          </cell>
          <cell r="I6543" t="str">
            <v>REGIMEN SIMPLIFICADO</v>
          </cell>
          <cell r="J6543" t="str">
            <v>VDA EL VOLCAN</v>
          </cell>
          <cell r="K6543" t="str">
            <v>15516</v>
          </cell>
          <cell r="L6543" t="str">
            <v>PAIPA</v>
          </cell>
          <cell r="M6543" t="str">
            <v>3132094421</v>
          </cell>
        </row>
        <row r="6544">
          <cell r="A6544">
            <v>1053607564</v>
          </cell>
          <cell r="B6544" t="str">
            <v/>
          </cell>
          <cell r="C6544" t="str">
            <v/>
          </cell>
          <cell r="D6544" t="str">
            <v>CC</v>
          </cell>
          <cell r="E6544" t="str">
            <v>ANGELA MARCELA</v>
          </cell>
          <cell r="F6544" t="str">
            <v>JAIMES CAMACHO</v>
          </cell>
          <cell r="G6544" t="str">
            <v>JAIMES CAMACHO ANGELA MARCELA</v>
          </cell>
          <cell r="H6544" t="str">
            <v>FUNC</v>
          </cell>
          <cell r="I6544" t="str">
            <v>FUNCIONARIO</v>
          </cell>
          <cell r="J6544" t="str">
            <v>VRD TOIBITA</v>
          </cell>
          <cell r="K6544" t="str">
            <v>15516</v>
          </cell>
          <cell r="L6544" t="str">
            <v>PAIPA</v>
          </cell>
          <cell r="M6544" t="str">
            <v>3118178073</v>
          </cell>
        </row>
        <row r="6545">
          <cell r="A6545">
            <v>1053607591</v>
          </cell>
          <cell r="B6545" t="str">
            <v>1</v>
          </cell>
          <cell r="C6545" t="str">
            <v/>
          </cell>
          <cell r="D6545" t="str">
            <v>NP</v>
          </cell>
          <cell r="E6545" t="str">
            <v>IVAN LEONARDO</v>
          </cell>
          <cell r="F6545" t="str">
            <v>PACHECO LOPEZ</v>
          </cell>
          <cell r="G6545" t="str">
            <v>PACHECO LOPEZ IVAN LEONARDO</v>
          </cell>
          <cell r="H6545" t="str">
            <v>RESI</v>
          </cell>
          <cell r="I6545" t="str">
            <v>REGIMEN SIMPLIFICADO</v>
          </cell>
          <cell r="J6545" t="str">
            <v>CL 24 19 20</v>
          </cell>
          <cell r="K6545" t="str">
            <v>15516</v>
          </cell>
          <cell r="L6545" t="str">
            <v>PAIPA</v>
          </cell>
          <cell r="M6545" t="str">
            <v>3208453085</v>
          </cell>
        </row>
        <row r="6546">
          <cell r="A6546">
            <v>1053607646</v>
          </cell>
          <cell r="B6546" t="str">
            <v/>
          </cell>
          <cell r="C6546" t="str">
            <v/>
          </cell>
          <cell r="D6546" t="str">
            <v>CC</v>
          </cell>
          <cell r="E6546" t="str">
            <v>EDISON FABIAN</v>
          </cell>
          <cell r="F6546" t="str">
            <v>SIERRA CASTIBLANCO</v>
          </cell>
          <cell r="G6546" t="str">
            <v>SIERRA CASTIBLANCO EDISON FABIAN</v>
          </cell>
          <cell r="H6546" t="str">
            <v>FUNC</v>
          </cell>
          <cell r="I6546" t="str">
            <v>FUNCIONARIO</v>
          </cell>
          <cell r="J6546" t="str">
            <v>CL 18 A 27 04</v>
          </cell>
          <cell r="K6546" t="str">
            <v>15516</v>
          </cell>
          <cell r="L6546" t="str">
            <v>PAIPA</v>
          </cell>
          <cell r="M6546" t="str">
            <v>3134089468</v>
          </cell>
        </row>
        <row r="6547">
          <cell r="A6547">
            <v>1053607941</v>
          </cell>
          <cell r="B6547" t="str">
            <v/>
          </cell>
          <cell r="C6547" t="str">
            <v/>
          </cell>
          <cell r="D6547" t="str">
            <v>CC</v>
          </cell>
          <cell r="E6547" t="str">
            <v>JAVIER YECID</v>
          </cell>
          <cell r="F6547" t="str">
            <v>RODRIGUEZ PUERTO</v>
          </cell>
          <cell r="G6547" t="str">
            <v>RODRIGUEZ PUERTO JAVIER YECID</v>
          </cell>
          <cell r="H6547" t="str">
            <v>FUNC</v>
          </cell>
          <cell r="I6547" t="str">
            <v>FUNCIONARIO</v>
          </cell>
          <cell r="J6547" t="str">
            <v>CARRERA 16 No 28-42 PAIPA</v>
          </cell>
          <cell r="K6547" t="str">
            <v>15516</v>
          </cell>
          <cell r="L6547" t="str">
            <v>PAIPA</v>
          </cell>
          <cell r="M6547" t="str">
            <v>3102520984</v>
          </cell>
        </row>
        <row r="6548">
          <cell r="A6548">
            <v>1053608016</v>
          </cell>
          <cell r="B6548" t="str">
            <v/>
          </cell>
          <cell r="C6548" t="str">
            <v/>
          </cell>
          <cell r="D6548" t="str">
            <v>CC</v>
          </cell>
          <cell r="E6548" t="str">
            <v>OSCAR EDUARDO</v>
          </cell>
          <cell r="F6548" t="str">
            <v>FONSECA BECERRA</v>
          </cell>
          <cell r="G6548" t="str">
            <v>FONSECA BECERRA OSCAR EDUARDO</v>
          </cell>
          <cell r="H6548" t="str">
            <v>FUNC</v>
          </cell>
          <cell r="I6548" t="str">
            <v>FUNCIONARIO</v>
          </cell>
          <cell r="J6548" t="str">
            <v>CR 24 D  11 A 115</v>
          </cell>
          <cell r="K6548" t="str">
            <v>15516</v>
          </cell>
          <cell r="L6548" t="str">
            <v>PAIPA</v>
          </cell>
          <cell r="M6548" t="str">
            <v>3123370044</v>
          </cell>
        </row>
        <row r="6549">
          <cell r="A6549">
            <v>1053608085</v>
          </cell>
          <cell r="B6549" t="str">
            <v>0</v>
          </cell>
          <cell r="C6549" t="str">
            <v/>
          </cell>
          <cell r="D6549" t="str">
            <v>NP</v>
          </cell>
          <cell r="E6549" t="str">
            <v>ALVARO ANTONIO</v>
          </cell>
          <cell r="F6549" t="str">
            <v>GIRATA BAEZ</v>
          </cell>
          <cell r="G6549" t="str">
            <v>GIRATA BAEZ ALVARO ANTONIO</v>
          </cell>
          <cell r="H6549" t="str">
            <v>NORE</v>
          </cell>
          <cell r="I6549" t="str">
            <v>NO RESPONSABLE DE IVA</v>
          </cell>
          <cell r="J6549" t="str">
            <v>CR 22 25 61 P 4</v>
          </cell>
          <cell r="K6549" t="str">
            <v>15516</v>
          </cell>
          <cell r="L6549" t="str">
            <v>PAIPA</v>
          </cell>
          <cell r="M6549" t="str">
            <v>3132070392</v>
          </cell>
        </row>
        <row r="6550">
          <cell r="A6550">
            <v>1053608446</v>
          </cell>
          <cell r="B6550" t="str">
            <v>6</v>
          </cell>
          <cell r="C6550" t="str">
            <v/>
          </cell>
          <cell r="D6550" t="str">
            <v>NP</v>
          </cell>
          <cell r="E6550" t="str">
            <v>EDISON FABIAN</v>
          </cell>
          <cell r="F6550" t="str">
            <v>MORALES ACEVEDO</v>
          </cell>
          <cell r="G6550" t="str">
            <v>MORALES ACEVEDO EDISON FABIAN</v>
          </cell>
          <cell r="H6550" t="str">
            <v>RESI</v>
          </cell>
          <cell r="I6550" t="str">
            <v>REGIMEN SIMPLIFICADO</v>
          </cell>
          <cell r="J6550" t="str">
            <v>CR 21  17 22 BRR SAN MIGUEL</v>
          </cell>
          <cell r="K6550" t="str">
            <v>15516</v>
          </cell>
          <cell r="L6550" t="str">
            <v>PAIPA</v>
          </cell>
          <cell r="M6550" t="str">
            <v>3134307743</v>
          </cell>
        </row>
        <row r="6551">
          <cell r="A6551">
            <v>1053608735</v>
          </cell>
          <cell r="B6551" t="str">
            <v/>
          </cell>
          <cell r="C6551" t="str">
            <v/>
          </cell>
          <cell r="D6551" t="str">
            <v>CC</v>
          </cell>
          <cell r="E6551" t="str">
            <v>MONICA TATIANA</v>
          </cell>
          <cell r="F6551" t="str">
            <v>AVELLA GONZALEZ</v>
          </cell>
          <cell r="G6551" t="str">
            <v>AVELLA GONZALEZ MONICA TATIANA</v>
          </cell>
          <cell r="H6551" t="str">
            <v>FUNC</v>
          </cell>
          <cell r="I6551" t="str">
            <v>FUNCIONARIO</v>
          </cell>
          <cell r="J6551" t="str">
            <v>CL 01   09   27 BRR FATIMA</v>
          </cell>
          <cell r="K6551" t="str">
            <v>17001</v>
          </cell>
          <cell r="L6551" t="str">
            <v>MANIZALES</v>
          </cell>
          <cell r="M6551" t="str">
            <v>3208254218</v>
          </cell>
        </row>
        <row r="6552">
          <cell r="A6552">
            <v>1053608969</v>
          </cell>
          <cell r="B6552" t="str">
            <v>6</v>
          </cell>
          <cell r="C6552" t="str">
            <v/>
          </cell>
          <cell r="D6552" t="str">
            <v>NP</v>
          </cell>
          <cell r="E6552" t="str">
            <v>DIEGO GERARDO</v>
          </cell>
          <cell r="F6552" t="str">
            <v>ROJAS ROJAS</v>
          </cell>
          <cell r="G6552" t="str">
            <v>ROJAS ROJAS DIEGO GERARDO</v>
          </cell>
          <cell r="H6552" t="str">
            <v>NORE</v>
          </cell>
          <cell r="I6552" t="str">
            <v>NO RESPONSABLE DE IVA</v>
          </cell>
          <cell r="J6552" t="str">
            <v>CL 24 24 34 P 2 BRR LOS ROSALES</v>
          </cell>
          <cell r="K6552" t="str">
            <v>15516</v>
          </cell>
          <cell r="L6552" t="str">
            <v>PAIPA</v>
          </cell>
          <cell r="M6552" t="str">
            <v>3102003880</v>
          </cell>
        </row>
        <row r="6553">
          <cell r="A6553">
            <v>1053609235</v>
          </cell>
          <cell r="B6553" t="str">
            <v/>
          </cell>
          <cell r="C6553" t="str">
            <v/>
          </cell>
          <cell r="D6553" t="str">
            <v>CC</v>
          </cell>
          <cell r="E6553" t="str">
            <v>WILLIAM</v>
          </cell>
          <cell r="F6553" t="str">
            <v>MONROY GARCIA</v>
          </cell>
          <cell r="G6553" t="str">
            <v>MONROY GARCIA WILLIAM</v>
          </cell>
          <cell r="H6553" t="str">
            <v>FUNC</v>
          </cell>
          <cell r="I6553" t="str">
            <v>FUNCIONARIO</v>
          </cell>
          <cell r="J6553" t="str">
            <v>VRD SATIVA</v>
          </cell>
          <cell r="K6553" t="str">
            <v>15516</v>
          </cell>
          <cell r="L6553" t="str">
            <v>PAIPA</v>
          </cell>
          <cell r="M6553" t="str">
            <v>3102579122</v>
          </cell>
        </row>
        <row r="6554">
          <cell r="A6554">
            <v>1053609735</v>
          </cell>
          <cell r="B6554" t="str">
            <v/>
          </cell>
          <cell r="C6554" t="str">
            <v/>
          </cell>
          <cell r="D6554" t="str">
            <v>CC</v>
          </cell>
          <cell r="E6554" t="str">
            <v>FREDDY ALEXANDER</v>
          </cell>
          <cell r="F6554" t="str">
            <v>BECERRA AMADOR</v>
          </cell>
          <cell r="G6554" t="str">
            <v>BECERRA AMADOR FREDDY ALEXANDER</v>
          </cell>
          <cell r="H6554" t="str">
            <v>FUNC</v>
          </cell>
          <cell r="I6554" t="str">
            <v>FUNCIONARIO</v>
          </cell>
          <cell r="J6554" t="str">
            <v>CR 24   19   48</v>
          </cell>
          <cell r="K6554" t="str">
            <v>15516</v>
          </cell>
          <cell r="L6554" t="str">
            <v>PAIPA</v>
          </cell>
          <cell r="M6554" t="str">
            <v>3133732909</v>
          </cell>
        </row>
        <row r="6555">
          <cell r="A6555">
            <v>1053610118</v>
          </cell>
          <cell r="B6555" t="str">
            <v/>
          </cell>
          <cell r="C6555" t="str">
            <v/>
          </cell>
          <cell r="D6555" t="str">
            <v>CC</v>
          </cell>
          <cell r="E6555" t="str">
            <v>IVAN RODRIGO</v>
          </cell>
          <cell r="F6555" t="str">
            <v>OCHOA RODRIGUEZ</v>
          </cell>
          <cell r="G6555" t="str">
            <v>OCHOA RODRIGUEZ IVAN RODRIGO</v>
          </cell>
          <cell r="H6555" t="str">
            <v>FUNC</v>
          </cell>
          <cell r="I6555" t="str">
            <v>FUNCIONARIO</v>
          </cell>
          <cell r="J6555" t="str">
            <v>CL 24 B   11   38</v>
          </cell>
          <cell r="K6555" t="str">
            <v>15516</v>
          </cell>
          <cell r="L6555" t="str">
            <v>PAIPA</v>
          </cell>
          <cell r="M6555" t="str">
            <v>3144372511</v>
          </cell>
        </row>
        <row r="6556">
          <cell r="A6556">
            <v>1053610150</v>
          </cell>
          <cell r="B6556" t="str">
            <v/>
          </cell>
          <cell r="C6556" t="str">
            <v/>
          </cell>
          <cell r="D6556" t="str">
            <v>CC</v>
          </cell>
          <cell r="E6556" t="str">
            <v>LUIS EDUARDO</v>
          </cell>
          <cell r="F6556" t="str">
            <v>GARCIA CELY</v>
          </cell>
          <cell r="G6556" t="str">
            <v>GARCIA CELY LUIS EDUARDO</v>
          </cell>
          <cell r="H6556" t="str">
            <v>FUNC</v>
          </cell>
          <cell r="I6556" t="str">
            <v>FUNCIONARIO</v>
          </cell>
          <cell r="J6556" t="str">
            <v>DG 15   23   22 BRR FATIMA</v>
          </cell>
          <cell r="K6556" t="str">
            <v>17001</v>
          </cell>
          <cell r="L6556" t="str">
            <v>MANIZALES</v>
          </cell>
          <cell r="M6556" t="str">
            <v>3214336451</v>
          </cell>
        </row>
        <row r="6557">
          <cell r="A6557">
            <v>1053610655</v>
          </cell>
          <cell r="B6557" t="str">
            <v/>
          </cell>
          <cell r="C6557" t="str">
            <v/>
          </cell>
          <cell r="D6557" t="str">
            <v>CC</v>
          </cell>
          <cell r="E6557" t="str">
            <v>AURA CRISTINA</v>
          </cell>
          <cell r="F6557" t="str">
            <v>MONROY SALCEDO</v>
          </cell>
          <cell r="G6557" t="str">
            <v>MONROY SALCEDO AURA CRISTINA</v>
          </cell>
          <cell r="H6557" t="str">
            <v>FUNC</v>
          </cell>
          <cell r="I6557" t="str">
            <v>FUNCIONARIO</v>
          </cell>
          <cell r="J6557" t="str">
            <v>CL 24 C 9 21</v>
          </cell>
          <cell r="K6557" t="str">
            <v>17001</v>
          </cell>
          <cell r="L6557" t="str">
            <v>MANIZALES</v>
          </cell>
          <cell r="M6557" t="str">
            <v>3222316425</v>
          </cell>
        </row>
        <row r="6558">
          <cell r="A6558">
            <v>1053610682</v>
          </cell>
          <cell r="B6558" t="str">
            <v/>
          </cell>
          <cell r="C6558" t="str">
            <v/>
          </cell>
          <cell r="D6558" t="str">
            <v>CC</v>
          </cell>
          <cell r="E6558" t="str">
            <v>BRYAN DALEL</v>
          </cell>
          <cell r="F6558" t="str">
            <v>VILLALOBOS VELANDIA</v>
          </cell>
          <cell r="G6558" t="str">
            <v>VILLALOBOS VELANDIA BRYAN DALEL</v>
          </cell>
          <cell r="H6558" t="str">
            <v>EXFU</v>
          </cell>
          <cell r="I6558" t="str">
            <v>EX-FUNCIONARIOS</v>
          </cell>
          <cell r="J6558" t="str">
            <v>CL 26 B 16 34</v>
          </cell>
          <cell r="K6558" t="str">
            <v>15516</v>
          </cell>
          <cell r="L6558" t="str">
            <v>PAIPA</v>
          </cell>
          <cell r="M6558" t="str">
            <v>3144272660</v>
          </cell>
        </row>
        <row r="6559">
          <cell r="A6559">
            <v>1053610793</v>
          </cell>
          <cell r="B6559" t="str">
            <v/>
          </cell>
          <cell r="C6559" t="str">
            <v/>
          </cell>
          <cell r="D6559" t="str">
            <v>CC</v>
          </cell>
          <cell r="E6559" t="str">
            <v>FABIAN MAURICIO</v>
          </cell>
          <cell r="F6559" t="str">
            <v>FONSECA FONSECA</v>
          </cell>
          <cell r="G6559" t="str">
            <v>FONSECA FONSECA FABIAN MAURICIO</v>
          </cell>
          <cell r="H6559" t="str">
            <v>FUNC</v>
          </cell>
          <cell r="I6559" t="str">
            <v>FUNCIONARIO</v>
          </cell>
          <cell r="J6559" t="str">
            <v>VRD CANOCAS</v>
          </cell>
          <cell r="K6559" t="str">
            <v>15516</v>
          </cell>
          <cell r="L6559" t="str">
            <v>PAIPA</v>
          </cell>
          <cell r="M6559" t="str">
            <v>3102406593</v>
          </cell>
        </row>
        <row r="6560">
          <cell r="A6560">
            <v>1053611235</v>
          </cell>
          <cell r="B6560" t="str">
            <v/>
          </cell>
          <cell r="C6560" t="str">
            <v/>
          </cell>
          <cell r="D6560" t="str">
            <v>CC</v>
          </cell>
          <cell r="E6560" t="str">
            <v>MIGUEL ANGEL</v>
          </cell>
          <cell r="F6560" t="str">
            <v>TORRES PEREZ</v>
          </cell>
          <cell r="G6560" t="str">
            <v>TORRES PEREZ MIGUEL ANGEL</v>
          </cell>
          <cell r="H6560" t="str">
            <v>FUNC</v>
          </cell>
          <cell r="I6560" t="str">
            <v>FUNCIONARIO</v>
          </cell>
          <cell r="J6560" t="str">
            <v>VRD SATIVA</v>
          </cell>
          <cell r="K6560" t="str">
            <v>15516</v>
          </cell>
          <cell r="L6560" t="str">
            <v>PAIPA</v>
          </cell>
          <cell r="M6560" t="str">
            <v>3112066867</v>
          </cell>
        </row>
        <row r="6561">
          <cell r="A6561">
            <v>1053611674</v>
          </cell>
          <cell r="B6561" t="str">
            <v/>
          </cell>
          <cell r="C6561" t="str">
            <v/>
          </cell>
          <cell r="D6561" t="str">
            <v>CC</v>
          </cell>
          <cell r="E6561" t="str">
            <v>LINA MARIA</v>
          </cell>
          <cell r="F6561" t="str">
            <v>OCHOA VARGAS</v>
          </cell>
          <cell r="G6561" t="str">
            <v>OCHOA VARGAS LINA MARIA</v>
          </cell>
          <cell r="H6561" t="str">
            <v>FUNC</v>
          </cell>
          <cell r="I6561" t="str">
            <v>FUNCIONARIO</v>
          </cell>
          <cell r="J6561" t="str">
            <v>VRD VOLCANES</v>
          </cell>
          <cell r="K6561" t="str">
            <v>15516</v>
          </cell>
          <cell r="L6561" t="str">
            <v>PAIPA</v>
          </cell>
          <cell r="M6561" t="str">
            <v>3053116521</v>
          </cell>
        </row>
        <row r="6562">
          <cell r="A6562">
            <v>1053611730</v>
          </cell>
          <cell r="B6562" t="str">
            <v/>
          </cell>
          <cell r="C6562" t="str">
            <v/>
          </cell>
          <cell r="D6562" t="str">
            <v>CC</v>
          </cell>
          <cell r="E6562" t="str">
            <v>NICOLE JULIANA</v>
          </cell>
          <cell r="F6562" t="str">
            <v>FONSECA HURTADO</v>
          </cell>
          <cell r="G6562" t="str">
            <v>FONSECA HURTADO NICOLE JULIANA</v>
          </cell>
          <cell r="H6562" t="str">
            <v>FUNC</v>
          </cell>
          <cell r="I6562" t="str">
            <v>FUNCIONARIO</v>
          </cell>
          <cell r="J6562" t="str">
            <v>CR 17 N. 26 16</v>
          </cell>
          <cell r="K6562" t="str">
            <v>15516</v>
          </cell>
          <cell r="L6562" t="str">
            <v>PAIPA</v>
          </cell>
          <cell r="M6562" t="str">
            <v>3142284542</v>
          </cell>
        </row>
        <row r="6563">
          <cell r="A6563">
            <v>1053611735</v>
          </cell>
          <cell r="B6563" t="str">
            <v/>
          </cell>
          <cell r="C6563" t="str">
            <v/>
          </cell>
          <cell r="D6563" t="str">
            <v>CC</v>
          </cell>
          <cell r="E6563" t="str">
            <v>ANGEL FERNEY</v>
          </cell>
          <cell r="F6563" t="str">
            <v>ARCOS HERRERA</v>
          </cell>
          <cell r="G6563" t="str">
            <v>ARCOS HERRERA ANGEL FERNEY</v>
          </cell>
          <cell r="H6563" t="str">
            <v>FUNC</v>
          </cell>
          <cell r="I6563" t="str">
            <v>FUNCIONARIO</v>
          </cell>
          <cell r="J6563" t="str">
            <v>CR 10 A 3 03</v>
          </cell>
          <cell r="K6563" t="str">
            <v>15516</v>
          </cell>
          <cell r="L6563" t="str">
            <v>PAIPA</v>
          </cell>
          <cell r="M6563" t="str">
            <v>3134407894</v>
          </cell>
        </row>
        <row r="6564">
          <cell r="A6564">
            <v>1053611889</v>
          </cell>
          <cell r="B6564" t="str">
            <v/>
          </cell>
          <cell r="C6564" t="str">
            <v/>
          </cell>
          <cell r="D6564" t="str">
            <v>CC</v>
          </cell>
          <cell r="E6564" t="str">
            <v xml:space="preserve"> DIANA PAOLA</v>
          </cell>
          <cell r="F6564" t="str">
            <v>ARDILA HERNANDEZ</v>
          </cell>
          <cell r="G6564" t="str">
            <v>ARDILA HERNANDEZ  DIANA PAOLA</v>
          </cell>
          <cell r="H6564" t="str">
            <v>FUNC</v>
          </cell>
          <cell r="I6564" t="str">
            <v>FUNCIONARIO</v>
          </cell>
          <cell r="J6564" t="str">
            <v>CL 30   14   76 BRR EL BOSQUE</v>
          </cell>
          <cell r="K6564" t="str">
            <v>17001</v>
          </cell>
          <cell r="L6564" t="str">
            <v>MANIZALES</v>
          </cell>
          <cell r="M6564" t="str">
            <v>3125331733</v>
          </cell>
        </row>
        <row r="6565">
          <cell r="A6565">
            <v>1053611934</v>
          </cell>
          <cell r="B6565" t="str">
            <v/>
          </cell>
          <cell r="C6565" t="str">
            <v/>
          </cell>
          <cell r="D6565" t="str">
            <v>CC</v>
          </cell>
          <cell r="E6565" t="str">
            <v>EDILBERTO</v>
          </cell>
          <cell r="F6565" t="str">
            <v>PARRA VARGAS</v>
          </cell>
          <cell r="G6565" t="str">
            <v>PARRA VARGAS EDILBERTO</v>
          </cell>
          <cell r="H6565" t="str">
            <v>FUNC</v>
          </cell>
          <cell r="I6565" t="str">
            <v>FUNCIONARIO</v>
          </cell>
          <cell r="J6565" t="str">
            <v>CARRERA 19A No 26-91 PAIPA</v>
          </cell>
          <cell r="K6565" t="str">
            <v>15516</v>
          </cell>
          <cell r="L6565" t="str">
            <v>PAIPA</v>
          </cell>
          <cell r="M6565" t="str">
            <v>3142709807</v>
          </cell>
        </row>
        <row r="6566">
          <cell r="A6566">
            <v>1053612483</v>
          </cell>
          <cell r="B6566" t="str">
            <v/>
          </cell>
          <cell r="C6566" t="str">
            <v/>
          </cell>
          <cell r="D6566" t="str">
            <v>CC</v>
          </cell>
          <cell r="E6566" t="str">
            <v>JOHN RAFAEL</v>
          </cell>
          <cell r="F6566" t="str">
            <v>PAMPLONA HERNANDEZ</v>
          </cell>
          <cell r="G6566" t="str">
            <v>PAMPLONA HERNANDEZ JOHN RAFAEL</v>
          </cell>
          <cell r="H6566" t="str">
            <v>FUNC</v>
          </cell>
          <cell r="I6566" t="str">
            <v>FUNCIONARIO</v>
          </cell>
          <cell r="J6566" t="str">
            <v>CR 29 N 19 24</v>
          </cell>
          <cell r="K6566" t="str">
            <v>15516</v>
          </cell>
          <cell r="L6566" t="str">
            <v>PAIPA</v>
          </cell>
          <cell r="M6566" t="str">
            <v>3133826039</v>
          </cell>
        </row>
        <row r="6567">
          <cell r="A6567">
            <v>1053612495</v>
          </cell>
          <cell r="B6567" t="str">
            <v/>
          </cell>
          <cell r="C6567" t="str">
            <v/>
          </cell>
          <cell r="D6567" t="str">
            <v>CC</v>
          </cell>
          <cell r="E6567" t="str">
            <v>LUIS MIGUEL</v>
          </cell>
          <cell r="F6567" t="str">
            <v>LARA MONTAÑEZ</v>
          </cell>
          <cell r="G6567" t="str">
            <v>LARA MONTAÑEZ LUIS MIGUEL</v>
          </cell>
          <cell r="H6567" t="str">
            <v>FUNC</v>
          </cell>
          <cell r="I6567" t="str">
            <v>FUNCIONARIO</v>
          </cell>
          <cell r="J6567" t="str">
            <v>VRD EL TINTAL EL REMANSO</v>
          </cell>
          <cell r="K6567" t="str">
            <v>17001</v>
          </cell>
          <cell r="L6567" t="str">
            <v>MANIZALES</v>
          </cell>
          <cell r="M6567" t="str">
            <v>3103062470</v>
          </cell>
        </row>
        <row r="6568">
          <cell r="A6568">
            <v>1053613049</v>
          </cell>
          <cell r="B6568" t="str">
            <v/>
          </cell>
          <cell r="C6568" t="str">
            <v/>
          </cell>
          <cell r="D6568" t="str">
            <v>CC</v>
          </cell>
          <cell r="E6568" t="str">
            <v>EDUARD EDILBERTO</v>
          </cell>
          <cell r="F6568" t="str">
            <v>DIAZ DIAZ</v>
          </cell>
          <cell r="G6568" t="str">
            <v>DIAZ DIAZ EDUARD EDILBERTO</v>
          </cell>
          <cell r="H6568" t="str">
            <v>EXFU</v>
          </cell>
          <cell r="I6568" t="str">
            <v>EX-FUNCIONARIOS</v>
          </cell>
          <cell r="J6568" t="str">
            <v>CARRERA 21 # 19921</v>
          </cell>
          <cell r="K6568" t="str">
            <v>15516</v>
          </cell>
          <cell r="L6568" t="str">
            <v>PAIPA</v>
          </cell>
          <cell r="M6568" t="str">
            <v>3203310819</v>
          </cell>
        </row>
        <row r="6569">
          <cell r="A6569">
            <v>1053613335</v>
          </cell>
          <cell r="B6569" t="str">
            <v/>
          </cell>
          <cell r="C6569" t="str">
            <v/>
          </cell>
          <cell r="D6569" t="str">
            <v>CC</v>
          </cell>
          <cell r="E6569" t="str">
            <v>DIEGO FERNANDO</v>
          </cell>
          <cell r="F6569" t="str">
            <v>CORREDOR DAGUA</v>
          </cell>
          <cell r="G6569" t="str">
            <v>CORREDOR DAGUA DIEGO FERNANDO</v>
          </cell>
          <cell r="H6569" t="str">
            <v>FUNC</v>
          </cell>
          <cell r="I6569" t="str">
            <v>FUNCIONARIO</v>
          </cell>
          <cell r="J6569" t="str">
            <v>VRD ROMITA</v>
          </cell>
          <cell r="K6569" t="str">
            <v>15516</v>
          </cell>
          <cell r="L6569" t="str">
            <v>PAIPA</v>
          </cell>
          <cell r="M6569" t="str">
            <v>3204030570</v>
          </cell>
        </row>
        <row r="6570">
          <cell r="A6570">
            <v>1053613845</v>
          </cell>
          <cell r="B6570" t="str">
            <v/>
          </cell>
          <cell r="C6570" t="str">
            <v/>
          </cell>
          <cell r="D6570" t="str">
            <v>CC</v>
          </cell>
          <cell r="E6570" t="str">
            <v>ANA MARÍA</v>
          </cell>
          <cell r="F6570" t="str">
            <v>ECHEVERRIA DIAZ</v>
          </cell>
          <cell r="G6570" t="str">
            <v>ECHEVERRIA DIAZ ANA MARÍA</v>
          </cell>
          <cell r="H6570" t="str">
            <v>FUNC</v>
          </cell>
          <cell r="I6570" t="str">
            <v>FUNCIONARIO</v>
          </cell>
          <cell r="J6570" t="str">
            <v>VRD SATIVA</v>
          </cell>
          <cell r="K6570" t="str">
            <v>15516</v>
          </cell>
          <cell r="L6570" t="str">
            <v>PAIPA</v>
          </cell>
          <cell r="M6570" t="str">
            <v>3144532897</v>
          </cell>
        </row>
        <row r="6571">
          <cell r="A6571">
            <v>1053614001</v>
          </cell>
          <cell r="B6571" t="str">
            <v/>
          </cell>
          <cell r="C6571" t="str">
            <v/>
          </cell>
          <cell r="D6571" t="str">
            <v>CC</v>
          </cell>
          <cell r="E6571" t="str">
            <v>FREDDY ALEXANDER</v>
          </cell>
          <cell r="F6571" t="str">
            <v>MONROY MOLANO</v>
          </cell>
          <cell r="G6571" t="str">
            <v>MONROY MOLANO FREDDY ALEXANDER</v>
          </cell>
          <cell r="H6571" t="str">
            <v>FUNC</v>
          </cell>
          <cell r="I6571" t="str">
            <v>FUNCIONARIO</v>
          </cell>
          <cell r="J6571" t="str">
            <v>VEREDA RIO ARRIBA</v>
          </cell>
          <cell r="K6571" t="str">
            <v>15516</v>
          </cell>
          <cell r="L6571" t="str">
            <v>PAIPA</v>
          </cell>
          <cell r="M6571" t="str">
            <v>3112938053</v>
          </cell>
        </row>
        <row r="6572">
          <cell r="A6572">
            <v>1053614383</v>
          </cell>
          <cell r="B6572" t="str">
            <v/>
          </cell>
          <cell r="C6572" t="str">
            <v/>
          </cell>
          <cell r="D6572" t="str">
            <v>CC</v>
          </cell>
          <cell r="E6572" t="str">
            <v>OSCAR LEONARDO</v>
          </cell>
          <cell r="F6572" t="str">
            <v>CONTRERAS SALCEDO</v>
          </cell>
          <cell r="G6572" t="str">
            <v>CONTRERAS SALCEDO OSCAR LEONARDO</v>
          </cell>
          <cell r="H6572" t="str">
            <v>FUNC</v>
          </cell>
          <cell r="I6572" t="str">
            <v>FUNCIONARIO</v>
          </cell>
          <cell r="J6572" t="str">
            <v>CLLE 24C # 9-31</v>
          </cell>
          <cell r="K6572" t="str">
            <v>15516</v>
          </cell>
          <cell r="L6572" t="str">
            <v>PAIPA</v>
          </cell>
          <cell r="M6572" t="str">
            <v>3108665403</v>
          </cell>
        </row>
        <row r="6573">
          <cell r="A6573">
            <v>1053615018</v>
          </cell>
          <cell r="B6573" t="str">
            <v/>
          </cell>
          <cell r="C6573" t="str">
            <v/>
          </cell>
          <cell r="D6573" t="str">
            <v>CC</v>
          </cell>
          <cell r="E6573" t="str">
            <v>LEONARD CAMILO</v>
          </cell>
          <cell r="F6573" t="str">
            <v>RODRIGUEZ IGUATIVA</v>
          </cell>
          <cell r="G6573" t="str">
            <v>RODRIGUEZ IGUATIVA LEONARD CAMILO</v>
          </cell>
          <cell r="H6573" t="str">
            <v>FUNC</v>
          </cell>
          <cell r="I6573" t="str">
            <v>FUNCIONARIO</v>
          </cell>
          <cell r="J6573" t="str">
            <v>CR 21   25   42</v>
          </cell>
          <cell r="K6573" t="str">
            <v>15516</v>
          </cell>
          <cell r="L6573" t="str">
            <v>PAIPA</v>
          </cell>
          <cell r="M6573" t="str">
            <v>3134572076</v>
          </cell>
        </row>
        <row r="6574">
          <cell r="A6574">
            <v>1053615214</v>
          </cell>
          <cell r="B6574" t="str">
            <v/>
          </cell>
          <cell r="C6574" t="str">
            <v/>
          </cell>
          <cell r="D6574" t="str">
            <v>CC</v>
          </cell>
          <cell r="E6574" t="str">
            <v>PAULA ANDREA</v>
          </cell>
          <cell r="F6574" t="str">
            <v>CHAPARRO VARGAS</v>
          </cell>
          <cell r="G6574" t="str">
            <v>CHAPARRO VARGAS PAULA ANDREA</v>
          </cell>
          <cell r="H6574" t="str">
            <v>FUNC</v>
          </cell>
          <cell r="I6574" t="str">
            <v>FUNCIONARIO</v>
          </cell>
          <cell r="J6574" t="str">
            <v>VRD EL VOLCAN DE PAIPA</v>
          </cell>
          <cell r="K6574" t="str">
            <v>15516</v>
          </cell>
          <cell r="L6574" t="str">
            <v>PAIPA</v>
          </cell>
          <cell r="M6574" t="str">
            <v>3123370885</v>
          </cell>
        </row>
        <row r="6575">
          <cell r="A6575">
            <v>1053615291</v>
          </cell>
          <cell r="B6575" t="str">
            <v/>
          </cell>
          <cell r="C6575" t="str">
            <v/>
          </cell>
          <cell r="D6575" t="str">
            <v>CC</v>
          </cell>
          <cell r="E6575" t="str">
            <v>JAIDER ALEXANDER</v>
          </cell>
          <cell r="F6575" t="str">
            <v>VILLADIEGO GOMEZ</v>
          </cell>
          <cell r="G6575" t="str">
            <v>VILLADIEGO GOMEZ JAIDER ALEXANDER</v>
          </cell>
          <cell r="H6575" t="str">
            <v>FUNC</v>
          </cell>
          <cell r="I6575" t="str">
            <v>FUNCIONARIO</v>
          </cell>
          <cell r="J6575" t="str">
            <v>SECTOR EL MANZANO</v>
          </cell>
          <cell r="K6575" t="str">
            <v>15759</v>
          </cell>
          <cell r="L6575" t="str">
            <v>SOGAMOSO</v>
          </cell>
          <cell r="M6575" t="str">
            <v>3209275024</v>
          </cell>
        </row>
        <row r="6576">
          <cell r="A6576">
            <v>1053615408</v>
          </cell>
          <cell r="B6576" t="str">
            <v/>
          </cell>
          <cell r="C6576" t="str">
            <v/>
          </cell>
          <cell r="D6576" t="str">
            <v>CC</v>
          </cell>
          <cell r="E6576" t="str">
            <v>EYIBER</v>
          </cell>
          <cell r="F6576" t="str">
            <v>CARDENAS LUIS</v>
          </cell>
          <cell r="G6576" t="str">
            <v>CARDENAS LUIS EYIBER</v>
          </cell>
          <cell r="H6576" t="str">
            <v>FUNC</v>
          </cell>
          <cell r="I6576" t="str">
            <v>FUNCIONARIO</v>
          </cell>
          <cell r="J6576" t="str">
            <v>VRD EL VOLCAN</v>
          </cell>
          <cell r="K6576" t="str">
            <v>15516</v>
          </cell>
          <cell r="L6576" t="str">
            <v>PAIPA</v>
          </cell>
          <cell r="M6576" t="str">
            <v>3143228490646</v>
          </cell>
        </row>
        <row r="6577">
          <cell r="A6577">
            <v>1053615684</v>
          </cell>
          <cell r="B6577" t="str">
            <v>1</v>
          </cell>
          <cell r="C6577" t="str">
            <v/>
          </cell>
          <cell r="D6577" t="str">
            <v>NP</v>
          </cell>
          <cell r="E6577" t="str">
            <v>ANDREA YOLIMA</v>
          </cell>
          <cell r="F6577" t="str">
            <v>APONTE RUIZ</v>
          </cell>
          <cell r="G6577" t="str">
            <v>APONTE RUIZ ANDREA YOLIMA</v>
          </cell>
          <cell r="H6577" t="str">
            <v>RESI</v>
          </cell>
          <cell r="I6577" t="str">
            <v>REGIMEN SIMPLIFICADO</v>
          </cell>
          <cell r="J6577" t="str">
            <v>DS 46 6 51 BRR CRISTALES</v>
          </cell>
          <cell r="K6577" t="str">
            <v>15001</v>
          </cell>
          <cell r="L6577" t="str">
            <v>TUNJA</v>
          </cell>
          <cell r="M6577" t="str">
            <v>3213155276</v>
          </cell>
        </row>
        <row r="6578">
          <cell r="A6578">
            <v>1053616372</v>
          </cell>
          <cell r="B6578" t="str">
            <v/>
          </cell>
          <cell r="C6578" t="str">
            <v/>
          </cell>
          <cell r="D6578" t="str">
            <v>CC</v>
          </cell>
          <cell r="E6578" t="str">
            <v>BRAYAN ANDRES</v>
          </cell>
          <cell r="F6578" t="str">
            <v>PATIÑO SAAVEDRA</v>
          </cell>
          <cell r="G6578" t="str">
            <v>PATIÑO SAAVEDRA BRAYAN ANDRES</v>
          </cell>
          <cell r="H6578" t="str">
            <v>FUNC</v>
          </cell>
          <cell r="I6578" t="str">
            <v>FUNCIONARIO</v>
          </cell>
          <cell r="J6578" t="str">
            <v>MZ 19 C9 ESTACIÓN DE ALEJANDRA</v>
          </cell>
          <cell r="K6578" t="str">
            <v>15516</v>
          </cell>
          <cell r="L6578" t="str">
            <v>PAIPA</v>
          </cell>
          <cell r="M6578" t="str">
            <v>3165779037</v>
          </cell>
        </row>
        <row r="6579">
          <cell r="A6579">
            <v>1053616436</v>
          </cell>
          <cell r="B6579" t="str">
            <v/>
          </cell>
          <cell r="C6579" t="str">
            <v/>
          </cell>
          <cell r="D6579" t="str">
            <v>CC</v>
          </cell>
          <cell r="E6579" t="str">
            <v>OSCAR ALEJANDRO</v>
          </cell>
          <cell r="F6579" t="str">
            <v>RODRIGUEZ HIGUERA</v>
          </cell>
          <cell r="G6579" t="str">
            <v>RODRIGUEZ HIGUERA OSCAR ALEJANDRO</v>
          </cell>
          <cell r="H6579" t="str">
            <v>FUNC</v>
          </cell>
          <cell r="I6579" t="str">
            <v>FUNCIONARIO</v>
          </cell>
          <cell r="J6579" t="str">
            <v>CL 22 24 05</v>
          </cell>
          <cell r="K6579" t="str">
            <v>15238</v>
          </cell>
          <cell r="L6579" t="str">
            <v>DUITAMA</v>
          </cell>
          <cell r="M6579" t="str">
            <v>3212820667</v>
          </cell>
        </row>
        <row r="6580">
          <cell r="A6580">
            <v>1053616574</v>
          </cell>
          <cell r="B6580" t="str">
            <v/>
          </cell>
          <cell r="C6580" t="str">
            <v/>
          </cell>
          <cell r="D6580" t="str">
            <v>CC</v>
          </cell>
          <cell r="E6580" t="str">
            <v>SERGIO ANDRES</v>
          </cell>
          <cell r="F6580" t="str">
            <v>TUTA TOBAR</v>
          </cell>
          <cell r="G6580" t="str">
            <v>TUTA TOBAR SERGIO ANDRES</v>
          </cell>
          <cell r="H6580" t="str">
            <v>FUNC</v>
          </cell>
          <cell r="I6580" t="str">
            <v>FUNCIONARIO</v>
          </cell>
          <cell r="J6580" t="str">
            <v>CL 11 23 10</v>
          </cell>
          <cell r="K6580" t="str">
            <v>15516</v>
          </cell>
          <cell r="L6580" t="str">
            <v>PAIPA</v>
          </cell>
          <cell r="M6580" t="str">
            <v>3157100147</v>
          </cell>
        </row>
        <row r="6581">
          <cell r="A6581">
            <v>1053616772</v>
          </cell>
          <cell r="B6581" t="str">
            <v/>
          </cell>
          <cell r="C6581" t="str">
            <v/>
          </cell>
          <cell r="D6581" t="str">
            <v>CC</v>
          </cell>
          <cell r="E6581" t="str">
            <v>BRAYAN JULIAN</v>
          </cell>
          <cell r="F6581" t="str">
            <v>CARDENAS  CARDENAS</v>
          </cell>
          <cell r="G6581" t="str">
            <v>CARDENAS  CARDENAS BRAYAN JULIAN</v>
          </cell>
          <cell r="H6581" t="str">
            <v>FUNC</v>
          </cell>
          <cell r="I6581" t="str">
            <v>FUNCIONARIO</v>
          </cell>
          <cell r="J6581" t="str">
            <v>VRD EL VOLCAN</v>
          </cell>
          <cell r="K6581" t="str">
            <v>15516</v>
          </cell>
          <cell r="L6581" t="str">
            <v>PAIPA</v>
          </cell>
          <cell r="M6581" t="str">
            <v>3263292450</v>
          </cell>
        </row>
        <row r="6582">
          <cell r="A6582">
            <v>1053664214</v>
          </cell>
          <cell r="B6582" t="str">
            <v>2</v>
          </cell>
          <cell r="C6582" t="str">
            <v/>
          </cell>
          <cell r="D6582" t="str">
            <v>NP</v>
          </cell>
          <cell r="E6582" t="str">
            <v>JUAN DAVID</v>
          </cell>
          <cell r="F6582" t="str">
            <v>MARTINEZ DIAZ</v>
          </cell>
          <cell r="G6582" t="str">
            <v>MARTINEZ DIAZ JUAN DAVID</v>
          </cell>
          <cell r="H6582" t="str">
            <v>RESI</v>
          </cell>
          <cell r="I6582" t="str">
            <v>REGIMEN SIMPLIFICADO</v>
          </cell>
          <cell r="J6582" t="str">
            <v>CR 4B  18 B  52</v>
          </cell>
          <cell r="K6582" t="str">
            <v>15238</v>
          </cell>
          <cell r="L6582" t="str">
            <v>DUITAMA</v>
          </cell>
          <cell r="M6582" t="str">
            <v>3134756479</v>
          </cell>
        </row>
        <row r="6583">
          <cell r="A6583">
            <v>1053664316</v>
          </cell>
          <cell r="B6583" t="str">
            <v/>
          </cell>
          <cell r="C6583" t="str">
            <v/>
          </cell>
          <cell r="D6583" t="str">
            <v>CC</v>
          </cell>
          <cell r="E6583" t="str">
            <v>CARLOS ANDRES</v>
          </cell>
          <cell r="F6583" t="str">
            <v>ROJAS DIAZ</v>
          </cell>
          <cell r="G6583" t="str">
            <v>ROJAS DIAZ CARLOS ANDRES</v>
          </cell>
          <cell r="H6583" t="str">
            <v>FUNC</v>
          </cell>
          <cell r="I6583" t="str">
            <v>FUNCIONARIO</v>
          </cell>
          <cell r="J6583" t="str">
            <v>CALLE 13 No-16-58 DUITAMA</v>
          </cell>
          <cell r="K6583" t="str">
            <v>15238</v>
          </cell>
          <cell r="L6583" t="str">
            <v>DUITAMA</v>
          </cell>
          <cell r="M6583" t="str">
            <v>000</v>
          </cell>
        </row>
        <row r="6584">
          <cell r="A6584">
            <v>1053764383</v>
          </cell>
          <cell r="B6584" t="str">
            <v/>
          </cell>
          <cell r="C6584" t="str">
            <v/>
          </cell>
          <cell r="D6584" t="str">
            <v>CC</v>
          </cell>
          <cell r="E6584" t="str">
            <v>JULIO ANDRES</v>
          </cell>
          <cell r="F6584" t="str">
            <v>LONDOÑO CARDONA</v>
          </cell>
          <cell r="G6584" t="str">
            <v>LONDOÑO CARDONA JULIO ANDRES</v>
          </cell>
          <cell r="H6584" t="str">
            <v>FUNC</v>
          </cell>
          <cell r="I6584" t="str">
            <v>FUNCIONARIO</v>
          </cell>
          <cell r="J6584" t="str">
            <v>CL 166   46   61 AP 201</v>
          </cell>
          <cell r="K6584" t="str">
            <v>17001</v>
          </cell>
          <cell r="L6584" t="str">
            <v>MANIZALES</v>
          </cell>
          <cell r="M6584" t="str">
            <v>4810578</v>
          </cell>
        </row>
        <row r="6585">
          <cell r="A6585">
            <v>1053765003</v>
          </cell>
          <cell r="B6585" t="str">
            <v/>
          </cell>
          <cell r="C6585" t="str">
            <v/>
          </cell>
          <cell r="D6585" t="str">
            <v>CC</v>
          </cell>
          <cell r="E6585" t="str">
            <v>JONATHAN RUBEN</v>
          </cell>
          <cell r="F6585" t="str">
            <v>TABARES CASTRILLON</v>
          </cell>
          <cell r="G6585" t="str">
            <v>TABARES CASTRILLON JONATHAN RUBEN</v>
          </cell>
          <cell r="H6585" t="str">
            <v>FUNC</v>
          </cell>
          <cell r="I6585" t="str">
            <v>FUNCIONARIO</v>
          </cell>
          <cell r="J6585" t="str">
            <v>CR 31 A   67 B 01</v>
          </cell>
          <cell r="K6585" t="str">
            <v>17001</v>
          </cell>
          <cell r="L6585" t="str">
            <v>MANIZALES</v>
          </cell>
          <cell r="M6585" t="str">
            <v>3113434203</v>
          </cell>
        </row>
        <row r="6586">
          <cell r="A6586">
            <v>1053765843</v>
          </cell>
          <cell r="B6586" t="str">
            <v/>
          </cell>
          <cell r="C6586" t="str">
            <v/>
          </cell>
          <cell r="D6586" t="str">
            <v>CC</v>
          </cell>
          <cell r="E6586" t="str">
            <v>DIANA MARCELA</v>
          </cell>
          <cell r="F6586" t="str">
            <v>GUZMAN HERRERA</v>
          </cell>
          <cell r="G6586" t="str">
            <v>GUZMAN HERRERA DIANA MARCELA</v>
          </cell>
          <cell r="H6586" t="str">
            <v>FUNC</v>
          </cell>
          <cell r="I6586" t="str">
            <v>FUNCIONARIO</v>
          </cell>
          <cell r="J6586" t="str">
            <v>CR 31   50 A   50</v>
          </cell>
          <cell r="K6586" t="str">
            <v>17001</v>
          </cell>
          <cell r="L6586" t="str">
            <v>MANIZALES</v>
          </cell>
          <cell r="M6586" t="str">
            <v>3128854019</v>
          </cell>
        </row>
        <row r="6587">
          <cell r="A6587">
            <v>1053766243</v>
          </cell>
          <cell r="B6587" t="str">
            <v>4</v>
          </cell>
          <cell r="C6587" t="str">
            <v/>
          </cell>
          <cell r="D6587" t="str">
            <v>NP</v>
          </cell>
          <cell r="E6587" t="str">
            <v>YAHILING</v>
          </cell>
          <cell r="F6587" t="str">
            <v>ZULUAGA MUÑOZ</v>
          </cell>
          <cell r="G6587" t="str">
            <v>ZULUAGA MUÑOZ YAHILING</v>
          </cell>
          <cell r="H6587" t="str">
            <v>RESI</v>
          </cell>
          <cell r="I6587" t="str">
            <v>REGIMEN SIMPLIFICADO</v>
          </cell>
          <cell r="J6587" t="str">
            <v>BRR VILLA ALIX CENTRO</v>
          </cell>
          <cell r="K6587" t="str">
            <v>97001</v>
          </cell>
          <cell r="L6587" t="str">
            <v>MITÚ</v>
          </cell>
          <cell r="M6587" t="str">
            <v>3176359240</v>
          </cell>
        </row>
        <row r="6588">
          <cell r="A6588">
            <v>1053766612</v>
          </cell>
          <cell r="B6588" t="str">
            <v/>
          </cell>
          <cell r="C6588" t="str">
            <v/>
          </cell>
          <cell r="D6588" t="str">
            <v>CC</v>
          </cell>
          <cell r="E6588" t="str">
            <v>ANDRES FELIPE</v>
          </cell>
          <cell r="F6588" t="str">
            <v>RUIZ ECHEVERRY</v>
          </cell>
          <cell r="G6588" t="str">
            <v>ANDRES FELIPE RUIZ ECHEVERRY</v>
          </cell>
          <cell r="H6588" t="str">
            <v>FUNC</v>
          </cell>
          <cell r="I6588" t="str">
            <v>FUNCIONARIO</v>
          </cell>
          <cell r="J6588" t="str">
            <v>CR 31 A   42   27</v>
          </cell>
          <cell r="K6588" t="str">
            <v>17001</v>
          </cell>
          <cell r="L6588" t="str">
            <v>MANIZALES</v>
          </cell>
          <cell r="M6588" t="str">
            <v>8882945</v>
          </cell>
        </row>
        <row r="6589">
          <cell r="A6589">
            <v>1053767832</v>
          </cell>
          <cell r="B6589" t="str">
            <v/>
          </cell>
          <cell r="C6589" t="str">
            <v/>
          </cell>
          <cell r="D6589" t="str">
            <v>CC</v>
          </cell>
          <cell r="E6589" t="str">
            <v>DYOMEDES</v>
          </cell>
          <cell r="F6589" t="str">
            <v>GÓMEZ GALLEGO</v>
          </cell>
          <cell r="G6589" t="str">
            <v>GÓMEZ GALLEGO DYOMEDES</v>
          </cell>
          <cell r="H6589" t="str">
            <v>FUNC</v>
          </cell>
          <cell r="I6589" t="str">
            <v>FUNCIONARIO</v>
          </cell>
          <cell r="J6589" t="str">
            <v>CARRERA 35 A 100C-55</v>
          </cell>
          <cell r="K6589" t="str">
            <v>17001</v>
          </cell>
          <cell r="L6589" t="str">
            <v>MANIZALES</v>
          </cell>
          <cell r="M6589" t="str">
            <v>3113565959</v>
          </cell>
        </row>
        <row r="6590">
          <cell r="A6590">
            <v>1053768082</v>
          </cell>
          <cell r="B6590" t="str">
            <v/>
          </cell>
          <cell r="C6590" t="str">
            <v/>
          </cell>
          <cell r="D6590" t="str">
            <v>CC</v>
          </cell>
          <cell r="E6590" t="str">
            <v>JAIME AUGUSTO</v>
          </cell>
          <cell r="F6590" t="str">
            <v>GOMEZ DIAZ</v>
          </cell>
          <cell r="G6590" t="str">
            <v>GOMEZ DIAZ JAIME AUGUSTO</v>
          </cell>
          <cell r="H6590" t="str">
            <v>FUNC</v>
          </cell>
          <cell r="I6590" t="str">
            <v>FUNCIONARIO</v>
          </cell>
          <cell r="J6590" t="str">
            <v>CL 42   32 B 03 BL UI AP 303</v>
          </cell>
          <cell r="K6590" t="str">
            <v>17001</v>
          </cell>
          <cell r="L6590" t="str">
            <v>MANIZALES</v>
          </cell>
          <cell r="M6590" t="str">
            <v>8784134</v>
          </cell>
        </row>
        <row r="6591">
          <cell r="A6591">
            <v>1053769510</v>
          </cell>
          <cell r="B6591" t="str">
            <v>1</v>
          </cell>
          <cell r="C6591" t="str">
            <v/>
          </cell>
          <cell r="D6591" t="str">
            <v>NP</v>
          </cell>
          <cell r="E6591" t="str">
            <v>SEBASTIAN</v>
          </cell>
          <cell r="F6591" t="str">
            <v>BETANCURT ALZATE</v>
          </cell>
          <cell r="G6591" t="str">
            <v>BETANCURT ALZATE SEBASTIAN</v>
          </cell>
          <cell r="H6591" t="str">
            <v>RESI</v>
          </cell>
          <cell r="I6591" t="str">
            <v>REGIMEN SIMPLIFICADO</v>
          </cell>
          <cell r="J6591" t="str">
            <v>CR 7 A 51 A 27</v>
          </cell>
          <cell r="K6591" t="str">
            <v>17001</v>
          </cell>
          <cell r="L6591" t="str">
            <v>MANIZALES</v>
          </cell>
          <cell r="M6591" t="str">
            <v>3144593169</v>
          </cell>
        </row>
        <row r="6592">
          <cell r="A6592">
            <v>1053770428</v>
          </cell>
          <cell r="B6592" t="str">
            <v/>
          </cell>
          <cell r="C6592" t="str">
            <v/>
          </cell>
          <cell r="D6592" t="str">
            <v>CC</v>
          </cell>
          <cell r="E6592" t="str">
            <v>LIZA MARIA</v>
          </cell>
          <cell r="F6592" t="str">
            <v>CALDERON ESPITIA</v>
          </cell>
          <cell r="G6592" t="str">
            <v>CALDERON ESPITIA LIZA MARIA</v>
          </cell>
          <cell r="H6592" t="str">
            <v>FUNC</v>
          </cell>
          <cell r="I6592" t="str">
            <v>FUNCIONARIO</v>
          </cell>
          <cell r="J6592" t="str">
            <v>KM 10 VRD GUACAICA SAN ANTONIO</v>
          </cell>
          <cell r="K6592" t="str">
            <v>17486</v>
          </cell>
          <cell r="L6592" t="str">
            <v>NEIRA</v>
          </cell>
          <cell r="M6592" t="str">
            <v>3117818315</v>
          </cell>
        </row>
        <row r="6593">
          <cell r="A6593">
            <v>1053771454</v>
          </cell>
          <cell r="B6593" t="str">
            <v>1</v>
          </cell>
          <cell r="C6593" t="str">
            <v/>
          </cell>
          <cell r="D6593" t="str">
            <v>NP</v>
          </cell>
          <cell r="E6593" t="str">
            <v>JOANY</v>
          </cell>
          <cell r="F6593" t="str">
            <v>OCAMPO GARCIA</v>
          </cell>
          <cell r="G6593" t="str">
            <v>OCAMPO GARCIA JOANY</v>
          </cell>
          <cell r="H6593" t="str">
            <v>RESI</v>
          </cell>
          <cell r="I6593" t="str">
            <v>REGIMEN SIMPLIFICADO</v>
          </cell>
          <cell r="J6593" t="str">
            <v>CL 61 32 E 04</v>
          </cell>
          <cell r="K6593" t="str">
            <v>17001</v>
          </cell>
          <cell r="L6593" t="str">
            <v>MANIZALES</v>
          </cell>
          <cell r="M6593" t="str">
            <v>3122165851</v>
          </cell>
        </row>
        <row r="6594">
          <cell r="A6594">
            <v>1053771732</v>
          </cell>
          <cell r="B6594" t="str">
            <v/>
          </cell>
          <cell r="C6594" t="str">
            <v/>
          </cell>
          <cell r="D6594" t="str">
            <v>CC</v>
          </cell>
          <cell r="E6594" t="str">
            <v>CARLOS ANDRES</v>
          </cell>
          <cell r="F6594" t="str">
            <v>MORALES VASQUEZ</v>
          </cell>
          <cell r="G6594" t="str">
            <v>MORALES VASQUEZ CARLOS ANDRES</v>
          </cell>
          <cell r="H6594" t="str">
            <v>FUNC</v>
          </cell>
          <cell r="I6594" t="str">
            <v>FUNCIONARIO</v>
          </cell>
          <cell r="J6594" t="str">
            <v>CALLE 38 No 26B-37</v>
          </cell>
          <cell r="K6594" t="str">
            <v>17001</v>
          </cell>
          <cell r="L6594" t="str">
            <v>MANIZALES</v>
          </cell>
          <cell r="M6594" t="str">
            <v>3216428580</v>
          </cell>
        </row>
        <row r="6595">
          <cell r="A6595">
            <v>1053771943</v>
          </cell>
          <cell r="B6595" t="str">
            <v/>
          </cell>
          <cell r="C6595" t="str">
            <v/>
          </cell>
          <cell r="D6595" t="str">
            <v>CC</v>
          </cell>
          <cell r="E6595" t="str">
            <v>SUSANA</v>
          </cell>
          <cell r="F6595" t="str">
            <v>BETANCUR GONZALEZ</v>
          </cell>
          <cell r="G6595" t="str">
            <v>BETANCUR GONZALEZ SUSANA</v>
          </cell>
          <cell r="H6595" t="str">
            <v>FUNC</v>
          </cell>
          <cell r="I6595" t="str">
            <v>FUNCIONARIO</v>
          </cell>
          <cell r="J6595" t="str">
            <v>CL 13   2   26</v>
          </cell>
          <cell r="K6595" t="str">
            <v>17873</v>
          </cell>
          <cell r="L6595" t="str">
            <v>VILLAMARÍA</v>
          </cell>
          <cell r="M6595" t="str">
            <v>3128047117</v>
          </cell>
        </row>
        <row r="6596">
          <cell r="A6596">
            <v>1053774706</v>
          </cell>
          <cell r="B6596" t="str">
            <v>6</v>
          </cell>
          <cell r="C6596" t="str">
            <v/>
          </cell>
          <cell r="D6596" t="str">
            <v>NP</v>
          </cell>
          <cell r="E6596" t="str">
            <v>LINA MARIA</v>
          </cell>
          <cell r="F6596" t="str">
            <v>RAMIREZ CUARTAS</v>
          </cell>
          <cell r="G6596" t="str">
            <v>RAMIREZ CUARTAS LINA MARIA</v>
          </cell>
          <cell r="H6596" t="str">
            <v>RESI</v>
          </cell>
          <cell r="I6596" t="str">
            <v>REGIMEN SIMPLIFICADO</v>
          </cell>
          <cell r="J6596" t="str">
            <v>CL 52 22 116</v>
          </cell>
          <cell r="K6596" t="str">
            <v>17001</v>
          </cell>
          <cell r="L6596" t="str">
            <v>MANIZALES</v>
          </cell>
          <cell r="M6596" t="str">
            <v>3122193760</v>
          </cell>
        </row>
        <row r="6597">
          <cell r="A6597">
            <v>1053774904</v>
          </cell>
          <cell r="B6597" t="str">
            <v>8</v>
          </cell>
          <cell r="C6597" t="str">
            <v/>
          </cell>
          <cell r="D6597" t="str">
            <v>NP</v>
          </cell>
          <cell r="E6597" t="str">
            <v>MARÍA FERNANDA</v>
          </cell>
          <cell r="F6597" t="str">
            <v>MARTINEZ ZULUAGA</v>
          </cell>
          <cell r="G6597" t="str">
            <v>MARTINEZ ZULUAGA MARÍA FERNANDA</v>
          </cell>
          <cell r="H6597" t="str">
            <v>RESI</v>
          </cell>
          <cell r="I6597" t="str">
            <v>REGIMEN SIMPLIFICADO</v>
          </cell>
          <cell r="J6597" t="str">
            <v>K 25 N 6981 AP 405</v>
          </cell>
          <cell r="K6597" t="str">
            <v>66001</v>
          </cell>
          <cell r="L6597" t="str">
            <v>PEREIRA</v>
          </cell>
          <cell r="M6597" t="str">
            <v>3206487209</v>
          </cell>
        </row>
        <row r="6598">
          <cell r="A6598">
            <v>1053774906</v>
          </cell>
          <cell r="B6598" t="str">
            <v/>
          </cell>
          <cell r="C6598" t="str">
            <v/>
          </cell>
          <cell r="D6598" t="str">
            <v>CC</v>
          </cell>
          <cell r="E6598" t="str">
            <v xml:space="preserve">VALENTINA </v>
          </cell>
          <cell r="F6598" t="str">
            <v>OROZCO ARBOLEDA</v>
          </cell>
          <cell r="G6598" t="str">
            <v xml:space="preserve">OROZCO ARBOLEDA VALENTINA </v>
          </cell>
          <cell r="H6598" t="str">
            <v>FUNC</v>
          </cell>
          <cell r="I6598" t="str">
            <v>FUNCIONARIO</v>
          </cell>
          <cell r="J6598" t="str">
            <v>CL 21   4 A 24 LA CEIBA CHINCHINA</v>
          </cell>
          <cell r="K6598" t="str">
            <v>17001</v>
          </cell>
          <cell r="L6598" t="str">
            <v>MANIZALES</v>
          </cell>
          <cell r="M6598" t="str">
            <v>8401134</v>
          </cell>
        </row>
        <row r="6599">
          <cell r="A6599">
            <v>1053775047</v>
          </cell>
          <cell r="B6599" t="str">
            <v>5</v>
          </cell>
          <cell r="C6599" t="str">
            <v/>
          </cell>
          <cell r="D6599" t="str">
            <v>NP</v>
          </cell>
          <cell r="E6599" t="str">
            <v>AURA ESTELA</v>
          </cell>
          <cell r="F6599" t="str">
            <v>GOMEZ MERCADO</v>
          </cell>
          <cell r="G6599" t="str">
            <v>GOMEZ MERCADO AURA ESTELA</v>
          </cell>
          <cell r="H6599" t="str">
            <v>RESI</v>
          </cell>
          <cell r="I6599" t="str">
            <v>REGIMEN SIMPLIFICADO</v>
          </cell>
          <cell r="J6599" t="str">
            <v>CR 19 72 44</v>
          </cell>
          <cell r="K6599" t="str">
            <v>17001</v>
          </cell>
          <cell r="L6599" t="str">
            <v>MANIZALES</v>
          </cell>
          <cell r="M6599" t="str">
            <v>8867363</v>
          </cell>
        </row>
        <row r="6600">
          <cell r="A6600">
            <v>1053775217</v>
          </cell>
          <cell r="B6600" t="str">
            <v/>
          </cell>
          <cell r="C6600" t="str">
            <v/>
          </cell>
          <cell r="D6600" t="str">
            <v>CC</v>
          </cell>
          <cell r="E6600" t="str">
            <v>TATIANA</v>
          </cell>
          <cell r="F6600" t="str">
            <v>CASTILLO ZAPATA</v>
          </cell>
          <cell r="G6600" t="str">
            <v>CASTILLO ZAPATA TATIANA</v>
          </cell>
          <cell r="H6600" t="str">
            <v>FUNC</v>
          </cell>
          <cell r="I6600" t="str">
            <v>FUNCIONARIO</v>
          </cell>
          <cell r="J6600" t="str">
            <v>CL 70 20 71</v>
          </cell>
          <cell r="K6600" t="str">
            <v>17001</v>
          </cell>
          <cell r="L6600" t="str">
            <v>MANIZALES</v>
          </cell>
          <cell r="M6600" t="str">
            <v>3013272000</v>
          </cell>
        </row>
        <row r="6601">
          <cell r="A6601">
            <v>1053775261</v>
          </cell>
          <cell r="B6601" t="str">
            <v>5</v>
          </cell>
          <cell r="C6601" t="str">
            <v/>
          </cell>
          <cell r="D6601" t="str">
            <v>NP</v>
          </cell>
          <cell r="E6601" t="str">
            <v>ANDRES FELIPE</v>
          </cell>
          <cell r="F6601" t="str">
            <v>MARIN JIMENEZ</v>
          </cell>
          <cell r="G6601" t="str">
            <v>MARIN JIMENEZ ANDRES FELIPE</v>
          </cell>
          <cell r="H6601" t="str">
            <v>RESI</v>
          </cell>
          <cell r="I6601" t="str">
            <v>REGIMEN SIMPLIFICADO</v>
          </cell>
          <cell r="J6601" t="str">
            <v>CL 67  28 B  36</v>
          </cell>
          <cell r="K6601" t="str">
            <v>17001</v>
          </cell>
          <cell r="L6601" t="str">
            <v>MANIZALES</v>
          </cell>
          <cell r="M6601" t="str">
            <v>3002353936</v>
          </cell>
        </row>
        <row r="6602">
          <cell r="A6602">
            <v>1053775407</v>
          </cell>
          <cell r="B6602" t="str">
            <v/>
          </cell>
          <cell r="C6602" t="str">
            <v/>
          </cell>
          <cell r="D6602" t="str">
            <v>CC</v>
          </cell>
          <cell r="E6602" t="str">
            <v>CLAUDIA MARCELA</v>
          </cell>
          <cell r="F6602" t="str">
            <v>CRUZ CORREA</v>
          </cell>
          <cell r="G6602" t="str">
            <v>CRUZ CORREA CLAUDIA MARCELA</v>
          </cell>
          <cell r="H6602" t="str">
            <v>FUNC</v>
          </cell>
          <cell r="I6602" t="str">
            <v>FUNCIONARIO</v>
          </cell>
          <cell r="J6602" t="str">
            <v>CL 33   25   29</v>
          </cell>
          <cell r="K6602" t="str">
            <v>17001</v>
          </cell>
          <cell r="L6602" t="str">
            <v>MANIZALES</v>
          </cell>
          <cell r="M6602" t="str">
            <v>8840648</v>
          </cell>
        </row>
        <row r="6603">
          <cell r="A6603">
            <v>1053776178</v>
          </cell>
          <cell r="B6603" t="str">
            <v/>
          </cell>
          <cell r="C6603" t="str">
            <v/>
          </cell>
          <cell r="D6603" t="str">
            <v>CC</v>
          </cell>
          <cell r="E6603" t="str">
            <v>CINDY YULIANA</v>
          </cell>
          <cell r="F6603" t="str">
            <v>TORRES MUÑOZ</v>
          </cell>
          <cell r="G6603" t="str">
            <v>TORRES MUÑOZ CINDY YULIANA</v>
          </cell>
          <cell r="H6603" t="str">
            <v>FUNC</v>
          </cell>
          <cell r="I6603" t="str">
            <v>FUNCIONARIO</v>
          </cell>
          <cell r="J6603" t="str">
            <v>CL 39   33   11 BL F AP 204</v>
          </cell>
          <cell r="K6603" t="str">
            <v>17001</v>
          </cell>
          <cell r="L6603" t="str">
            <v>MANIZALES</v>
          </cell>
          <cell r="M6603" t="str">
            <v>3173226372</v>
          </cell>
        </row>
        <row r="6604">
          <cell r="A6604">
            <v>1053776438</v>
          </cell>
          <cell r="B6604" t="str">
            <v>6</v>
          </cell>
          <cell r="C6604" t="str">
            <v/>
          </cell>
          <cell r="D6604" t="str">
            <v>NP</v>
          </cell>
          <cell r="E6604" t="str">
            <v>RAFAEL</v>
          </cell>
          <cell r="F6604" t="str">
            <v>GOMEZ GOMEZ</v>
          </cell>
          <cell r="G6604" t="str">
            <v>RAFAEL GOMEZ GOMEZ</v>
          </cell>
          <cell r="H6604" t="str">
            <v>RESI</v>
          </cell>
          <cell r="I6604" t="str">
            <v>REGIMEN SIMPLIFICADO</v>
          </cell>
          <cell r="J6604" t="str">
            <v xml:space="preserve"> CR 28 C  68  23</v>
          </cell>
          <cell r="K6604" t="str">
            <v>17001</v>
          </cell>
          <cell r="L6604" t="str">
            <v>MANIZALES</v>
          </cell>
          <cell r="M6604" t="str">
            <v>8870210</v>
          </cell>
        </row>
        <row r="6605">
          <cell r="A6605">
            <v>1053776969</v>
          </cell>
          <cell r="B6605" t="str">
            <v/>
          </cell>
          <cell r="C6605" t="str">
            <v/>
          </cell>
          <cell r="D6605" t="str">
            <v>CC</v>
          </cell>
          <cell r="E6605" t="str">
            <v>LINA MARCELA</v>
          </cell>
          <cell r="F6605" t="str">
            <v>CESPEDES JARAMILLO</v>
          </cell>
          <cell r="G6605" t="str">
            <v>CESPEDES JARAMILLO LINA MARCELA</v>
          </cell>
          <cell r="H6605" t="str">
            <v>FUNC</v>
          </cell>
          <cell r="I6605" t="str">
            <v>FUNCIONARIO</v>
          </cell>
          <cell r="J6605" t="str">
            <v>CRA 23 NRO 23-33</v>
          </cell>
          <cell r="K6605" t="str">
            <v>17001</v>
          </cell>
          <cell r="L6605" t="str">
            <v>MANIZALES</v>
          </cell>
          <cell r="M6605" t="str">
            <v>3105184892</v>
          </cell>
        </row>
        <row r="6606">
          <cell r="A6606">
            <v>1053777735</v>
          </cell>
          <cell r="B6606" t="str">
            <v>3</v>
          </cell>
          <cell r="C6606" t="str">
            <v/>
          </cell>
          <cell r="D6606" t="str">
            <v>NP</v>
          </cell>
          <cell r="E6606" t="str">
            <v>CATALINA</v>
          </cell>
          <cell r="F6606" t="str">
            <v>VALLEJO MARTINEZ</v>
          </cell>
          <cell r="G6606" t="str">
            <v>VALLEJO MARTINEZ CATALINA</v>
          </cell>
          <cell r="H6606" t="str">
            <v>RESI</v>
          </cell>
          <cell r="I6606" t="str">
            <v>REGIMEN SIMPLIFICADO</v>
          </cell>
          <cell r="J6606" t="str">
            <v>CR 17 4 60 BRR LA FRANCIA</v>
          </cell>
          <cell r="K6606" t="str">
            <v>17001</v>
          </cell>
          <cell r="L6606" t="str">
            <v>MANIZALES</v>
          </cell>
          <cell r="M6606" t="str">
            <v>3127422482</v>
          </cell>
        </row>
        <row r="6607">
          <cell r="A6607">
            <v>1053779195</v>
          </cell>
          <cell r="B6607" t="str">
            <v/>
          </cell>
          <cell r="C6607" t="str">
            <v/>
          </cell>
          <cell r="D6607" t="str">
            <v>CC</v>
          </cell>
          <cell r="E6607" t="str">
            <v>NATALIA</v>
          </cell>
          <cell r="F6607" t="str">
            <v>BARRAGAN CABEZAS</v>
          </cell>
          <cell r="G6607" t="str">
            <v>BARRAGAN CABEZAS NATALIA</v>
          </cell>
          <cell r="H6607" t="str">
            <v>FUNC</v>
          </cell>
          <cell r="I6607" t="str">
            <v>FUNCIONARIO</v>
          </cell>
          <cell r="J6607" t="str">
            <v>CL 38   32 A 21</v>
          </cell>
          <cell r="K6607" t="str">
            <v>17001</v>
          </cell>
          <cell r="L6607" t="str">
            <v>MANIZALES</v>
          </cell>
          <cell r="M6607" t="str">
            <v>8885093</v>
          </cell>
        </row>
        <row r="6608">
          <cell r="A6608">
            <v>1053779393</v>
          </cell>
          <cell r="B6608" t="str">
            <v/>
          </cell>
          <cell r="C6608" t="str">
            <v/>
          </cell>
          <cell r="D6608" t="str">
            <v>CC</v>
          </cell>
          <cell r="E6608" t="str">
            <v>JUAN CAMILO</v>
          </cell>
          <cell r="F6608" t="str">
            <v>ALZATE OCAMPO</v>
          </cell>
          <cell r="G6608" t="str">
            <v>ALZATE OCAMPO JUAN CAMILO</v>
          </cell>
          <cell r="H6608" t="str">
            <v>FUNC</v>
          </cell>
          <cell r="I6608" t="str">
            <v>FUNCIONARIO</v>
          </cell>
          <cell r="J6608" t="str">
            <v>CL 66   28   28 ED EL GRECO AP 301</v>
          </cell>
          <cell r="K6608" t="str">
            <v>17001</v>
          </cell>
          <cell r="L6608" t="str">
            <v>MANIZALES</v>
          </cell>
          <cell r="M6608" t="str">
            <v>3689078</v>
          </cell>
        </row>
        <row r="6609">
          <cell r="A6609">
            <v>1053779477</v>
          </cell>
          <cell r="B6609" t="str">
            <v/>
          </cell>
          <cell r="C6609" t="str">
            <v/>
          </cell>
          <cell r="D6609" t="str">
            <v>CC</v>
          </cell>
          <cell r="E6609" t="str">
            <v>JULIANA</v>
          </cell>
          <cell r="F6609" t="str">
            <v>BETANCUR VALENCIA</v>
          </cell>
          <cell r="G6609" t="str">
            <v>BETANCUR VALENCIA JULIANA</v>
          </cell>
          <cell r="H6609" t="str">
            <v>FUNC</v>
          </cell>
          <cell r="I6609" t="str">
            <v>FUNCIONARIO</v>
          </cell>
          <cell r="J6609" t="str">
            <v>CLL 54 N 24-11</v>
          </cell>
          <cell r="K6609" t="str">
            <v>17001</v>
          </cell>
          <cell r="L6609" t="str">
            <v>MANIZALES</v>
          </cell>
          <cell r="M6609" t="str">
            <v>3146781216</v>
          </cell>
        </row>
        <row r="6610">
          <cell r="A6610">
            <v>1053779602</v>
          </cell>
          <cell r="B6610" t="str">
            <v/>
          </cell>
          <cell r="C6610" t="str">
            <v/>
          </cell>
          <cell r="D6610" t="str">
            <v>CC</v>
          </cell>
          <cell r="E6610" t="str">
            <v>JENY PAOLA</v>
          </cell>
          <cell r="F6610" t="str">
            <v>ZAPATA MONTOYA</v>
          </cell>
          <cell r="G6610" t="str">
            <v>ZAPATA MONTOYA JENY PAOLA</v>
          </cell>
          <cell r="H6610" t="str">
            <v>FUNC</v>
          </cell>
          <cell r="I6610" t="str">
            <v>FUNCIONARIO</v>
          </cell>
          <cell r="J6610" t="str">
            <v>CR 6 12 13</v>
          </cell>
          <cell r="K6610" t="str">
            <v>17524</v>
          </cell>
          <cell r="L6610" t="str">
            <v>PALESTINA</v>
          </cell>
          <cell r="M6610" t="str">
            <v>3017729908</v>
          </cell>
        </row>
        <row r="6611">
          <cell r="A6611">
            <v>1053779605</v>
          </cell>
          <cell r="B6611" t="str">
            <v/>
          </cell>
          <cell r="C6611" t="str">
            <v/>
          </cell>
          <cell r="D6611" t="str">
            <v>CC</v>
          </cell>
          <cell r="E6611" t="str">
            <v>MANUELA</v>
          </cell>
          <cell r="F6611" t="str">
            <v>GOMEZ GONZALEZ</v>
          </cell>
          <cell r="G6611" t="str">
            <v>GOMEZ GONZALEZ MANUELA</v>
          </cell>
          <cell r="H6611" t="str">
            <v>FUNC</v>
          </cell>
          <cell r="I6611" t="str">
            <v>FUNCIONARIO</v>
          </cell>
          <cell r="J6611" t="str">
            <v>CL 69 8 56</v>
          </cell>
          <cell r="K6611" t="str">
            <v>17001</v>
          </cell>
          <cell r="L6611" t="str">
            <v>MANIZALES</v>
          </cell>
          <cell r="M6611" t="str">
            <v>8815923</v>
          </cell>
        </row>
        <row r="6612">
          <cell r="A6612">
            <v>1053779932</v>
          </cell>
          <cell r="B6612" t="str">
            <v/>
          </cell>
          <cell r="C6612" t="str">
            <v/>
          </cell>
          <cell r="D6612" t="str">
            <v>CC</v>
          </cell>
          <cell r="E6612" t="str">
            <v>ANDRES</v>
          </cell>
          <cell r="F6612" t="str">
            <v>DUQUE OSORIO</v>
          </cell>
          <cell r="G6612" t="str">
            <v>DUQUE OSORIO ANDRES</v>
          </cell>
          <cell r="H6612" t="str">
            <v>FUNC</v>
          </cell>
          <cell r="I6612" t="str">
            <v>FUNCIONARIO</v>
          </cell>
          <cell r="J6612" t="str">
            <v>CL 64   21   58</v>
          </cell>
          <cell r="K6612" t="str">
            <v>17001</v>
          </cell>
          <cell r="L6612" t="str">
            <v>MANIZALES</v>
          </cell>
          <cell r="M6612" t="str">
            <v>8851016</v>
          </cell>
        </row>
        <row r="6613">
          <cell r="A6613">
            <v>1053780052</v>
          </cell>
          <cell r="B6613" t="str">
            <v/>
          </cell>
          <cell r="C6613" t="str">
            <v/>
          </cell>
          <cell r="D6613" t="str">
            <v>CC</v>
          </cell>
          <cell r="E6613" t="str">
            <v>ANDREA</v>
          </cell>
          <cell r="F6613" t="str">
            <v>ACOSTA RODRIGUEZ</v>
          </cell>
          <cell r="G6613" t="str">
            <v>ACOSTA RODRIGUEZ ANDREA</v>
          </cell>
          <cell r="H6613" t="str">
            <v>FUNC</v>
          </cell>
          <cell r="I6613" t="str">
            <v>FUNCIONARIO</v>
          </cell>
          <cell r="J6613" t="str">
            <v>CR 18 A   7 C 40</v>
          </cell>
          <cell r="K6613" t="str">
            <v>17001</v>
          </cell>
          <cell r="L6613" t="str">
            <v>MANIZALES</v>
          </cell>
          <cell r="M6613" t="str">
            <v>8734963</v>
          </cell>
        </row>
        <row r="6614">
          <cell r="A6614">
            <v>1053780758</v>
          </cell>
          <cell r="B6614" t="str">
            <v/>
          </cell>
          <cell r="C6614" t="str">
            <v/>
          </cell>
          <cell r="D6614" t="str">
            <v>CC</v>
          </cell>
          <cell r="E6614" t="str">
            <v>ALEJANDRO</v>
          </cell>
          <cell r="F6614" t="str">
            <v>AGUDELO SALAZAR</v>
          </cell>
          <cell r="G6614" t="str">
            <v>AGUDELO SALAZAR ALEJANDRO</v>
          </cell>
          <cell r="H6614" t="str">
            <v>EXFU</v>
          </cell>
          <cell r="I6614" t="str">
            <v>EX-FUNCIONARIOS</v>
          </cell>
          <cell r="J6614" t="str">
            <v>CL 53 9 53</v>
          </cell>
          <cell r="K6614" t="str">
            <v>17001</v>
          </cell>
          <cell r="L6614" t="str">
            <v>MANIZALES</v>
          </cell>
          <cell r="M6614" t="str">
            <v>3108613232</v>
          </cell>
        </row>
        <row r="6615">
          <cell r="A6615">
            <v>1053780845</v>
          </cell>
          <cell r="B6615" t="str">
            <v/>
          </cell>
          <cell r="C6615" t="str">
            <v/>
          </cell>
          <cell r="D6615" t="str">
            <v>CC</v>
          </cell>
          <cell r="E6615" t="str">
            <v>ISABEL LORENA</v>
          </cell>
          <cell r="F6615" t="str">
            <v>QUINTERO PEREZ</v>
          </cell>
          <cell r="G6615" t="str">
            <v>QUINTERO PEREZ ISABEL LORENA</v>
          </cell>
          <cell r="H6615" t="str">
            <v>FUNC</v>
          </cell>
          <cell r="I6615" t="str">
            <v>FUNCIONARIO</v>
          </cell>
          <cell r="J6615" t="str">
            <v>CRA 9 10 A-02</v>
          </cell>
          <cell r="K6615" t="str">
            <v>17001</v>
          </cell>
          <cell r="L6615" t="str">
            <v>MANIZALES</v>
          </cell>
          <cell r="M6615" t="str">
            <v>3246450400</v>
          </cell>
        </row>
        <row r="6616">
          <cell r="A6616">
            <v>1053780873</v>
          </cell>
          <cell r="B6616" t="str">
            <v/>
          </cell>
          <cell r="C6616" t="str">
            <v/>
          </cell>
          <cell r="D6616" t="str">
            <v>CC</v>
          </cell>
          <cell r="E6616" t="str">
            <v>CATALINA</v>
          </cell>
          <cell r="F6616" t="str">
            <v>MEJIA ZULUAGA</v>
          </cell>
          <cell r="G6616" t="str">
            <v>MEJIA ZULUAGA CATALINA</v>
          </cell>
          <cell r="H6616" t="str">
            <v>FUNC</v>
          </cell>
          <cell r="I6616" t="str">
            <v>FUNCIONARIO</v>
          </cell>
          <cell r="J6616" t="str">
            <v>BRR CORRALES DE MILAN AP 101</v>
          </cell>
          <cell r="K6616" t="str">
            <v>17001</v>
          </cell>
          <cell r="L6616" t="str">
            <v>MANIZALES</v>
          </cell>
          <cell r="M6616" t="str">
            <v>3187365234</v>
          </cell>
        </row>
        <row r="6617">
          <cell r="A6617">
            <v>1053780954</v>
          </cell>
          <cell r="B6617" t="str">
            <v>0</v>
          </cell>
          <cell r="C6617" t="str">
            <v/>
          </cell>
          <cell r="D6617" t="str">
            <v>NP</v>
          </cell>
          <cell r="E6617" t="str">
            <v>JUAN DIEGO</v>
          </cell>
          <cell r="F6617" t="str">
            <v>ESCOBAR ALZATE</v>
          </cell>
          <cell r="G6617" t="str">
            <v>ESCOBAR ALZATE JUAN DIEGO</v>
          </cell>
          <cell r="H6617" t="str">
            <v>RESI</v>
          </cell>
          <cell r="I6617" t="str">
            <v>REGIMEN SIMPLIFICADO</v>
          </cell>
          <cell r="J6617" t="str">
            <v>CR 27 81 C 04 CS 10</v>
          </cell>
          <cell r="K6617" t="str">
            <v>17001</v>
          </cell>
          <cell r="L6617" t="str">
            <v>MANIZALES</v>
          </cell>
          <cell r="M6617" t="str">
            <v>8744263</v>
          </cell>
        </row>
        <row r="6618">
          <cell r="A6618">
            <v>1053781170</v>
          </cell>
          <cell r="B6618" t="str">
            <v/>
          </cell>
          <cell r="C6618" t="str">
            <v/>
          </cell>
          <cell r="D6618" t="str">
            <v>CC</v>
          </cell>
          <cell r="E6618" t="str">
            <v>DAISY CAROLINA</v>
          </cell>
          <cell r="F6618" t="str">
            <v>CHAMORRO SOSA</v>
          </cell>
          <cell r="G6618" t="str">
            <v>CHAMORRO SOSA DAISY CAROLINA</v>
          </cell>
          <cell r="H6618" t="str">
            <v>FUNC</v>
          </cell>
          <cell r="I6618" t="str">
            <v>FUNCIONARIO</v>
          </cell>
          <cell r="J6618" t="str">
            <v>CL 53   25   50</v>
          </cell>
          <cell r="K6618" t="str">
            <v>17001</v>
          </cell>
          <cell r="L6618" t="str">
            <v>MANIZALES</v>
          </cell>
          <cell r="M6618" t="str">
            <v>3016374440</v>
          </cell>
        </row>
        <row r="6619">
          <cell r="A6619">
            <v>1053781233</v>
          </cell>
          <cell r="B6619" t="str">
            <v/>
          </cell>
          <cell r="C6619" t="str">
            <v/>
          </cell>
          <cell r="D6619" t="str">
            <v>CC</v>
          </cell>
          <cell r="E6619" t="str">
            <v>DIANA LORENA</v>
          </cell>
          <cell r="F6619" t="str">
            <v>CORREA BEDOYA</v>
          </cell>
          <cell r="G6619" t="str">
            <v>CORREA BEDOYA DIANA LORENA</v>
          </cell>
          <cell r="H6619" t="str">
            <v>FUNC</v>
          </cell>
          <cell r="I6619" t="str">
            <v>FUNCIONARIO</v>
          </cell>
          <cell r="J6619" t="str">
            <v>CLLE 103 AN # 32 A 28</v>
          </cell>
          <cell r="K6619" t="str">
            <v>17001</v>
          </cell>
          <cell r="L6619" t="str">
            <v>MANIZALES</v>
          </cell>
          <cell r="M6619" t="str">
            <v>3137559336</v>
          </cell>
        </row>
        <row r="6620">
          <cell r="A6620">
            <v>1053781594</v>
          </cell>
          <cell r="B6620" t="str">
            <v/>
          </cell>
          <cell r="C6620" t="str">
            <v/>
          </cell>
          <cell r="D6620" t="str">
            <v>CC</v>
          </cell>
          <cell r="E6620" t="str">
            <v>SEBASTIAN</v>
          </cell>
          <cell r="F6620" t="str">
            <v>OSSA GALLEGO</v>
          </cell>
          <cell r="G6620" t="str">
            <v>OSSA GALLEGO SEBASTIAN</v>
          </cell>
          <cell r="H6620" t="str">
            <v>FUNC</v>
          </cell>
          <cell r="I6620" t="str">
            <v>FUNCIONARIO</v>
          </cell>
          <cell r="J6620" t="str">
            <v>CL 4B N34 05 ASTURIAS</v>
          </cell>
          <cell r="K6620" t="str">
            <v>17001</v>
          </cell>
          <cell r="L6620" t="str">
            <v>MANIZALES</v>
          </cell>
          <cell r="M6620" t="str">
            <v>8890058</v>
          </cell>
        </row>
        <row r="6621">
          <cell r="A6621">
            <v>1053781847</v>
          </cell>
          <cell r="B6621" t="str">
            <v>5</v>
          </cell>
          <cell r="C6621" t="str">
            <v/>
          </cell>
          <cell r="D6621" t="str">
            <v>NP</v>
          </cell>
          <cell r="E6621" t="str">
            <v>MAYRA ANDREA</v>
          </cell>
          <cell r="F6621" t="str">
            <v>CASTRO HUERTAS</v>
          </cell>
          <cell r="G6621" t="str">
            <v>CASTRO HUERTAS MAYRA ANDREA</v>
          </cell>
          <cell r="H6621" t="str">
            <v>RESI</v>
          </cell>
          <cell r="I6621" t="str">
            <v>REGIMEN SIMPLIFICADO</v>
          </cell>
          <cell r="J6621" t="str">
            <v>CR 22 A 75 46 ED LOS CEREZOS BL 5 AP 401</v>
          </cell>
          <cell r="K6621" t="str">
            <v>17001</v>
          </cell>
          <cell r="L6621" t="str">
            <v>MANIZALES</v>
          </cell>
          <cell r="M6621" t="str">
            <v>3158709372</v>
          </cell>
        </row>
        <row r="6622">
          <cell r="A6622">
            <v>1053782699</v>
          </cell>
          <cell r="B6622" t="str">
            <v/>
          </cell>
          <cell r="C6622" t="str">
            <v/>
          </cell>
          <cell r="D6622" t="str">
            <v>CC</v>
          </cell>
          <cell r="E6622" t="str">
            <v>MARIA ALEJANDRA</v>
          </cell>
          <cell r="F6622" t="str">
            <v>GOMEZ GIRALDO</v>
          </cell>
          <cell r="G6622" t="str">
            <v>GOMEZ GIRALDO MARIA ALEJANDRA</v>
          </cell>
          <cell r="H6622" t="str">
            <v>FUNC</v>
          </cell>
          <cell r="I6622" t="str">
            <v>FUNCIONARIO</v>
          </cell>
          <cell r="J6622" t="str">
            <v>CR 44 11 A 10 BL 5 AP 402</v>
          </cell>
          <cell r="K6622" t="str">
            <v>17001</v>
          </cell>
          <cell r="L6622" t="str">
            <v>MANIZALES</v>
          </cell>
          <cell r="M6622" t="str">
            <v>8903266</v>
          </cell>
        </row>
        <row r="6623">
          <cell r="A6623">
            <v>1053783481</v>
          </cell>
          <cell r="B6623" t="str">
            <v/>
          </cell>
          <cell r="C6623" t="str">
            <v/>
          </cell>
          <cell r="D6623" t="str">
            <v>CC</v>
          </cell>
          <cell r="E6623" t="str">
            <v>PAULA ANDREA</v>
          </cell>
          <cell r="F6623" t="str">
            <v>BETANCUR OSPINA</v>
          </cell>
          <cell r="G6623" t="str">
            <v>BETANCUR OSPINA PAULA ANDREA</v>
          </cell>
          <cell r="H6623" t="str">
            <v>FUNC</v>
          </cell>
          <cell r="I6623" t="str">
            <v>FUNCIONARIO</v>
          </cell>
          <cell r="J6623" t="str">
            <v>CR 7   7   51</v>
          </cell>
          <cell r="K6623" t="str">
            <v>19318</v>
          </cell>
          <cell r="L6623" t="str">
            <v>GUAPI</v>
          </cell>
          <cell r="M6623" t="str">
            <v>3022247730</v>
          </cell>
        </row>
        <row r="6624">
          <cell r="A6624">
            <v>1053783992</v>
          </cell>
          <cell r="B6624" t="str">
            <v/>
          </cell>
          <cell r="C6624" t="str">
            <v/>
          </cell>
          <cell r="D6624" t="str">
            <v>CC</v>
          </cell>
          <cell r="E6624" t="str">
            <v>EDNA JULIANA</v>
          </cell>
          <cell r="F6624" t="str">
            <v>ZAPATA OCAMPO</v>
          </cell>
          <cell r="G6624" t="str">
            <v>ZAPATA OCAMPO EDNA JULIANA</v>
          </cell>
          <cell r="H6624" t="str">
            <v>FUNC</v>
          </cell>
          <cell r="I6624" t="str">
            <v>FUNCIONARIO</v>
          </cell>
          <cell r="J6624" t="str">
            <v>CR 1 11 41 BRR VILLAPILAR</v>
          </cell>
          <cell r="K6624" t="str">
            <v>17001</v>
          </cell>
          <cell r="L6624" t="str">
            <v>MANIZALES</v>
          </cell>
          <cell r="M6624" t="str">
            <v>8881870</v>
          </cell>
        </row>
        <row r="6625">
          <cell r="A6625">
            <v>1053784766</v>
          </cell>
          <cell r="B6625" t="str">
            <v/>
          </cell>
          <cell r="C6625" t="str">
            <v/>
          </cell>
          <cell r="D6625" t="str">
            <v>CC</v>
          </cell>
          <cell r="E6625" t="str">
            <v>YOHN EDISON</v>
          </cell>
          <cell r="F6625" t="str">
            <v>POLO GARZÓN</v>
          </cell>
          <cell r="G6625" t="str">
            <v>POLO GARZÓN YOHN EDISON</v>
          </cell>
          <cell r="H6625" t="str">
            <v>FUNC</v>
          </cell>
          <cell r="I6625" t="str">
            <v>FUNCIONARIO</v>
          </cell>
          <cell r="J6625" t="str">
            <v>CL 9 1 B 13</v>
          </cell>
          <cell r="K6625" t="str">
            <v>17873</v>
          </cell>
          <cell r="L6625" t="str">
            <v>VILLAMARÍA</v>
          </cell>
          <cell r="M6625" t="str">
            <v>8773509</v>
          </cell>
        </row>
        <row r="6626">
          <cell r="A6626">
            <v>1053785090</v>
          </cell>
          <cell r="B6626" t="str">
            <v/>
          </cell>
          <cell r="C6626" t="str">
            <v/>
          </cell>
          <cell r="D6626" t="str">
            <v>CC</v>
          </cell>
          <cell r="E6626" t="str">
            <v>JUAN DIEGO</v>
          </cell>
          <cell r="F6626" t="str">
            <v>ALVAREZ CANDAMIL</v>
          </cell>
          <cell r="G6626" t="str">
            <v>ALVAREZ CANDAMIL JUAN DIEGO</v>
          </cell>
          <cell r="H6626" t="str">
            <v>FUNC</v>
          </cell>
          <cell r="I6626" t="str">
            <v>FUNCIONARIO</v>
          </cell>
          <cell r="J6626" t="str">
            <v>CR 29 A 69 51</v>
          </cell>
          <cell r="K6626" t="str">
            <v>17001</v>
          </cell>
          <cell r="L6626" t="str">
            <v>MANIZALES</v>
          </cell>
          <cell r="M6626" t="str">
            <v>3105158223</v>
          </cell>
        </row>
        <row r="6627">
          <cell r="A6627">
            <v>1053785478</v>
          </cell>
          <cell r="B6627" t="str">
            <v/>
          </cell>
          <cell r="C6627" t="str">
            <v/>
          </cell>
          <cell r="D6627" t="str">
            <v>CC</v>
          </cell>
          <cell r="E6627" t="str">
            <v>MARCHIS ALEJANDRA</v>
          </cell>
          <cell r="F6627" t="str">
            <v>GOEMZ RAMIREZ</v>
          </cell>
          <cell r="G6627" t="str">
            <v>GOEMZ RAMIREZ MARCHIS ALEJANDRA</v>
          </cell>
          <cell r="H6627" t="str">
            <v>FUNC</v>
          </cell>
          <cell r="I6627" t="str">
            <v>FUNCIONARIO</v>
          </cell>
          <cell r="J6627" t="str">
            <v>CR 8   57 E 2   03 AP ALTOS DE GRANADA A 1   402</v>
          </cell>
          <cell r="K6627" t="str">
            <v>17001</v>
          </cell>
          <cell r="L6627" t="str">
            <v>MANIZALES</v>
          </cell>
          <cell r="M6627" t="str">
            <v>3137388819</v>
          </cell>
        </row>
        <row r="6628">
          <cell r="A6628">
            <v>1053786107</v>
          </cell>
          <cell r="B6628" t="str">
            <v/>
          </cell>
          <cell r="C6628" t="str">
            <v/>
          </cell>
          <cell r="D6628" t="str">
            <v>CC</v>
          </cell>
          <cell r="E6628" t="str">
            <v>DANIEL</v>
          </cell>
          <cell r="F6628" t="str">
            <v>TREJOS NAVARRO</v>
          </cell>
          <cell r="G6628" t="str">
            <v>TREJOS NAVARRO DANIEL</v>
          </cell>
          <cell r="H6628" t="str">
            <v>FUNC</v>
          </cell>
          <cell r="I6628" t="str">
            <v>FUNCIONARIO</v>
          </cell>
          <cell r="J6628" t="str">
            <v>CL 70   27 82</v>
          </cell>
          <cell r="K6628" t="str">
            <v>17001</v>
          </cell>
          <cell r="L6628" t="str">
            <v>MANIZALES</v>
          </cell>
          <cell r="M6628" t="str">
            <v>8756262</v>
          </cell>
        </row>
        <row r="6629">
          <cell r="A6629">
            <v>1053786809</v>
          </cell>
          <cell r="B6629" t="str">
            <v/>
          </cell>
          <cell r="C6629" t="str">
            <v/>
          </cell>
          <cell r="D6629" t="str">
            <v>CC</v>
          </cell>
          <cell r="E6629" t="str">
            <v>DIANA MARCELA</v>
          </cell>
          <cell r="F6629" t="str">
            <v>NOREÑA VARON</v>
          </cell>
          <cell r="G6629" t="str">
            <v>NOREÑA VARON DIANA MARCELA</v>
          </cell>
          <cell r="H6629" t="str">
            <v>FUNC</v>
          </cell>
          <cell r="I6629" t="str">
            <v>FUNCIONARIO</v>
          </cell>
          <cell r="J6629" t="str">
            <v>CRA 16 # 51B-30</v>
          </cell>
          <cell r="K6629" t="str">
            <v>17001</v>
          </cell>
          <cell r="L6629" t="str">
            <v>MANIZALES</v>
          </cell>
          <cell r="M6629" t="str">
            <v>3116361080</v>
          </cell>
        </row>
        <row r="6630">
          <cell r="A6630">
            <v>1053787134</v>
          </cell>
          <cell r="B6630" t="str">
            <v/>
          </cell>
          <cell r="C6630" t="str">
            <v/>
          </cell>
          <cell r="D6630" t="str">
            <v>CC</v>
          </cell>
          <cell r="E6630" t="str">
            <v>YOVANA</v>
          </cell>
          <cell r="F6630" t="str">
            <v>RAMIREZ ESCOBAR</v>
          </cell>
          <cell r="G6630" t="str">
            <v>RAMIREZ ESCOBAR YOVANA</v>
          </cell>
          <cell r="H6630" t="str">
            <v>FUNC</v>
          </cell>
          <cell r="I6630" t="str">
            <v>FUNCIONARIO</v>
          </cell>
          <cell r="J6630" t="str">
            <v>CL 47 A N 19 60</v>
          </cell>
          <cell r="K6630" t="str">
            <v>17001</v>
          </cell>
          <cell r="L6630" t="str">
            <v>MANIZALES</v>
          </cell>
          <cell r="M6630" t="str">
            <v>3216300649</v>
          </cell>
        </row>
        <row r="6631">
          <cell r="A6631">
            <v>1053787451</v>
          </cell>
          <cell r="B6631" t="str">
            <v>1</v>
          </cell>
          <cell r="C6631" t="str">
            <v/>
          </cell>
          <cell r="D6631" t="str">
            <v>NP</v>
          </cell>
          <cell r="E6631" t="str">
            <v>BRAHYAN</v>
          </cell>
          <cell r="F6631" t="str">
            <v>CANO ARANGO</v>
          </cell>
          <cell r="G6631" t="str">
            <v>CANO ARANGO BRAHYAN</v>
          </cell>
          <cell r="H6631" t="str">
            <v>RESI</v>
          </cell>
          <cell r="I6631" t="str">
            <v>REGIMEN SIMPLIFICADO</v>
          </cell>
          <cell r="J6631" t="str">
            <v>CR 24 14 52</v>
          </cell>
          <cell r="K6631" t="str">
            <v>17001</v>
          </cell>
          <cell r="L6631" t="str">
            <v>MANIZALES</v>
          </cell>
          <cell r="M6631" t="str">
            <v>3128942426</v>
          </cell>
        </row>
        <row r="6632">
          <cell r="A6632">
            <v>1053787543</v>
          </cell>
          <cell r="B6632" t="str">
            <v/>
          </cell>
          <cell r="C6632" t="str">
            <v/>
          </cell>
          <cell r="D6632" t="str">
            <v>CC</v>
          </cell>
          <cell r="E6632" t="str">
            <v>DIANA CLEMENCIA</v>
          </cell>
          <cell r="F6632" t="str">
            <v>GARCÍA MARÍN</v>
          </cell>
          <cell r="G6632" t="str">
            <v>GARCÍA MARÍN DIANA CLEMENCIA</v>
          </cell>
          <cell r="H6632" t="str">
            <v>FUNC</v>
          </cell>
          <cell r="I6632" t="str">
            <v>FUNCIONARIO</v>
          </cell>
          <cell r="J6632" t="str">
            <v>CL 25 19 51</v>
          </cell>
          <cell r="K6632" t="str">
            <v>15516</v>
          </cell>
          <cell r="L6632" t="str">
            <v>PAIPA</v>
          </cell>
          <cell r="M6632" t="str">
            <v>3138418670</v>
          </cell>
        </row>
        <row r="6633">
          <cell r="A6633">
            <v>1053787636</v>
          </cell>
          <cell r="B6633" t="str">
            <v>5</v>
          </cell>
          <cell r="C6633" t="str">
            <v/>
          </cell>
          <cell r="D6633" t="str">
            <v>NP</v>
          </cell>
          <cell r="E6633" t="str">
            <v>ANA CAROLINA</v>
          </cell>
          <cell r="F6633" t="str">
            <v>CARDONA GARCIA</v>
          </cell>
          <cell r="G6633" t="str">
            <v>CARDONA GARCIA ANA CAROLINA</v>
          </cell>
          <cell r="H6633" t="str">
            <v>NORE</v>
          </cell>
          <cell r="I6633" t="str">
            <v>NO RESPONSABLE DE IVA</v>
          </cell>
          <cell r="J6633" t="str">
            <v>CR 19 B 52 A 87 BRR LA LEONORA</v>
          </cell>
          <cell r="K6633" t="str">
            <v>17001</v>
          </cell>
          <cell r="L6633" t="str">
            <v>MANIZALES</v>
          </cell>
          <cell r="M6633" t="str">
            <v>8862280</v>
          </cell>
        </row>
        <row r="6634">
          <cell r="A6634">
            <v>1053787713</v>
          </cell>
          <cell r="B6634" t="str">
            <v>4</v>
          </cell>
          <cell r="C6634" t="str">
            <v/>
          </cell>
          <cell r="D6634" t="str">
            <v>NP</v>
          </cell>
          <cell r="E6634" t="str">
            <v>FEDERICO</v>
          </cell>
          <cell r="F6634" t="str">
            <v>GARCIA LLANO</v>
          </cell>
          <cell r="G6634" t="str">
            <v>GARCIA LLANO FEDERICO</v>
          </cell>
          <cell r="H6634" t="str">
            <v>RESI</v>
          </cell>
          <cell r="I6634" t="str">
            <v>REGIMEN SIMPLIFICADO</v>
          </cell>
          <cell r="J6634" t="str">
            <v>CR 24  53 A  68</v>
          </cell>
          <cell r="K6634" t="str">
            <v>17001</v>
          </cell>
          <cell r="L6634" t="str">
            <v>MANIZALES</v>
          </cell>
          <cell r="M6634" t="str">
            <v>8901345</v>
          </cell>
        </row>
        <row r="6635">
          <cell r="A6635">
            <v>1053787874</v>
          </cell>
          <cell r="B6635" t="str">
            <v/>
          </cell>
          <cell r="C6635" t="str">
            <v/>
          </cell>
          <cell r="D6635" t="str">
            <v>CC</v>
          </cell>
          <cell r="E6635" t="str">
            <v>MARIA ALEJANDRA</v>
          </cell>
          <cell r="F6635" t="str">
            <v>GALVIS ALZATE</v>
          </cell>
          <cell r="G6635" t="str">
            <v>GALVIS ALZATE MARIA ALEJANDRA</v>
          </cell>
          <cell r="H6635" t="str">
            <v>FUNC</v>
          </cell>
          <cell r="I6635" t="str">
            <v>FUNCIONARIO</v>
          </cell>
          <cell r="J6635" t="str">
            <v>CL 54   24   11 AP 301</v>
          </cell>
          <cell r="K6635" t="str">
            <v>17001</v>
          </cell>
          <cell r="L6635" t="str">
            <v>MANIZALES</v>
          </cell>
          <cell r="M6635" t="str">
            <v>8811761</v>
          </cell>
        </row>
        <row r="6636">
          <cell r="A6636">
            <v>1053788054</v>
          </cell>
          <cell r="B6636" t="str">
            <v>3</v>
          </cell>
          <cell r="C6636" t="str">
            <v/>
          </cell>
          <cell r="D6636" t="str">
            <v>NP</v>
          </cell>
          <cell r="E6636" t="str">
            <v>OSCAR JAVIER</v>
          </cell>
          <cell r="F6636" t="str">
            <v>BAYONA VILLADA</v>
          </cell>
          <cell r="G6636" t="str">
            <v>BAYONA VILLADA OSCAR JAVIER</v>
          </cell>
          <cell r="H6636" t="str">
            <v>RESI</v>
          </cell>
          <cell r="I6636" t="str">
            <v>REGIMEN SIMPLIFICADO</v>
          </cell>
          <cell r="J6636" t="str">
            <v>CL 12 13 27</v>
          </cell>
          <cell r="K6636" t="str">
            <v>17001</v>
          </cell>
          <cell r="L6636" t="str">
            <v>MANIZALES</v>
          </cell>
          <cell r="M6636" t="str">
            <v>3016976068</v>
          </cell>
        </row>
        <row r="6637">
          <cell r="A6637">
            <v>1053788700</v>
          </cell>
          <cell r="B6637" t="str">
            <v/>
          </cell>
          <cell r="C6637" t="str">
            <v/>
          </cell>
          <cell r="D6637" t="str">
            <v>CC</v>
          </cell>
          <cell r="E6637" t="str">
            <v>ALEXANDRA</v>
          </cell>
          <cell r="F6637" t="str">
            <v>VELEZ VELEZ</v>
          </cell>
          <cell r="G6637" t="str">
            <v>VELEZ VELEZ ALEXANDRA</v>
          </cell>
          <cell r="H6637" t="str">
            <v>FUNC</v>
          </cell>
          <cell r="I6637" t="str">
            <v>FUNCIONARIO</v>
          </cell>
          <cell r="J6637" t="str">
            <v>CR 21   25   53 AP 207</v>
          </cell>
          <cell r="K6637" t="str">
            <v>17001</v>
          </cell>
          <cell r="L6637" t="str">
            <v>MANIZALES</v>
          </cell>
          <cell r="M6637" t="str">
            <v>3132776182</v>
          </cell>
        </row>
        <row r="6638">
          <cell r="A6638">
            <v>1053788851</v>
          </cell>
          <cell r="B6638" t="str">
            <v/>
          </cell>
          <cell r="C6638" t="str">
            <v/>
          </cell>
          <cell r="D6638" t="str">
            <v>CC</v>
          </cell>
          <cell r="E6638" t="str">
            <v>DAVID ALEJANDRO</v>
          </cell>
          <cell r="F6638" t="str">
            <v>PEREZ BENJUMEA</v>
          </cell>
          <cell r="G6638" t="str">
            <v>PEREZ BENJUMEA DAVID ALEJANDRO</v>
          </cell>
          <cell r="H6638" t="str">
            <v>EXFU</v>
          </cell>
          <cell r="I6638" t="str">
            <v>EX-FUNCIONARIOS</v>
          </cell>
          <cell r="J6638" t="str">
            <v>CL 67 11 160</v>
          </cell>
          <cell r="K6638" t="str">
            <v>17001</v>
          </cell>
          <cell r="L6638" t="str">
            <v>MANIZALES</v>
          </cell>
          <cell r="M6638" t="str">
            <v>3104497773</v>
          </cell>
        </row>
        <row r="6639">
          <cell r="A6639">
            <v>1053789848</v>
          </cell>
          <cell r="B6639" t="str">
            <v/>
          </cell>
          <cell r="C6639" t="str">
            <v/>
          </cell>
          <cell r="D6639" t="str">
            <v>CC</v>
          </cell>
          <cell r="E6639" t="str">
            <v>DIANA FERNANDA</v>
          </cell>
          <cell r="F6639" t="str">
            <v>DIANA FERNANDA</v>
          </cell>
          <cell r="G6639" t="str">
            <v>DIANA FERNANDA DIANA FERNANDA</v>
          </cell>
          <cell r="H6639" t="str">
            <v>FUNC</v>
          </cell>
          <cell r="I6639" t="str">
            <v>FUNCIONARIO</v>
          </cell>
          <cell r="J6639" t="str">
            <v>CLL 64# 12A -72 MANIZALES</v>
          </cell>
          <cell r="K6639" t="str">
            <v>17001</v>
          </cell>
          <cell r="L6639" t="str">
            <v>MANIZALES</v>
          </cell>
          <cell r="M6639" t="str">
            <v>8853552</v>
          </cell>
        </row>
        <row r="6640">
          <cell r="A6640">
            <v>1053791190</v>
          </cell>
          <cell r="B6640" t="str">
            <v>8</v>
          </cell>
          <cell r="C6640" t="str">
            <v/>
          </cell>
          <cell r="D6640" t="str">
            <v>NP</v>
          </cell>
          <cell r="E6640" t="str">
            <v>VANESSA</v>
          </cell>
          <cell r="F6640" t="str">
            <v>TABARES ALZATE</v>
          </cell>
          <cell r="G6640" t="str">
            <v>TABARES ALZATE VANESSA</v>
          </cell>
          <cell r="H6640" t="str">
            <v>NORE</v>
          </cell>
          <cell r="I6640" t="str">
            <v>NO RESPONSABLE DE IVA</v>
          </cell>
          <cell r="J6640" t="str">
            <v>CR 24 64 A 23 AP 401</v>
          </cell>
          <cell r="K6640" t="str">
            <v>17001</v>
          </cell>
          <cell r="L6640" t="str">
            <v>MANIZALES</v>
          </cell>
          <cell r="M6640" t="str">
            <v>3103479933</v>
          </cell>
        </row>
        <row r="6641">
          <cell r="A6641">
            <v>1053791823</v>
          </cell>
          <cell r="B6641" t="str">
            <v/>
          </cell>
          <cell r="C6641" t="str">
            <v/>
          </cell>
          <cell r="D6641" t="str">
            <v>CC</v>
          </cell>
          <cell r="E6641" t="str">
            <v>DAVID</v>
          </cell>
          <cell r="F6641" t="str">
            <v>LOPEZ BAENA</v>
          </cell>
          <cell r="G6641" t="str">
            <v>LOPEZ BAENA DAVID</v>
          </cell>
          <cell r="H6641" t="str">
            <v>FUNC</v>
          </cell>
          <cell r="I6641" t="str">
            <v>FUNCIONARIO</v>
          </cell>
          <cell r="J6641" t="str">
            <v>CR 20 N 51 17</v>
          </cell>
          <cell r="K6641" t="str">
            <v>17001</v>
          </cell>
          <cell r="L6641" t="str">
            <v>MANIZALES</v>
          </cell>
          <cell r="M6641" t="str">
            <v>3052544641</v>
          </cell>
        </row>
        <row r="6642">
          <cell r="A6642">
            <v>1053791886</v>
          </cell>
          <cell r="B6642" t="str">
            <v/>
          </cell>
          <cell r="C6642" t="str">
            <v/>
          </cell>
          <cell r="D6642" t="str">
            <v>CC</v>
          </cell>
          <cell r="E6642" t="str">
            <v>JHON ALEXANDER</v>
          </cell>
          <cell r="F6642" t="str">
            <v>BECERRA</v>
          </cell>
          <cell r="G6642" t="str">
            <v>BECERRA JHON ALEXANDER</v>
          </cell>
          <cell r="H6642" t="str">
            <v>FUNC</v>
          </cell>
          <cell r="I6642" t="str">
            <v>FUNCIONARIO</v>
          </cell>
          <cell r="J6642" t="str">
            <v>CR 17   30  42</v>
          </cell>
          <cell r="K6642" t="str">
            <v>17001</v>
          </cell>
          <cell r="L6642" t="str">
            <v>MANIZALES</v>
          </cell>
          <cell r="M6642" t="str">
            <v>8881870</v>
          </cell>
        </row>
        <row r="6643">
          <cell r="A6643">
            <v>1053792428</v>
          </cell>
          <cell r="B6643" t="str">
            <v/>
          </cell>
          <cell r="C6643" t="str">
            <v/>
          </cell>
          <cell r="D6643" t="str">
            <v>CC</v>
          </cell>
          <cell r="E6643" t="str">
            <v>JUAN JACOBO</v>
          </cell>
          <cell r="F6643" t="str">
            <v>RAMIREZ LOPEZ</v>
          </cell>
          <cell r="G6643" t="str">
            <v>RAMIREZ LOPEZ JUAN JACOBO</v>
          </cell>
          <cell r="H6643" t="str">
            <v>FUNC</v>
          </cell>
          <cell r="I6643" t="str">
            <v>FUNCIONARIO</v>
          </cell>
          <cell r="J6643" t="str">
            <v>CRA 18 # 45B-59</v>
          </cell>
          <cell r="K6643" t="str">
            <v>17001</v>
          </cell>
          <cell r="L6643" t="str">
            <v>MANIZALES</v>
          </cell>
          <cell r="M6643" t="str">
            <v>3216439185</v>
          </cell>
        </row>
        <row r="6644">
          <cell r="A6644">
            <v>1053792881</v>
          </cell>
          <cell r="B6644" t="str">
            <v/>
          </cell>
          <cell r="C6644" t="str">
            <v/>
          </cell>
          <cell r="D6644" t="str">
            <v>CC</v>
          </cell>
          <cell r="E6644" t="str">
            <v>ERIKA DAIHANA</v>
          </cell>
          <cell r="F6644" t="str">
            <v>ARANGO PALMA</v>
          </cell>
          <cell r="G6644" t="str">
            <v>ARANGO PALMA ERIKA DAIHANA</v>
          </cell>
          <cell r="H6644" t="str">
            <v>FUNC</v>
          </cell>
          <cell r="I6644" t="str">
            <v>FUNCIONARIO</v>
          </cell>
          <cell r="J6644" t="str">
            <v>NAVARRO BONILLA</v>
          </cell>
          <cell r="K6644" t="str">
            <v>97001</v>
          </cell>
          <cell r="L6644" t="str">
            <v>MITÚ</v>
          </cell>
          <cell r="M6644" t="str">
            <v>3138674757</v>
          </cell>
        </row>
        <row r="6645">
          <cell r="A6645">
            <v>1053793013</v>
          </cell>
          <cell r="B6645" t="str">
            <v/>
          </cell>
          <cell r="C6645" t="str">
            <v/>
          </cell>
          <cell r="D6645" t="str">
            <v>CC</v>
          </cell>
          <cell r="E6645" t="str">
            <v>CINDY LORENA</v>
          </cell>
          <cell r="F6645" t="str">
            <v>CARDONA OSPINA</v>
          </cell>
          <cell r="G6645" t="str">
            <v>CARDONA OSPINA CINDY LORENA</v>
          </cell>
          <cell r="H6645" t="str">
            <v>FUNC</v>
          </cell>
          <cell r="I6645" t="str">
            <v>FUNCIONARIO</v>
          </cell>
          <cell r="J6645" t="str">
            <v>CR 22 N 70 B 04 AP 203</v>
          </cell>
          <cell r="K6645" t="str">
            <v>17001</v>
          </cell>
          <cell r="L6645" t="str">
            <v>MANIZALES</v>
          </cell>
          <cell r="M6645" t="str">
            <v>3104134568</v>
          </cell>
        </row>
        <row r="6646">
          <cell r="A6646">
            <v>1053793587</v>
          </cell>
          <cell r="B6646" t="str">
            <v>7</v>
          </cell>
          <cell r="C6646" t="str">
            <v/>
          </cell>
          <cell r="D6646" t="str">
            <v>NP</v>
          </cell>
          <cell r="E6646" t="str">
            <v>ALEXANDRA</v>
          </cell>
          <cell r="F6646" t="str">
            <v>RAMÍREZ OCAMPO</v>
          </cell>
          <cell r="G6646" t="str">
            <v>RAMÍREZ OCAMPO ALEXANDRA</v>
          </cell>
          <cell r="H6646" t="str">
            <v>NORE</v>
          </cell>
          <cell r="I6646" t="str">
            <v>NO RESPONSABLE DE IVA</v>
          </cell>
          <cell r="J6646" t="str">
            <v>CL 70 A 23 53 AP 702 ED PIEDRA NOVA</v>
          </cell>
          <cell r="K6646" t="str">
            <v>17001</v>
          </cell>
          <cell r="L6646" t="str">
            <v>MANIZALES</v>
          </cell>
          <cell r="M6646" t="str">
            <v>3006047607</v>
          </cell>
        </row>
        <row r="6647">
          <cell r="A6647">
            <v>1053793627</v>
          </cell>
          <cell r="B6647" t="str">
            <v/>
          </cell>
          <cell r="C6647" t="str">
            <v/>
          </cell>
          <cell r="D6647" t="str">
            <v>CC</v>
          </cell>
          <cell r="E6647" t="str">
            <v>MARIA NATALIA</v>
          </cell>
          <cell r="F6647" t="str">
            <v>IDARRAGA ARIAS</v>
          </cell>
          <cell r="G6647" t="str">
            <v>IDARRAGA ARIAS MARIA NATALIA</v>
          </cell>
          <cell r="H6647" t="str">
            <v>FUNC</v>
          </cell>
          <cell r="I6647" t="str">
            <v>FUNCIONARIO</v>
          </cell>
          <cell r="J6647" t="str">
            <v>CR 22   48 C 13 BRR SAN JORGE</v>
          </cell>
          <cell r="K6647" t="str">
            <v>17001</v>
          </cell>
          <cell r="L6647" t="str">
            <v>MANIZALES</v>
          </cell>
          <cell r="M6647" t="str">
            <v>8855364</v>
          </cell>
        </row>
        <row r="6648">
          <cell r="A6648">
            <v>1053793874</v>
          </cell>
          <cell r="B6648" t="str">
            <v>6</v>
          </cell>
          <cell r="C6648" t="str">
            <v/>
          </cell>
          <cell r="D6648" t="str">
            <v>NP</v>
          </cell>
          <cell r="E6648" t="str">
            <v>SERGIO</v>
          </cell>
          <cell r="F6648" t="str">
            <v>URREA ROBLEDO</v>
          </cell>
          <cell r="G6648" t="str">
            <v>URREA ROBLEDO SERGIO</v>
          </cell>
          <cell r="H6648" t="str">
            <v>FUNC</v>
          </cell>
          <cell r="I6648" t="str">
            <v>FUNCIONARIO</v>
          </cell>
          <cell r="J6648" t="str">
            <v>CR 25 71 93</v>
          </cell>
          <cell r="K6648" t="str">
            <v>17001</v>
          </cell>
          <cell r="L6648" t="str">
            <v>MANIZALES</v>
          </cell>
          <cell r="M6648" t="str">
            <v>3104169329</v>
          </cell>
        </row>
        <row r="6649">
          <cell r="A6649">
            <v>1053793990</v>
          </cell>
          <cell r="B6649" t="str">
            <v>2</v>
          </cell>
          <cell r="C6649" t="str">
            <v/>
          </cell>
          <cell r="D6649" t="str">
            <v>NP</v>
          </cell>
          <cell r="E6649" t="str">
            <v>CARLOS ANDRÉS</v>
          </cell>
          <cell r="F6649" t="str">
            <v>PUERTA BURITICÁ</v>
          </cell>
          <cell r="G6649" t="str">
            <v>PUERTA BURITICÁ CARLOS ANDRÉS</v>
          </cell>
          <cell r="H6649" t="str">
            <v>NORE</v>
          </cell>
          <cell r="I6649" t="str">
            <v>NO RESPONSABLE DE IVA</v>
          </cell>
          <cell r="J6649" t="str">
            <v>CL  50 B 38 39</v>
          </cell>
          <cell r="K6649" t="str">
            <v>17001</v>
          </cell>
          <cell r="L6649" t="str">
            <v>MANIZALES</v>
          </cell>
          <cell r="M6649" t="str">
            <v>3147841983</v>
          </cell>
        </row>
        <row r="6650">
          <cell r="A6650">
            <v>1053794682</v>
          </cell>
          <cell r="B6650" t="str">
            <v/>
          </cell>
          <cell r="C6650" t="str">
            <v/>
          </cell>
          <cell r="D6650" t="str">
            <v>CC</v>
          </cell>
          <cell r="E6650" t="str">
            <v xml:space="preserve">NATALIA        </v>
          </cell>
          <cell r="F6650" t="str">
            <v>CASTAÑO CEBALLOS</v>
          </cell>
          <cell r="G6650" t="str">
            <v xml:space="preserve">CASTAÑO CEBALLOS NATALIA        </v>
          </cell>
          <cell r="H6650" t="str">
            <v>FUNC</v>
          </cell>
          <cell r="I6650" t="str">
            <v>FUNCIONARIO</v>
          </cell>
          <cell r="J6650" t="str">
            <v>VRD LA CABAÑA FCA EL BOSQUE</v>
          </cell>
          <cell r="K6650" t="str">
            <v>17001</v>
          </cell>
          <cell r="L6650" t="str">
            <v>MANIZALES</v>
          </cell>
          <cell r="M6650" t="str">
            <v>8703283</v>
          </cell>
        </row>
        <row r="6651">
          <cell r="A6651">
            <v>1053795229</v>
          </cell>
          <cell r="B6651" t="str">
            <v/>
          </cell>
          <cell r="C6651" t="str">
            <v/>
          </cell>
          <cell r="D6651" t="str">
            <v>CC</v>
          </cell>
          <cell r="E6651" t="str">
            <v>DIANA MARCELA</v>
          </cell>
          <cell r="F6651" t="str">
            <v>DELGADO VELASQUEZ</v>
          </cell>
          <cell r="G6651" t="str">
            <v>DELGADO VELASQUEZ DIANA MARCELA</v>
          </cell>
          <cell r="H6651" t="str">
            <v>FUNC</v>
          </cell>
          <cell r="I6651" t="str">
            <v>FUNCIONARIO</v>
          </cell>
          <cell r="J6651" t="str">
            <v>CL 64   24   30 BRR PALERMO</v>
          </cell>
          <cell r="K6651" t="str">
            <v>17001</v>
          </cell>
          <cell r="L6651" t="str">
            <v>MANIZALES</v>
          </cell>
          <cell r="M6651" t="str">
            <v>3137381188</v>
          </cell>
        </row>
        <row r="6652">
          <cell r="A6652">
            <v>1053795600</v>
          </cell>
          <cell r="B6652" t="str">
            <v/>
          </cell>
          <cell r="C6652" t="str">
            <v/>
          </cell>
          <cell r="D6652" t="str">
            <v>CC</v>
          </cell>
          <cell r="E6652" t="str">
            <v>DIALSI SEBASTIAN</v>
          </cell>
          <cell r="F6652" t="str">
            <v>FLOREZ VILLAMIL</v>
          </cell>
          <cell r="G6652" t="str">
            <v>FLOREZ VILLAMIL DIALSI SEBASTIAN</v>
          </cell>
          <cell r="H6652" t="str">
            <v>FUNC</v>
          </cell>
          <cell r="I6652" t="str">
            <v>FUNCIONARIO</v>
          </cell>
          <cell r="J6652" t="str">
            <v>CR 31 B   67 B   50 BRR FATIMA</v>
          </cell>
          <cell r="K6652" t="str">
            <v>17001</v>
          </cell>
          <cell r="L6652" t="str">
            <v>MANIZALES</v>
          </cell>
          <cell r="M6652" t="str">
            <v>8925446</v>
          </cell>
        </row>
        <row r="6653">
          <cell r="A6653">
            <v>1053796237</v>
          </cell>
          <cell r="B6653" t="str">
            <v/>
          </cell>
          <cell r="C6653" t="str">
            <v/>
          </cell>
          <cell r="D6653" t="str">
            <v>CC</v>
          </cell>
          <cell r="E6653" t="str">
            <v>CALUDIA VIVIANA</v>
          </cell>
          <cell r="F6653" t="str">
            <v>MORALES MORALES</v>
          </cell>
          <cell r="G6653" t="str">
            <v>MORALES MORALES CALUDIA VIVIANA</v>
          </cell>
          <cell r="H6653" t="str">
            <v>FUNC</v>
          </cell>
          <cell r="I6653" t="str">
            <v>FUNCIONARIO</v>
          </cell>
          <cell r="J6653" t="str">
            <v>CR 14 13 55 AP 406</v>
          </cell>
          <cell r="K6653" t="str">
            <v>17001</v>
          </cell>
          <cell r="L6653" t="str">
            <v>MANIZALES</v>
          </cell>
          <cell r="M6653" t="str">
            <v>3116299800</v>
          </cell>
        </row>
        <row r="6654">
          <cell r="A6654">
            <v>1053796812</v>
          </cell>
          <cell r="B6654" t="str">
            <v/>
          </cell>
          <cell r="C6654" t="str">
            <v/>
          </cell>
          <cell r="D6654" t="str">
            <v>CC</v>
          </cell>
          <cell r="E6654" t="str">
            <v>DIANA CAROLINA</v>
          </cell>
          <cell r="F6654" t="str">
            <v>GONZALEZ OSSA</v>
          </cell>
          <cell r="G6654" t="str">
            <v>GONZALEZ OSSA DIANA CAROLINA</v>
          </cell>
          <cell r="H6654" t="str">
            <v>FUNC</v>
          </cell>
          <cell r="I6654" t="str">
            <v>FUNCIONARIO</v>
          </cell>
          <cell r="J6654" t="str">
            <v>CL 16   19   02 BRR LOS AUGUSTINOS</v>
          </cell>
          <cell r="K6654" t="str">
            <v>17001</v>
          </cell>
          <cell r="L6654" t="str">
            <v>MANIZALES</v>
          </cell>
          <cell r="M6654" t="str">
            <v>8978103</v>
          </cell>
        </row>
        <row r="6655">
          <cell r="A6655">
            <v>1053796912</v>
          </cell>
          <cell r="B6655" t="str">
            <v/>
          </cell>
          <cell r="C6655" t="str">
            <v/>
          </cell>
          <cell r="D6655" t="str">
            <v>CC</v>
          </cell>
          <cell r="E6655" t="str">
            <v>MAYRA ALEJANDRA</v>
          </cell>
          <cell r="F6655" t="str">
            <v>MARTINEZ LOPERA</v>
          </cell>
          <cell r="G6655" t="str">
            <v>MARTINEZ LOPERA MAYRA ALEJANDRA</v>
          </cell>
          <cell r="H6655" t="str">
            <v>FUNC</v>
          </cell>
          <cell r="I6655" t="str">
            <v>FUNCIONARIO</v>
          </cell>
          <cell r="J6655" t="str">
            <v>CL 50   21   120</v>
          </cell>
          <cell r="K6655" t="str">
            <v>17001</v>
          </cell>
          <cell r="L6655" t="str">
            <v>MANIZALES</v>
          </cell>
          <cell r="M6655" t="str">
            <v>3003015166</v>
          </cell>
        </row>
        <row r="6656">
          <cell r="A6656">
            <v>1053798183</v>
          </cell>
          <cell r="B6656" t="str">
            <v>8</v>
          </cell>
          <cell r="C6656" t="str">
            <v/>
          </cell>
          <cell r="D6656" t="str">
            <v>NP</v>
          </cell>
          <cell r="E6656" t="str">
            <v>JONATHAN</v>
          </cell>
          <cell r="F6656" t="str">
            <v>ARIAS MARIN</v>
          </cell>
          <cell r="G6656" t="str">
            <v>ARIAS MARIN JONATHAN</v>
          </cell>
          <cell r="H6656" t="str">
            <v>RESI</v>
          </cell>
          <cell r="I6656" t="str">
            <v>REGIMEN SIMPLIFICADO</v>
          </cell>
          <cell r="J6656" t="str">
            <v>CL 19 73 02 BRR ALTA SUIZA</v>
          </cell>
          <cell r="K6656" t="str">
            <v>17001</v>
          </cell>
          <cell r="L6656" t="str">
            <v>MANIZALES</v>
          </cell>
          <cell r="M6656" t="str">
            <v>3186519262</v>
          </cell>
        </row>
        <row r="6657">
          <cell r="A6657">
            <v>1053798307</v>
          </cell>
          <cell r="B6657" t="str">
            <v/>
          </cell>
          <cell r="C6657" t="str">
            <v/>
          </cell>
          <cell r="D6657" t="str">
            <v>CC</v>
          </cell>
          <cell r="E6657" t="str">
            <v>YULI TATIANA</v>
          </cell>
          <cell r="F6657" t="str">
            <v>LOPEZ JIMENEZ</v>
          </cell>
          <cell r="G6657" t="str">
            <v>LOPEZ JIMENEZ YULI TATIANA</v>
          </cell>
          <cell r="H6657" t="str">
            <v>FUNC</v>
          </cell>
          <cell r="I6657" t="str">
            <v>FUNCIONARIO</v>
          </cell>
          <cell r="J6657" t="str">
            <v>CL 105 D   32 A 30</v>
          </cell>
          <cell r="K6657" t="str">
            <v>17001</v>
          </cell>
          <cell r="L6657" t="str">
            <v>MANIZALES</v>
          </cell>
          <cell r="M6657" t="str">
            <v>3147362071</v>
          </cell>
        </row>
        <row r="6658">
          <cell r="A6658">
            <v>1053798318</v>
          </cell>
          <cell r="B6658" t="str">
            <v/>
          </cell>
          <cell r="C6658" t="str">
            <v/>
          </cell>
          <cell r="D6658" t="str">
            <v>CC</v>
          </cell>
          <cell r="E6658" t="str">
            <v>ANDREA DEL PILAR</v>
          </cell>
          <cell r="F6658" t="str">
            <v>TORO OSSO</v>
          </cell>
          <cell r="G6658" t="str">
            <v>TORO OSSO ANDREA DEL PILAR</v>
          </cell>
          <cell r="H6658" t="str">
            <v>FUNC</v>
          </cell>
          <cell r="I6658" t="str">
            <v>FUNCIONARIO</v>
          </cell>
          <cell r="J6658" t="str">
            <v>CR 22   54   45</v>
          </cell>
          <cell r="K6658" t="str">
            <v>17001</v>
          </cell>
          <cell r="L6658" t="str">
            <v>MANIZALES</v>
          </cell>
          <cell r="M6658" t="str">
            <v>3014543458</v>
          </cell>
        </row>
        <row r="6659">
          <cell r="A6659">
            <v>1053798800</v>
          </cell>
          <cell r="B6659" t="str">
            <v/>
          </cell>
          <cell r="C6659" t="str">
            <v/>
          </cell>
          <cell r="D6659" t="str">
            <v>CC</v>
          </cell>
          <cell r="E6659" t="str">
            <v>CAMILA</v>
          </cell>
          <cell r="F6659" t="str">
            <v>ESTRADA SANCHEZ</v>
          </cell>
          <cell r="G6659" t="str">
            <v>ESTRADA SANCHEZ CAMILA</v>
          </cell>
          <cell r="H6659" t="str">
            <v>FUNC</v>
          </cell>
          <cell r="I6659" t="str">
            <v>FUNCIONARIO</v>
          </cell>
          <cell r="J6659" t="str">
            <v>BRR LA FLORIDA VIA AL TRONIO CA   20</v>
          </cell>
          <cell r="K6659" t="str">
            <v>17001</v>
          </cell>
          <cell r="L6659" t="str">
            <v>MANIZALES</v>
          </cell>
          <cell r="M6659" t="str">
            <v>8478830</v>
          </cell>
        </row>
        <row r="6660">
          <cell r="A6660">
            <v>1053798902</v>
          </cell>
          <cell r="B6660" t="str">
            <v/>
          </cell>
          <cell r="C6660" t="str">
            <v/>
          </cell>
          <cell r="D6660" t="str">
            <v>CC</v>
          </cell>
          <cell r="E6660" t="str">
            <v>LAURA VICTORIA</v>
          </cell>
          <cell r="F6660" t="str">
            <v>JURADO ROMAN</v>
          </cell>
          <cell r="G6660" t="str">
            <v>JURADO ROMAN LAURA VICTORIA</v>
          </cell>
          <cell r="H6660" t="str">
            <v>FUNC</v>
          </cell>
          <cell r="I6660" t="str">
            <v>FUNCIONARIO</v>
          </cell>
          <cell r="J6660" t="str">
            <v>CR 6 N 7   10</v>
          </cell>
          <cell r="K6660" t="str">
            <v>17001</v>
          </cell>
          <cell r="L6660" t="str">
            <v>MANIZALES</v>
          </cell>
          <cell r="M6660" t="str">
            <v>3206566602</v>
          </cell>
        </row>
        <row r="6661">
          <cell r="A6661">
            <v>1053799204</v>
          </cell>
          <cell r="B6661" t="str">
            <v/>
          </cell>
          <cell r="C6661" t="str">
            <v/>
          </cell>
          <cell r="D6661" t="str">
            <v>CC</v>
          </cell>
          <cell r="E6661" t="str">
            <v>LAURA JIMENA</v>
          </cell>
          <cell r="F6661" t="str">
            <v>AGUIRRE</v>
          </cell>
          <cell r="G6661" t="str">
            <v>AGUIRRE LAURA JIMENA</v>
          </cell>
          <cell r="H6661" t="str">
            <v>FUNC</v>
          </cell>
          <cell r="I6661" t="str">
            <v>FUNCIONARIO</v>
          </cell>
          <cell r="J6661" t="str">
            <v>CRA 23 64B 33</v>
          </cell>
          <cell r="K6661" t="str">
            <v>17001</v>
          </cell>
          <cell r="L6661" t="str">
            <v>MANIZALES</v>
          </cell>
          <cell r="M6661" t="str">
            <v>8756262</v>
          </cell>
        </row>
        <row r="6662">
          <cell r="A6662">
            <v>1053799498</v>
          </cell>
          <cell r="B6662" t="str">
            <v/>
          </cell>
          <cell r="C6662" t="str">
            <v/>
          </cell>
          <cell r="D6662" t="str">
            <v>CC</v>
          </cell>
          <cell r="E6662" t="str">
            <v>SANTIAGO ALEJANDRO</v>
          </cell>
          <cell r="F6662" t="str">
            <v>CARDENAS BOTERO</v>
          </cell>
          <cell r="G6662" t="str">
            <v>CARDENAS BOTERO SANTIAGO ALEJANDRO</v>
          </cell>
          <cell r="H6662" t="str">
            <v>FUNC</v>
          </cell>
          <cell r="I6662" t="str">
            <v>FUNCIONARIO</v>
          </cell>
          <cell r="J6662" t="str">
            <v>BRR LA LINDA MZ 13 CA 254</v>
          </cell>
          <cell r="K6662" t="str">
            <v>17001</v>
          </cell>
          <cell r="L6662" t="str">
            <v>MANIZALES</v>
          </cell>
          <cell r="M6662" t="str">
            <v>3113623768</v>
          </cell>
        </row>
        <row r="6663">
          <cell r="A6663">
            <v>1053800084</v>
          </cell>
          <cell r="B6663" t="str">
            <v>5</v>
          </cell>
          <cell r="C6663" t="str">
            <v/>
          </cell>
          <cell r="D6663" t="str">
            <v>NP</v>
          </cell>
          <cell r="E6663" t="str">
            <v>JACOBO</v>
          </cell>
          <cell r="F6663" t="str">
            <v>VILLEGAS RAMIREZ</v>
          </cell>
          <cell r="G6663" t="str">
            <v>VILLEGAS RAMIREZ JACOBO</v>
          </cell>
          <cell r="H6663" t="str">
            <v>RESI</v>
          </cell>
          <cell r="I6663" t="str">
            <v>REGIMEN SIMPLIFICADO</v>
          </cell>
          <cell r="J6663" t="str">
            <v>CONJ MIRADOR DE LA SIERRA AP 402 A</v>
          </cell>
          <cell r="K6663" t="str">
            <v>17001</v>
          </cell>
          <cell r="L6663" t="str">
            <v>MANIZALES</v>
          </cell>
          <cell r="M6663" t="str">
            <v>3175131336</v>
          </cell>
        </row>
        <row r="6664">
          <cell r="A6664">
            <v>1053800521</v>
          </cell>
          <cell r="B6664" t="str">
            <v/>
          </cell>
          <cell r="C6664" t="str">
            <v/>
          </cell>
          <cell r="D6664" t="str">
            <v>CC</v>
          </cell>
          <cell r="E6664" t="str">
            <v>JULIANA PAOLA</v>
          </cell>
          <cell r="F6664" t="str">
            <v>MARTINEZ MICOLTA</v>
          </cell>
          <cell r="G6664" t="str">
            <v>MARTINEZ MICOLTA JULIANA PAOLA</v>
          </cell>
          <cell r="H6664" t="str">
            <v>REOR</v>
          </cell>
          <cell r="I6664" t="str">
            <v>RENTA REGIMEN ORDINARIO</v>
          </cell>
          <cell r="J6664" t="str">
            <v>CR 20 76 A 08</v>
          </cell>
          <cell r="K6664" t="str">
            <v>17001</v>
          </cell>
          <cell r="L6664" t="str">
            <v>MANIZALES</v>
          </cell>
          <cell r="M6664" t="str">
            <v>3043499179</v>
          </cell>
        </row>
        <row r="6665">
          <cell r="A6665">
            <v>1053800669</v>
          </cell>
          <cell r="B6665" t="str">
            <v/>
          </cell>
          <cell r="C6665" t="str">
            <v/>
          </cell>
          <cell r="D6665" t="str">
            <v>CC</v>
          </cell>
          <cell r="E6665" t="str">
            <v>SANDRA</v>
          </cell>
          <cell r="F6665" t="str">
            <v>GRISALES LEZAMA</v>
          </cell>
          <cell r="G6665" t="str">
            <v>GRISALES LEZAMA SANDRA</v>
          </cell>
          <cell r="H6665" t="str">
            <v>EXFU</v>
          </cell>
          <cell r="I6665" t="str">
            <v>EX-FUNCIONARIOS</v>
          </cell>
          <cell r="J6665" t="str">
            <v>CR  20 N 62 50   LA RAMBLA</v>
          </cell>
          <cell r="K6665" t="str">
            <v>17001</v>
          </cell>
          <cell r="L6665" t="str">
            <v>MANIZALES</v>
          </cell>
          <cell r="M6665" t="str">
            <v>8756262</v>
          </cell>
        </row>
        <row r="6666">
          <cell r="A6666">
            <v>1053801963</v>
          </cell>
          <cell r="B6666" t="str">
            <v/>
          </cell>
          <cell r="C6666" t="str">
            <v/>
          </cell>
          <cell r="D6666" t="str">
            <v>CC</v>
          </cell>
          <cell r="E6666" t="str">
            <v>BEATRIZ EUGENIA</v>
          </cell>
          <cell r="F6666" t="str">
            <v>GUZMAN GUTIERREZ</v>
          </cell>
          <cell r="G6666" t="str">
            <v>GUZMAN GUTIERREZ BEATRIZ EUGENIA</v>
          </cell>
          <cell r="H6666" t="str">
            <v>FUNC</v>
          </cell>
          <cell r="I6666" t="str">
            <v>FUNCIONARIO</v>
          </cell>
          <cell r="J6666" t="str">
            <v>CL 64   19   41</v>
          </cell>
          <cell r="K6666" t="str">
            <v>17001</v>
          </cell>
          <cell r="L6666" t="str">
            <v>MANIZALES</v>
          </cell>
          <cell r="M6666" t="str">
            <v>3148301884</v>
          </cell>
        </row>
        <row r="6667">
          <cell r="A6667">
            <v>1053802003</v>
          </cell>
          <cell r="B6667" t="str">
            <v/>
          </cell>
          <cell r="C6667" t="str">
            <v/>
          </cell>
          <cell r="D6667" t="str">
            <v>CC</v>
          </cell>
          <cell r="E6667" t="str">
            <v>SEBASTIAN</v>
          </cell>
          <cell r="F6667" t="str">
            <v>MONTOYA MORA</v>
          </cell>
          <cell r="G6667" t="str">
            <v>MONTOYA MORA SEBASTIAN</v>
          </cell>
          <cell r="H6667" t="str">
            <v>FUNC</v>
          </cell>
          <cell r="I6667" t="str">
            <v>FUNCIONARIO</v>
          </cell>
          <cell r="J6667" t="str">
            <v>CR 22   3 B 1   02</v>
          </cell>
          <cell r="K6667" t="str">
            <v>17001</v>
          </cell>
          <cell r="L6667" t="str">
            <v>MANIZALES</v>
          </cell>
          <cell r="M6667" t="str">
            <v>8892288</v>
          </cell>
        </row>
        <row r="6668">
          <cell r="A6668">
            <v>1053802211</v>
          </cell>
          <cell r="B6668" t="str">
            <v/>
          </cell>
          <cell r="C6668" t="str">
            <v/>
          </cell>
          <cell r="D6668" t="str">
            <v>CC</v>
          </cell>
          <cell r="E6668" t="str">
            <v>MANUELITA</v>
          </cell>
          <cell r="F6668" t="str">
            <v>PINEDA SALAZAR</v>
          </cell>
          <cell r="G6668" t="str">
            <v>PINEDA SALAZAR MANUELITA</v>
          </cell>
          <cell r="H6668" t="str">
            <v>FUNC</v>
          </cell>
          <cell r="I6668" t="str">
            <v>FUNCIONARIO</v>
          </cell>
          <cell r="J6668" t="str">
            <v>CLL103-03 VALLES DE LA ALHAMBRA C28</v>
          </cell>
          <cell r="K6668" t="str">
            <v>17001</v>
          </cell>
          <cell r="L6668" t="str">
            <v>MANIZALES</v>
          </cell>
          <cell r="M6668" t="str">
            <v>8756262</v>
          </cell>
        </row>
        <row r="6669">
          <cell r="A6669">
            <v>1053803248</v>
          </cell>
          <cell r="B6669" t="str">
            <v>1</v>
          </cell>
          <cell r="C6669" t="str">
            <v/>
          </cell>
          <cell r="D6669" t="str">
            <v>NP</v>
          </cell>
          <cell r="E6669" t="str">
            <v>ANDRES DAVID</v>
          </cell>
          <cell r="F6669" t="str">
            <v>HOYOS</v>
          </cell>
          <cell r="G6669" t="str">
            <v>HOYOS ANDRES DAVID</v>
          </cell>
          <cell r="H6669" t="str">
            <v>RCPN</v>
          </cell>
          <cell r="I6669" t="str">
            <v>RESPONSABLE IVA PERSONA NATURAL</v>
          </cell>
          <cell r="J6669" t="str">
            <v>CLL 65 A 23B-40</v>
          </cell>
          <cell r="K6669" t="str">
            <v>17001</v>
          </cell>
          <cell r="L6669" t="str">
            <v>MANIZALES</v>
          </cell>
          <cell r="M6669" t="str">
            <v>8875609</v>
          </cell>
        </row>
        <row r="6670">
          <cell r="A6670">
            <v>1053803556</v>
          </cell>
          <cell r="B6670" t="str">
            <v/>
          </cell>
          <cell r="C6670" t="str">
            <v/>
          </cell>
          <cell r="D6670" t="str">
            <v>CC</v>
          </cell>
          <cell r="E6670" t="str">
            <v>SANDRA LORENA</v>
          </cell>
          <cell r="F6670" t="str">
            <v>PINEDA HENAO</v>
          </cell>
          <cell r="G6670" t="str">
            <v>PINEDA HENAO SANDRA LORENA</v>
          </cell>
          <cell r="H6670" t="str">
            <v>FUNC</v>
          </cell>
          <cell r="I6670" t="str">
            <v>FUNCIONARIO</v>
          </cell>
          <cell r="J6670" t="str">
            <v>CR 9 9 75</v>
          </cell>
          <cell r="K6670" t="str">
            <v>17001</v>
          </cell>
          <cell r="L6670" t="str">
            <v>MANIZALES</v>
          </cell>
          <cell r="M6670" t="str">
            <v>3148758335</v>
          </cell>
        </row>
        <row r="6671">
          <cell r="A6671">
            <v>1053803947</v>
          </cell>
          <cell r="B6671" t="str">
            <v/>
          </cell>
          <cell r="C6671" t="str">
            <v/>
          </cell>
          <cell r="D6671" t="str">
            <v>CC</v>
          </cell>
          <cell r="E6671" t="str">
            <v>MILTON CESAR</v>
          </cell>
          <cell r="F6671" t="str">
            <v>AGUIRRE ALARCON</v>
          </cell>
          <cell r="G6671" t="str">
            <v>AGUIRRE ALARCON MILTON CESAR</v>
          </cell>
          <cell r="H6671" t="str">
            <v>FUNC</v>
          </cell>
          <cell r="I6671" t="str">
            <v>FUNCIONARIO</v>
          </cell>
          <cell r="J6671" t="str">
            <v>CRA 34A No 26-86 MANIZALES</v>
          </cell>
          <cell r="K6671" t="str">
            <v>17001</v>
          </cell>
          <cell r="L6671" t="str">
            <v>MANIZALES</v>
          </cell>
          <cell r="M6671" t="str">
            <v>3012763800</v>
          </cell>
        </row>
        <row r="6672">
          <cell r="A6672">
            <v>1053804197</v>
          </cell>
          <cell r="B6672" t="str">
            <v/>
          </cell>
          <cell r="C6672" t="str">
            <v/>
          </cell>
          <cell r="D6672" t="str">
            <v>CC</v>
          </cell>
          <cell r="E6672" t="str">
            <v>DAVID FELIPE</v>
          </cell>
          <cell r="F6672" t="str">
            <v>HERNANDEZ OSSA</v>
          </cell>
          <cell r="G6672" t="str">
            <v>HERNANDEZ OSSA DAVID FELIPE</v>
          </cell>
          <cell r="H6672" t="str">
            <v>FUNC</v>
          </cell>
          <cell r="I6672" t="str">
            <v>FUNCIONARIO</v>
          </cell>
          <cell r="J6672" t="str">
            <v>CL 52 A   20   61</v>
          </cell>
          <cell r="K6672" t="str">
            <v>17001</v>
          </cell>
          <cell r="L6672" t="str">
            <v>MANIZALES</v>
          </cell>
          <cell r="M6672" t="str">
            <v>3103813661</v>
          </cell>
        </row>
        <row r="6673">
          <cell r="A6673">
            <v>1053804716</v>
          </cell>
          <cell r="B6673" t="str">
            <v/>
          </cell>
          <cell r="C6673" t="str">
            <v/>
          </cell>
          <cell r="D6673" t="str">
            <v>CC</v>
          </cell>
          <cell r="E6673" t="str">
            <v>PAULA MILENA</v>
          </cell>
          <cell r="F6673" t="str">
            <v>VELASQUEZ CASTA¿O</v>
          </cell>
          <cell r="G6673" t="str">
            <v>VELASQUEZ CASTA¿O PAULA MILENA</v>
          </cell>
          <cell r="H6673" t="str">
            <v>FUNC</v>
          </cell>
          <cell r="I6673" t="str">
            <v>FUNCIONARIO</v>
          </cell>
          <cell r="J6673" t="str">
            <v>CONJUNTO ALTA MIRA CASA 7</v>
          </cell>
          <cell r="K6673" t="str">
            <v>17001</v>
          </cell>
          <cell r="L6673" t="str">
            <v>MANIZALES</v>
          </cell>
          <cell r="M6673" t="str">
            <v>3178540731</v>
          </cell>
        </row>
        <row r="6674">
          <cell r="A6674">
            <v>1053804988</v>
          </cell>
          <cell r="B6674" t="str">
            <v/>
          </cell>
          <cell r="C6674" t="str">
            <v/>
          </cell>
          <cell r="D6674" t="str">
            <v>CC</v>
          </cell>
          <cell r="E6674" t="str">
            <v>DANIELA</v>
          </cell>
          <cell r="F6674" t="str">
            <v>SALAZAR FLOREZ</v>
          </cell>
          <cell r="G6674" t="str">
            <v>SALAZAR FLOREZ DANIELA</v>
          </cell>
          <cell r="H6674" t="str">
            <v>FUNC</v>
          </cell>
          <cell r="I6674" t="str">
            <v>FUNCIONARIO</v>
          </cell>
          <cell r="J6674" t="str">
            <v>CL 65 B   10   77 BRR LA SULTANA</v>
          </cell>
          <cell r="K6674" t="str">
            <v>17001</v>
          </cell>
          <cell r="L6674" t="str">
            <v>MANIZALES</v>
          </cell>
          <cell r="M6674" t="str">
            <v>8755411</v>
          </cell>
        </row>
        <row r="6675">
          <cell r="A6675">
            <v>1053805072</v>
          </cell>
          <cell r="B6675" t="str">
            <v/>
          </cell>
          <cell r="C6675" t="str">
            <v/>
          </cell>
          <cell r="D6675" t="str">
            <v>CC</v>
          </cell>
          <cell r="E6675" t="str">
            <v>LUCAS DANIEL</v>
          </cell>
          <cell r="F6675" t="str">
            <v>TROCHEZ VARELA</v>
          </cell>
          <cell r="G6675" t="str">
            <v>TROCHEZ VARELA LUCAS DANIEL</v>
          </cell>
          <cell r="H6675" t="str">
            <v>FUNC</v>
          </cell>
          <cell r="I6675" t="str">
            <v>FUNCIONARIO</v>
          </cell>
          <cell r="J6675" t="str">
            <v>CL 66 23 B 159</v>
          </cell>
          <cell r="K6675" t="str">
            <v>17653</v>
          </cell>
          <cell r="L6675" t="str">
            <v>SALAMINA</v>
          </cell>
          <cell r="M6675" t="str">
            <v>3007834737</v>
          </cell>
        </row>
        <row r="6676">
          <cell r="A6676">
            <v>1053805624</v>
          </cell>
          <cell r="B6676" t="str">
            <v>5</v>
          </cell>
          <cell r="C6676" t="str">
            <v/>
          </cell>
          <cell r="D6676" t="str">
            <v>NP</v>
          </cell>
          <cell r="E6676" t="str">
            <v>SEBASTIAN</v>
          </cell>
          <cell r="F6676" t="str">
            <v>CASTAÑO HOLGUIN</v>
          </cell>
          <cell r="G6676" t="str">
            <v>CASTAÑO HOLGUIN SEBASTIAN</v>
          </cell>
          <cell r="H6676" t="str">
            <v>RESI</v>
          </cell>
          <cell r="I6676" t="str">
            <v>REGIMEN SIMPLIFICADO</v>
          </cell>
          <cell r="J6676" t="str">
            <v>CL 33 A 24 51</v>
          </cell>
          <cell r="K6676" t="str">
            <v>17001</v>
          </cell>
          <cell r="L6676" t="str">
            <v>MANIZALES</v>
          </cell>
          <cell r="M6676" t="str">
            <v>3108331637</v>
          </cell>
        </row>
        <row r="6677">
          <cell r="A6677">
            <v>1053805763</v>
          </cell>
          <cell r="B6677" t="str">
            <v/>
          </cell>
          <cell r="C6677" t="str">
            <v/>
          </cell>
          <cell r="D6677" t="str">
            <v>CC</v>
          </cell>
          <cell r="E6677" t="str">
            <v>MATEO</v>
          </cell>
          <cell r="F6677" t="str">
            <v>HIDALGO MONTOYA</v>
          </cell>
          <cell r="G6677" t="str">
            <v>HIDALGO MONTOYA MATEO</v>
          </cell>
          <cell r="H6677" t="str">
            <v>FUNC</v>
          </cell>
          <cell r="I6677" t="str">
            <v>FUNCIONARIO</v>
          </cell>
          <cell r="J6677" t="str">
            <v>CRA 23 No 67A - 55</v>
          </cell>
          <cell r="K6677" t="str">
            <v>17001</v>
          </cell>
          <cell r="L6677" t="str">
            <v>MANIZALES</v>
          </cell>
          <cell r="M6677" t="str">
            <v>3148903922</v>
          </cell>
        </row>
        <row r="6678">
          <cell r="A6678">
            <v>1053806140</v>
          </cell>
          <cell r="B6678" t="str">
            <v/>
          </cell>
          <cell r="C6678" t="str">
            <v/>
          </cell>
          <cell r="D6678" t="str">
            <v>CC</v>
          </cell>
          <cell r="E6678" t="str">
            <v>LUISA FERNANDA</v>
          </cell>
          <cell r="F6678" t="str">
            <v>OCAMPO LARGO</v>
          </cell>
          <cell r="G6678" t="str">
            <v>OCAMPO LARGO LUISA FERNANDA</v>
          </cell>
          <cell r="H6678" t="str">
            <v>FUNC</v>
          </cell>
          <cell r="I6678" t="str">
            <v>FUNCIONARIO</v>
          </cell>
          <cell r="J6678" t="str">
            <v>CL 21 N 24 39</v>
          </cell>
          <cell r="K6678" t="str">
            <v>17001</v>
          </cell>
          <cell r="L6678" t="str">
            <v>MANIZALES</v>
          </cell>
          <cell r="M6678" t="str">
            <v>3147667289</v>
          </cell>
        </row>
        <row r="6679">
          <cell r="A6679">
            <v>1053806172</v>
          </cell>
          <cell r="B6679" t="str">
            <v>2</v>
          </cell>
          <cell r="C6679" t="str">
            <v/>
          </cell>
          <cell r="D6679" t="str">
            <v>NP</v>
          </cell>
          <cell r="E6679" t="str">
            <v>VIVIANA</v>
          </cell>
          <cell r="F6679" t="str">
            <v>SANTANDER MEJIA</v>
          </cell>
          <cell r="G6679" t="str">
            <v>SANTANDER MEJIA VIVIANA</v>
          </cell>
          <cell r="H6679" t="str">
            <v>RESI</v>
          </cell>
          <cell r="I6679" t="str">
            <v>REGIMEN SIMPLIFICADO</v>
          </cell>
          <cell r="J6679" t="str">
            <v>CR 19 B 5 46 BRR LA FRANCIA CONJUNTO CANDELARIAS</v>
          </cell>
          <cell r="K6679" t="str">
            <v>17001</v>
          </cell>
          <cell r="L6679" t="str">
            <v>MANIZALES</v>
          </cell>
          <cell r="M6679" t="str">
            <v>3122375562</v>
          </cell>
        </row>
        <row r="6680">
          <cell r="A6680">
            <v>1053806298</v>
          </cell>
          <cell r="B6680" t="str">
            <v>1</v>
          </cell>
          <cell r="C6680" t="str">
            <v/>
          </cell>
          <cell r="D6680" t="str">
            <v>NP</v>
          </cell>
          <cell r="E6680" t="str">
            <v>YOLIMA ANDREA</v>
          </cell>
          <cell r="F6680" t="str">
            <v>LEMUS RESTREPO</v>
          </cell>
          <cell r="G6680" t="str">
            <v>LEMUS RESTREPO YOLIMA ANDREA</v>
          </cell>
          <cell r="H6680" t="str">
            <v>RESI</v>
          </cell>
          <cell r="I6680" t="str">
            <v>REGIMEN SIMPLIFICADO</v>
          </cell>
          <cell r="J6680" t="str">
            <v>CL 61 24 A 29</v>
          </cell>
          <cell r="K6680" t="str">
            <v>17001</v>
          </cell>
          <cell r="L6680" t="str">
            <v>MANIZALES</v>
          </cell>
          <cell r="M6680" t="str">
            <v>3136384283</v>
          </cell>
        </row>
        <row r="6681">
          <cell r="A6681">
            <v>1053807525</v>
          </cell>
          <cell r="B6681" t="str">
            <v>3</v>
          </cell>
          <cell r="C6681" t="str">
            <v/>
          </cell>
          <cell r="D6681" t="str">
            <v>NP</v>
          </cell>
          <cell r="E6681" t="str">
            <v>CAROLINA</v>
          </cell>
          <cell r="F6681" t="str">
            <v>ALZATE TRUJILLO</v>
          </cell>
          <cell r="G6681" t="str">
            <v>ALZATE TRUJILLO CAROLINA</v>
          </cell>
          <cell r="H6681" t="str">
            <v>RESI</v>
          </cell>
          <cell r="I6681" t="str">
            <v>REGIMEN SIMPLIFICADO</v>
          </cell>
          <cell r="J6681" t="str">
            <v xml:space="preserve"> CR 28C  69 07 CA 3</v>
          </cell>
          <cell r="K6681" t="str">
            <v>17001</v>
          </cell>
          <cell r="L6681" t="str">
            <v>MANIZALES</v>
          </cell>
          <cell r="M6681" t="str">
            <v>8874977</v>
          </cell>
        </row>
        <row r="6682">
          <cell r="A6682">
            <v>1053808214</v>
          </cell>
          <cell r="B6682" t="str">
            <v/>
          </cell>
          <cell r="C6682" t="str">
            <v/>
          </cell>
          <cell r="D6682" t="str">
            <v>CC</v>
          </cell>
          <cell r="E6682" t="str">
            <v>SANTIAGO</v>
          </cell>
          <cell r="F6682" t="str">
            <v>MORANTE CASTAÑO</v>
          </cell>
          <cell r="G6682" t="str">
            <v>MORANTE CASTAÑO SANTIAGO</v>
          </cell>
          <cell r="H6682" t="str">
            <v>FUNC</v>
          </cell>
          <cell r="I6682" t="str">
            <v>FUNCIONARIO</v>
          </cell>
          <cell r="J6682" t="str">
            <v>calle 48 D #20-83</v>
          </cell>
          <cell r="K6682" t="str">
            <v>17001</v>
          </cell>
          <cell r="L6682" t="str">
            <v>MANIZALES</v>
          </cell>
          <cell r="M6682" t="str">
            <v>8928817</v>
          </cell>
        </row>
        <row r="6683">
          <cell r="A6683">
            <v>1053808410</v>
          </cell>
          <cell r="B6683" t="str">
            <v/>
          </cell>
          <cell r="C6683" t="str">
            <v/>
          </cell>
          <cell r="D6683" t="str">
            <v>CC</v>
          </cell>
          <cell r="E6683" t="str">
            <v>WILLIAM ANDRES</v>
          </cell>
          <cell r="F6683" t="str">
            <v>MONTES GOMEZ</v>
          </cell>
          <cell r="G6683" t="str">
            <v>MONTES GOMEZ WILLIAM ANDRES</v>
          </cell>
          <cell r="H6683" t="str">
            <v>FUNC</v>
          </cell>
          <cell r="I6683" t="str">
            <v>FUNCIONARIO</v>
          </cell>
          <cell r="J6683" t="str">
            <v>CR 28   17   56</v>
          </cell>
          <cell r="K6683" t="str">
            <v>17001</v>
          </cell>
          <cell r="L6683" t="str">
            <v>MANIZALES</v>
          </cell>
          <cell r="M6683" t="str">
            <v>3117662759</v>
          </cell>
        </row>
        <row r="6684">
          <cell r="A6684">
            <v>1053808780</v>
          </cell>
          <cell r="B6684" t="str">
            <v/>
          </cell>
          <cell r="C6684" t="str">
            <v/>
          </cell>
          <cell r="D6684" t="str">
            <v>CC</v>
          </cell>
          <cell r="E6684" t="str">
            <v>JUAN DANIEL</v>
          </cell>
          <cell r="F6684" t="str">
            <v>CASTAÑO SALGADO</v>
          </cell>
          <cell r="G6684" t="str">
            <v>CASTAÑO SALGADO JUAN DANIEL</v>
          </cell>
          <cell r="H6684" t="str">
            <v>EXFU</v>
          </cell>
          <cell r="I6684" t="str">
            <v>EX-FUNCIONARIOS</v>
          </cell>
          <cell r="J6684" t="str">
            <v>cr 25 #71-93</v>
          </cell>
          <cell r="K6684" t="str">
            <v>17001</v>
          </cell>
          <cell r="L6684" t="str">
            <v>MANIZALES</v>
          </cell>
          <cell r="M6684" t="str">
            <v>3117577408</v>
          </cell>
        </row>
        <row r="6685">
          <cell r="A6685">
            <v>1053809200</v>
          </cell>
          <cell r="B6685" t="str">
            <v>4</v>
          </cell>
          <cell r="C6685" t="str">
            <v/>
          </cell>
          <cell r="D6685" t="str">
            <v>NP</v>
          </cell>
          <cell r="E6685" t="str">
            <v>KATERINE</v>
          </cell>
          <cell r="F6685" t="str">
            <v>GRAJALES GONZALEZ</v>
          </cell>
          <cell r="G6685" t="str">
            <v>GRAJALES GONZALEZ KATERINE</v>
          </cell>
          <cell r="H6685" t="str">
            <v>RESI</v>
          </cell>
          <cell r="I6685" t="str">
            <v>REGIMEN SIMPLIFICADO</v>
          </cell>
          <cell r="J6685" t="str">
            <v>CR 23   65   11 CC CABLE PLAZA  LC 203</v>
          </cell>
          <cell r="K6685" t="str">
            <v>17001</v>
          </cell>
          <cell r="L6685" t="str">
            <v>MANIZALES</v>
          </cell>
          <cell r="M6685" t="str">
            <v>3004302152</v>
          </cell>
        </row>
        <row r="6686">
          <cell r="A6686">
            <v>1053809450</v>
          </cell>
          <cell r="B6686" t="str">
            <v/>
          </cell>
          <cell r="C6686" t="str">
            <v/>
          </cell>
          <cell r="D6686" t="str">
            <v>CC</v>
          </cell>
          <cell r="E6686" t="str">
            <v>VALENTINA</v>
          </cell>
          <cell r="F6686" t="str">
            <v>MARTINEZ BEDOYA</v>
          </cell>
          <cell r="G6686" t="str">
            <v>MARTINEZ BEDOYA VALENTINA</v>
          </cell>
          <cell r="H6686" t="str">
            <v>FUNC</v>
          </cell>
          <cell r="I6686" t="str">
            <v>FUNCIONARIO</v>
          </cell>
          <cell r="J6686" t="str">
            <v>SEC MIRADOR II ETAPA CA 49</v>
          </cell>
          <cell r="K6686" t="str">
            <v>17001</v>
          </cell>
          <cell r="L6686" t="str">
            <v>MANIZALES</v>
          </cell>
          <cell r="M6686" t="str">
            <v>3117399584</v>
          </cell>
        </row>
        <row r="6687">
          <cell r="A6687">
            <v>1053809658</v>
          </cell>
          <cell r="B6687" t="str">
            <v/>
          </cell>
          <cell r="C6687" t="str">
            <v/>
          </cell>
          <cell r="D6687" t="str">
            <v>CC</v>
          </cell>
          <cell r="E6687" t="str">
            <v>JUAN SEBASTIAN</v>
          </cell>
          <cell r="F6687" t="str">
            <v>RODRIGUEZ OCAMPO</v>
          </cell>
          <cell r="G6687" t="str">
            <v>RODRIGUEZ OCAMPO JUAN SEBASTIAN</v>
          </cell>
          <cell r="H6687" t="str">
            <v>FUNC</v>
          </cell>
          <cell r="I6687" t="str">
            <v>FUNCIONARIO</v>
          </cell>
          <cell r="J6687" t="str">
            <v>CR 18   49   25</v>
          </cell>
          <cell r="K6687" t="str">
            <v>17001</v>
          </cell>
          <cell r="L6687" t="str">
            <v>MANIZALES</v>
          </cell>
          <cell r="M6687" t="str">
            <v>88601110</v>
          </cell>
        </row>
        <row r="6688">
          <cell r="A6688">
            <v>1053809729</v>
          </cell>
          <cell r="B6688" t="str">
            <v>8</v>
          </cell>
          <cell r="C6688" t="str">
            <v/>
          </cell>
          <cell r="D6688" t="str">
            <v>NP</v>
          </cell>
          <cell r="E6688" t="str">
            <v>CAMILO ANDRES</v>
          </cell>
          <cell r="F6688" t="str">
            <v>VILLEGAS ROCHE</v>
          </cell>
          <cell r="G6688" t="str">
            <v>VILLEGAS ROCHE CAMILO ANDRES</v>
          </cell>
          <cell r="H6688" t="str">
            <v>NORE</v>
          </cell>
          <cell r="I6688" t="str">
            <v>NO RESPONSABLE DE IVA</v>
          </cell>
          <cell r="J6688" t="str">
            <v>CL 72 27 68 AP 2 B 1</v>
          </cell>
          <cell r="K6688" t="str">
            <v>17001</v>
          </cell>
          <cell r="L6688" t="str">
            <v>MANIZALES</v>
          </cell>
          <cell r="M6688" t="str">
            <v>3182244023</v>
          </cell>
        </row>
        <row r="6689">
          <cell r="A6689">
            <v>1053810319</v>
          </cell>
          <cell r="B6689" t="str">
            <v>3</v>
          </cell>
          <cell r="C6689" t="str">
            <v/>
          </cell>
          <cell r="D6689" t="str">
            <v>NP</v>
          </cell>
          <cell r="E6689" t="str">
            <v>MARIA CAMILA</v>
          </cell>
          <cell r="F6689" t="str">
            <v>RESTREPO LOPEZ</v>
          </cell>
          <cell r="G6689" t="str">
            <v>RESTREPO LOPEZ MARIA CAMILA</v>
          </cell>
          <cell r="H6689" t="str">
            <v>IMVE</v>
          </cell>
          <cell r="I6689" t="str">
            <v>IMPUESTO SOBRE LAS VENTAS</v>
          </cell>
          <cell r="J6689" t="str">
            <v xml:space="preserve"> CR  23 27 51</v>
          </cell>
          <cell r="K6689" t="str">
            <v>17001</v>
          </cell>
          <cell r="L6689" t="str">
            <v>MANIZALES</v>
          </cell>
          <cell r="M6689" t="str">
            <v>3116310313</v>
          </cell>
        </row>
        <row r="6690">
          <cell r="A6690">
            <v>1053810558</v>
          </cell>
          <cell r="B6690" t="str">
            <v/>
          </cell>
          <cell r="C6690" t="str">
            <v/>
          </cell>
          <cell r="D6690" t="str">
            <v>CC</v>
          </cell>
          <cell r="E6690" t="str">
            <v>ROBERTH</v>
          </cell>
          <cell r="F6690" t="str">
            <v>GALVIS SALAZAR</v>
          </cell>
          <cell r="G6690" t="str">
            <v>GALVIS SALAZAR ROBERTH</v>
          </cell>
          <cell r="H6690" t="str">
            <v>FUNC</v>
          </cell>
          <cell r="I6690" t="str">
            <v>FUNCIONARIO</v>
          </cell>
          <cell r="J6690" t="str">
            <v>FCA LA TRILLADORA BRR LA LINDA</v>
          </cell>
          <cell r="K6690" t="str">
            <v>17001</v>
          </cell>
          <cell r="L6690" t="str">
            <v>MANIZALES</v>
          </cell>
          <cell r="M6690" t="str">
            <v>8708574</v>
          </cell>
        </row>
        <row r="6691">
          <cell r="A6691">
            <v>1053810623</v>
          </cell>
          <cell r="B6691" t="str">
            <v/>
          </cell>
          <cell r="C6691" t="str">
            <v/>
          </cell>
          <cell r="D6691" t="str">
            <v>CC</v>
          </cell>
          <cell r="E6691" t="str">
            <v>ANDRES MAURICIO</v>
          </cell>
          <cell r="F6691" t="str">
            <v>ZAPATA OCAMPO</v>
          </cell>
          <cell r="G6691" t="str">
            <v>ZAPATA OCAMPO ANDRES MAURICIO</v>
          </cell>
          <cell r="H6691" t="str">
            <v>FUNC</v>
          </cell>
          <cell r="I6691" t="str">
            <v>FUNCIONARIO</v>
          </cell>
          <cell r="J6691" t="str">
            <v>CL 50 B  38 02 BRR GUAMAL</v>
          </cell>
          <cell r="K6691" t="str">
            <v>17001</v>
          </cell>
          <cell r="L6691" t="str">
            <v>MANIZALES</v>
          </cell>
          <cell r="M6691" t="str">
            <v>3016927711</v>
          </cell>
        </row>
        <row r="6692">
          <cell r="A6692">
            <v>1053810702</v>
          </cell>
          <cell r="B6692" t="str">
            <v/>
          </cell>
          <cell r="C6692" t="str">
            <v/>
          </cell>
          <cell r="D6692" t="str">
            <v>CC</v>
          </cell>
          <cell r="E6692" t="str">
            <v>LAURA</v>
          </cell>
          <cell r="F6692" t="str">
            <v>HENAO GOMEZ</v>
          </cell>
          <cell r="G6692" t="str">
            <v>HENAO GOMEZ LAURA</v>
          </cell>
          <cell r="H6692" t="str">
            <v>FUNC</v>
          </cell>
          <cell r="I6692" t="str">
            <v>FUNCIONARIO</v>
          </cell>
          <cell r="J6692" t="str">
            <v>CL 75   20   36 ED COLINA SUIZA AP 401</v>
          </cell>
          <cell r="K6692" t="str">
            <v>17001</v>
          </cell>
          <cell r="L6692" t="str">
            <v>MANIZALES</v>
          </cell>
          <cell r="M6692" t="str">
            <v>3117474756</v>
          </cell>
        </row>
        <row r="6693">
          <cell r="A6693">
            <v>1053810942</v>
          </cell>
          <cell r="B6693" t="str">
            <v/>
          </cell>
          <cell r="C6693" t="str">
            <v/>
          </cell>
          <cell r="D6693" t="str">
            <v>CC</v>
          </cell>
          <cell r="E6693" t="str">
            <v>VALENTINA</v>
          </cell>
          <cell r="F6693" t="str">
            <v>RAMIREZ MARIN</v>
          </cell>
          <cell r="G6693" t="str">
            <v>RAMIREZ MARIN VALENTINA</v>
          </cell>
          <cell r="H6693" t="str">
            <v>FUNC</v>
          </cell>
          <cell r="I6693" t="str">
            <v>FUNCIONARIO</v>
          </cell>
          <cell r="J6693" t="str">
            <v>CR 19 B   52 A 79</v>
          </cell>
          <cell r="K6693" t="str">
            <v>17001</v>
          </cell>
          <cell r="L6693" t="str">
            <v>MANIZALES</v>
          </cell>
          <cell r="M6693" t="str">
            <v>3014843280</v>
          </cell>
        </row>
        <row r="6694">
          <cell r="A6694">
            <v>1053811071</v>
          </cell>
          <cell r="B6694" t="str">
            <v/>
          </cell>
          <cell r="C6694" t="str">
            <v/>
          </cell>
          <cell r="D6694" t="str">
            <v>CC</v>
          </cell>
          <cell r="E6694" t="str">
            <v>ANDRES</v>
          </cell>
          <cell r="F6694" t="str">
            <v>LOPEZ MEJIA</v>
          </cell>
          <cell r="G6694" t="str">
            <v>LOPEZ MEJIA ANDRES</v>
          </cell>
          <cell r="H6694" t="str">
            <v>FUNC</v>
          </cell>
          <cell r="I6694" t="str">
            <v>FUNCIONARIO</v>
          </cell>
          <cell r="J6694" t="str">
            <v>CR 16   51 C   25</v>
          </cell>
          <cell r="K6694" t="str">
            <v>17001</v>
          </cell>
          <cell r="L6694" t="str">
            <v>MANIZALES</v>
          </cell>
          <cell r="M6694" t="str">
            <v>8810143</v>
          </cell>
        </row>
        <row r="6695">
          <cell r="A6695">
            <v>1053811305</v>
          </cell>
          <cell r="B6695" t="str">
            <v>5</v>
          </cell>
          <cell r="C6695" t="str">
            <v/>
          </cell>
          <cell r="D6695" t="str">
            <v>NP</v>
          </cell>
          <cell r="E6695" t="str">
            <v>CARLOS ANDRES</v>
          </cell>
          <cell r="F6695" t="str">
            <v>SABOGAL BETANCUR</v>
          </cell>
          <cell r="G6695" t="str">
            <v>SABOGAL BETANCUR CARLOS ANDRES</v>
          </cell>
          <cell r="H6695" t="str">
            <v>NORE</v>
          </cell>
          <cell r="I6695" t="str">
            <v>NO RESPONSABLE DE IVA</v>
          </cell>
          <cell r="J6695" t="str">
            <v>CL 49 H 34 D 17 BRR EL GUAMAL</v>
          </cell>
          <cell r="K6695" t="str">
            <v>17001</v>
          </cell>
          <cell r="L6695" t="str">
            <v>MANIZALES</v>
          </cell>
          <cell r="M6695" t="str">
            <v>8883238</v>
          </cell>
        </row>
        <row r="6696">
          <cell r="A6696">
            <v>1053811554</v>
          </cell>
          <cell r="B6696" t="str">
            <v/>
          </cell>
          <cell r="C6696" t="str">
            <v/>
          </cell>
          <cell r="D6696" t="str">
            <v>CC</v>
          </cell>
          <cell r="E6696" t="str">
            <v>JIHAN JISSET</v>
          </cell>
          <cell r="F6696" t="str">
            <v>GIRALDO GONZALEZ</v>
          </cell>
          <cell r="G6696" t="str">
            <v>GIRALDO GONZALEZ JIHAN JISSET</v>
          </cell>
          <cell r="H6696" t="str">
            <v>FUNC</v>
          </cell>
          <cell r="I6696" t="str">
            <v>FUNCIONARIO</v>
          </cell>
          <cell r="J6696" t="str">
            <v>CR 20 N 76 A 08</v>
          </cell>
          <cell r="K6696" t="str">
            <v>17001</v>
          </cell>
          <cell r="L6696" t="str">
            <v>MANIZALES</v>
          </cell>
          <cell r="M6696" t="str">
            <v>3188999978</v>
          </cell>
        </row>
        <row r="6697">
          <cell r="A6697">
            <v>1053811563</v>
          </cell>
          <cell r="B6697" t="str">
            <v/>
          </cell>
          <cell r="C6697" t="str">
            <v/>
          </cell>
          <cell r="D6697" t="str">
            <v>CC</v>
          </cell>
          <cell r="E6697" t="str">
            <v>JOHN EDWAR</v>
          </cell>
          <cell r="F6697" t="str">
            <v>PULGARIN MURILLO</v>
          </cell>
          <cell r="G6697" t="str">
            <v>PULGARIN MURILLO JOHN EDWAR</v>
          </cell>
          <cell r="H6697" t="str">
            <v>FUNC</v>
          </cell>
          <cell r="I6697" t="str">
            <v>FUNCIONARIO</v>
          </cell>
          <cell r="J6697" t="str">
            <v>CL 73 17 23 AP 801 BL 2 C</v>
          </cell>
          <cell r="K6697" t="str">
            <v>17001</v>
          </cell>
          <cell r="L6697" t="str">
            <v>MANIZALES</v>
          </cell>
          <cell r="M6697" t="str">
            <v>3142352158</v>
          </cell>
        </row>
        <row r="6698">
          <cell r="A6698">
            <v>1053811698</v>
          </cell>
          <cell r="B6698" t="str">
            <v/>
          </cell>
          <cell r="C6698" t="str">
            <v/>
          </cell>
          <cell r="D6698" t="str">
            <v>CC</v>
          </cell>
          <cell r="E6698" t="str">
            <v>ERIKA JOHANNA</v>
          </cell>
          <cell r="F6698" t="str">
            <v>ARIAS MORALES</v>
          </cell>
          <cell r="G6698" t="str">
            <v>ARIAS MORALES ERIKA JOHANNA</v>
          </cell>
          <cell r="H6698" t="str">
            <v>FUNC</v>
          </cell>
          <cell r="I6698" t="str">
            <v>FUNCIONARIO</v>
          </cell>
          <cell r="J6698" t="str">
            <v>CR 17   73 A 52 AP 502 A</v>
          </cell>
          <cell r="K6698" t="str">
            <v>17001</v>
          </cell>
          <cell r="L6698" t="str">
            <v>MANIZALES</v>
          </cell>
          <cell r="M6698" t="str">
            <v>3137644820</v>
          </cell>
        </row>
        <row r="6699">
          <cell r="A6699">
            <v>1053811983</v>
          </cell>
          <cell r="B6699" t="str">
            <v>9</v>
          </cell>
          <cell r="C6699" t="str">
            <v/>
          </cell>
          <cell r="D6699" t="str">
            <v>NP</v>
          </cell>
          <cell r="E6699" t="str">
            <v>MARIANA</v>
          </cell>
          <cell r="F6699" t="str">
            <v>TRUJILLO GALLEGO</v>
          </cell>
          <cell r="G6699" t="str">
            <v>TRUJILLO GALLEGO MARIANA</v>
          </cell>
          <cell r="H6699" t="str">
            <v>RESI</v>
          </cell>
          <cell r="I6699" t="str">
            <v>REGIMEN SIMPLIFICADO</v>
          </cell>
          <cell r="J6699" t="str">
            <v>CR 22   58 A   30</v>
          </cell>
          <cell r="K6699" t="str">
            <v>17001</v>
          </cell>
          <cell r="L6699" t="str">
            <v>MANIZALES</v>
          </cell>
          <cell r="M6699" t="str">
            <v>8811501</v>
          </cell>
        </row>
        <row r="6700">
          <cell r="A6700">
            <v>1053812343</v>
          </cell>
          <cell r="B6700" t="str">
            <v/>
          </cell>
          <cell r="C6700" t="str">
            <v/>
          </cell>
          <cell r="D6700" t="str">
            <v>CC</v>
          </cell>
          <cell r="E6700" t="str">
            <v>DANIELA</v>
          </cell>
          <cell r="F6700" t="str">
            <v>CASTAÑEDA CASTAÑEDA</v>
          </cell>
          <cell r="G6700" t="str">
            <v>CASTAÑEDA CASTAÑEDA DANIELA</v>
          </cell>
          <cell r="H6700" t="str">
            <v>FUNC</v>
          </cell>
          <cell r="I6700" t="str">
            <v>FUNCIONARIO</v>
          </cell>
          <cell r="J6700" t="str">
            <v>CR 10 B 48 A 46</v>
          </cell>
          <cell r="K6700" t="str">
            <v>17001</v>
          </cell>
          <cell r="L6700" t="str">
            <v>MANIZALES</v>
          </cell>
          <cell r="M6700" t="str">
            <v>3148251229</v>
          </cell>
        </row>
        <row r="6701">
          <cell r="A6701">
            <v>1053812530</v>
          </cell>
          <cell r="B6701" t="str">
            <v>0</v>
          </cell>
          <cell r="C6701" t="str">
            <v/>
          </cell>
          <cell r="D6701" t="str">
            <v>NP</v>
          </cell>
          <cell r="E6701" t="str">
            <v>CLAUDIA ALEJANDRA</v>
          </cell>
          <cell r="F6701" t="str">
            <v>RIVERA MEDINA</v>
          </cell>
          <cell r="G6701" t="str">
            <v>RIVERA MEDINA CLAUDIA ALEJANDRA</v>
          </cell>
          <cell r="H6701" t="str">
            <v>RESI</v>
          </cell>
          <cell r="I6701" t="str">
            <v>REGIMEN SIMPLIFICADO</v>
          </cell>
          <cell r="J6701" t="str">
            <v>CORR FLORENCIA PLAZA PRINCIPAL</v>
          </cell>
          <cell r="K6701" t="str">
            <v>17662</v>
          </cell>
          <cell r="L6701" t="str">
            <v>SAMANÁ</v>
          </cell>
          <cell r="M6701" t="str">
            <v>3108343315</v>
          </cell>
        </row>
        <row r="6702">
          <cell r="A6702">
            <v>1053814369</v>
          </cell>
          <cell r="B6702" t="str">
            <v/>
          </cell>
          <cell r="C6702" t="str">
            <v/>
          </cell>
          <cell r="D6702" t="str">
            <v>CC</v>
          </cell>
          <cell r="E6702" t="str">
            <v>YULY TATIANA</v>
          </cell>
          <cell r="F6702" t="str">
            <v>HERRERA GOMEZ</v>
          </cell>
          <cell r="G6702" t="str">
            <v>HERRERA GOMEZ YULY TATIANA</v>
          </cell>
          <cell r="H6702" t="str">
            <v>FUNC</v>
          </cell>
          <cell r="I6702" t="str">
            <v>FUNCIONARIO</v>
          </cell>
          <cell r="J6702" t="str">
            <v>CL 11 7 37 AP 6</v>
          </cell>
          <cell r="K6702" t="str">
            <v>17001</v>
          </cell>
          <cell r="L6702" t="str">
            <v>MANIZALES</v>
          </cell>
          <cell r="M6702" t="str">
            <v>8900406</v>
          </cell>
        </row>
        <row r="6703">
          <cell r="A6703">
            <v>1053816082</v>
          </cell>
          <cell r="B6703" t="str">
            <v/>
          </cell>
          <cell r="C6703" t="str">
            <v/>
          </cell>
          <cell r="D6703" t="str">
            <v>CC</v>
          </cell>
          <cell r="E6703" t="str">
            <v>ALEJANDRA</v>
          </cell>
          <cell r="F6703" t="str">
            <v>CARDONA MOLINA</v>
          </cell>
          <cell r="G6703" t="str">
            <v>CARDONA MOLINA ALEJANDRA</v>
          </cell>
          <cell r="H6703" t="str">
            <v>FUNC</v>
          </cell>
          <cell r="I6703" t="str">
            <v>FUNCIONARIO</v>
          </cell>
          <cell r="J6703" t="str">
            <v>VTE MANIZALES MEDELLIN VRD LA TRINIDAD CONJ PORTAL DE LOS CEREZO</v>
          </cell>
          <cell r="K6703" t="str">
            <v>17001</v>
          </cell>
          <cell r="L6703" t="str">
            <v>MANIZALES</v>
          </cell>
          <cell r="M6703" t="str">
            <v>3227691822</v>
          </cell>
        </row>
        <row r="6704">
          <cell r="A6704">
            <v>1053816875</v>
          </cell>
          <cell r="B6704" t="str">
            <v/>
          </cell>
          <cell r="C6704" t="str">
            <v/>
          </cell>
          <cell r="D6704" t="str">
            <v>CC</v>
          </cell>
          <cell r="E6704" t="str">
            <v>DANIELA</v>
          </cell>
          <cell r="F6704" t="str">
            <v>GIL JARAMILLO</v>
          </cell>
          <cell r="G6704" t="str">
            <v>GIL JARAMILLO DANIELA</v>
          </cell>
          <cell r="H6704" t="str">
            <v>FUNC</v>
          </cell>
          <cell r="I6704" t="str">
            <v>FUNCIONARIO</v>
          </cell>
          <cell r="J6704" t="str">
            <v>CL 8 N 10 05</v>
          </cell>
          <cell r="K6704" t="str">
            <v>17001</v>
          </cell>
          <cell r="L6704" t="str">
            <v>MANIZALES</v>
          </cell>
          <cell r="M6704" t="str">
            <v>3146417922</v>
          </cell>
        </row>
        <row r="6705">
          <cell r="A6705">
            <v>1053817673</v>
          </cell>
          <cell r="B6705" t="str">
            <v/>
          </cell>
          <cell r="C6705" t="str">
            <v/>
          </cell>
          <cell r="D6705" t="str">
            <v>CC</v>
          </cell>
          <cell r="E6705" t="str">
            <v>ANDRES DAVID</v>
          </cell>
          <cell r="F6705" t="str">
            <v>GOMEZ BEDOYA</v>
          </cell>
          <cell r="G6705" t="str">
            <v>GOMEZ BEDOYA ANDRES DAVID</v>
          </cell>
          <cell r="H6705" t="str">
            <v>FUNC</v>
          </cell>
          <cell r="I6705" t="str">
            <v>FUNCIONARIO</v>
          </cell>
          <cell r="J6705" t="str">
            <v>CR 10 A   54   10</v>
          </cell>
          <cell r="K6705" t="str">
            <v>17001</v>
          </cell>
          <cell r="L6705" t="str">
            <v>MANIZALES</v>
          </cell>
          <cell r="M6705" t="str">
            <v>8764899</v>
          </cell>
        </row>
        <row r="6706">
          <cell r="A6706">
            <v>1053818255</v>
          </cell>
          <cell r="B6706" t="str">
            <v/>
          </cell>
          <cell r="C6706" t="str">
            <v/>
          </cell>
          <cell r="D6706" t="str">
            <v>CC</v>
          </cell>
          <cell r="E6706" t="str">
            <v>MARICELA</v>
          </cell>
          <cell r="F6706" t="str">
            <v>VALENCIA DELGADO</v>
          </cell>
          <cell r="G6706" t="str">
            <v>VALENCIA DELGADO MARICELA</v>
          </cell>
          <cell r="H6706" t="str">
            <v>FUNC</v>
          </cell>
          <cell r="I6706" t="str">
            <v>FUNCIONARIO</v>
          </cell>
          <cell r="J6706" t="str">
            <v>CL 15 N 20 43 AP 204</v>
          </cell>
          <cell r="K6706" t="str">
            <v>17001</v>
          </cell>
          <cell r="L6706" t="str">
            <v>MANIZALES</v>
          </cell>
          <cell r="M6706" t="str">
            <v>3007628913</v>
          </cell>
        </row>
        <row r="6707">
          <cell r="A6707">
            <v>1053818282</v>
          </cell>
          <cell r="B6707" t="str">
            <v/>
          </cell>
          <cell r="C6707" t="str">
            <v/>
          </cell>
          <cell r="D6707" t="str">
            <v>CC</v>
          </cell>
          <cell r="E6707" t="str">
            <v>MARIA FERNANDA</v>
          </cell>
          <cell r="F6707" t="str">
            <v>TABARES SANCHEZ</v>
          </cell>
          <cell r="G6707" t="str">
            <v>TABARES SANCHEZ MARIA FERNANDA</v>
          </cell>
          <cell r="H6707" t="str">
            <v>FUNC</v>
          </cell>
          <cell r="I6707" t="str">
            <v>FUNCIONARIO</v>
          </cell>
          <cell r="J6707" t="str">
            <v>CR 9 B 57 D   26</v>
          </cell>
          <cell r="K6707" t="str">
            <v>17001</v>
          </cell>
          <cell r="L6707" t="str">
            <v>MANIZALES</v>
          </cell>
          <cell r="M6707" t="str">
            <v>8724135</v>
          </cell>
        </row>
        <row r="6708">
          <cell r="A6708">
            <v>1053818357</v>
          </cell>
          <cell r="B6708" t="str">
            <v>1</v>
          </cell>
          <cell r="C6708" t="str">
            <v/>
          </cell>
          <cell r="D6708" t="str">
            <v>NP</v>
          </cell>
          <cell r="E6708" t="str">
            <v>XIMENA</v>
          </cell>
          <cell r="F6708" t="str">
            <v>JIMENEZ HERNANDEZ</v>
          </cell>
          <cell r="G6708" t="str">
            <v>JIMENEZ HERNANDEZ XIMENA</v>
          </cell>
          <cell r="H6708" t="str">
            <v>RESI</v>
          </cell>
          <cell r="I6708" t="str">
            <v>REGIMEN SIMPLIFICADO</v>
          </cell>
          <cell r="J6708" t="str">
            <v>CR 39 C 64 31</v>
          </cell>
          <cell r="K6708" t="str">
            <v>17001</v>
          </cell>
          <cell r="L6708" t="str">
            <v>MANIZALES</v>
          </cell>
          <cell r="M6708" t="str">
            <v>3127213432</v>
          </cell>
        </row>
        <row r="6709">
          <cell r="A6709">
            <v>1053818424</v>
          </cell>
          <cell r="B6709" t="str">
            <v>5</v>
          </cell>
          <cell r="C6709" t="str">
            <v/>
          </cell>
          <cell r="D6709" t="str">
            <v>NP</v>
          </cell>
          <cell r="E6709" t="str">
            <v>MARIANA</v>
          </cell>
          <cell r="F6709" t="str">
            <v>LONDOÑO GIRALDO</v>
          </cell>
          <cell r="G6709" t="str">
            <v>LONDOÑO GIRALDO MARIANA</v>
          </cell>
          <cell r="H6709" t="str">
            <v>RESI</v>
          </cell>
          <cell r="I6709" t="str">
            <v>REGIMEN SIMPLIFICADO</v>
          </cell>
          <cell r="J6709" t="str">
            <v>CR 21   65 A 56 AP 404</v>
          </cell>
          <cell r="K6709" t="str">
            <v>17001</v>
          </cell>
          <cell r="L6709" t="str">
            <v>MANIZALES</v>
          </cell>
          <cell r="M6709" t="str">
            <v>8816256</v>
          </cell>
        </row>
        <row r="6710">
          <cell r="A6710">
            <v>1053818514</v>
          </cell>
          <cell r="B6710" t="str">
            <v/>
          </cell>
          <cell r="C6710" t="str">
            <v/>
          </cell>
          <cell r="D6710" t="str">
            <v>CC</v>
          </cell>
          <cell r="E6710" t="str">
            <v>CAROLINA</v>
          </cell>
          <cell r="F6710" t="str">
            <v>NOREÑA CHICA</v>
          </cell>
          <cell r="G6710" t="str">
            <v>NOREÑA CHICA CAROLINA</v>
          </cell>
          <cell r="H6710" t="str">
            <v>FUNC</v>
          </cell>
          <cell r="I6710" t="str">
            <v>FUNCIONARIO</v>
          </cell>
          <cell r="J6710" t="str">
            <v>CR 29   71   18</v>
          </cell>
          <cell r="K6710" t="str">
            <v>17001</v>
          </cell>
          <cell r="L6710" t="str">
            <v>MANIZALES</v>
          </cell>
          <cell r="M6710" t="str">
            <v>8858315</v>
          </cell>
        </row>
        <row r="6711">
          <cell r="A6711">
            <v>1053818697</v>
          </cell>
          <cell r="B6711" t="str">
            <v/>
          </cell>
          <cell r="C6711" t="str">
            <v/>
          </cell>
          <cell r="D6711" t="str">
            <v>CC</v>
          </cell>
          <cell r="E6711" t="str">
            <v>STEPHANIA</v>
          </cell>
          <cell r="F6711" t="str">
            <v>PEREZ CUARTAS</v>
          </cell>
          <cell r="G6711" t="str">
            <v>PEREZ CUARTAS STEPHANIA</v>
          </cell>
          <cell r="H6711" t="str">
            <v>FUNC</v>
          </cell>
          <cell r="I6711" t="str">
            <v>FUNCIONARIO</v>
          </cell>
          <cell r="J6711" t="str">
            <v>CL 43 1   348 CONJ TERRANOVA CA</v>
          </cell>
          <cell r="K6711" t="str">
            <v>17001</v>
          </cell>
          <cell r="L6711" t="str">
            <v>MANIZALES</v>
          </cell>
          <cell r="M6711" t="str">
            <v>8729208</v>
          </cell>
        </row>
        <row r="6712">
          <cell r="A6712">
            <v>1053818733</v>
          </cell>
          <cell r="B6712" t="str">
            <v/>
          </cell>
          <cell r="C6712" t="str">
            <v/>
          </cell>
          <cell r="D6712" t="str">
            <v>CC</v>
          </cell>
          <cell r="E6712" t="str">
            <v>SAUDY DANIELA</v>
          </cell>
          <cell r="F6712" t="str">
            <v>GARCIA CORTES</v>
          </cell>
          <cell r="G6712" t="str">
            <v>GARCIA CORTES SAUDY DANIELA</v>
          </cell>
          <cell r="H6712" t="str">
            <v>FUNC</v>
          </cell>
          <cell r="I6712" t="str">
            <v>FUNCIONARIO</v>
          </cell>
          <cell r="J6712" t="str">
            <v>CR 14   47 I   09</v>
          </cell>
          <cell r="K6712" t="str">
            <v>17001</v>
          </cell>
          <cell r="L6712" t="str">
            <v>MANIZALES</v>
          </cell>
          <cell r="M6712" t="str">
            <v>8909570</v>
          </cell>
        </row>
        <row r="6713">
          <cell r="A6713">
            <v>1053818784</v>
          </cell>
          <cell r="B6713" t="str">
            <v/>
          </cell>
          <cell r="C6713" t="str">
            <v/>
          </cell>
          <cell r="D6713" t="str">
            <v>CC</v>
          </cell>
          <cell r="E6713" t="str">
            <v>ANDRES FELIPE</v>
          </cell>
          <cell r="F6713" t="str">
            <v>CLAVIJO ARANGO</v>
          </cell>
          <cell r="G6713" t="str">
            <v>CLAVIJO ARANGO ANDRES FELIPE</v>
          </cell>
          <cell r="H6713" t="str">
            <v>FUNC</v>
          </cell>
          <cell r="I6713" t="str">
            <v>FUNCIONARIO</v>
          </cell>
          <cell r="J6713" t="str">
            <v>CRA 41 # 47-71</v>
          </cell>
          <cell r="K6713" t="str">
            <v>17001</v>
          </cell>
          <cell r="L6713" t="str">
            <v>MANIZALES</v>
          </cell>
          <cell r="M6713" t="str">
            <v>3104018397</v>
          </cell>
        </row>
        <row r="6714">
          <cell r="A6714">
            <v>1053818982</v>
          </cell>
          <cell r="B6714" t="str">
            <v>3</v>
          </cell>
          <cell r="C6714" t="str">
            <v/>
          </cell>
          <cell r="D6714" t="str">
            <v>NP</v>
          </cell>
          <cell r="E6714" t="str">
            <v>DANIEL FELIPE</v>
          </cell>
          <cell r="F6714" t="str">
            <v>ESPITIA CARDONA</v>
          </cell>
          <cell r="G6714" t="str">
            <v>ESPITIA CARDONA DANIEL FELIPE</v>
          </cell>
          <cell r="H6714" t="str">
            <v>NORE</v>
          </cell>
          <cell r="I6714" t="str">
            <v>NO RESPONSABLE DE IVA</v>
          </cell>
          <cell r="J6714" t="str">
            <v xml:space="preserve"> CL 93 B  I  S   19 40</v>
          </cell>
          <cell r="K6714" t="str">
            <v>11001</v>
          </cell>
          <cell r="L6714" t="str">
            <v>BOGOTA DC</v>
          </cell>
          <cell r="M6714" t="str">
            <v>3118769273</v>
          </cell>
        </row>
        <row r="6715">
          <cell r="A6715">
            <v>1053818983</v>
          </cell>
          <cell r="B6715" t="str">
            <v/>
          </cell>
          <cell r="C6715" t="str">
            <v/>
          </cell>
          <cell r="D6715" t="str">
            <v>CC</v>
          </cell>
          <cell r="E6715" t="str">
            <v>JULIAN</v>
          </cell>
          <cell r="F6715" t="str">
            <v>NOREÑA RESTREPO</v>
          </cell>
          <cell r="G6715" t="str">
            <v>NOREÑA RESTREPO JULIAN</v>
          </cell>
          <cell r="H6715" t="str">
            <v>FUNC</v>
          </cell>
          <cell r="I6715" t="str">
            <v>FUNCIONARIO</v>
          </cell>
          <cell r="J6715" t="str">
            <v>CL 50   21   74</v>
          </cell>
          <cell r="K6715" t="str">
            <v>17001</v>
          </cell>
          <cell r="L6715" t="str">
            <v>MANIZALES</v>
          </cell>
          <cell r="M6715" t="str">
            <v>3137005821</v>
          </cell>
        </row>
        <row r="6716">
          <cell r="A6716">
            <v>1053819065</v>
          </cell>
          <cell r="B6716" t="str">
            <v/>
          </cell>
          <cell r="C6716" t="str">
            <v/>
          </cell>
          <cell r="D6716" t="str">
            <v>CC</v>
          </cell>
          <cell r="E6716" t="str">
            <v>JUAN MANUEL</v>
          </cell>
          <cell r="F6716" t="str">
            <v>ARIAS PELAEZ</v>
          </cell>
          <cell r="G6716" t="str">
            <v>ARIAS PELAEZ JUAN MANUEL</v>
          </cell>
          <cell r="H6716" t="str">
            <v>FUNC</v>
          </cell>
          <cell r="I6716" t="str">
            <v>FUNCIONARIO</v>
          </cell>
          <cell r="J6716" t="str">
            <v>CR 25   52   30 ED VERSALLES</v>
          </cell>
          <cell r="K6716" t="str">
            <v>17001</v>
          </cell>
          <cell r="L6716" t="str">
            <v>MANIZALES</v>
          </cell>
          <cell r="M6716" t="str">
            <v>8852378</v>
          </cell>
        </row>
        <row r="6717">
          <cell r="A6717">
            <v>1053819079</v>
          </cell>
          <cell r="B6717" t="str">
            <v/>
          </cell>
          <cell r="C6717" t="str">
            <v/>
          </cell>
          <cell r="D6717" t="str">
            <v>CC</v>
          </cell>
          <cell r="E6717" t="str">
            <v>MATEO</v>
          </cell>
          <cell r="F6717" t="str">
            <v>CARMONA ARANGO</v>
          </cell>
          <cell r="G6717" t="str">
            <v>CARMONA ARANGO MATEO</v>
          </cell>
          <cell r="H6717" t="str">
            <v>FUNC</v>
          </cell>
          <cell r="I6717" t="str">
            <v>FUNCIONARIO</v>
          </cell>
          <cell r="J6717" t="str">
            <v>CR 36 A   10 D   17</v>
          </cell>
          <cell r="K6717" t="str">
            <v>17001</v>
          </cell>
          <cell r="L6717" t="str">
            <v>MANIZALES</v>
          </cell>
          <cell r="M6717" t="str">
            <v>8738103</v>
          </cell>
        </row>
        <row r="6718">
          <cell r="A6718">
            <v>1053819466</v>
          </cell>
          <cell r="B6718" t="str">
            <v/>
          </cell>
          <cell r="C6718" t="str">
            <v/>
          </cell>
          <cell r="D6718" t="str">
            <v>CC</v>
          </cell>
          <cell r="E6718" t="str">
            <v>ALEJANDRA</v>
          </cell>
          <cell r="F6718" t="str">
            <v>MEJÍA ZAPATA</v>
          </cell>
          <cell r="G6718" t="str">
            <v>MEJÍA ZAPATA ALEJANDRA</v>
          </cell>
          <cell r="H6718" t="str">
            <v>FUNC</v>
          </cell>
          <cell r="I6718" t="str">
            <v>FUNCIONARIO</v>
          </cell>
          <cell r="J6718" t="str">
            <v>CALLE 66 C 41C 18</v>
          </cell>
          <cell r="K6718" t="str">
            <v>17001</v>
          </cell>
          <cell r="L6718" t="str">
            <v>MANIZALES</v>
          </cell>
          <cell r="M6718" t="str">
            <v>3044986000</v>
          </cell>
        </row>
        <row r="6719">
          <cell r="A6719">
            <v>1053819662</v>
          </cell>
          <cell r="B6719" t="str">
            <v/>
          </cell>
          <cell r="C6719" t="str">
            <v/>
          </cell>
          <cell r="D6719" t="str">
            <v>CC</v>
          </cell>
          <cell r="E6719" t="str">
            <v>DANIELA</v>
          </cell>
          <cell r="F6719" t="str">
            <v>MONROY RAMIREZ</v>
          </cell>
          <cell r="G6719" t="str">
            <v>MONROY RAMIREZ DANIELA</v>
          </cell>
          <cell r="H6719" t="str">
            <v>FUNC</v>
          </cell>
          <cell r="I6719" t="str">
            <v>FUNCIONARIO</v>
          </cell>
          <cell r="J6719" t="str">
            <v>CRA 20 No 47A-69</v>
          </cell>
          <cell r="K6719" t="str">
            <v>17001</v>
          </cell>
          <cell r="L6719" t="str">
            <v>MANIZALES</v>
          </cell>
          <cell r="M6719" t="str">
            <v>3104754344</v>
          </cell>
        </row>
        <row r="6720">
          <cell r="A6720">
            <v>1053820016</v>
          </cell>
          <cell r="B6720" t="str">
            <v/>
          </cell>
          <cell r="C6720" t="str">
            <v/>
          </cell>
          <cell r="D6720" t="str">
            <v>CC</v>
          </cell>
          <cell r="E6720" t="str">
            <v>ANDRES TOMAS</v>
          </cell>
          <cell r="F6720" t="str">
            <v>MARULANDA RESTREPO</v>
          </cell>
          <cell r="G6720" t="str">
            <v>MARULANDA RESTREPO ANDRES TOMAS</v>
          </cell>
          <cell r="H6720" t="str">
            <v>FUNC</v>
          </cell>
          <cell r="I6720" t="str">
            <v>FUNCIONARIO</v>
          </cell>
          <cell r="J6720" t="str">
            <v>CR 9 D   57 F 18 BRR</v>
          </cell>
          <cell r="K6720" t="str">
            <v>17001</v>
          </cell>
          <cell r="L6720" t="str">
            <v>MANIZALES</v>
          </cell>
          <cell r="M6720" t="str">
            <v>3133682054</v>
          </cell>
        </row>
        <row r="6721">
          <cell r="A6721">
            <v>1053820403</v>
          </cell>
          <cell r="B6721" t="str">
            <v/>
          </cell>
          <cell r="C6721" t="str">
            <v/>
          </cell>
          <cell r="D6721" t="str">
            <v>CC</v>
          </cell>
          <cell r="E6721" t="str">
            <v>LUISA FERNANDA</v>
          </cell>
          <cell r="F6721" t="str">
            <v>CALDERON CASTAÑO</v>
          </cell>
          <cell r="G6721" t="str">
            <v>CALDERON CASTAÑO LUISA FERNANDA</v>
          </cell>
          <cell r="H6721" t="str">
            <v>FUNC</v>
          </cell>
          <cell r="I6721" t="str">
            <v>FUNCIONARIO</v>
          </cell>
          <cell r="J6721" t="str">
            <v>CR 34   100 B   64</v>
          </cell>
          <cell r="K6721" t="str">
            <v>17001</v>
          </cell>
          <cell r="L6721" t="str">
            <v>MANIZALES</v>
          </cell>
          <cell r="M6721" t="str">
            <v>8748058</v>
          </cell>
        </row>
        <row r="6722">
          <cell r="A6722">
            <v>1053820928</v>
          </cell>
          <cell r="B6722" t="str">
            <v/>
          </cell>
          <cell r="C6722" t="str">
            <v/>
          </cell>
          <cell r="D6722" t="str">
            <v>CC</v>
          </cell>
          <cell r="E6722" t="str">
            <v>GISSELL</v>
          </cell>
          <cell r="F6722" t="str">
            <v>MORALES BERMUDEZ</v>
          </cell>
          <cell r="G6722" t="str">
            <v>MORALES BERMUDEZ GISSELL</v>
          </cell>
          <cell r="H6722" t="str">
            <v>FUNC</v>
          </cell>
          <cell r="I6722" t="str">
            <v>FUNCIONARIO</v>
          </cell>
          <cell r="J6722" t="str">
            <v>CR 4 D   48 B   44</v>
          </cell>
          <cell r="K6722" t="str">
            <v>17001</v>
          </cell>
          <cell r="L6722" t="str">
            <v>MANIZALES</v>
          </cell>
          <cell r="M6722" t="str">
            <v>3017211609</v>
          </cell>
        </row>
        <row r="6723">
          <cell r="A6723">
            <v>1053822002</v>
          </cell>
          <cell r="B6723" t="str">
            <v>6</v>
          </cell>
          <cell r="C6723" t="str">
            <v/>
          </cell>
          <cell r="D6723" t="str">
            <v>NP</v>
          </cell>
          <cell r="E6723" t="str">
            <v>VANESSA</v>
          </cell>
          <cell r="F6723" t="str">
            <v>QUINTERO VÉLEZ</v>
          </cell>
          <cell r="G6723" t="str">
            <v>QUINTERO VÉLEZ VANESSA</v>
          </cell>
          <cell r="H6723" t="str">
            <v>RESI</v>
          </cell>
          <cell r="I6723" t="str">
            <v>REGIMEN SIMPLIFICADO</v>
          </cell>
          <cell r="J6723" t="str">
            <v xml:space="preserve"> CR 26  69 53</v>
          </cell>
          <cell r="K6723" t="str">
            <v>17001</v>
          </cell>
          <cell r="L6723" t="str">
            <v>MANIZALES</v>
          </cell>
          <cell r="M6723" t="str">
            <v>8925670</v>
          </cell>
        </row>
        <row r="6724">
          <cell r="A6724">
            <v>1053822018</v>
          </cell>
          <cell r="B6724" t="str">
            <v/>
          </cell>
          <cell r="C6724" t="str">
            <v/>
          </cell>
          <cell r="D6724" t="str">
            <v>CC</v>
          </cell>
          <cell r="E6724" t="str">
            <v>DANIELA</v>
          </cell>
          <cell r="F6724" t="str">
            <v>NIETO VALLEJO</v>
          </cell>
          <cell r="G6724" t="str">
            <v>NIETO VALLEJO DANIELA</v>
          </cell>
          <cell r="H6724" t="str">
            <v>FUNC</v>
          </cell>
          <cell r="I6724" t="str">
            <v>FUNCIONARIO</v>
          </cell>
          <cell r="J6724" t="str">
            <v>CL 69 N 10 4</v>
          </cell>
          <cell r="K6724" t="str">
            <v>17001</v>
          </cell>
          <cell r="L6724" t="str">
            <v>MANIZALES</v>
          </cell>
          <cell r="M6724" t="str">
            <v>3123752611</v>
          </cell>
        </row>
        <row r="6725">
          <cell r="A6725">
            <v>1053822280</v>
          </cell>
          <cell r="B6725" t="str">
            <v/>
          </cell>
          <cell r="C6725" t="str">
            <v/>
          </cell>
          <cell r="D6725" t="str">
            <v>CC</v>
          </cell>
          <cell r="E6725" t="str">
            <v>ANGELA JAZMIN</v>
          </cell>
          <cell r="F6725" t="str">
            <v>AGUDELO CRUZ</v>
          </cell>
          <cell r="G6725" t="str">
            <v>AGUDELO CRUZ ANGELA JAZMIN</v>
          </cell>
          <cell r="H6725" t="str">
            <v>FUNC</v>
          </cell>
          <cell r="I6725" t="str">
            <v>FUNCIONARIO</v>
          </cell>
          <cell r="J6725" t="str">
            <v>CR 2 C 48 F 07</v>
          </cell>
          <cell r="K6725" t="str">
            <v>17001</v>
          </cell>
          <cell r="L6725" t="str">
            <v>MANIZALES</v>
          </cell>
          <cell r="M6725" t="str">
            <v>3228305763</v>
          </cell>
        </row>
        <row r="6726">
          <cell r="A6726">
            <v>1053822849</v>
          </cell>
          <cell r="B6726" t="str">
            <v/>
          </cell>
          <cell r="C6726" t="str">
            <v/>
          </cell>
          <cell r="D6726" t="str">
            <v>CC</v>
          </cell>
          <cell r="E6726" t="str">
            <v>MARIA CAROLINA</v>
          </cell>
          <cell r="F6726" t="str">
            <v>LOPEZ CANO</v>
          </cell>
          <cell r="G6726" t="str">
            <v>LOPEZ CANO MARIA CAROLINA</v>
          </cell>
          <cell r="H6726" t="str">
            <v>FUNC</v>
          </cell>
          <cell r="I6726" t="str">
            <v>FUNCIONARIO</v>
          </cell>
          <cell r="J6726" t="str">
            <v>CALLE 71 N° 4- 71</v>
          </cell>
          <cell r="K6726" t="str">
            <v>17001</v>
          </cell>
          <cell r="L6726" t="str">
            <v>MANIZALES</v>
          </cell>
          <cell r="M6726" t="str">
            <v>89552001</v>
          </cell>
        </row>
        <row r="6727">
          <cell r="A6727">
            <v>1053823854</v>
          </cell>
          <cell r="B6727" t="str">
            <v>9</v>
          </cell>
          <cell r="C6727" t="str">
            <v/>
          </cell>
          <cell r="D6727" t="str">
            <v>NP</v>
          </cell>
          <cell r="E6727" t="str">
            <v>CLEMENCIA</v>
          </cell>
          <cell r="F6727" t="str">
            <v>MEJIA MANCERA</v>
          </cell>
          <cell r="G6727" t="str">
            <v>MEJIA MANCERA CLEMENCIA</v>
          </cell>
          <cell r="H6727" t="str">
            <v>RESI</v>
          </cell>
          <cell r="I6727" t="str">
            <v>REGIMEN SIMPLIFICADO</v>
          </cell>
          <cell r="J6727" t="str">
            <v>CR 3 G 48D 277</v>
          </cell>
          <cell r="K6727" t="str">
            <v>17001</v>
          </cell>
          <cell r="L6727" t="str">
            <v>MANIZALES</v>
          </cell>
          <cell r="M6727" t="str">
            <v>378</v>
          </cell>
        </row>
        <row r="6728">
          <cell r="A6728">
            <v>1053824272</v>
          </cell>
          <cell r="B6728" t="str">
            <v/>
          </cell>
          <cell r="C6728" t="str">
            <v/>
          </cell>
          <cell r="D6728" t="str">
            <v>CC</v>
          </cell>
          <cell r="E6728" t="str">
            <v>NATHALIA PAOLA</v>
          </cell>
          <cell r="F6728" t="str">
            <v>TOVAR CORTES</v>
          </cell>
          <cell r="G6728" t="str">
            <v>TOVAR CORTES NATHALIA PAOLA</v>
          </cell>
          <cell r="H6728" t="str">
            <v>FUNC</v>
          </cell>
          <cell r="I6728" t="str">
            <v>FUNCIONARIO</v>
          </cell>
          <cell r="J6728" t="str">
            <v>CL 49 C   11   23 BRR VIÑA DEL MAR</v>
          </cell>
          <cell r="K6728" t="str">
            <v>17001</v>
          </cell>
          <cell r="L6728" t="str">
            <v>MANIZALES</v>
          </cell>
          <cell r="M6728" t="str">
            <v>8768968</v>
          </cell>
        </row>
        <row r="6729">
          <cell r="A6729">
            <v>1053824667</v>
          </cell>
          <cell r="B6729" t="str">
            <v/>
          </cell>
          <cell r="C6729" t="str">
            <v/>
          </cell>
          <cell r="D6729" t="str">
            <v>CC</v>
          </cell>
          <cell r="E6729" t="str">
            <v>VIVIANA ANDREA</v>
          </cell>
          <cell r="F6729" t="str">
            <v>HERRERA MARIN</v>
          </cell>
          <cell r="G6729" t="str">
            <v>HERRERA MARIN VIVIANA ANDREA</v>
          </cell>
          <cell r="H6729" t="str">
            <v>FUNC</v>
          </cell>
          <cell r="I6729" t="str">
            <v>FUNCIONARIO</v>
          </cell>
          <cell r="J6729" t="str">
            <v>CR 7 K   54   02</v>
          </cell>
          <cell r="K6729" t="str">
            <v>17001</v>
          </cell>
          <cell r="L6729" t="str">
            <v>MANIZALES</v>
          </cell>
          <cell r="M6729" t="str">
            <v>8769451</v>
          </cell>
        </row>
        <row r="6730">
          <cell r="A6730">
            <v>1053824887</v>
          </cell>
          <cell r="B6730" t="str">
            <v/>
          </cell>
          <cell r="C6730" t="str">
            <v/>
          </cell>
          <cell r="D6730" t="str">
            <v>CC</v>
          </cell>
          <cell r="E6730" t="str">
            <v>GENNY PAOLA</v>
          </cell>
          <cell r="F6730" t="str">
            <v>POSADA PINEDA</v>
          </cell>
          <cell r="G6730" t="str">
            <v>POSADA PINEDA GENNY PAOLA</v>
          </cell>
          <cell r="H6730" t="str">
            <v>FUNC</v>
          </cell>
          <cell r="I6730" t="str">
            <v>FUNCIONARIO</v>
          </cell>
          <cell r="J6730" t="str">
            <v>CR 1 G   48 F 1   30</v>
          </cell>
          <cell r="K6730" t="str">
            <v>17001</v>
          </cell>
          <cell r="L6730" t="str">
            <v>MANIZALES</v>
          </cell>
          <cell r="M6730" t="str">
            <v>3127060681</v>
          </cell>
        </row>
        <row r="6731">
          <cell r="A6731">
            <v>1053825005</v>
          </cell>
          <cell r="B6731" t="str">
            <v/>
          </cell>
          <cell r="C6731" t="str">
            <v/>
          </cell>
          <cell r="D6731" t="str">
            <v>CC</v>
          </cell>
          <cell r="E6731" t="str">
            <v>ANDREA XIMENA</v>
          </cell>
          <cell r="F6731" t="str">
            <v>MURICA SANCHEZ</v>
          </cell>
          <cell r="G6731" t="str">
            <v>MURICA SANCHEZ ANDREA XIMENA</v>
          </cell>
          <cell r="H6731" t="str">
            <v>FUNC</v>
          </cell>
          <cell r="I6731" t="str">
            <v>FUNCIONARIO</v>
          </cell>
          <cell r="J6731" t="str">
            <v>CR 31   12   12</v>
          </cell>
          <cell r="K6731" t="str">
            <v>17001</v>
          </cell>
          <cell r="L6731" t="str">
            <v>MANIZALES</v>
          </cell>
          <cell r="M6731" t="str">
            <v>8840730</v>
          </cell>
        </row>
        <row r="6732">
          <cell r="A6732">
            <v>1053825375</v>
          </cell>
          <cell r="B6732" t="str">
            <v>1</v>
          </cell>
          <cell r="C6732" t="str">
            <v/>
          </cell>
          <cell r="D6732" t="str">
            <v>NP</v>
          </cell>
          <cell r="E6732" t="str">
            <v>JORGE ANDREY</v>
          </cell>
          <cell r="F6732" t="str">
            <v>CEBALLOS CARDONA</v>
          </cell>
          <cell r="G6732" t="str">
            <v>CEBALLOS CARDONA JORGE ANDREY</v>
          </cell>
          <cell r="H6732" t="str">
            <v>RESI</v>
          </cell>
          <cell r="I6732" t="str">
            <v>REGIMEN SIMPLIFICADO</v>
          </cell>
          <cell r="J6732" t="str">
            <v>CR 20 16 06</v>
          </cell>
          <cell r="K6732" t="str">
            <v>17001</v>
          </cell>
          <cell r="L6732" t="str">
            <v>MANIZALES</v>
          </cell>
          <cell r="M6732" t="str">
            <v>8848507</v>
          </cell>
        </row>
        <row r="6733">
          <cell r="A6733">
            <v>1053825710</v>
          </cell>
          <cell r="B6733" t="str">
            <v>6</v>
          </cell>
          <cell r="C6733" t="str">
            <v/>
          </cell>
          <cell r="D6733" t="str">
            <v>NP</v>
          </cell>
          <cell r="E6733" t="str">
            <v>CATALINA</v>
          </cell>
          <cell r="F6733" t="str">
            <v>MEGLAN RODRIGUEZ</v>
          </cell>
          <cell r="G6733" t="str">
            <v>MEGLAN RODRIGUEZ CATALINA</v>
          </cell>
          <cell r="H6733" t="str">
            <v>RESI</v>
          </cell>
          <cell r="I6733" t="str">
            <v>REGIMEN SIMPLIFICADO</v>
          </cell>
          <cell r="J6733" t="str">
            <v>CL 51 26 A 74 CONJ PORTAL DE SAN LUIS TO 2 AP 1 B BRR LA ARBOLED</v>
          </cell>
          <cell r="K6733" t="str">
            <v>17001</v>
          </cell>
          <cell r="L6733" t="str">
            <v>MANIZALES</v>
          </cell>
          <cell r="M6733" t="str">
            <v>3163809892</v>
          </cell>
        </row>
        <row r="6734">
          <cell r="A6734">
            <v>1053826288</v>
          </cell>
          <cell r="B6734" t="str">
            <v>3</v>
          </cell>
          <cell r="C6734" t="str">
            <v/>
          </cell>
          <cell r="D6734" t="str">
            <v>NP</v>
          </cell>
          <cell r="E6734" t="str">
            <v>LAURA MARCELA</v>
          </cell>
          <cell r="F6734" t="str">
            <v>URIBE LONDOÑO</v>
          </cell>
          <cell r="G6734" t="str">
            <v>URIBE LONDOÑO LAURA MARCELA</v>
          </cell>
          <cell r="H6734" t="str">
            <v>RESI</v>
          </cell>
          <cell r="I6734" t="str">
            <v>REGIMEN SIMPLIFICADO</v>
          </cell>
          <cell r="J6734" t="str">
            <v>CL 50   26   57</v>
          </cell>
          <cell r="K6734" t="str">
            <v>17001</v>
          </cell>
          <cell r="L6734" t="str">
            <v>MANIZALES</v>
          </cell>
          <cell r="M6734" t="str">
            <v>3207127026</v>
          </cell>
        </row>
        <row r="6735">
          <cell r="A6735">
            <v>1053826819</v>
          </cell>
          <cell r="B6735" t="str">
            <v/>
          </cell>
          <cell r="C6735" t="str">
            <v/>
          </cell>
          <cell r="D6735" t="str">
            <v>CC</v>
          </cell>
          <cell r="E6735" t="str">
            <v>MARIA ALEJANDRA</v>
          </cell>
          <cell r="F6735" t="str">
            <v>MEJIA ALZATE</v>
          </cell>
          <cell r="G6735" t="str">
            <v>MEJIA ALZATE MARIA ALEJANDRA</v>
          </cell>
          <cell r="H6735" t="str">
            <v>FUNC</v>
          </cell>
          <cell r="I6735" t="str">
            <v>FUNCIONARIO</v>
          </cell>
          <cell r="J6735" t="str">
            <v>CR 8 A   45 C 01</v>
          </cell>
          <cell r="K6735" t="str">
            <v>17001</v>
          </cell>
          <cell r="L6735" t="str">
            <v>MANIZALES</v>
          </cell>
          <cell r="M6735" t="str">
            <v>87768012</v>
          </cell>
        </row>
        <row r="6736">
          <cell r="A6736">
            <v>1053827234</v>
          </cell>
          <cell r="B6736" t="str">
            <v/>
          </cell>
          <cell r="C6736" t="str">
            <v/>
          </cell>
          <cell r="D6736" t="str">
            <v>CC</v>
          </cell>
          <cell r="E6736" t="str">
            <v>GLORISETH</v>
          </cell>
          <cell r="F6736" t="str">
            <v>CALDERON ARIAS</v>
          </cell>
          <cell r="G6736" t="str">
            <v>CALDERON ARIAS GLORISETH</v>
          </cell>
          <cell r="H6736" t="str">
            <v>FUNC</v>
          </cell>
          <cell r="I6736" t="str">
            <v>FUNCIONARIO</v>
          </cell>
          <cell r="J6736" t="str">
            <v>CL 12 26 33</v>
          </cell>
          <cell r="K6736" t="str">
            <v>17001</v>
          </cell>
          <cell r="L6736" t="str">
            <v>MANIZALES</v>
          </cell>
          <cell r="M6736" t="str">
            <v>3105020452</v>
          </cell>
        </row>
        <row r="6737">
          <cell r="A6737">
            <v>1053827553</v>
          </cell>
          <cell r="B6737" t="str">
            <v/>
          </cell>
          <cell r="C6737" t="str">
            <v/>
          </cell>
          <cell r="D6737" t="str">
            <v>CC</v>
          </cell>
          <cell r="E6737" t="str">
            <v>MATEO</v>
          </cell>
          <cell r="F6737" t="str">
            <v>MUÑOZ ORTIZ</v>
          </cell>
          <cell r="G6737" t="str">
            <v>MUÑOZ ORTIZ MATEO</v>
          </cell>
          <cell r="H6737" t="str">
            <v>FUNC</v>
          </cell>
          <cell r="I6737" t="str">
            <v>FUNCIONARIO</v>
          </cell>
          <cell r="J6737" t="str">
            <v>CL 47 G   11 B 11</v>
          </cell>
          <cell r="K6737" t="str">
            <v>17001</v>
          </cell>
          <cell r="L6737" t="str">
            <v>MANIZALES</v>
          </cell>
          <cell r="M6737" t="str">
            <v>3218944998</v>
          </cell>
        </row>
        <row r="6738">
          <cell r="A6738">
            <v>1053827692</v>
          </cell>
          <cell r="B6738" t="str">
            <v/>
          </cell>
          <cell r="C6738" t="str">
            <v/>
          </cell>
          <cell r="D6738" t="str">
            <v>CC</v>
          </cell>
          <cell r="E6738" t="str">
            <v>ESTIVEN</v>
          </cell>
          <cell r="F6738" t="str">
            <v>GÓMEZ TORO</v>
          </cell>
          <cell r="G6738" t="str">
            <v>GÓMEZ TORO ESTIVEN</v>
          </cell>
          <cell r="H6738" t="str">
            <v>FUNC</v>
          </cell>
          <cell r="I6738" t="str">
            <v>FUNCIONARIO</v>
          </cell>
          <cell r="J6738" t="str">
            <v>MZ 9 CA 3 59</v>
          </cell>
          <cell r="K6738" t="str">
            <v>17001</v>
          </cell>
          <cell r="L6738" t="str">
            <v>MANIZALES</v>
          </cell>
          <cell r="M6738" t="str">
            <v>3142838399</v>
          </cell>
        </row>
        <row r="6739">
          <cell r="A6739">
            <v>1053828036</v>
          </cell>
          <cell r="B6739" t="str">
            <v/>
          </cell>
          <cell r="C6739" t="str">
            <v/>
          </cell>
          <cell r="D6739" t="str">
            <v>CC</v>
          </cell>
          <cell r="E6739" t="str">
            <v>DANIELA</v>
          </cell>
          <cell r="F6739" t="str">
            <v>TRUJILLO GONZALEZ</v>
          </cell>
          <cell r="G6739" t="str">
            <v>TRUJILLO GONZALEZ DANIELA</v>
          </cell>
          <cell r="H6739" t="str">
            <v>FUNC</v>
          </cell>
          <cell r="I6739" t="str">
            <v>FUNCIONARIO</v>
          </cell>
          <cell r="J6739" t="str">
            <v>CR 4 G   48   21 BRR</v>
          </cell>
          <cell r="K6739" t="str">
            <v>17001</v>
          </cell>
          <cell r="L6739" t="str">
            <v>MANIZALES</v>
          </cell>
          <cell r="M6739" t="str">
            <v>3128658248</v>
          </cell>
        </row>
        <row r="6740">
          <cell r="A6740">
            <v>1053828116</v>
          </cell>
          <cell r="B6740" t="str">
            <v/>
          </cell>
          <cell r="C6740" t="str">
            <v/>
          </cell>
          <cell r="D6740" t="str">
            <v>CC</v>
          </cell>
          <cell r="E6740" t="str">
            <v>ANDREA</v>
          </cell>
          <cell r="F6740" t="str">
            <v>DAVID GIRALDO</v>
          </cell>
          <cell r="G6740" t="str">
            <v>DAVID GIRALDO ANDREA</v>
          </cell>
          <cell r="H6740" t="str">
            <v>FUNC</v>
          </cell>
          <cell r="I6740" t="str">
            <v>FUNCIONARIO</v>
          </cell>
          <cell r="J6740" t="str">
            <v>CARRERA 10N° 12-21 MZ 26 N° 511</v>
          </cell>
          <cell r="K6740" t="str">
            <v>17001</v>
          </cell>
          <cell r="L6740" t="str">
            <v>MANIZALES</v>
          </cell>
          <cell r="M6740" t="str">
            <v>3147102191</v>
          </cell>
        </row>
        <row r="6741">
          <cell r="A6741">
            <v>1053828374</v>
          </cell>
          <cell r="B6741" t="str">
            <v>8</v>
          </cell>
          <cell r="C6741" t="str">
            <v/>
          </cell>
          <cell r="D6741" t="str">
            <v>NP</v>
          </cell>
          <cell r="E6741" t="str">
            <v>ANDERSON LEONARDO</v>
          </cell>
          <cell r="F6741" t="str">
            <v>ROMERO CENDALES</v>
          </cell>
          <cell r="G6741" t="str">
            <v>ROMERO CENDALES ANDERSON LEONARDO</v>
          </cell>
          <cell r="H6741" t="str">
            <v>NORE</v>
          </cell>
          <cell r="I6741" t="str">
            <v>NO RESPONSABLE DE IVA</v>
          </cell>
          <cell r="J6741" t="str">
            <v>CR 23 20 59 ED ESTRADA OF 210</v>
          </cell>
          <cell r="K6741" t="str">
            <v>17001</v>
          </cell>
          <cell r="L6741" t="str">
            <v>MANIZALES</v>
          </cell>
          <cell r="M6741" t="str">
            <v>3206225843</v>
          </cell>
        </row>
        <row r="6742">
          <cell r="A6742">
            <v>1053828470</v>
          </cell>
          <cell r="B6742" t="str">
            <v/>
          </cell>
          <cell r="C6742" t="str">
            <v/>
          </cell>
          <cell r="D6742" t="str">
            <v>CC</v>
          </cell>
          <cell r="E6742" t="str">
            <v>EDWIN</v>
          </cell>
          <cell r="F6742" t="str">
            <v>LOPEZ MEJIA</v>
          </cell>
          <cell r="G6742" t="str">
            <v>LOPEZ MEJIA EDWIN</v>
          </cell>
          <cell r="H6742" t="str">
            <v>FUNC</v>
          </cell>
          <cell r="I6742" t="str">
            <v>FUNCIONARIO</v>
          </cell>
          <cell r="J6742" t="str">
            <v>CR 16   51 C 27</v>
          </cell>
          <cell r="K6742" t="str">
            <v>17001</v>
          </cell>
          <cell r="L6742" t="str">
            <v>MANIZALES</v>
          </cell>
          <cell r="M6742" t="str">
            <v>8923980</v>
          </cell>
        </row>
        <row r="6743">
          <cell r="A6743">
            <v>1053828691</v>
          </cell>
          <cell r="B6743" t="str">
            <v/>
          </cell>
          <cell r="C6743" t="str">
            <v/>
          </cell>
          <cell r="D6743" t="str">
            <v>CC</v>
          </cell>
          <cell r="E6743" t="str">
            <v>LAURA</v>
          </cell>
          <cell r="F6743" t="str">
            <v>MONTES GARCÍA</v>
          </cell>
          <cell r="G6743" t="str">
            <v>MONTES GARCÍA LAURA</v>
          </cell>
          <cell r="H6743" t="str">
            <v>FUNC</v>
          </cell>
          <cell r="I6743" t="str">
            <v>FUNCIONARIO</v>
          </cell>
          <cell r="J6743" t="str">
            <v>CALLE 54 # 24-11</v>
          </cell>
          <cell r="K6743" t="str">
            <v>17001</v>
          </cell>
          <cell r="L6743" t="str">
            <v>MANIZALES</v>
          </cell>
          <cell r="M6743" t="str">
            <v>3043911368</v>
          </cell>
        </row>
        <row r="6744">
          <cell r="A6744">
            <v>1053828956</v>
          </cell>
          <cell r="B6744" t="str">
            <v/>
          </cell>
          <cell r="C6744" t="str">
            <v/>
          </cell>
          <cell r="D6744" t="str">
            <v>CC</v>
          </cell>
          <cell r="E6744" t="str">
            <v>GABRIEL DAVID</v>
          </cell>
          <cell r="F6744" t="str">
            <v>MEJIA POSSO</v>
          </cell>
          <cell r="G6744" t="str">
            <v>MEJIA POSSO GABRIEL DAVID</v>
          </cell>
          <cell r="H6744" t="str">
            <v>FUNC</v>
          </cell>
          <cell r="I6744" t="str">
            <v>FUNCIONARIO</v>
          </cell>
          <cell r="J6744" t="str">
            <v>CL 59 8 B 18</v>
          </cell>
          <cell r="K6744" t="str">
            <v>17001</v>
          </cell>
          <cell r="L6744" t="str">
            <v>MANIZALES</v>
          </cell>
          <cell r="M6744" t="str">
            <v>3103938686</v>
          </cell>
        </row>
        <row r="6745">
          <cell r="A6745">
            <v>1053829247</v>
          </cell>
          <cell r="B6745" t="str">
            <v>5</v>
          </cell>
          <cell r="C6745" t="str">
            <v/>
          </cell>
          <cell r="D6745" t="str">
            <v>NP</v>
          </cell>
          <cell r="E6745" t="str">
            <v>ANDREA PAMELA</v>
          </cell>
          <cell r="F6745" t="str">
            <v>QUINTERO VELEZ</v>
          </cell>
          <cell r="G6745" t="str">
            <v>QUINTERO VELEZ ANDREA PAMELA</v>
          </cell>
          <cell r="H6745" t="str">
            <v>RESI</v>
          </cell>
          <cell r="I6745" t="str">
            <v>REGIMEN SIMPLIFICADO</v>
          </cell>
          <cell r="J6745" t="str">
            <v>CR 26 69  53</v>
          </cell>
          <cell r="K6745" t="str">
            <v>17001</v>
          </cell>
          <cell r="L6745" t="str">
            <v>MANIZALES</v>
          </cell>
          <cell r="M6745" t="str">
            <v>3113818094</v>
          </cell>
        </row>
        <row r="6746">
          <cell r="A6746">
            <v>1053829783</v>
          </cell>
          <cell r="B6746" t="str">
            <v/>
          </cell>
          <cell r="C6746" t="str">
            <v/>
          </cell>
          <cell r="D6746" t="str">
            <v>CC</v>
          </cell>
          <cell r="E6746" t="str">
            <v>JUAN SEBASTIAN</v>
          </cell>
          <cell r="F6746" t="str">
            <v>GIRALDO GIRALDO</v>
          </cell>
          <cell r="G6746" t="str">
            <v>GIRALDO GIRALDO JUAN SEBASTIAN</v>
          </cell>
          <cell r="H6746" t="str">
            <v>FUNC</v>
          </cell>
          <cell r="I6746" t="str">
            <v>FUNCIONARIO</v>
          </cell>
          <cell r="J6746" t="str">
            <v>CALLE 67 9 37</v>
          </cell>
          <cell r="K6746" t="str">
            <v>17001</v>
          </cell>
          <cell r="L6746" t="str">
            <v>MANIZALES</v>
          </cell>
          <cell r="M6746" t="str">
            <v>3052308927</v>
          </cell>
        </row>
        <row r="6747">
          <cell r="A6747">
            <v>1053829852</v>
          </cell>
          <cell r="B6747" t="str">
            <v>1</v>
          </cell>
          <cell r="C6747" t="str">
            <v/>
          </cell>
          <cell r="D6747" t="str">
            <v>NP</v>
          </cell>
          <cell r="E6747" t="str">
            <v>HANZT</v>
          </cell>
          <cell r="F6747" t="str">
            <v>BREHINIER MIGNOT</v>
          </cell>
          <cell r="G6747" t="str">
            <v>BREHINIER MIGNOT HANZT</v>
          </cell>
          <cell r="H6747" t="str">
            <v>IMVE</v>
          </cell>
          <cell r="I6747" t="str">
            <v>IMPUESTO SOBRE LAS VENTAS</v>
          </cell>
          <cell r="J6747" t="str">
            <v>CRA 23 75 36</v>
          </cell>
          <cell r="K6747" t="str">
            <v>17001</v>
          </cell>
          <cell r="L6747" t="str">
            <v>MANIZALES</v>
          </cell>
          <cell r="M6747" t="str">
            <v>8903300</v>
          </cell>
        </row>
        <row r="6748">
          <cell r="A6748">
            <v>1053830206</v>
          </cell>
          <cell r="B6748" t="str">
            <v/>
          </cell>
          <cell r="C6748" t="str">
            <v/>
          </cell>
          <cell r="D6748" t="str">
            <v>CC</v>
          </cell>
          <cell r="E6748" t="str">
            <v>CONNY DANIELA</v>
          </cell>
          <cell r="F6748" t="str">
            <v>ARISTIZABAL OSSA</v>
          </cell>
          <cell r="G6748" t="str">
            <v>ARISTIZABAL OSSA CONNY DANIELA</v>
          </cell>
          <cell r="H6748" t="str">
            <v>FUNC</v>
          </cell>
          <cell r="I6748" t="str">
            <v>FUNCIONARIO</v>
          </cell>
          <cell r="J6748" t="str">
            <v>CL 61 32 B 39</v>
          </cell>
          <cell r="K6748" t="str">
            <v>17001</v>
          </cell>
          <cell r="L6748" t="str">
            <v>MANIZALES</v>
          </cell>
          <cell r="M6748" t="str">
            <v>3053034180</v>
          </cell>
        </row>
        <row r="6749">
          <cell r="A6749">
            <v>1053830264</v>
          </cell>
          <cell r="B6749" t="str">
            <v/>
          </cell>
          <cell r="C6749" t="str">
            <v/>
          </cell>
          <cell r="D6749" t="str">
            <v>CC</v>
          </cell>
          <cell r="E6749" t="str">
            <v>DANIELA</v>
          </cell>
          <cell r="F6749" t="str">
            <v>GOMEZ AYALA</v>
          </cell>
          <cell r="G6749" t="str">
            <v>GOMEZ AYALA  DANIELA</v>
          </cell>
          <cell r="H6749" t="str">
            <v>FUNC</v>
          </cell>
          <cell r="I6749" t="str">
            <v>FUNCIONARIO</v>
          </cell>
          <cell r="J6749" t="str">
            <v>CR  25 N 16 20 APTO 301</v>
          </cell>
          <cell r="K6749" t="str">
            <v>17001</v>
          </cell>
          <cell r="L6749" t="str">
            <v>MANIZALES</v>
          </cell>
          <cell r="M6749" t="str">
            <v>8806697</v>
          </cell>
        </row>
        <row r="6750">
          <cell r="A6750">
            <v>1053830772</v>
          </cell>
          <cell r="B6750" t="str">
            <v/>
          </cell>
          <cell r="C6750" t="str">
            <v/>
          </cell>
          <cell r="D6750" t="str">
            <v>CC</v>
          </cell>
          <cell r="E6750" t="str">
            <v>JUAN PABLO</v>
          </cell>
          <cell r="F6750" t="str">
            <v>BEDOYA ALZATE</v>
          </cell>
          <cell r="G6750" t="str">
            <v>BEDOYA ALZATE JUAN PABLO</v>
          </cell>
          <cell r="H6750" t="str">
            <v>FUNC</v>
          </cell>
          <cell r="I6750" t="str">
            <v>FUNCIONARIO</v>
          </cell>
          <cell r="J6750" t="str">
            <v>CL 46 A   20   55</v>
          </cell>
          <cell r="K6750" t="str">
            <v>17001</v>
          </cell>
          <cell r="L6750" t="str">
            <v>MANIZALES</v>
          </cell>
          <cell r="M6750" t="str">
            <v>8903201</v>
          </cell>
        </row>
        <row r="6751">
          <cell r="A6751">
            <v>1053830940</v>
          </cell>
          <cell r="B6751" t="str">
            <v/>
          </cell>
          <cell r="C6751" t="str">
            <v/>
          </cell>
          <cell r="D6751" t="str">
            <v>CC</v>
          </cell>
          <cell r="E6751" t="str">
            <v>SANTIAGO</v>
          </cell>
          <cell r="F6751" t="str">
            <v>TORO DIAS</v>
          </cell>
          <cell r="G6751" t="str">
            <v>TORO DIAS SANTIAGO</v>
          </cell>
          <cell r="H6751" t="str">
            <v>FUNC</v>
          </cell>
          <cell r="I6751" t="str">
            <v>FUNCIONARIO</v>
          </cell>
          <cell r="J6751" t="str">
            <v>CRA22#54-21</v>
          </cell>
          <cell r="K6751" t="str">
            <v>17001</v>
          </cell>
          <cell r="L6751" t="str">
            <v>MANIZALES</v>
          </cell>
          <cell r="M6751" t="str">
            <v>8904642</v>
          </cell>
        </row>
        <row r="6752">
          <cell r="A6752">
            <v>1053831199</v>
          </cell>
          <cell r="B6752" t="str">
            <v/>
          </cell>
          <cell r="C6752" t="str">
            <v/>
          </cell>
          <cell r="D6752" t="str">
            <v>CC</v>
          </cell>
          <cell r="E6752" t="str">
            <v>JUAN FELIPE</v>
          </cell>
          <cell r="F6752" t="str">
            <v>RODRIGUEZ  SALAZAR</v>
          </cell>
          <cell r="G6752" t="str">
            <v>RODRIGUEZ  SALAZAR JUAN FELIPE</v>
          </cell>
          <cell r="H6752" t="str">
            <v>FUNC</v>
          </cell>
          <cell r="I6752" t="str">
            <v>FUNCIONARIO</v>
          </cell>
          <cell r="J6752" t="str">
            <v>CR 34 A   107 B - 28</v>
          </cell>
          <cell r="K6752" t="str">
            <v>17001</v>
          </cell>
          <cell r="L6752" t="str">
            <v>MANIZALES</v>
          </cell>
          <cell r="M6752" t="str">
            <v>8747736</v>
          </cell>
        </row>
        <row r="6753">
          <cell r="A6753">
            <v>1053832098</v>
          </cell>
          <cell r="B6753" t="str">
            <v>5</v>
          </cell>
          <cell r="C6753" t="str">
            <v/>
          </cell>
          <cell r="D6753" t="str">
            <v>NP</v>
          </cell>
          <cell r="E6753" t="str">
            <v>WILFER YESID</v>
          </cell>
          <cell r="F6753" t="str">
            <v>GIRALDO CARDENAS</v>
          </cell>
          <cell r="G6753" t="str">
            <v>GIRALDO CARDENAS WILFER YESID</v>
          </cell>
          <cell r="H6753" t="str">
            <v>NORE</v>
          </cell>
          <cell r="I6753" t="str">
            <v>NO RESPONSABLE DE IVA</v>
          </cell>
          <cell r="J6753" t="str">
            <v>VTE ANTIGUA VIA MANIZALES-CHINCHINA. AL LADO CARRATAPLAN</v>
          </cell>
          <cell r="K6753" t="str">
            <v>17001</v>
          </cell>
          <cell r="L6753" t="str">
            <v>MANIZALES</v>
          </cell>
          <cell r="M6753" t="str">
            <v>3147193607</v>
          </cell>
        </row>
        <row r="6754">
          <cell r="A6754">
            <v>1053832262</v>
          </cell>
          <cell r="B6754" t="str">
            <v/>
          </cell>
          <cell r="C6754" t="str">
            <v/>
          </cell>
          <cell r="D6754" t="str">
            <v>CC</v>
          </cell>
          <cell r="E6754" t="str">
            <v>NATALIA</v>
          </cell>
          <cell r="F6754" t="str">
            <v>RAMIREZ TRIANA</v>
          </cell>
          <cell r="G6754" t="str">
            <v>RAMIREZ TRIANA NATALIA</v>
          </cell>
          <cell r="H6754" t="str">
            <v>FUNC</v>
          </cell>
          <cell r="I6754" t="str">
            <v>FUNCIONARIO</v>
          </cell>
          <cell r="J6754" t="str">
            <v>CRA 10 61 61</v>
          </cell>
          <cell r="K6754" t="str">
            <v>17001</v>
          </cell>
          <cell r="L6754" t="str">
            <v>MANIZALES</v>
          </cell>
          <cell r="M6754" t="str">
            <v>8754308</v>
          </cell>
        </row>
        <row r="6755">
          <cell r="A6755">
            <v>1053833161</v>
          </cell>
          <cell r="B6755" t="str">
            <v/>
          </cell>
          <cell r="C6755" t="str">
            <v/>
          </cell>
          <cell r="D6755" t="str">
            <v>CC</v>
          </cell>
          <cell r="E6755" t="str">
            <v>VIVIANA</v>
          </cell>
          <cell r="F6755" t="str">
            <v>CASTRO FLOREZ</v>
          </cell>
          <cell r="G6755" t="str">
            <v>CASTRO FLOREZ VIVIANA</v>
          </cell>
          <cell r="H6755" t="str">
            <v>FUNC</v>
          </cell>
          <cell r="I6755" t="str">
            <v>FUNCIONARIO</v>
          </cell>
          <cell r="J6755" t="str">
            <v>CL 68   28   29</v>
          </cell>
          <cell r="K6755" t="str">
            <v>17001</v>
          </cell>
          <cell r="L6755" t="str">
            <v>MANIZALES</v>
          </cell>
          <cell r="M6755" t="str">
            <v>8877111</v>
          </cell>
        </row>
        <row r="6756">
          <cell r="A6756">
            <v>1053833573</v>
          </cell>
          <cell r="B6756" t="str">
            <v/>
          </cell>
          <cell r="C6756" t="str">
            <v/>
          </cell>
          <cell r="D6756" t="str">
            <v>CC</v>
          </cell>
          <cell r="E6756" t="str">
            <v>MARIA CAMILA</v>
          </cell>
          <cell r="F6756" t="str">
            <v>VARGAS BEDOYA</v>
          </cell>
          <cell r="G6756" t="str">
            <v>VARGAS BEDOYA MARIA CAMILA</v>
          </cell>
          <cell r="H6756" t="str">
            <v>FUNC</v>
          </cell>
          <cell r="I6756" t="str">
            <v>FUNCIONARIO</v>
          </cell>
          <cell r="J6756" t="str">
            <v>CR 24   51   45 AP 304</v>
          </cell>
          <cell r="K6756" t="str">
            <v>17001</v>
          </cell>
          <cell r="L6756" t="str">
            <v>MANIZALES</v>
          </cell>
          <cell r="M6756" t="str">
            <v>8857668</v>
          </cell>
        </row>
        <row r="6757">
          <cell r="A6757">
            <v>1053833597</v>
          </cell>
          <cell r="B6757" t="str">
            <v/>
          </cell>
          <cell r="C6757" t="str">
            <v/>
          </cell>
          <cell r="D6757" t="str">
            <v>CC</v>
          </cell>
          <cell r="E6757" t="str">
            <v>VALENTINA</v>
          </cell>
          <cell r="F6757" t="str">
            <v>MARTINEZ CASTAÑO</v>
          </cell>
          <cell r="G6757" t="str">
            <v>MARTINEZ CASTAÑO VALENTINA</v>
          </cell>
          <cell r="H6757" t="str">
            <v>FUNC</v>
          </cell>
          <cell r="I6757" t="str">
            <v>FUNCIONARIO</v>
          </cell>
          <cell r="J6757" t="str">
            <v>BRR VILLA CARMENZA BL B APTDO 202</v>
          </cell>
          <cell r="K6757" t="str">
            <v>17001</v>
          </cell>
          <cell r="L6757" t="str">
            <v>MANIZALES</v>
          </cell>
          <cell r="M6757" t="str">
            <v>8912780</v>
          </cell>
        </row>
        <row r="6758">
          <cell r="A6758">
            <v>1053833730</v>
          </cell>
          <cell r="B6758" t="str">
            <v/>
          </cell>
          <cell r="C6758" t="str">
            <v/>
          </cell>
          <cell r="D6758" t="str">
            <v>CC</v>
          </cell>
          <cell r="E6758" t="str">
            <v>ALEJANDRO</v>
          </cell>
          <cell r="F6758" t="str">
            <v>POSADA VANEGAS</v>
          </cell>
          <cell r="G6758" t="str">
            <v>POSADA VANEGAS ALEJANDRO</v>
          </cell>
          <cell r="H6758" t="str">
            <v>FUNC</v>
          </cell>
          <cell r="I6758" t="str">
            <v>FUNCIONARIO</v>
          </cell>
          <cell r="J6758" t="str">
            <v>CL 65 B   28   05</v>
          </cell>
          <cell r="K6758" t="str">
            <v>17001</v>
          </cell>
          <cell r="L6758" t="str">
            <v>MANIZALES</v>
          </cell>
          <cell r="M6758" t="str">
            <v>8877222</v>
          </cell>
        </row>
        <row r="6759">
          <cell r="A6759">
            <v>1053833745</v>
          </cell>
          <cell r="B6759" t="str">
            <v/>
          </cell>
          <cell r="C6759" t="str">
            <v/>
          </cell>
          <cell r="D6759" t="str">
            <v>CC</v>
          </cell>
          <cell r="E6759" t="str">
            <v>ANA MARÍA</v>
          </cell>
          <cell r="F6759" t="str">
            <v>GARCIA PARRA</v>
          </cell>
          <cell r="G6759" t="str">
            <v>GARCIA PARRA ANA MARÍA</v>
          </cell>
          <cell r="H6759" t="str">
            <v>FUNC</v>
          </cell>
          <cell r="I6759" t="str">
            <v>FUNCIONARIO</v>
          </cell>
          <cell r="J6759" t="str">
            <v>CL 46 N 24 A 14</v>
          </cell>
          <cell r="K6759" t="str">
            <v>17001</v>
          </cell>
          <cell r="L6759" t="str">
            <v>MANIZALES</v>
          </cell>
          <cell r="M6759" t="str">
            <v>3136140901</v>
          </cell>
        </row>
        <row r="6760">
          <cell r="A6760">
            <v>1053833816</v>
          </cell>
          <cell r="B6760" t="str">
            <v/>
          </cell>
          <cell r="C6760" t="str">
            <v/>
          </cell>
          <cell r="D6760" t="str">
            <v>CC</v>
          </cell>
          <cell r="E6760" t="str">
            <v>ANDRES EDUARDO</v>
          </cell>
          <cell r="F6760" t="str">
            <v>GALVIS HERRERA</v>
          </cell>
          <cell r="G6760" t="str">
            <v>GALVIS HERRERA ANDRES EDUARDO</v>
          </cell>
          <cell r="H6760" t="str">
            <v>FUNC</v>
          </cell>
          <cell r="I6760" t="str">
            <v>FUNCIONARIO</v>
          </cell>
          <cell r="J6760" t="str">
            <v>CR 32 C   45   19</v>
          </cell>
          <cell r="K6760" t="str">
            <v>17001</v>
          </cell>
          <cell r="L6760" t="str">
            <v>MANIZALES</v>
          </cell>
          <cell r="M6760" t="str">
            <v>8883943</v>
          </cell>
        </row>
        <row r="6761">
          <cell r="A6761">
            <v>1053834175</v>
          </cell>
          <cell r="B6761" t="str">
            <v/>
          </cell>
          <cell r="C6761" t="str">
            <v/>
          </cell>
          <cell r="D6761" t="str">
            <v>CC</v>
          </cell>
          <cell r="E6761" t="str">
            <v>CAMILA ANDREA</v>
          </cell>
          <cell r="F6761" t="str">
            <v>SOLER MAYORGA</v>
          </cell>
          <cell r="G6761" t="str">
            <v>SOLER MAYORGA CAMILA ANDREA</v>
          </cell>
          <cell r="H6761" t="str">
            <v>FUNC</v>
          </cell>
          <cell r="I6761" t="str">
            <v>FUNCIONARIO</v>
          </cell>
          <cell r="J6761" t="str">
            <v>CL 18 A   9   97</v>
          </cell>
          <cell r="K6761" t="str">
            <v>17001</v>
          </cell>
          <cell r="L6761" t="str">
            <v>MANIZALES</v>
          </cell>
          <cell r="M6761" t="str">
            <v>3217814495</v>
          </cell>
        </row>
        <row r="6762">
          <cell r="A6762">
            <v>1053835151</v>
          </cell>
          <cell r="B6762" t="str">
            <v/>
          </cell>
          <cell r="C6762" t="str">
            <v/>
          </cell>
          <cell r="D6762" t="str">
            <v>CC</v>
          </cell>
          <cell r="E6762" t="str">
            <v>ISABELA</v>
          </cell>
          <cell r="F6762" t="str">
            <v>GALLEGO TEJADA</v>
          </cell>
          <cell r="G6762" t="str">
            <v>GALLEGO TEJADA ISABELA</v>
          </cell>
          <cell r="H6762" t="str">
            <v>FUNC</v>
          </cell>
          <cell r="I6762" t="str">
            <v>FUNCIONARIO</v>
          </cell>
          <cell r="J6762" t="str">
            <v>CL 81 B 25 A 07</v>
          </cell>
          <cell r="K6762" t="str">
            <v>17001</v>
          </cell>
          <cell r="L6762" t="str">
            <v>MANIZALES</v>
          </cell>
          <cell r="M6762" t="str">
            <v>3128735855</v>
          </cell>
        </row>
        <row r="6763">
          <cell r="A6763">
            <v>1053835773</v>
          </cell>
          <cell r="B6763" t="str">
            <v/>
          </cell>
          <cell r="C6763" t="str">
            <v/>
          </cell>
          <cell r="D6763" t="str">
            <v>CC</v>
          </cell>
          <cell r="E6763" t="str">
            <v>ANDRES FELIPE</v>
          </cell>
          <cell r="F6763" t="str">
            <v>QUINTERO GIRALDO</v>
          </cell>
          <cell r="G6763" t="str">
            <v>QUINTERO GIRALDO ANDRES FELIPE</v>
          </cell>
          <cell r="H6763" t="str">
            <v>FUNC</v>
          </cell>
          <cell r="I6763" t="str">
            <v>FUNCIONARIO</v>
          </cell>
          <cell r="J6763" t="str">
            <v>CR 18   71   66</v>
          </cell>
          <cell r="K6763" t="str">
            <v>17001</v>
          </cell>
          <cell r="L6763" t="str">
            <v>MANIZALES</v>
          </cell>
          <cell r="M6763" t="str">
            <v>3146152718</v>
          </cell>
        </row>
        <row r="6764">
          <cell r="A6764">
            <v>1053835923</v>
          </cell>
          <cell r="B6764" t="str">
            <v/>
          </cell>
          <cell r="C6764" t="str">
            <v/>
          </cell>
          <cell r="D6764" t="str">
            <v>CC</v>
          </cell>
          <cell r="E6764" t="str">
            <v>JULIANA</v>
          </cell>
          <cell r="F6764" t="str">
            <v>GOMEZ ARBOLEDA</v>
          </cell>
          <cell r="G6764" t="str">
            <v>GOMEZ ARBOLEDA JULIANA</v>
          </cell>
          <cell r="H6764" t="str">
            <v>RESI</v>
          </cell>
          <cell r="I6764" t="str">
            <v>REGIMEN SIMPLIFICADO</v>
          </cell>
          <cell r="J6764" t="str">
            <v>CL 76 A  21 16  BRR MILAN</v>
          </cell>
          <cell r="K6764" t="str">
            <v>15516</v>
          </cell>
          <cell r="L6764" t="str">
            <v>PAIPA</v>
          </cell>
          <cell r="M6764" t="str">
            <v>8865847</v>
          </cell>
        </row>
        <row r="6765">
          <cell r="A6765">
            <v>1053836033</v>
          </cell>
          <cell r="B6765" t="str">
            <v/>
          </cell>
          <cell r="C6765" t="str">
            <v/>
          </cell>
          <cell r="D6765" t="str">
            <v>CC</v>
          </cell>
          <cell r="E6765" t="str">
            <v>LUISA FERNANDA</v>
          </cell>
          <cell r="F6765" t="str">
            <v>MACHADO MARÍN</v>
          </cell>
          <cell r="G6765" t="str">
            <v>MACHADO MARÍN LUISA FERNANDA</v>
          </cell>
          <cell r="H6765" t="str">
            <v>FUNC</v>
          </cell>
          <cell r="I6765" t="str">
            <v>FUNCIONARIO</v>
          </cell>
          <cell r="J6765" t="str">
            <v>CL 31 N 5 52</v>
          </cell>
          <cell r="K6765" t="str">
            <v>17001</v>
          </cell>
          <cell r="L6765" t="str">
            <v>MANIZALES</v>
          </cell>
          <cell r="M6765" t="str">
            <v>3193288898</v>
          </cell>
        </row>
        <row r="6766">
          <cell r="A6766">
            <v>1053836897</v>
          </cell>
          <cell r="B6766" t="str">
            <v/>
          </cell>
          <cell r="C6766" t="str">
            <v/>
          </cell>
          <cell r="D6766" t="str">
            <v>CC</v>
          </cell>
          <cell r="E6766" t="str">
            <v>LUISA FERNANDA</v>
          </cell>
          <cell r="F6766" t="str">
            <v>FRANCO AGUIRRE</v>
          </cell>
          <cell r="G6766" t="str">
            <v>FRANCO AGUIRRE LUISA FERNANDA</v>
          </cell>
          <cell r="H6766" t="str">
            <v>FUNC</v>
          </cell>
          <cell r="I6766" t="str">
            <v>FUNCIONARIO</v>
          </cell>
          <cell r="J6766" t="str">
            <v>CL 55 B 11 26</v>
          </cell>
          <cell r="K6766" t="str">
            <v>17001</v>
          </cell>
          <cell r="L6766" t="str">
            <v>MANIZALES</v>
          </cell>
          <cell r="M6766" t="str">
            <v>3104646941</v>
          </cell>
        </row>
        <row r="6767">
          <cell r="A6767">
            <v>1053837016</v>
          </cell>
          <cell r="B6767" t="str">
            <v/>
          </cell>
          <cell r="C6767" t="str">
            <v/>
          </cell>
          <cell r="D6767" t="str">
            <v>CC</v>
          </cell>
          <cell r="E6767" t="str">
            <v>DANIELA</v>
          </cell>
          <cell r="F6767" t="str">
            <v>ISAZA RAMOS</v>
          </cell>
          <cell r="G6767" t="str">
            <v>ISAZA RAMOS DANIELA</v>
          </cell>
          <cell r="H6767" t="str">
            <v>FUNC</v>
          </cell>
          <cell r="I6767" t="str">
            <v>FUNCIONARIO</v>
          </cell>
          <cell r="J6767" t="str">
            <v>CR 8 A 57 D   08</v>
          </cell>
          <cell r="K6767" t="str">
            <v>17001</v>
          </cell>
          <cell r="L6767" t="str">
            <v>MANIZALES</v>
          </cell>
          <cell r="M6767" t="str">
            <v>8925287</v>
          </cell>
        </row>
        <row r="6768">
          <cell r="A6768">
            <v>1053837428</v>
          </cell>
          <cell r="B6768" t="str">
            <v/>
          </cell>
          <cell r="C6768" t="str">
            <v/>
          </cell>
          <cell r="D6768" t="str">
            <v>CC</v>
          </cell>
          <cell r="E6768" t="str">
            <v>LUZ KARIME</v>
          </cell>
          <cell r="F6768" t="str">
            <v>MONTOYA LÓPEZ</v>
          </cell>
          <cell r="G6768" t="str">
            <v>MONTOYA LÓPEZ LUZ KARIME</v>
          </cell>
          <cell r="H6768" t="str">
            <v>FUNC</v>
          </cell>
          <cell r="I6768" t="str">
            <v>FUNCIONARIO</v>
          </cell>
          <cell r="J6768" t="str">
            <v>CR 16 4 B 56</v>
          </cell>
          <cell r="K6768" t="str">
            <v>17001</v>
          </cell>
          <cell r="L6768" t="str">
            <v>MANIZALES</v>
          </cell>
          <cell r="M6768" t="str">
            <v>3186834619</v>
          </cell>
        </row>
        <row r="6769">
          <cell r="A6769">
            <v>1053837847</v>
          </cell>
          <cell r="B6769" t="str">
            <v>8</v>
          </cell>
          <cell r="C6769" t="str">
            <v/>
          </cell>
          <cell r="D6769" t="str">
            <v>NP</v>
          </cell>
          <cell r="E6769" t="str">
            <v>LAURA MANUELA</v>
          </cell>
          <cell r="F6769" t="str">
            <v>PATIÑO GIRALDO</v>
          </cell>
          <cell r="G6769" t="str">
            <v>PATIÑO GIRALDO LAURA MANUELA</v>
          </cell>
          <cell r="H6769" t="str">
            <v>NORE</v>
          </cell>
          <cell r="I6769" t="str">
            <v>NO RESPONSABLE DE IVA</v>
          </cell>
          <cell r="J6769" t="str">
            <v xml:space="preserve"> CR 23 52 31</v>
          </cell>
          <cell r="K6769" t="str">
            <v>17001</v>
          </cell>
          <cell r="L6769" t="str">
            <v>MANIZALES</v>
          </cell>
          <cell r="M6769" t="str">
            <v>8850648</v>
          </cell>
        </row>
        <row r="6770">
          <cell r="A6770">
            <v>1053838506</v>
          </cell>
          <cell r="B6770" t="str">
            <v/>
          </cell>
          <cell r="C6770" t="str">
            <v/>
          </cell>
          <cell r="D6770" t="str">
            <v>CC</v>
          </cell>
          <cell r="E6770" t="str">
            <v>SANTIAGO</v>
          </cell>
          <cell r="F6770" t="str">
            <v>MEJIA JARAMILLO</v>
          </cell>
          <cell r="G6770" t="str">
            <v>MEJIA JARAMILLO SANTIAGO</v>
          </cell>
          <cell r="H6770" t="str">
            <v>FUNC</v>
          </cell>
          <cell r="I6770" t="str">
            <v>FUNCIONARIO</v>
          </cell>
          <cell r="J6770" t="str">
            <v>CL 48 F   33   27</v>
          </cell>
          <cell r="K6770" t="str">
            <v>17001</v>
          </cell>
          <cell r="L6770" t="str">
            <v>MANIZALES</v>
          </cell>
          <cell r="M6770" t="str">
            <v>8880706</v>
          </cell>
        </row>
        <row r="6771">
          <cell r="A6771">
            <v>1053838705</v>
          </cell>
          <cell r="B6771" t="str">
            <v/>
          </cell>
          <cell r="C6771" t="str">
            <v/>
          </cell>
          <cell r="D6771" t="str">
            <v>CC</v>
          </cell>
          <cell r="E6771" t="str">
            <v>LUISA FERNANDA</v>
          </cell>
          <cell r="F6771" t="str">
            <v>MACHADO MARÍN</v>
          </cell>
          <cell r="G6771" t="str">
            <v>MACHADO MARÍN LUISA FERNANDA</v>
          </cell>
          <cell r="H6771" t="str">
            <v>FUNC</v>
          </cell>
          <cell r="I6771" t="str">
            <v>FUNCIONARIO</v>
          </cell>
          <cell r="J6771" t="str">
            <v>CL 31 N 5 52</v>
          </cell>
          <cell r="K6771" t="str">
            <v>17001</v>
          </cell>
          <cell r="L6771" t="str">
            <v>MANIZALES</v>
          </cell>
          <cell r="M6771" t="str">
            <v>3193288898</v>
          </cell>
        </row>
        <row r="6772">
          <cell r="A6772">
            <v>1053839201</v>
          </cell>
          <cell r="B6772" t="str">
            <v/>
          </cell>
          <cell r="C6772" t="str">
            <v/>
          </cell>
          <cell r="D6772" t="str">
            <v>CC</v>
          </cell>
          <cell r="E6772" t="str">
            <v>NATALIA</v>
          </cell>
          <cell r="F6772" t="str">
            <v>GONZALEZ ALVAREZ</v>
          </cell>
          <cell r="G6772" t="str">
            <v>GONZALEZ ALVAREZ NATALIA</v>
          </cell>
          <cell r="H6772" t="str">
            <v>FUNC</v>
          </cell>
          <cell r="I6772" t="str">
            <v>FUNCIONARIO</v>
          </cell>
          <cell r="J6772" t="str">
            <v>BARRIO BOSCONIA SUB CASA 50 - BOSCONIA</v>
          </cell>
          <cell r="K6772" t="str">
            <v>17001</v>
          </cell>
          <cell r="L6772" t="str">
            <v>MANIZALES</v>
          </cell>
          <cell r="M6772" t="str">
            <v>3126002870</v>
          </cell>
        </row>
        <row r="6773">
          <cell r="A6773">
            <v>1053839697</v>
          </cell>
          <cell r="B6773" t="str">
            <v/>
          </cell>
          <cell r="C6773" t="str">
            <v/>
          </cell>
          <cell r="D6773" t="str">
            <v>CC</v>
          </cell>
          <cell r="E6773" t="str">
            <v>VIVIANA</v>
          </cell>
          <cell r="F6773" t="str">
            <v>CARDONA POSADA</v>
          </cell>
          <cell r="G6773" t="str">
            <v>CARDONA POSADA VIVIANA</v>
          </cell>
          <cell r="H6773" t="str">
            <v>FUNC</v>
          </cell>
          <cell r="I6773" t="str">
            <v>FUNCIONARIO</v>
          </cell>
          <cell r="J6773" t="str">
            <v>CL 71   1   516 BRR VALLES DE LA FLORIDA CA 172</v>
          </cell>
          <cell r="K6773" t="str">
            <v>17001</v>
          </cell>
          <cell r="L6773" t="str">
            <v>MANIZALES</v>
          </cell>
          <cell r="M6773" t="str">
            <v>30159792227</v>
          </cell>
        </row>
        <row r="6774">
          <cell r="A6774">
            <v>1053840924</v>
          </cell>
          <cell r="B6774" t="str">
            <v/>
          </cell>
          <cell r="C6774" t="str">
            <v/>
          </cell>
          <cell r="D6774" t="str">
            <v>CC</v>
          </cell>
          <cell r="E6774" t="str">
            <v>JUAN ESTEBAN</v>
          </cell>
          <cell r="F6774" t="str">
            <v>ARISTIZABAL VALENCIA</v>
          </cell>
          <cell r="G6774" t="str">
            <v>ARISTIZABAL VALENCIA JUAN ESTEBAN</v>
          </cell>
          <cell r="H6774" t="str">
            <v>FUNC</v>
          </cell>
          <cell r="I6774" t="str">
            <v>FUNCIONARIO</v>
          </cell>
          <cell r="J6774" t="str">
            <v>CL 39 A 18 A 32</v>
          </cell>
          <cell r="K6774" t="str">
            <v>17001</v>
          </cell>
          <cell r="L6774" t="str">
            <v>MANIZALES</v>
          </cell>
          <cell r="M6774" t="str">
            <v>3117475031</v>
          </cell>
        </row>
        <row r="6775">
          <cell r="A6775">
            <v>1053841326</v>
          </cell>
          <cell r="B6775" t="str">
            <v/>
          </cell>
          <cell r="C6775" t="str">
            <v/>
          </cell>
          <cell r="D6775" t="str">
            <v>CC</v>
          </cell>
          <cell r="E6775" t="str">
            <v>JUAN ALI</v>
          </cell>
          <cell r="F6775" t="str">
            <v>MONDOL HOYOS</v>
          </cell>
          <cell r="G6775" t="str">
            <v>MONDOL HOYOS JUAN ALI</v>
          </cell>
          <cell r="H6775" t="str">
            <v>FUNC</v>
          </cell>
          <cell r="I6775" t="str">
            <v>FUNCIONARIO</v>
          </cell>
          <cell r="J6775" t="str">
            <v>CL 77   20   47</v>
          </cell>
          <cell r="K6775" t="str">
            <v>17001</v>
          </cell>
          <cell r="L6775" t="str">
            <v>MANIZALES</v>
          </cell>
          <cell r="M6775" t="str">
            <v>8900624</v>
          </cell>
        </row>
        <row r="6776">
          <cell r="A6776">
            <v>1053841719</v>
          </cell>
          <cell r="B6776" t="str">
            <v/>
          </cell>
          <cell r="C6776" t="str">
            <v/>
          </cell>
          <cell r="D6776" t="str">
            <v>CC</v>
          </cell>
          <cell r="E6776" t="str">
            <v>JUAN SEBASTIAN</v>
          </cell>
          <cell r="F6776" t="str">
            <v>GARCIA GOMEZ</v>
          </cell>
          <cell r="G6776" t="str">
            <v>GARCIA GOMEZ JUAN SEBASTIAN</v>
          </cell>
          <cell r="H6776" t="str">
            <v>FUNC</v>
          </cell>
          <cell r="I6776" t="str">
            <v>FUNCIONARIO</v>
          </cell>
          <cell r="J6776" t="str">
            <v>CL 69 N 10 40</v>
          </cell>
          <cell r="K6776" t="str">
            <v>17001</v>
          </cell>
          <cell r="L6776" t="str">
            <v>MANIZALES</v>
          </cell>
          <cell r="M6776" t="str">
            <v>3044296116</v>
          </cell>
        </row>
        <row r="6777">
          <cell r="A6777">
            <v>1053841737</v>
          </cell>
          <cell r="B6777" t="str">
            <v/>
          </cell>
          <cell r="C6777" t="str">
            <v/>
          </cell>
          <cell r="D6777" t="str">
            <v>CC</v>
          </cell>
          <cell r="E6777" t="str">
            <v>VALENTINA</v>
          </cell>
          <cell r="F6777" t="str">
            <v>OCHOA MARIN</v>
          </cell>
          <cell r="G6777" t="str">
            <v>OCHOA MARIN VALENTINA</v>
          </cell>
          <cell r="H6777" t="str">
            <v>FUNC</v>
          </cell>
          <cell r="I6777" t="str">
            <v>FUNCIONARIO</v>
          </cell>
          <cell r="J6777" t="str">
            <v>CR 8   7   62</v>
          </cell>
          <cell r="K6777" t="str">
            <v>17873</v>
          </cell>
          <cell r="L6777" t="str">
            <v>VILLAMARÍA</v>
          </cell>
          <cell r="M6777" t="str">
            <v>3175236726</v>
          </cell>
        </row>
        <row r="6778">
          <cell r="A6778">
            <v>1053842419</v>
          </cell>
          <cell r="B6778" t="str">
            <v>9</v>
          </cell>
          <cell r="C6778" t="str">
            <v/>
          </cell>
          <cell r="D6778" t="str">
            <v>NP</v>
          </cell>
          <cell r="E6778" t="str">
            <v>CARLOS ALBERTO</v>
          </cell>
          <cell r="F6778" t="str">
            <v>OSORIO VILLADA</v>
          </cell>
          <cell r="G6778" t="str">
            <v>OSORIO VILLADA CARLOS ALBERTO</v>
          </cell>
          <cell r="H6778" t="str">
            <v>NORE</v>
          </cell>
          <cell r="I6778" t="str">
            <v>NO RESPONSABLE DE IVA</v>
          </cell>
          <cell r="J6778" t="str">
            <v>CR 13 9 55</v>
          </cell>
          <cell r="K6778" t="str">
            <v>17001</v>
          </cell>
          <cell r="L6778" t="str">
            <v>MANIZALES</v>
          </cell>
          <cell r="M6778" t="str">
            <v>3117401296</v>
          </cell>
        </row>
        <row r="6779">
          <cell r="A6779">
            <v>1053843501</v>
          </cell>
          <cell r="B6779" t="str">
            <v/>
          </cell>
          <cell r="C6779" t="str">
            <v/>
          </cell>
          <cell r="D6779" t="str">
            <v>CC</v>
          </cell>
          <cell r="E6779" t="str">
            <v>JUAN ALEJANDRO</v>
          </cell>
          <cell r="F6779" t="str">
            <v>GIRALDO CASTAÑO</v>
          </cell>
          <cell r="G6779" t="str">
            <v>GIRALDO CASTAÑO JUAN ALEJANDRO</v>
          </cell>
          <cell r="H6779" t="str">
            <v>FUNC</v>
          </cell>
          <cell r="I6779" t="str">
            <v>FUNCIONARIO</v>
          </cell>
          <cell r="J6779" t="str">
            <v>AV ALBERTO MENDOZA  87 62  APTO 1305</v>
          </cell>
          <cell r="K6779" t="str">
            <v>17001</v>
          </cell>
          <cell r="L6779" t="str">
            <v>MANIZALES</v>
          </cell>
          <cell r="M6779" t="str">
            <v>8799322</v>
          </cell>
        </row>
        <row r="6780">
          <cell r="A6780">
            <v>1053843655</v>
          </cell>
          <cell r="B6780" t="str">
            <v/>
          </cell>
          <cell r="C6780" t="str">
            <v/>
          </cell>
          <cell r="D6780" t="str">
            <v>CC</v>
          </cell>
          <cell r="E6780" t="str">
            <v>LAURA CAMILA</v>
          </cell>
          <cell r="F6780" t="str">
            <v>CASTAÑO PATIÑO</v>
          </cell>
          <cell r="G6780" t="str">
            <v>CASTAÑO PATIÑO LAURA CAMILA</v>
          </cell>
          <cell r="H6780" t="str">
            <v>FUNC</v>
          </cell>
          <cell r="I6780" t="str">
            <v>FUNCIONARIO</v>
          </cell>
          <cell r="J6780" t="str">
            <v>CL 46 22 18 AP 401 BRR SAENZ</v>
          </cell>
          <cell r="K6780" t="str">
            <v>17001</v>
          </cell>
          <cell r="L6780" t="str">
            <v>MANIZALES</v>
          </cell>
          <cell r="M6780" t="str">
            <v>3013260036</v>
          </cell>
        </row>
        <row r="6781">
          <cell r="A6781">
            <v>1053844088</v>
          </cell>
          <cell r="B6781" t="str">
            <v/>
          </cell>
          <cell r="C6781" t="str">
            <v/>
          </cell>
          <cell r="D6781" t="str">
            <v>CC</v>
          </cell>
          <cell r="E6781" t="str">
            <v>LUIS ALEJANDRO</v>
          </cell>
          <cell r="F6781" t="str">
            <v>URREA CARDONA</v>
          </cell>
          <cell r="G6781" t="str">
            <v>URREA CARDONA LUIS ALEJANDRO</v>
          </cell>
          <cell r="H6781" t="str">
            <v>FUNC</v>
          </cell>
          <cell r="I6781" t="str">
            <v>FUNCIONARIO</v>
          </cell>
          <cell r="J6781" t="str">
            <v>CL 41 N 25 108</v>
          </cell>
          <cell r="K6781" t="str">
            <v>17001</v>
          </cell>
          <cell r="L6781" t="str">
            <v>MANIZALES</v>
          </cell>
          <cell r="M6781" t="str">
            <v>8965830</v>
          </cell>
        </row>
        <row r="6782">
          <cell r="A6782">
            <v>1053844200</v>
          </cell>
          <cell r="B6782" t="str">
            <v/>
          </cell>
          <cell r="C6782" t="str">
            <v/>
          </cell>
          <cell r="D6782" t="str">
            <v>CC</v>
          </cell>
          <cell r="E6782" t="str">
            <v>KAREN YISETH</v>
          </cell>
          <cell r="F6782" t="str">
            <v>GUERRA GALLEGO</v>
          </cell>
          <cell r="G6782" t="str">
            <v>GUERRA GALLEGO KAREN YISETH</v>
          </cell>
          <cell r="H6782" t="str">
            <v>FUNC</v>
          </cell>
          <cell r="I6782" t="str">
            <v>FUNCIONARIO</v>
          </cell>
          <cell r="J6782" t="str">
            <v>CL 46   22   18</v>
          </cell>
          <cell r="K6782" t="str">
            <v>17001</v>
          </cell>
          <cell r="L6782" t="str">
            <v>MANIZALES</v>
          </cell>
          <cell r="M6782" t="str">
            <v>3217181315</v>
          </cell>
        </row>
        <row r="6783">
          <cell r="A6783">
            <v>1053845040</v>
          </cell>
          <cell r="B6783" t="str">
            <v/>
          </cell>
          <cell r="C6783" t="str">
            <v/>
          </cell>
          <cell r="D6783" t="str">
            <v>CC</v>
          </cell>
          <cell r="E6783" t="str">
            <v>JOSE LUIS</v>
          </cell>
          <cell r="F6783" t="str">
            <v>IDARRAGA CEBALLOS</v>
          </cell>
          <cell r="G6783" t="str">
            <v>IDARRAGA CEBALLOS JOSE LUIS</v>
          </cell>
          <cell r="H6783" t="str">
            <v>FUNC</v>
          </cell>
          <cell r="I6783" t="str">
            <v>FUNCIONARIO</v>
          </cell>
          <cell r="J6783" t="str">
            <v>BAJO TABLAZO  C 351</v>
          </cell>
          <cell r="K6783" t="str">
            <v>17001</v>
          </cell>
          <cell r="L6783" t="str">
            <v>MANIZALES</v>
          </cell>
          <cell r="M6783" t="str">
            <v>3132640555</v>
          </cell>
        </row>
        <row r="6784">
          <cell r="A6784">
            <v>1053846324</v>
          </cell>
          <cell r="B6784" t="str">
            <v/>
          </cell>
          <cell r="C6784" t="str">
            <v/>
          </cell>
          <cell r="D6784" t="str">
            <v>CC</v>
          </cell>
          <cell r="E6784" t="str">
            <v>NATALIA PAOLA</v>
          </cell>
          <cell r="F6784" t="str">
            <v>VILLA VALENCIA</v>
          </cell>
          <cell r="G6784" t="str">
            <v>VILLA VALENCIA NATALIA PAOLA</v>
          </cell>
          <cell r="H6784" t="str">
            <v>FUNC</v>
          </cell>
          <cell r="I6784" t="str">
            <v>FUNCIONARIO</v>
          </cell>
          <cell r="J6784" t="str">
            <v>CL 105 A   32 A   62</v>
          </cell>
          <cell r="K6784" t="str">
            <v>17001</v>
          </cell>
          <cell r="L6784" t="str">
            <v>MANIZALES</v>
          </cell>
          <cell r="M6784" t="str">
            <v>8910837</v>
          </cell>
        </row>
        <row r="6785">
          <cell r="A6785">
            <v>1053846578</v>
          </cell>
          <cell r="B6785" t="str">
            <v>1</v>
          </cell>
          <cell r="C6785" t="str">
            <v/>
          </cell>
          <cell r="D6785" t="str">
            <v>NP</v>
          </cell>
          <cell r="E6785" t="str">
            <v>LUISA FERNANDA</v>
          </cell>
          <cell r="F6785" t="str">
            <v>LADINO ARANGO</v>
          </cell>
          <cell r="G6785" t="str">
            <v>LADINO ARANGO LUISA FERNANDA</v>
          </cell>
          <cell r="H6785" t="str">
            <v>RECO</v>
          </cell>
          <cell r="I6785" t="str">
            <v>REGIMEN COMUN</v>
          </cell>
          <cell r="J6785" t="str">
            <v>CL 21   16   25</v>
          </cell>
          <cell r="K6785" t="str">
            <v>17001</v>
          </cell>
          <cell r="L6785" t="str">
            <v>MANIZALES</v>
          </cell>
          <cell r="M6785" t="str">
            <v>3137960467</v>
          </cell>
        </row>
        <row r="6786">
          <cell r="A6786">
            <v>1053846742</v>
          </cell>
          <cell r="B6786" t="str">
            <v/>
          </cell>
          <cell r="C6786" t="str">
            <v/>
          </cell>
          <cell r="D6786" t="str">
            <v>CC</v>
          </cell>
          <cell r="E6786" t="str">
            <v>LEIDY ALEXANDRA</v>
          </cell>
          <cell r="F6786" t="str">
            <v>CARMONA FUQUENES</v>
          </cell>
          <cell r="G6786" t="str">
            <v>CARMONA FUQUENES LEIDY ALEXANDRA</v>
          </cell>
          <cell r="H6786" t="str">
            <v>FUNC</v>
          </cell>
          <cell r="I6786" t="str">
            <v>FUNCIONARIO</v>
          </cell>
          <cell r="J6786" t="str">
            <v>CL 57 C   10 C 14</v>
          </cell>
          <cell r="K6786" t="str">
            <v>17001</v>
          </cell>
          <cell r="L6786" t="str">
            <v>MANIZALES</v>
          </cell>
          <cell r="M6786" t="str">
            <v>8724484</v>
          </cell>
        </row>
        <row r="6787">
          <cell r="A6787">
            <v>1053846831</v>
          </cell>
          <cell r="B6787" t="str">
            <v>9</v>
          </cell>
          <cell r="C6787" t="str">
            <v/>
          </cell>
          <cell r="D6787" t="str">
            <v>NP</v>
          </cell>
          <cell r="E6787" t="str">
            <v>DANIELA</v>
          </cell>
          <cell r="F6787" t="str">
            <v>FLOREZ BARBOSA</v>
          </cell>
          <cell r="G6787" t="str">
            <v>FLOREZ BARBOSA DANIELA</v>
          </cell>
          <cell r="H6787" t="str">
            <v>RESI</v>
          </cell>
          <cell r="I6787" t="str">
            <v>REGIMEN SIMPLIFICADO</v>
          </cell>
          <cell r="J6787" t="str">
            <v>CR 29 C L 4 A   35</v>
          </cell>
          <cell r="K6787" t="str">
            <v>17001</v>
          </cell>
          <cell r="L6787" t="str">
            <v>MANIZALES</v>
          </cell>
          <cell r="M6787" t="str">
            <v>3225514843</v>
          </cell>
        </row>
        <row r="6788">
          <cell r="A6788">
            <v>1053847411</v>
          </cell>
          <cell r="B6788" t="str">
            <v/>
          </cell>
          <cell r="C6788" t="str">
            <v/>
          </cell>
          <cell r="D6788" t="str">
            <v>CC</v>
          </cell>
          <cell r="E6788" t="str">
            <v>IRENE</v>
          </cell>
          <cell r="F6788" t="str">
            <v>ZULUAGA GIRALDO</v>
          </cell>
          <cell r="G6788" t="str">
            <v>ZULUAGA GIRALDO IRENE</v>
          </cell>
          <cell r="H6788" t="str">
            <v>FUNC</v>
          </cell>
          <cell r="I6788" t="str">
            <v>FUNCIONARIO</v>
          </cell>
          <cell r="J6788" t="str">
            <v>CR 23 N 74 14 AP A 2</v>
          </cell>
          <cell r="K6788" t="str">
            <v>17001</v>
          </cell>
          <cell r="L6788" t="str">
            <v>MANIZALES</v>
          </cell>
          <cell r="M6788" t="str">
            <v>304128849</v>
          </cell>
        </row>
        <row r="6789">
          <cell r="A6789">
            <v>1053847738</v>
          </cell>
          <cell r="B6789" t="str">
            <v/>
          </cell>
          <cell r="C6789" t="str">
            <v/>
          </cell>
          <cell r="D6789" t="str">
            <v>CC</v>
          </cell>
          <cell r="E6789" t="str">
            <v>LUIS DAVID</v>
          </cell>
          <cell r="F6789" t="str">
            <v>VALENCIA LOPEZ</v>
          </cell>
          <cell r="G6789" t="str">
            <v>VALENCIA LOPEZ LUIS DAVID</v>
          </cell>
          <cell r="H6789" t="str">
            <v>FUNC</v>
          </cell>
          <cell r="I6789" t="str">
            <v>FUNCIONARIO</v>
          </cell>
          <cell r="J6789" t="str">
            <v>CL 41 24 65</v>
          </cell>
          <cell r="K6789" t="str">
            <v>17001</v>
          </cell>
          <cell r="L6789" t="str">
            <v>MANIZALES</v>
          </cell>
          <cell r="M6789" t="str">
            <v>3127470784</v>
          </cell>
        </row>
        <row r="6790">
          <cell r="A6790">
            <v>1053847911</v>
          </cell>
          <cell r="B6790" t="str">
            <v/>
          </cell>
          <cell r="C6790" t="str">
            <v/>
          </cell>
          <cell r="D6790" t="str">
            <v>CC</v>
          </cell>
          <cell r="E6790" t="str">
            <v>IRENE</v>
          </cell>
          <cell r="F6790" t="str">
            <v>ZULUAGA GIRALDO</v>
          </cell>
          <cell r="G6790" t="str">
            <v>ZULUAGA GIRALDO IRENE</v>
          </cell>
          <cell r="H6790" t="str">
            <v>FUNC</v>
          </cell>
          <cell r="I6790" t="str">
            <v>FUNCIONARIO</v>
          </cell>
          <cell r="J6790" t="str">
            <v>CRA 30 No 89-02</v>
          </cell>
          <cell r="K6790" t="str">
            <v>17001</v>
          </cell>
          <cell r="L6790" t="str">
            <v>MANIZALES</v>
          </cell>
          <cell r="M6790" t="str">
            <v>3104128849</v>
          </cell>
        </row>
        <row r="6791">
          <cell r="A6791">
            <v>1053848172</v>
          </cell>
          <cell r="B6791" t="str">
            <v/>
          </cell>
          <cell r="C6791" t="str">
            <v/>
          </cell>
          <cell r="D6791" t="str">
            <v>CC</v>
          </cell>
          <cell r="E6791" t="str">
            <v>CRISTIAN DAVID</v>
          </cell>
          <cell r="F6791" t="str">
            <v>DIAZ ZAPATA</v>
          </cell>
          <cell r="G6791" t="str">
            <v>DIAZ ZAPATA CRISTIAN DAVID</v>
          </cell>
          <cell r="H6791" t="str">
            <v>FUNC</v>
          </cell>
          <cell r="I6791" t="str">
            <v>FUNCIONARIO</v>
          </cell>
          <cell r="J6791" t="str">
            <v>CR 7   10   28 APTDO 201</v>
          </cell>
          <cell r="K6791" t="str">
            <v>17001</v>
          </cell>
          <cell r="L6791" t="str">
            <v>MANIZALES</v>
          </cell>
          <cell r="M6791" t="str">
            <v>3122132356</v>
          </cell>
        </row>
        <row r="6792">
          <cell r="A6792">
            <v>1053848433</v>
          </cell>
          <cell r="B6792" t="str">
            <v/>
          </cell>
          <cell r="C6792" t="str">
            <v/>
          </cell>
          <cell r="D6792" t="str">
            <v>CC</v>
          </cell>
          <cell r="E6792" t="str">
            <v>VALENTINA</v>
          </cell>
          <cell r="F6792" t="str">
            <v>FANDIÑO BOTERO</v>
          </cell>
          <cell r="G6792" t="str">
            <v>FANDIÑO BOTERO VALENTINA</v>
          </cell>
          <cell r="H6792" t="str">
            <v>FUNC</v>
          </cell>
          <cell r="I6792" t="str">
            <v>FUNCIONARIO</v>
          </cell>
          <cell r="J6792" t="str">
            <v>CL 19 26 48</v>
          </cell>
          <cell r="K6792" t="str">
            <v>17001</v>
          </cell>
          <cell r="L6792" t="str">
            <v>MANIZALES</v>
          </cell>
          <cell r="M6792" t="str">
            <v>3042088001</v>
          </cell>
        </row>
        <row r="6793">
          <cell r="A6793">
            <v>1053848515</v>
          </cell>
          <cell r="B6793" t="str">
            <v/>
          </cell>
          <cell r="C6793" t="str">
            <v/>
          </cell>
          <cell r="D6793" t="str">
            <v>CC</v>
          </cell>
          <cell r="E6793" t="str">
            <v>SIMON</v>
          </cell>
          <cell r="F6793" t="str">
            <v>MARTINEZ GONZALEZ</v>
          </cell>
          <cell r="G6793" t="str">
            <v>MARTINEZ GONZALEZ SIMON</v>
          </cell>
          <cell r="H6793" t="str">
            <v>FUNC</v>
          </cell>
          <cell r="I6793" t="str">
            <v>FUNCIONARIO</v>
          </cell>
          <cell r="J6793" t="str">
            <v>CR 24 A 57 59</v>
          </cell>
          <cell r="K6793" t="str">
            <v>17001</v>
          </cell>
          <cell r="L6793" t="str">
            <v>MANIZALES</v>
          </cell>
          <cell r="M6793" t="str">
            <v>3104913541</v>
          </cell>
        </row>
        <row r="6794">
          <cell r="A6794">
            <v>1053848541</v>
          </cell>
          <cell r="B6794" t="str">
            <v/>
          </cell>
          <cell r="C6794" t="str">
            <v/>
          </cell>
          <cell r="D6794" t="str">
            <v>CC</v>
          </cell>
          <cell r="E6794" t="str">
            <v>JULIANA</v>
          </cell>
          <cell r="F6794" t="str">
            <v>OROZCO NARVAEZ</v>
          </cell>
          <cell r="G6794" t="str">
            <v>OROZCO NARVAEZ JULIANA</v>
          </cell>
          <cell r="H6794" t="str">
            <v>FUNC</v>
          </cell>
          <cell r="I6794" t="str">
            <v>FUNCIONARIO</v>
          </cell>
          <cell r="J6794" t="str">
            <v>CR 20 N 724 48</v>
          </cell>
          <cell r="K6794" t="str">
            <v>17001</v>
          </cell>
          <cell r="L6794" t="str">
            <v>MANIZALES</v>
          </cell>
          <cell r="M6794" t="str">
            <v>3136381911</v>
          </cell>
        </row>
        <row r="6795">
          <cell r="A6795">
            <v>1053848835</v>
          </cell>
          <cell r="B6795" t="str">
            <v/>
          </cell>
          <cell r="C6795" t="str">
            <v/>
          </cell>
          <cell r="D6795" t="str">
            <v>CC</v>
          </cell>
          <cell r="E6795" t="str">
            <v>JUAN SEBASTIAN</v>
          </cell>
          <cell r="F6795" t="str">
            <v>ZAPATA RICON</v>
          </cell>
          <cell r="G6795" t="str">
            <v>ZAPATA RICON JUAN SEBASTIAN</v>
          </cell>
          <cell r="H6795" t="str">
            <v>FUNC</v>
          </cell>
          <cell r="I6795" t="str">
            <v>FUNCIONARIO</v>
          </cell>
          <cell r="J6795" t="str">
            <v>MZ 11 L S 82 BRR</v>
          </cell>
          <cell r="K6795" t="str">
            <v>17001</v>
          </cell>
          <cell r="L6795" t="str">
            <v>MANIZALES</v>
          </cell>
          <cell r="M6795" t="str">
            <v>3183899289</v>
          </cell>
        </row>
        <row r="6796">
          <cell r="A6796">
            <v>1053849018</v>
          </cell>
          <cell r="B6796" t="str">
            <v/>
          </cell>
          <cell r="C6796" t="str">
            <v/>
          </cell>
          <cell r="D6796" t="str">
            <v>CC</v>
          </cell>
          <cell r="E6796" t="str">
            <v>LUISA ALEJANDRA</v>
          </cell>
          <cell r="F6796" t="str">
            <v>HERRERA REYES</v>
          </cell>
          <cell r="G6796" t="str">
            <v>HERRERA REYES LUISA ALEJANDRA</v>
          </cell>
          <cell r="H6796" t="str">
            <v>FUNC</v>
          </cell>
          <cell r="I6796" t="str">
            <v>FUNCIONARIO</v>
          </cell>
          <cell r="J6796" t="str">
            <v>CR 34 106 10</v>
          </cell>
          <cell r="K6796" t="str">
            <v>17001</v>
          </cell>
          <cell r="L6796" t="str">
            <v>MANIZALES</v>
          </cell>
          <cell r="M6796" t="str">
            <v>3136800048</v>
          </cell>
        </row>
        <row r="6797">
          <cell r="A6797">
            <v>1053849131</v>
          </cell>
          <cell r="B6797" t="str">
            <v/>
          </cell>
          <cell r="C6797" t="str">
            <v/>
          </cell>
          <cell r="D6797" t="str">
            <v>CC</v>
          </cell>
          <cell r="E6797" t="str">
            <v>LAURA</v>
          </cell>
          <cell r="F6797" t="str">
            <v>OSPINA RESTREPO</v>
          </cell>
          <cell r="G6797" t="str">
            <v>OSPINA RESTREPO LAURA</v>
          </cell>
          <cell r="H6797" t="str">
            <v>FUNC</v>
          </cell>
          <cell r="I6797" t="str">
            <v>FUNCIONARIO</v>
          </cell>
          <cell r="J6797" t="str">
            <v>CRA 27 A 16 10</v>
          </cell>
          <cell r="K6797" t="str">
            <v>17001</v>
          </cell>
          <cell r="L6797" t="str">
            <v>MANIZALES</v>
          </cell>
          <cell r="M6797" t="str">
            <v>8826713</v>
          </cell>
        </row>
        <row r="6798">
          <cell r="A6798">
            <v>1053849352</v>
          </cell>
          <cell r="B6798" t="str">
            <v/>
          </cell>
          <cell r="C6798" t="str">
            <v/>
          </cell>
          <cell r="D6798" t="str">
            <v>CC</v>
          </cell>
          <cell r="E6798" t="str">
            <v>ANDRES</v>
          </cell>
          <cell r="F6798" t="str">
            <v>MARROQUIN CASAS</v>
          </cell>
          <cell r="G6798" t="str">
            <v>MARROQUIN CASAS ANDRES</v>
          </cell>
          <cell r="H6798" t="str">
            <v>RESI</v>
          </cell>
          <cell r="I6798" t="str">
            <v>REGIMEN SIMPLIFICADO</v>
          </cell>
          <cell r="J6798" t="str">
            <v>CR 31 A N 50A 17</v>
          </cell>
          <cell r="K6798" t="str">
            <v>17001</v>
          </cell>
          <cell r="L6798" t="str">
            <v>MANIZALES</v>
          </cell>
          <cell r="M6798" t="str">
            <v>8880739</v>
          </cell>
        </row>
        <row r="6799">
          <cell r="A6799">
            <v>1053849397</v>
          </cell>
          <cell r="B6799" t="str">
            <v>7</v>
          </cell>
          <cell r="C6799" t="str">
            <v/>
          </cell>
          <cell r="D6799" t="str">
            <v>NP</v>
          </cell>
          <cell r="E6799" t="str">
            <v>CARLOS EDUARDO</v>
          </cell>
          <cell r="F6799" t="str">
            <v>VASQUEZ FLOREZ</v>
          </cell>
          <cell r="G6799" t="str">
            <v>VASQUEZ FLOREZ CARLOS EDUARDO</v>
          </cell>
          <cell r="H6799" t="str">
            <v>RESI</v>
          </cell>
          <cell r="I6799" t="str">
            <v>REGIMEN SIMPLIFICADO</v>
          </cell>
          <cell r="J6799" t="str">
            <v>CALLE 69 A 27- 26</v>
          </cell>
          <cell r="K6799" t="str">
            <v>17001</v>
          </cell>
          <cell r="L6799" t="str">
            <v>MANIZALES</v>
          </cell>
          <cell r="M6799" t="str">
            <v>3172933382</v>
          </cell>
        </row>
        <row r="6800">
          <cell r="A6800">
            <v>1053850100</v>
          </cell>
          <cell r="B6800" t="str">
            <v/>
          </cell>
          <cell r="C6800" t="str">
            <v/>
          </cell>
          <cell r="D6800" t="str">
            <v>CC</v>
          </cell>
          <cell r="E6800" t="str">
            <v>GABRIEL FERNANDO</v>
          </cell>
          <cell r="F6800" t="str">
            <v>GARCIA CARDENAS</v>
          </cell>
          <cell r="G6800" t="str">
            <v>GARCIA CARDENAS GABRIEL FERNANDO</v>
          </cell>
          <cell r="H6800" t="str">
            <v>FUNC</v>
          </cell>
          <cell r="I6800" t="str">
            <v>FUNCIONARIO</v>
          </cell>
          <cell r="J6800" t="str">
            <v>CL 10 D A 10</v>
          </cell>
          <cell r="K6800" t="str">
            <v>17001</v>
          </cell>
          <cell r="L6800" t="str">
            <v>MANIZALES</v>
          </cell>
          <cell r="M6800" t="str">
            <v>3104511913</v>
          </cell>
        </row>
        <row r="6801">
          <cell r="A6801">
            <v>1053850511</v>
          </cell>
          <cell r="B6801" t="str">
            <v/>
          </cell>
          <cell r="C6801" t="str">
            <v/>
          </cell>
          <cell r="D6801" t="str">
            <v>CC</v>
          </cell>
          <cell r="E6801" t="str">
            <v>DANIELA</v>
          </cell>
          <cell r="F6801" t="str">
            <v>MORA CORTES</v>
          </cell>
          <cell r="G6801" t="str">
            <v>MORA CORTES DANIELA</v>
          </cell>
          <cell r="H6801" t="str">
            <v>FUNC</v>
          </cell>
          <cell r="I6801" t="str">
            <v>FUNCIONARIO</v>
          </cell>
          <cell r="J6801" t="str">
            <v>CRA 11 No 13-05</v>
          </cell>
          <cell r="K6801" t="str">
            <v>17001</v>
          </cell>
          <cell r="L6801" t="str">
            <v>MANIZALES</v>
          </cell>
          <cell r="M6801" t="str">
            <v>3146024106</v>
          </cell>
        </row>
        <row r="6802">
          <cell r="A6802">
            <v>1053850561</v>
          </cell>
          <cell r="B6802" t="str">
            <v/>
          </cell>
          <cell r="C6802" t="str">
            <v/>
          </cell>
          <cell r="D6802" t="str">
            <v>CC</v>
          </cell>
          <cell r="E6802" t="str">
            <v>YENY ALEJANDRA</v>
          </cell>
          <cell r="F6802" t="str">
            <v>LOPEZ ALONSO</v>
          </cell>
          <cell r="G6802" t="str">
            <v>LOPEZ ALONSO YENY ALEJANDRA</v>
          </cell>
          <cell r="H6802" t="str">
            <v>FUNC</v>
          </cell>
          <cell r="I6802" t="str">
            <v>FUNCIONARIO</v>
          </cell>
          <cell r="J6802" t="str">
            <v>CR 34 B   51   35</v>
          </cell>
          <cell r="K6802" t="str">
            <v>17001</v>
          </cell>
          <cell r="L6802" t="str">
            <v>MANIZALES</v>
          </cell>
          <cell r="M6802" t="str">
            <v>3103913971</v>
          </cell>
        </row>
        <row r="6803">
          <cell r="A6803">
            <v>1053851091</v>
          </cell>
          <cell r="B6803" t="str">
            <v/>
          </cell>
          <cell r="C6803" t="str">
            <v/>
          </cell>
          <cell r="D6803" t="str">
            <v>CC</v>
          </cell>
          <cell r="E6803" t="str">
            <v>SERGIO</v>
          </cell>
          <cell r="F6803" t="str">
            <v>ZAPATA GARCIA</v>
          </cell>
          <cell r="G6803" t="str">
            <v>ZAPATA GARCIA SERGIO</v>
          </cell>
          <cell r="H6803" t="str">
            <v>FUNC</v>
          </cell>
          <cell r="I6803" t="str">
            <v>FUNCIONARIO</v>
          </cell>
          <cell r="J6803" t="str">
            <v>CL 65 A   40   23</v>
          </cell>
          <cell r="K6803" t="str">
            <v>17001</v>
          </cell>
          <cell r="L6803" t="str">
            <v>MANIZALES</v>
          </cell>
          <cell r="M6803" t="str">
            <v>8787905</v>
          </cell>
        </row>
        <row r="6804">
          <cell r="A6804">
            <v>1053852251</v>
          </cell>
          <cell r="B6804" t="str">
            <v/>
          </cell>
          <cell r="C6804" t="str">
            <v/>
          </cell>
          <cell r="D6804" t="str">
            <v>CC</v>
          </cell>
          <cell r="E6804" t="str">
            <v>GEOVANY ANDRES</v>
          </cell>
          <cell r="F6804" t="str">
            <v>CARDONA LOAIZA</v>
          </cell>
          <cell r="G6804" t="str">
            <v>CARDONA LOAIZA GEOVANY ANDRES</v>
          </cell>
          <cell r="H6804" t="str">
            <v>FUNC</v>
          </cell>
          <cell r="I6804" t="str">
            <v>FUNCIONARIO</v>
          </cell>
          <cell r="J6804" t="str">
            <v>CR 35 N 96 07</v>
          </cell>
          <cell r="K6804" t="str">
            <v>17001</v>
          </cell>
          <cell r="L6804" t="str">
            <v>MANIZALES</v>
          </cell>
          <cell r="M6804" t="str">
            <v>3193827016</v>
          </cell>
        </row>
        <row r="6805">
          <cell r="A6805">
            <v>1053853774</v>
          </cell>
          <cell r="B6805" t="str">
            <v/>
          </cell>
          <cell r="C6805" t="str">
            <v/>
          </cell>
          <cell r="D6805" t="str">
            <v>CC</v>
          </cell>
          <cell r="E6805" t="str">
            <v>MANUELA</v>
          </cell>
          <cell r="F6805" t="str">
            <v>SALAZAR RUANO</v>
          </cell>
          <cell r="G6805" t="str">
            <v>SALAZAR RUANO MANUELA</v>
          </cell>
          <cell r="H6805" t="str">
            <v>FUNC</v>
          </cell>
          <cell r="I6805" t="str">
            <v>FUNCIONARIO</v>
          </cell>
          <cell r="J6805" t="str">
            <v>AV ALBERTO MENDOZA No 89-89</v>
          </cell>
          <cell r="K6805" t="str">
            <v>17001</v>
          </cell>
          <cell r="L6805" t="str">
            <v>MANIZALES</v>
          </cell>
          <cell r="M6805" t="str">
            <v>3148901333</v>
          </cell>
        </row>
        <row r="6806">
          <cell r="A6806">
            <v>1053854282</v>
          </cell>
          <cell r="B6806" t="str">
            <v/>
          </cell>
          <cell r="C6806" t="str">
            <v/>
          </cell>
          <cell r="D6806" t="str">
            <v>CC</v>
          </cell>
          <cell r="E6806" t="str">
            <v>TOMAS</v>
          </cell>
          <cell r="F6806" t="str">
            <v>GALLEGO BUITRAGO</v>
          </cell>
          <cell r="G6806" t="str">
            <v>GALLEGO BUITRAGO TOMAS</v>
          </cell>
          <cell r="H6806" t="str">
            <v>RESI</v>
          </cell>
          <cell r="I6806" t="str">
            <v>REGIMEN SIMPLIFICADO</v>
          </cell>
          <cell r="J6806" t="str">
            <v>CL 72   20   20</v>
          </cell>
          <cell r="K6806" t="str">
            <v>17001</v>
          </cell>
          <cell r="L6806" t="str">
            <v>MANIZALES</v>
          </cell>
          <cell r="M6806" t="str">
            <v>8915998</v>
          </cell>
        </row>
        <row r="6807">
          <cell r="A6807">
            <v>1053854483</v>
          </cell>
          <cell r="B6807" t="str">
            <v/>
          </cell>
          <cell r="C6807" t="str">
            <v/>
          </cell>
          <cell r="D6807" t="str">
            <v>CC</v>
          </cell>
          <cell r="E6807" t="str">
            <v>LAURA JULIANA</v>
          </cell>
          <cell r="F6807" t="str">
            <v>CASTRILLON MOLINA</v>
          </cell>
          <cell r="G6807" t="str">
            <v>CASTRILLON MOLINA LAURA JULIANA</v>
          </cell>
          <cell r="H6807" t="str">
            <v>FUNC</v>
          </cell>
          <cell r="I6807" t="str">
            <v>FUNCIONARIO</v>
          </cell>
          <cell r="J6807" t="str">
            <v>CALLE 68 N° 34-10</v>
          </cell>
          <cell r="K6807" t="str">
            <v>17001</v>
          </cell>
          <cell r="L6807" t="str">
            <v>MANIZALES</v>
          </cell>
          <cell r="M6807" t="str">
            <v>3105272931</v>
          </cell>
        </row>
        <row r="6808">
          <cell r="A6808">
            <v>1053855489</v>
          </cell>
          <cell r="B6808" t="str">
            <v/>
          </cell>
          <cell r="C6808" t="str">
            <v/>
          </cell>
          <cell r="D6808" t="str">
            <v>CC</v>
          </cell>
          <cell r="E6808" t="str">
            <v>JULIETH VANESSA</v>
          </cell>
          <cell r="F6808" t="str">
            <v>COLORADO OBANDO</v>
          </cell>
          <cell r="G6808" t="str">
            <v>COLORADO OBANDO JULIETH VANESSA</v>
          </cell>
          <cell r="H6808" t="str">
            <v>FUNC</v>
          </cell>
          <cell r="I6808" t="str">
            <v>FUNCIONARIO</v>
          </cell>
          <cell r="J6808" t="str">
            <v>CL 67   31 C 23</v>
          </cell>
          <cell r="K6808" t="str">
            <v>17001</v>
          </cell>
          <cell r="L6808" t="str">
            <v>MANIZALES</v>
          </cell>
          <cell r="M6808" t="str">
            <v>3106315968</v>
          </cell>
        </row>
        <row r="6809">
          <cell r="A6809">
            <v>1053856380</v>
          </cell>
          <cell r="B6809" t="str">
            <v/>
          </cell>
          <cell r="C6809" t="str">
            <v/>
          </cell>
          <cell r="D6809" t="str">
            <v>CC</v>
          </cell>
          <cell r="E6809" t="str">
            <v>JOHAN SEBASTIAN</v>
          </cell>
          <cell r="F6809" t="str">
            <v>VALLEJO PINILLA</v>
          </cell>
          <cell r="G6809" t="str">
            <v>VALLEJO PINILLA JOHAN SEBASTIAN</v>
          </cell>
          <cell r="H6809" t="str">
            <v>FUNC</v>
          </cell>
          <cell r="I6809" t="str">
            <v>FUNCIONARIO</v>
          </cell>
          <cell r="J6809" t="str">
            <v>VRD LA TRINIDAD LT 83 CONJ PORTAL DE LOS CEREZOS CA 83</v>
          </cell>
          <cell r="K6809" t="str">
            <v>17001</v>
          </cell>
          <cell r="L6809" t="str">
            <v>MANIZALES</v>
          </cell>
          <cell r="M6809" t="str">
            <v>3113521384</v>
          </cell>
        </row>
        <row r="6810">
          <cell r="A6810">
            <v>1053856627</v>
          </cell>
          <cell r="B6810" t="str">
            <v/>
          </cell>
          <cell r="C6810" t="str">
            <v/>
          </cell>
          <cell r="D6810" t="str">
            <v>CC</v>
          </cell>
          <cell r="E6810" t="str">
            <v>KATHERIN YESENIA</v>
          </cell>
          <cell r="F6810" t="str">
            <v>MONROY ECHEVERRY</v>
          </cell>
          <cell r="G6810" t="str">
            <v>MONROY ECHEVERRY KATHERIN YESENIA</v>
          </cell>
          <cell r="H6810" t="str">
            <v>FUNC</v>
          </cell>
          <cell r="I6810" t="str">
            <v>FUNCIONARIO</v>
          </cell>
          <cell r="J6810" t="str">
            <v>CL 39 A 18 A 55</v>
          </cell>
          <cell r="K6810" t="str">
            <v>17001</v>
          </cell>
          <cell r="L6810" t="str">
            <v>MANIZALES</v>
          </cell>
          <cell r="M6810" t="str">
            <v>3205925903</v>
          </cell>
        </row>
        <row r="6811">
          <cell r="A6811">
            <v>1053857957</v>
          </cell>
          <cell r="B6811" t="str">
            <v/>
          </cell>
          <cell r="C6811" t="str">
            <v/>
          </cell>
          <cell r="D6811" t="str">
            <v>CC</v>
          </cell>
          <cell r="E6811" t="str">
            <v>JACOBO</v>
          </cell>
          <cell r="F6811" t="str">
            <v>MONTES OCAMPO</v>
          </cell>
          <cell r="G6811" t="str">
            <v>MONTES OCAMPO JACOBO</v>
          </cell>
          <cell r="H6811" t="str">
            <v>FUNC</v>
          </cell>
          <cell r="I6811" t="str">
            <v>FUNCIONARIO</v>
          </cell>
          <cell r="J6811" t="str">
            <v>AV 18 N 7 B 140</v>
          </cell>
          <cell r="K6811" t="str">
            <v>17001</v>
          </cell>
          <cell r="L6811" t="str">
            <v>MANIZALES</v>
          </cell>
          <cell r="M6811" t="str">
            <v>3216436287</v>
          </cell>
        </row>
        <row r="6812">
          <cell r="A6812">
            <v>1053858177</v>
          </cell>
          <cell r="B6812" t="str">
            <v>1</v>
          </cell>
          <cell r="C6812" t="str">
            <v/>
          </cell>
          <cell r="D6812" t="str">
            <v>NP</v>
          </cell>
          <cell r="E6812" t="str">
            <v>ANGELICA MARIA</v>
          </cell>
          <cell r="F6812" t="str">
            <v>BECERRA CERVANTES</v>
          </cell>
          <cell r="G6812" t="str">
            <v>BECERRA CERVANTES ANGELICA MARIA</v>
          </cell>
          <cell r="H6812" t="str">
            <v>IMVE</v>
          </cell>
          <cell r="I6812" t="str">
            <v>IMPUESTO SOBRE LAS VENTAS</v>
          </cell>
          <cell r="J6812" t="str">
            <v>CL 105 C 1 27 04</v>
          </cell>
          <cell r="K6812" t="str">
            <v>17001</v>
          </cell>
          <cell r="L6812" t="str">
            <v>MANIZALES</v>
          </cell>
          <cell r="M6812" t="str">
            <v>8746090</v>
          </cell>
        </row>
        <row r="6813">
          <cell r="A6813">
            <v>1053858658</v>
          </cell>
          <cell r="B6813" t="str">
            <v/>
          </cell>
          <cell r="C6813" t="str">
            <v/>
          </cell>
          <cell r="D6813" t="str">
            <v>CC</v>
          </cell>
          <cell r="E6813" t="str">
            <v>NATALIA MARIA</v>
          </cell>
          <cell r="F6813" t="str">
            <v>LOAIZA GÓMEZ</v>
          </cell>
          <cell r="G6813" t="str">
            <v>LOAIZA GÓMEZ NATALIA MARIA</v>
          </cell>
          <cell r="H6813" t="str">
            <v>FUNC</v>
          </cell>
          <cell r="I6813" t="str">
            <v>FUNCIONARIO</v>
          </cell>
          <cell r="J6813" t="str">
            <v>CL 26 N 19 11 CEN</v>
          </cell>
          <cell r="K6813" t="str">
            <v>17001</v>
          </cell>
          <cell r="L6813" t="str">
            <v>MANIZALES</v>
          </cell>
          <cell r="M6813" t="str">
            <v>3137218139</v>
          </cell>
        </row>
        <row r="6814">
          <cell r="A6814">
            <v>1053859671</v>
          </cell>
          <cell r="B6814" t="str">
            <v/>
          </cell>
          <cell r="C6814" t="str">
            <v/>
          </cell>
          <cell r="D6814" t="str">
            <v>CC</v>
          </cell>
          <cell r="E6814" t="str">
            <v>JUAN ALBERTO</v>
          </cell>
          <cell r="F6814" t="str">
            <v>CARDONA MOLINA</v>
          </cell>
          <cell r="G6814" t="str">
            <v>CARDONA MOLINA JUAN ALBERTO</v>
          </cell>
          <cell r="H6814" t="str">
            <v>FUNC</v>
          </cell>
          <cell r="I6814" t="str">
            <v>FUNCIONARIO</v>
          </cell>
          <cell r="J6814" t="str">
            <v>CL 66 N 27 03</v>
          </cell>
          <cell r="K6814" t="str">
            <v>17001</v>
          </cell>
          <cell r="L6814" t="str">
            <v>MANIZALES</v>
          </cell>
          <cell r="M6814" t="str">
            <v>3116752508</v>
          </cell>
        </row>
        <row r="6815">
          <cell r="A6815">
            <v>1053860341</v>
          </cell>
          <cell r="B6815" t="str">
            <v/>
          </cell>
          <cell r="C6815" t="str">
            <v/>
          </cell>
          <cell r="D6815" t="str">
            <v>CC</v>
          </cell>
          <cell r="E6815" t="str">
            <v>JULIETH NATALIA</v>
          </cell>
          <cell r="F6815" t="str">
            <v>DIAZ QUINTERO</v>
          </cell>
          <cell r="G6815" t="str">
            <v>DIAZ QUINTERO JULIETH NATALIA</v>
          </cell>
          <cell r="H6815" t="str">
            <v>FUNC</v>
          </cell>
          <cell r="I6815" t="str">
            <v>FUNCIONARIO</v>
          </cell>
          <cell r="J6815" t="str">
            <v>CR 18 25 12</v>
          </cell>
          <cell r="K6815" t="str">
            <v>17001</v>
          </cell>
          <cell r="L6815" t="str">
            <v>MANIZALES</v>
          </cell>
          <cell r="M6815" t="str">
            <v>3155175584</v>
          </cell>
        </row>
        <row r="6816">
          <cell r="A6816">
            <v>1053860462</v>
          </cell>
          <cell r="B6816" t="str">
            <v/>
          </cell>
          <cell r="C6816" t="str">
            <v/>
          </cell>
          <cell r="D6816" t="str">
            <v>CC</v>
          </cell>
          <cell r="E6816" t="str">
            <v>MARIA DE LOS ANGELES</v>
          </cell>
          <cell r="F6816" t="str">
            <v>ALVAREZ VILLADA</v>
          </cell>
          <cell r="G6816" t="str">
            <v>ALVAREZ VILLADA MARIA DE LOS ANGELES</v>
          </cell>
          <cell r="H6816" t="str">
            <v>FUNC</v>
          </cell>
          <cell r="I6816" t="str">
            <v>FUNCIONARIO</v>
          </cell>
          <cell r="J6816" t="str">
            <v>CR 28 A 48 66</v>
          </cell>
          <cell r="K6816" t="str">
            <v>17001</v>
          </cell>
          <cell r="L6816" t="str">
            <v>MANIZALES</v>
          </cell>
          <cell r="M6816" t="str">
            <v>3013277424</v>
          </cell>
        </row>
        <row r="6817">
          <cell r="A6817">
            <v>1053861321</v>
          </cell>
          <cell r="B6817" t="str">
            <v/>
          </cell>
          <cell r="C6817" t="str">
            <v/>
          </cell>
          <cell r="D6817" t="str">
            <v>CC</v>
          </cell>
          <cell r="E6817" t="str">
            <v>ANDRES FERNANDO</v>
          </cell>
          <cell r="F6817" t="str">
            <v>VARGAS RESTREPO</v>
          </cell>
          <cell r="G6817" t="str">
            <v>VARGAS RESTREPO ANDRES FERNANDO</v>
          </cell>
          <cell r="H6817" t="str">
            <v>FUNC</v>
          </cell>
          <cell r="I6817" t="str">
            <v>FUNCIONARIO</v>
          </cell>
          <cell r="J6817" t="str">
            <v>CL 71 N 11 516</v>
          </cell>
          <cell r="K6817" t="str">
            <v>17873</v>
          </cell>
          <cell r="L6817" t="str">
            <v>VILLAMARÍA</v>
          </cell>
          <cell r="M6817" t="str">
            <v>3013345101</v>
          </cell>
        </row>
        <row r="6818">
          <cell r="A6818">
            <v>1053861424</v>
          </cell>
          <cell r="B6818" t="str">
            <v/>
          </cell>
          <cell r="C6818" t="str">
            <v/>
          </cell>
          <cell r="D6818" t="str">
            <v>CC</v>
          </cell>
          <cell r="E6818" t="str">
            <v>LAURA VANESA</v>
          </cell>
          <cell r="F6818" t="str">
            <v>GALVIS RIOS</v>
          </cell>
          <cell r="G6818" t="str">
            <v>GALVIS RIOS LAURA VANESA</v>
          </cell>
          <cell r="H6818" t="str">
            <v>FUNC</v>
          </cell>
          <cell r="I6818" t="str">
            <v>FUNCIONARIO</v>
          </cell>
          <cell r="J6818" t="str">
            <v>CRA 36 #65-34</v>
          </cell>
          <cell r="K6818" t="str">
            <v>17001</v>
          </cell>
          <cell r="L6818" t="str">
            <v>MANIZALES</v>
          </cell>
          <cell r="M6818" t="str">
            <v>3133388019</v>
          </cell>
        </row>
        <row r="6819">
          <cell r="A6819">
            <v>1053862128</v>
          </cell>
          <cell r="B6819" t="str">
            <v/>
          </cell>
          <cell r="C6819" t="str">
            <v/>
          </cell>
          <cell r="D6819" t="str">
            <v>CC</v>
          </cell>
          <cell r="E6819" t="str">
            <v>SOFIA</v>
          </cell>
          <cell r="F6819" t="str">
            <v>MEJIA ZULUAGA</v>
          </cell>
          <cell r="G6819" t="str">
            <v>MEJIA ZULUAGA SOFIA</v>
          </cell>
          <cell r="H6819" t="str">
            <v>FUNC</v>
          </cell>
          <cell r="I6819" t="str">
            <v>FUNCIONARIO</v>
          </cell>
          <cell r="J6819" t="str">
            <v>CR 11 N 15 145</v>
          </cell>
          <cell r="K6819" t="str">
            <v>17001</v>
          </cell>
          <cell r="L6819" t="str">
            <v>MANIZALES</v>
          </cell>
          <cell r="M6819" t="str">
            <v>3159279990</v>
          </cell>
        </row>
        <row r="6820">
          <cell r="A6820">
            <v>1053863809</v>
          </cell>
          <cell r="B6820" t="str">
            <v/>
          </cell>
          <cell r="C6820" t="str">
            <v/>
          </cell>
          <cell r="D6820" t="str">
            <v>CC</v>
          </cell>
          <cell r="E6820" t="str">
            <v>JUAN CAMILO</v>
          </cell>
          <cell r="F6820" t="str">
            <v>RAMIREZ SALGADO</v>
          </cell>
          <cell r="G6820" t="str">
            <v>RAMIREZ SALGADO JUAN CAMILO</v>
          </cell>
          <cell r="H6820" t="str">
            <v>FUNC</v>
          </cell>
          <cell r="I6820" t="str">
            <v>FUNCIONARIO</v>
          </cell>
          <cell r="J6820" t="str">
            <v>CARRERA 19B N° 52-18</v>
          </cell>
          <cell r="K6820" t="str">
            <v>17001</v>
          </cell>
          <cell r="L6820" t="str">
            <v>MANIZALES</v>
          </cell>
          <cell r="M6820" t="str">
            <v>3104144976</v>
          </cell>
        </row>
        <row r="6821">
          <cell r="A6821">
            <v>1053865829</v>
          </cell>
          <cell r="B6821" t="str">
            <v/>
          </cell>
          <cell r="C6821" t="str">
            <v/>
          </cell>
          <cell r="D6821" t="str">
            <v>CC</v>
          </cell>
          <cell r="E6821" t="str">
            <v>JULIANA</v>
          </cell>
          <cell r="F6821" t="str">
            <v>CAMELO SANCHEZ</v>
          </cell>
          <cell r="G6821" t="str">
            <v>CAMELO SANCHEZ JULIANA</v>
          </cell>
          <cell r="H6821" t="str">
            <v>FUNC</v>
          </cell>
          <cell r="I6821" t="str">
            <v>FUNCIONARIO</v>
          </cell>
          <cell r="J6821" t="str">
            <v>VRD CUCHILLA DEL SALDO</v>
          </cell>
          <cell r="K6821" t="str">
            <v>17001</v>
          </cell>
          <cell r="L6821" t="str">
            <v>MANIZALES</v>
          </cell>
          <cell r="M6821" t="str">
            <v>3216553240</v>
          </cell>
        </row>
        <row r="6822">
          <cell r="A6822">
            <v>1053866408</v>
          </cell>
          <cell r="B6822" t="str">
            <v/>
          </cell>
          <cell r="C6822" t="str">
            <v/>
          </cell>
          <cell r="D6822" t="str">
            <v>CC</v>
          </cell>
          <cell r="E6822" t="str">
            <v>MARILUZ</v>
          </cell>
          <cell r="F6822" t="str">
            <v>LONDOÑO ARISTIZABAL</v>
          </cell>
          <cell r="G6822" t="str">
            <v>LONDOÑO ARISTIZABAL MARILUZ</v>
          </cell>
          <cell r="H6822" t="str">
            <v>FUNC</v>
          </cell>
          <cell r="I6822" t="str">
            <v>FUNCIONARIO</v>
          </cell>
          <cell r="J6822" t="str">
            <v>MZ G CA N 16 BRR CETINAS</v>
          </cell>
          <cell r="K6822" t="str">
            <v>15516</v>
          </cell>
          <cell r="L6822" t="str">
            <v>PAIPA</v>
          </cell>
          <cell r="M6822" t="str">
            <v>3205239794</v>
          </cell>
        </row>
        <row r="6823">
          <cell r="A6823">
            <v>1053868967</v>
          </cell>
          <cell r="B6823" t="str">
            <v/>
          </cell>
          <cell r="C6823" t="str">
            <v/>
          </cell>
          <cell r="D6823" t="str">
            <v>CC</v>
          </cell>
          <cell r="E6823" t="str">
            <v>SANTIAGO</v>
          </cell>
          <cell r="F6823" t="str">
            <v>LOAIZA FLOREZ</v>
          </cell>
          <cell r="G6823" t="str">
            <v>LOAIZA FLOREZ SANTIAGO</v>
          </cell>
          <cell r="H6823" t="str">
            <v>FUNC</v>
          </cell>
          <cell r="I6823" t="str">
            <v>FUNCIONARIO</v>
          </cell>
          <cell r="J6823" t="str">
            <v>CR 25 A   13   53</v>
          </cell>
          <cell r="K6823" t="str">
            <v>17001</v>
          </cell>
          <cell r="L6823" t="str">
            <v>MANIZALES</v>
          </cell>
          <cell r="M6823" t="str">
            <v>3136083004</v>
          </cell>
        </row>
        <row r="6824">
          <cell r="A6824">
            <v>1053869653</v>
          </cell>
          <cell r="B6824" t="str">
            <v/>
          </cell>
          <cell r="C6824" t="str">
            <v/>
          </cell>
          <cell r="D6824" t="str">
            <v>CC</v>
          </cell>
          <cell r="E6824" t="str">
            <v>SANTIAGO</v>
          </cell>
          <cell r="F6824" t="str">
            <v>GALLEGO HOYOS</v>
          </cell>
          <cell r="G6824" t="str">
            <v>GALLEGO HOYOS SANTIAGO</v>
          </cell>
          <cell r="H6824" t="str">
            <v>EXFU</v>
          </cell>
          <cell r="I6824" t="str">
            <v>EX-FUNCIONARIOS</v>
          </cell>
          <cell r="J6824" t="str">
            <v>CR 21 57 28</v>
          </cell>
          <cell r="K6824" t="str">
            <v>17001</v>
          </cell>
          <cell r="L6824" t="str">
            <v>MANIZALES</v>
          </cell>
          <cell r="M6824" t="str">
            <v>3207809217</v>
          </cell>
        </row>
        <row r="6825">
          <cell r="A6825">
            <v>1053869742</v>
          </cell>
          <cell r="B6825" t="str">
            <v/>
          </cell>
          <cell r="C6825" t="str">
            <v/>
          </cell>
          <cell r="D6825" t="str">
            <v>CC</v>
          </cell>
          <cell r="E6825" t="str">
            <v>VICTOR MANUEL</v>
          </cell>
          <cell r="F6825" t="str">
            <v>GARCÍA GALLEGO</v>
          </cell>
          <cell r="G6825" t="str">
            <v>GARCÍA GALLEGO VICTOR MANUEL</v>
          </cell>
          <cell r="H6825" t="str">
            <v>FUNC</v>
          </cell>
          <cell r="I6825" t="str">
            <v>FUNCIONARIO</v>
          </cell>
          <cell r="J6825" t="str">
            <v>CL 4 C N 19 A 49</v>
          </cell>
          <cell r="K6825" t="str">
            <v>17001</v>
          </cell>
          <cell r="L6825" t="str">
            <v>MANIZALES</v>
          </cell>
          <cell r="M6825" t="str">
            <v>3215840319</v>
          </cell>
        </row>
        <row r="6826">
          <cell r="A6826">
            <v>1053869840</v>
          </cell>
          <cell r="B6826" t="str">
            <v/>
          </cell>
          <cell r="C6826" t="str">
            <v/>
          </cell>
          <cell r="D6826" t="str">
            <v>CC</v>
          </cell>
          <cell r="E6826" t="str">
            <v>LEONARDO</v>
          </cell>
          <cell r="F6826" t="str">
            <v>LOPERA TORO</v>
          </cell>
          <cell r="G6826" t="str">
            <v>LOPERA TORO LEONARDO</v>
          </cell>
          <cell r="H6826" t="str">
            <v>FUNC</v>
          </cell>
          <cell r="I6826" t="str">
            <v>FUNCIONARIO</v>
          </cell>
          <cell r="J6826" t="str">
            <v>CL 68 10 14</v>
          </cell>
          <cell r="K6826" t="str">
            <v>17001</v>
          </cell>
          <cell r="L6826" t="str">
            <v>MANIZALES</v>
          </cell>
          <cell r="M6826" t="str">
            <v>3015147912</v>
          </cell>
        </row>
        <row r="6827">
          <cell r="A6827">
            <v>1053870175</v>
          </cell>
          <cell r="B6827" t="str">
            <v/>
          </cell>
          <cell r="C6827" t="str">
            <v/>
          </cell>
          <cell r="D6827" t="str">
            <v>CC</v>
          </cell>
          <cell r="E6827" t="str">
            <v>DANNA LIZETH</v>
          </cell>
          <cell r="F6827" t="str">
            <v>MEJÍA ESCOBAR</v>
          </cell>
          <cell r="G6827" t="str">
            <v>MEJÍA ESCOBAR DANNA LIZETH</v>
          </cell>
          <cell r="H6827" t="str">
            <v>FUNC</v>
          </cell>
          <cell r="I6827" t="str">
            <v>FUNCIONARIO</v>
          </cell>
          <cell r="J6827" t="str">
            <v>CARRERA 11 N° 57 E 59</v>
          </cell>
          <cell r="K6827" t="str">
            <v>17001</v>
          </cell>
          <cell r="L6827" t="str">
            <v>MANIZALES</v>
          </cell>
          <cell r="M6827" t="str">
            <v>3136983566</v>
          </cell>
        </row>
        <row r="6828">
          <cell r="A6828">
            <v>1053870190</v>
          </cell>
          <cell r="B6828" t="str">
            <v/>
          </cell>
          <cell r="C6828" t="str">
            <v/>
          </cell>
          <cell r="D6828" t="str">
            <v>CC</v>
          </cell>
          <cell r="E6828" t="str">
            <v>NICOLAS</v>
          </cell>
          <cell r="F6828" t="str">
            <v>GOMEZ ARISTIZABAL</v>
          </cell>
          <cell r="G6828" t="str">
            <v>GOMEZ ARISTIZABAL NICOLAS</v>
          </cell>
          <cell r="H6828" t="str">
            <v>FUNC</v>
          </cell>
          <cell r="I6828" t="str">
            <v>FUNCIONARIO</v>
          </cell>
          <cell r="J6828" t="str">
            <v>CR 31 D 42 54</v>
          </cell>
          <cell r="K6828" t="str">
            <v>17001</v>
          </cell>
          <cell r="L6828" t="str">
            <v>MANIZALES</v>
          </cell>
          <cell r="M6828" t="str">
            <v>3127460208</v>
          </cell>
        </row>
        <row r="6829">
          <cell r="A6829">
            <v>1053871048</v>
          </cell>
          <cell r="B6829" t="str">
            <v/>
          </cell>
          <cell r="C6829" t="str">
            <v/>
          </cell>
          <cell r="D6829" t="str">
            <v>CC</v>
          </cell>
          <cell r="E6829" t="str">
            <v>ANGELA TATIANA</v>
          </cell>
          <cell r="F6829" t="str">
            <v>HENAO ZULUAGA</v>
          </cell>
          <cell r="G6829" t="str">
            <v>HENAO ZULUAGA ANGELA TATIANA</v>
          </cell>
          <cell r="H6829" t="str">
            <v>FUNC</v>
          </cell>
          <cell r="I6829" t="str">
            <v>FUNCIONARIO</v>
          </cell>
          <cell r="J6829" t="str">
            <v>CALLE 104B N°29-40</v>
          </cell>
          <cell r="K6829" t="str">
            <v>17001</v>
          </cell>
          <cell r="L6829" t="str">
            <v>MANIZALES</v>
          </cell>
          <cell r="M6829" t="str">
            <v>3207752801</v>
          </cell>
        </row>
        <row r="6830">
          <cell r="A6830">
            <v>1053872391</v>
          </cell>
          <cell r="B6830" t="str">
            <v/>
          </cell>
          <cell r="C6830" t="str">
            <v/>
          </cell>
          <cell r="D6830" t="str">
            <v>CC</v>
          </cell>
          <cell r="E6830" t="str">
            <v>SERGIO ALEJANDRO</v>
          </cell>
          <cell r="F6830" t="str">
            <v>YEPES GALLEGO</v>
          </cell>
          <cell r="G6830" t="str">
            <v>YEPES GALLEGO SERGIO ALEJANDRO</v>
          </cell>
          <cell r="H6830" t="str">
            <v>FUNC</v>
          </cell>
          <cell r="I6830" t="str">
            <v>FUNCIONARIO</v>
          </cell>
          <cell r="J6830" t="str">
            <v>CL 51   19   24</v>
          </cell>
          <cell r="K6830" t="str">
            <v>17001</v>
          </cell>
          <cell r="L6830" t="str">
            <v>MANIZALES</v>
          </cell>
          <cell r="M6830" t="str">
            <v>3234129456</v>
          </cell>
        </row>
        <row r="6831">
          <cell r="A6831">
            <v>1053874334</v>
          </cell>
          <cell r="B6831" t="str">
            <v>9</v>
          </cell>
          <cell r="C6831" t="str">
            <v/>
          </cell>
          <cell r="D6831" t="str">
            <v>NP</v>
          </cell>
          <cell r="E6831" t="str">
            <v>DANIELA</v>
          </cell>
          <cell r="F6831" t="str">
            <v>BEDOYA TABARES</v>
          </cell>
          <cell r="G6831" t="str">
            <v>BEDOYA TABARES DANIELA</v>
          </cell>
          <cell r="H6831" t="str">
            <v>REOR</v>
          </cell>
          <cell r="I6831" t="str">
            <v>RENTA REGIMEN ORDINARIO</v>
          </cell>
          <cell r="J6831" t="str">
            <v xml:space="preserve"> CR 23 59 100 LC 1</v>
          </cell>
          <cell r="K6831" t="str">
            <v>17001</v>
          </cell>
          <cell r="L6831" t="str">
            <v>MANIZALES</v>
          </cell>
          <cell r="M6831" t="str">
            <v>8855865</v>
          </cell>
        </row>
        <row r="6832">
          <cell r="A6832">
            <v>1053874672</v>
          </cell>
          <cell r="B6832" t="str">
            <v/>
          </cell>
          <cell r="C6832" t="str">
            <v/>
          </cell>
          <cell r="D6832" t="str">
            <v>CC</v>
          </cell>
          <cell r="E6832" t="str">
            <v>LUZ SANDRA</v>
          </cell>
          <cell r="F6832" t="str">
            <v>GONZALEZ TORRES</v>
          </cell>
          <cell r="G6832" t="str">
            <v>GONZALEZ TORRES LUZ SANDRA</v>
          </cell>
          <cell r="H6832" t="str">
            <v>FUNC</v>
          </cell>
          <cell r="I6832" t="str">
            <v>FUNCIONARIO</v>
          </cell>
          <cell r="J6832" t="str">
            <v>CR 39 C 49 A 19</v>
          </cell>
          <cell r="K6832" t="str">
            <v>17001</v>
          </cell>
          <cell r="L6832" t="str">
            <v>MANIZALES</v>
          </cell>
          <cell r="M6832" t="str">
            <v>3127139487</v>
          </cell>
        </row>
        <row r="6833">
          <cell r="A6833">
            <v>1053898433</v>
          </cell>
          <cell r="B6833" t="str">
            <v/>
          </cell>
          <cell r="C6833" t="str">
            <v/>
          </cell>
          <cell r="D6833" t="str">
            <v>CC</v>
          </cell>
          <cell r="E6833" t="str">
            <v>VALENTINA</v>
          </cell>
          <cell r="F6833" t="str">
            <v>FANDIÑO BOTERO</v>
          </cell>
          <cell r="G6833" t="str">
            <v>FANDIÑO BOTERO VALENTINA</v>
          </cell>
          <cell r="H6833" t="str">
            <v>FUNC</v>
          </cell>
          <cell r="I6833" t="str">
            <v>FUNCIONARIO</v>
          </cell>
          <cell r="J6833" t="str">
            <v>CL 19 N 26 48</v>
          </cell>
          <cell r="K6833" t="str">
            <v>17001</v>
          </cell>
          <cell r="L6833" t="str">
            <v>MANIZALES</v>
          </cell>
          <cell r="M6833" t="str">
            <v>3116195066</v>
          </cell>
        </row>
        <row r="6834">
          <cell r="A6834">
            <v>1054096197</v>
          </cell>
          <cell r="B6834" t="str">
            <v/>
          </cell>
          <cell r="C6834" t="str">
            <v/>
          </cell>
          <cell r="D6834" t="str">
            <v>CC</v>
          </cell>
          <cell r="E6834" t="str">
            <v>PAULA ANDREA</v>
          </cell>
          <cell r="F6834" t="str">
            <v>CASTILLO PARRA</v>
          </cell>
          <cell r="G6834" t="str">
            <v>CASTILLO PARRA PAULA ANDREA</v>
          </cell>
          <cell r="H6834" t="str">
            <v>FUNC</v>
          </cell>
          <cell r="I6834" t="str">
            <v>FUNCIONARIO</v>
          </cell>
          <cell r="J6834" t="str">
            <v>CALLE 73 N° 2E-21</v>
          </cell>
          <cell r="K6834" t="str">
            <v>15001</v>
          </cell>
          <cell r="L6834" t="str">
            <v>TUNJA</v>
          </cell>
          <cell r="M6834" t="str">
            <v>3206569149</v>
          </cell>
        </row>
        <row r="6835">
          <cell r="A6835">
            <v>1054146140</v>
          </cell>
          <cell r="B6835" t="str">
            <v>8</v>
          </cell>
          <cell r="C6835" t="str">
            <v/>
          </cell>
          <cell r="D6835" t="str">
            <v>NP</v>
          </cell>
          <cell r="E6835" t="str">
            <v>YONATAN DAVID</v>
          </cell>
          <cell r="F6835" t="str">
            <v>RINCÓN FONSECA</v>
          </cell>
          <cell r="G6835" t="str">
            <v>RINCÓN FONSECA YONATAN DAVID</v>
          </cell>
          <cell r="H6835" t="str">
            <v>PNSA</v>
          </cell>
          <cell r="I6835" t="str">
            <v>PNA NATURAL SIN ACTIVIDAD ECONOC</v>
          </cell>
          <cell r="J6835" t="str">
            <v>VDA SAN JOSÉ</v>
          </cell>
          <cell r="K6835" t="str">
            <v>15516</v>
          </cell>
          <cell r="L6835" t="str">
            <v>PAIPA</v>
          </cell>
          <cell r="M6835" t="str">
            <v>3118837480</v>
          </cell>
        </row>
        <row r="6836">
          <cell r="A6836">
            <v>1054543289</v>
          </cell>
          <cell r="B6836" t="str">
            <v/>
          </cell>
          <cell r="C6836" t="str">
            <v/>
          </cell>
          <cell r="D6836" t="str">
            <v>CC</v>
          </cell>
          <cell r="E6836" t="str">
            <v>JOSE FRANCISCO</v>
          </cell>
          <cell r="F6836" t="str">
            <v>ZARATE RIVERA</v>
          </cell>
          <cell r="G6836" t="str">
            <v>ZARATE RIVERA JOSE FRANCISCO</v>
          </cell>
          <cell r="H6836" t="str">
            <v>FUNC</v>
          </cell>
          <cell r="I6836" t="str">
            <v>FUNCIONARIO</v>
          </cell>
          <cell r="J6836" t="str">
            <v>CR 2 A 6 16</v>
          </cell>
          <cell r="K6836" t="str">
            <v>17380</v>
          </cell>
          <cell r="L6836" t="str">
            <v>LA DORADA</v>
          </cell>
          <cell r="M6836" t="str">
            <v>3125797471</v>
          </cell>
        </row>
        <row r="6837">
          <cell r="A6837">
            <v>1054553709</v>
          </cell>
          <cell r="B6837" t="str">
            <v>3</v>
          </cell>
          <cell r="C6837" t="str">
            <v/>
          </cell>
          <cell r="D6837" t="str">
            <v>NP</v>
          </cell>
          <cell r="E6837" t="str">
            <v>LUIS JAVIER</v>
          </cell>
          <cell r="F6837" t="str">
            <v>SANTA ARISTIZABAL</v>
          </cell>
          <cell r="G6837" t="str">
            <v>SANTA ARISTIZABAL LUIS JAVIER</v>
          </cell>
          <cell r="H6837" t="str">
            <v>RESI</v>
          </cell>
          <cell r="I6837" t="str">
            <v>REGIMEN SIMPLIFICADO</v>
          </cell>
          <cell r="J6837" t="str">
            <v>CORREGIMIENTO SAN DIEGO</v>
          </cell>
          <cell r="K6837" t="str">
            <v>17662</v>
          </cell>
          <cell r="L6837" t="str">
            <v>SAMANÁ</v>
          </cell>
          <cell r="M6837" t="str">
            <v>3108405075</v>
          </cell>
        </row>
        <row r="6838">
          <cell r="A6838">
            <v>1054564654</v>
          </cell>
          <cell r="B6838" t="str">
            <v/>
          </cell>
          <cell r="C6838" t="str">
            <v/>
          </cell>
          <cell r="D6838" t="str">
            <v>CC</v>
          </cell>
          <cell r="E6838" t="str">
            <v>DANIEL FELIPE</v>
          </cell>
          <cell r="F6838" t="str">
            <v>RIVERA HUERTAS</v>
          </cell>
          <cell r="G6838" t="str">
            <v>RIVERA HUERTAS DANIEL FELIPE</v>
          </cell>
          <cell r="H6838" t="str">
            <v>FUNC</v>
          </cell>
          <cell r="I6838" t="str">
            <v>FUNCIONARIO</v>
          </cell>
          <cell r="J6838" t="str">
            <v>CR 1   11-41</v>
          </cell>
          <cell r="K6838" t="str">
            <v>17001</v>
          </cell>
          <cell r="L6838" t="str">
            <v>MANIZALES</v>
          </cell>
          <cell r="M6838" t="str">
            <v>3122875046</v>
          </cell>
        </row>
        <row r="6839">
          <cell r="A6839">
            <v>1054678109</v>
          </cell>
          <cell r="B6839" t="str">
            <v>1</v>
          </cell>
          <cell r="C6839" t="str">
            <v/>
          </cell>
          <cell r="D6839" t="str">
            <v>NP</v>
          </cell>
          <cell r="E6839" t="str">
            <v>JORGE ANDRES</v>
          </cell>
          <cell r="F6839" t="str">
            <v>BUITRAGO RIVERA</v>
          </cell>
          <cell r="G6839" t="str">
            <v>BUITRAGO RIVERA JORGE ANDRES</v>
          </cell>
          <cell r="H6839" t="str">
            <v>NORE</v>
          </cell>
          <cell r="I6839" t="str">
            <v>NO RESPONSABLE DE IVA</v>
          </cell>
          <cell r="J6839" t="str">
            <v>VDA HIGUERAS</v>
          </cell>
          <cell r="K6839" t="str">
            <v>15238</v>
          </cell>
          <cell r="L6839" t="str">
            <v>DUITAMA</v>
          </cell>
          <cell r="M6839" t="str">
            <v>3124573484</v>
          </cell>
        </row>
        <row r="6840">
          <cell r="A6840">
            <v>1054916734</v>
          </cell>
          <cell r="B6840" t="str">
            <v/>
          </cell>
          <cell r="C6840" t="str">
            <v/>
          </cell>
          <cell r="D6840" t="str">
            <v>CC</v>
          </cell>
          <cell r="E6840" t="str">
            <v>MAURICIO ALEJANDRO</v>
          </cell>
          <cell r="F6840" t="str">
            <v>GRAJALES TORO</v>
          </cell>
          <cell r="G6840" t="str">
            <v>GRAJALES TORO MAURICIO ALEJANDRO</v>
          </cell>
          <cell r="H6840" t="str">
            <v>FUNC</v>
          </cell>
          <cell r="I6840" t="str">
            <v>FUNCIONARIO</v>
          </cell>
          <cell r="J6840" t="str">
            <v>CL 81 B 25 41 BRR BOSQUES DE LA SIERRA</v>
          </cell>
          <cell r="K6840" t="str">
            <v>17001</v>
          </cell>
          <cell r="L6840" t="str">
            <v>MANIZALES</v>
          </cell>
          <cell r="M6840" t="str">
            <v>3117917968</v>
          </cell>
        </row>
        <row r="6841">
          <cell r="A6841">
            <v>1054916798</v>
          </cell>
          <cell r="B6841" t="str">
            <v>8</v>
          </cell>
          <cell r="C6841" t="str">
            <v/>
          </cell>
          <cell r="D6841" t="str">
            <v>NP</v>
          </cell>
          <cell r="E6841" t="str">
            <v>NÉSTOR JAIME</v>
          </cell>
          <cell r="F6841" t="str">
            <v>BUSTAMANTE VARGAS</v>
          </cell>
          <cell r="G6841" t="str">
            <v>BUSTAMANTE VARGAS NÉSTOR JAIME</v>
          </cell>
          <cell r="H6841" t="str">
            <v>NORE</v>
          </cell>
          <cell r="I6841" t="str">
            <v>NO RESPONSABLE DE IVA</v>
          </cell>
          <cell r="J6841" t="str">
            <v>CR 3 12 4 P 1</v>
          </cell>
          <cell r="K6841" t="str">
            <v>17042</v>
          </cell>
          <cell r="L6841" t="str">
            <v>ANSERMA</v>
          </cell>
          <cell r="M6841" t="str">
            <v>3007221676</v>
          </cell>
        </row>
        <row r="6842">
          <cell r="A6842">
            <v>1054918058</v>
          </cell>
          <cell r="B6842" t="str">
            <v>5</v>
          </cell>
          <cell r="C6842" t="str">
            <v/>
          </cell>
          <cell r="D6842" t="str">
            <v>NP</v>
          </cell>
          <cell r="E6842" t="str">
            <v>JORGE ANDRES</v>
          </cell>
          <cell r="F6842" t="str">
            <v>GIRALDO BEDOYA</v>
          </cell>
          <cell r="G6842" t="str">
            <v>GIRALDO BEDOYA JORGE ANDRES</v>
          </cell>
          <cell r="H6842" t="str">
            <v>RESI</v>
          </cell>
          <cell r="I6842" t="str">
            <v>REGIMEN SIMPLIFICADO</v>
          </cell>
          <cell r="J6842" t="str">
            <v>CL 66   23 B 33</v>
          </cell>
          <cell r="K6842" t="str">
            <v>17001</v>
          </cell>
          <cell r="L6842" t="str">
            <v>MANIZALES</v>
          </cell>
          <cell r="M6842" t="str">
            <v>8874733</v>
          </cell>
        </row>
        <row r="6843">
          <cell r="A6843">
            <v>1054987749</v>
          </cell>
          <cell r="B6843" t="str">
            <v/>
          </cell>
          <cell r="C6843" t="str">
            <v/>
          </cell>
          <cell r="D6843" t="str">
            <v>CC</v>
          </cell>
          <cell r="E6843" t="str">
            <v xml:space="preserve">SEBASTIAN </v>
          </cell>
          <cell r="F6843" t="str">
            <v>AGUDELO TORO</v>
          </cell>
          <cell r="G6843" t="str">
            <v>AGUDELO TORO SEBASTIAN</v>
          </cell>
          <cell r="H6843" t="str">
            <v>FUNC</v>
          </cell>
          <cell r="I6843" t="str">
            <v>FUNCIONARIO</v>
          </cell>
          <cell r="J6843" t="str">
            <v>CR 18   73 A 16 BRR ALTA SUIZA</v>
          </cell>
          <cell r="K6843" t="str">
            <v>17001</v>
          </cell>
          <cell r="L6843" t="str">
            <v>MANIZALES</v>
          </cell>
          <cell r="M6843" t="str">
            <v>8865041</v>
          </cell>
        </row>
        <row r="6844">
          <cell r="A6844">
            <v>1054988060</v>
          </cell>
          <cell r="B6844" t="str">
            <v/>
          </cell>
          <cell r="C6844" t="str">
            <v/>
          </cell>
          <cell r="D6844" t="str">
            <v>CC</v>
          </cell>
          <cell r="E6844" t="str">
            <v>ELIZABETH</v>
          </cell>
          <cell r="F6844" t="str">
            <v>MORALES HERNANDEZ</v>
          </cell>
          <cell r="G6844" t="str">
            <v>MORALES HERNANDEZ ELIZABETH</v>
          </cell>
          <cell r="H6844" t="str">
            <v>FUNC</v>
          </cell>
          <cell r="I6844" t="str">
            <v>FUNCIONARIO</v>
          </cell>
          <cell r="J6844" t="str">
            <v xml:space="preserve">Calle 4A N° 5-19 JUAN XXII Chinchina </v>
          </cell>
          <cell r="K6844" t="str">
            <v>17001</v>
          </cell>
          <cell r="L6844" t="str">
            <v>MANIZALES</v>
          </cell>
          <cell r="M6844" t="str">
            <v>3217978245</v>
          </cell>
        </row>
        <row r="6845">
          <cell r="A6845">
            <v>1054988436</v>
          </cell>
          <cell r="B6845" t="str">
            <v>5</v>
          </cell>
          <cell r="C6845" t="str">
            <v/>
          </cell>
          <cell r="D6845" t="str">
            <v>NP</v>
          </cell>
          <cell r="E6845" t="str">
            <v>ANYELA TATIANA</v>
          </cell>
          <cell r="F6845" t="str">
            <v>CASTRO GARCIA</v>
          </cell>
          <cell r="G6845" t="str">
            <v>CASTRO GARCIA ANYELA TATIANA</v>
          </cell>
          <cell r="H6845" t="str">
            <v>RESI</v>
          </cell>
          <cell r="I6845" t="str">
            <v>REGIMEN SIMPLIFICADO</v>
          </cell>
          <cell r="J6845" t="str">
            <v>CR 4 11 60</v>
          </cell>
          <cell r="K6845" t="str">
            <v>17174</v>
          </cell>
          <cell r="L6845" t="str">
            <v>CHINCHINÁ</v>
          </cell>
          <cell r="M6845" t="str">
            <v>3013188485</v>
          </cell>
        </row>
        <row r="6846">
          <cell r="A6846">
            <v>1054988878</v>
          </cell>
          <cell r="B6846" t="str">
            <v>7</v>
          </cell>
          <cell r="C6846" t="str">
            <v/>
          </cell>
          <cell r="D6846" t="str">
            <v>NP</v>
          </cell>
          <cell r="E6846" t="str">
            <v>EDWIN ANDRES</v>
          </cell>
          <cell r="F6846" t="str">
            <v>GOMEZ BERNAL</v>
          </cell>
          <cell r="G6846" t="str">
            <v>GOMEZ BERNAL EDWIN ANDRES</v>
          </cell>
          <cell r="H6846" t="str">
            <v>FUNC</v>
          </cell>
          <cell r="I6846" t="str">
            <v>FUNCIONARIO</v>
          </cell>
          <cell r="J6846" t="str">
            <v>CLL 11 6 41</v>
          </cell>
          <cell r="K6846" t="str">
            <v>17001</v>
          </cell>
          <cell r="L6846" t="str">
            <v>MANIZALES</v>
          </cell>
          <cell r="M6846" t="str">
            <v>3223211980</v>
          </cell>
        </row>
        <row r="6847">
          <cell r="A6847">
            <v>1054989927</v>
          </cell>
          <cell r="B6847" t="str">
            <v>4</v>
          </cell>
          <cell r="C6847" t="str">
            <v/>
          </cell>
          <cell r="D6847" t="str">
            <v>NP</v>
          </cell>
          <cell r="E6847" t="str">
            <v>FRANCY MILENA</v>
          </cell>
          <cell r="F6847" t="str">
            <v>CASTRO GARCÍA</v>
          </cell>
          <cell r="G6847" t="str">
            <v>CASTRO GARCÍA FRANCY MILENA</v>
          </cell>
          <cell r="H6847" t="str">
            <v>RESI</v>
          </cell>
          <cell r="I6847" t="str">
            <v>REGIMEN SIMPLIFICADO</v>
          </cell>
          <cell r="J6847" t="str">
            <v>CR 4 11 60</v>
          </cell>
          <cell r="K6847" t="str">
            <v>17174</v>
          </cell>
          <cell r="L6847" t="str">
            <v>CHINCHINÁ</v>
          </cell>
          <cell r="M6847" t="str">
            <v>3042170035</v>
          </cell>
        </row>
        <row r="6848">
          <cell r="A6848">
            <v>1054990414</v>
          </cell>
          <cell r="B6848" t="str">
            <v/>
          </cell>
          <cell r="C6848" t="str">
            <v/>
          </cell>
          <cell r="D6848" t="str">
            <v>CC</v>
          </cell>
          <cell r="E6848" t="str">
            <v>SAMUEL</v>
          </cell>
          <cell r="F6848" t="str">
            <v>GARCIA CLAVIJO</v>
          </cell>
          <cell r="G6848" t="str">
            <v>GARCIA CLAVIJO SAMUEL</v>
          </cell>
          <cell r="H6848" t="str">
            <v>FUNC</v>
          </cell>
          <cell r="I6848" t="str">
            <v>FUNCIONARIO</v>
          </cell>
          <cell r="J6848" t="str">
            <v>CL 16 A   10 A 07</v>
          </cell>
          <cell r="K6848" t="str">
            <v>17001</v>
          </cell>
          <cell r="L6848" t="str">
            <v>MANIZALES</v>
          </cell>
          <cell r="M6848" t="str">
            <v>8883943</v>
          </cell>
        </row>
        <row r="6849">
          <cell r="A6849">
            <v>1054992442</v>
          </cell>
          <cell r="B6849" t="str">
            <v>5</v>
          </cell>
          <cell r="C6849" t="str">
            <v/>
          </cell>
          <cell r="D6849" t="str">
            <v>NP</v>
          </cell>
          <cell r="E6849" t="str">
            <v>NICOLAS ANDRES</v>
          </cell>
          <cell r="F6849" t="str">
            <v>CORRALES GARCIA</v>
          </cell>
          <cell r="G6849" t="str">
            <v>CORRALES GARCIA NICOLAS ANDRES</v>
          </cell>
          <cell r="H6849" t="str">
            <v>IMVE</v>
          </cell>
          <cell r="I6849" t="str">
            <v>IMPUESTO SOBRE LAS VENTAS</v>
          </cell>
          <cell r="J6849" t="str">
            <v xml:space="preserve"> C R 28 B  69 89</v>
          </cell>
          <cell r="K6849" t="str">
            <v>17001</v>
          </cell>
          <cell r="L6849" t="str">
            <v>MANIZALES</v>
          </cell>
          <cell r="M6849" t="str">
            <v>3116030950</v>
          </cell>
        </row>
        <row r="6850">
          <cell r="A6850">
            <v>1054992862</v>
          </cell>
          <cell r="B6850" t="str">
            <v>5</v>
          </cell>
          <cell r="C6850" t="str">
            <v/>
          </cell>
          <cell r="D6850" t="str">
            <v>NP</v>
          </cell>
          <cell r="E6850" t="str">
            <v>DANIELA</v>
          </cell>
          <cell r="F6850" t="str">
            <v>GIRALDO RENDON</v>
          </cell>
          <cell r="G6850" t="str">
            <v>GIRALDO RENDON DANIELA</v>
          </cell>
          <cell r="H6850" t="str">
            <v>RESI</v>
          </cell>
          <cell r="I6850" t="str">
            <v>REGIMEN SIMPLIFICADO</v>
          </cell>
          <cell r="J6850" t="str">
            <v>CL 17 8 13</v>
          </cell>
          <cell r="K6850" t="str">
            <v>17174</v>
          </cell>
          <cell r="L6850" t="str">
            <v>CHINCHINÁ</v>
          </cell>
          <cell r="M6850" t="str">
            <v>3126747285</v>
          </cell>
        </row>
        <row r="6851">
          <cell r="A6851">
            <v>1054994799</v>
          </cell>
          <cell r="B6851" t="str">
            <v/>
          </cell>
          <cell r="C6851" t="str">
            <v/>
          </cell>
          <cell r="D6851" t="str">
            <v>CC</v>
          </cell>
          <cell r="E6851" t="str">
            <v>MARIA DANIELA</v>
          </cell>
          <cell r="F6851" t="str">
            <v>ORREGO RAVE</v>
          </cell>
          <cell r="G6851" t="str">
            <v>ORREGO RAVE MARIA DANIELA</v>
          </cell>
          <cell r="H6851" t="str">
            <v>FUNC</v>
          </cell>
          <cell r="I6851" t="str">
            <v>FUNCIONARIO</v>
          </cell>
          <cell r="J6851" t="str">
            <v>Carrera 5 Calle 3A #5-17 JUAN XXIII Chinchina</v>
          </cell>
          <cell r="K6851" t="str">
            <v>17001</v>
          </cell>
          <cell r="L6851" t="str">
            <v>MANIZALES</v>
          </cell>
          <cell r="M6851" t="str">
            <v>3122581905</v>
          </cell>
        </row>
        <row r="6852">
          <cell r="A6852">
            <v>1054995781</v>
          </cell>
          <cell r="B6852" t="str">
            <v/>
          </cell>
          <cell r="C6852" t="str">
            <v/>
          </cell>
          <cell r="D6852" t="str">
            <v>CC</v>
          </cell>
          <cell r="E6852" t="str">
            <v>DIANA CAROLINA</v>
          </cell>
          <cell r="F6852" t="str">
            <v>OSORIO ARBOLEDA</v>
          </cell>
          <cell r="G6852" t="str">
            <v>OSORIO ARBOLEDA DIANA CAROLINA</v>
          </cell>
          <cell r="H6852" t="str">
            <v>FUNC</v>
          </cell>
          <cell r="I6852" t="str">
            <v>FUNCIONARIO</v>
          </cell>
          <cell r="J6852" t="str">
            <v>CRA 20 B # 58 A-01 PRADOS DE LA COLINA</v>
          </cell>
          <cell r="K6852" t="str">
            <v>17174</v>
          </cell>
          <cell r="L6852" t="str">
            <v>CHINCHINÁ</v>
          </cell>
          <cell r="M6852" t="str">
            <v>3015416570</v>
          </cell>
        </row>
        <row r="6853">
          <cell r="A6853">
            <v>1054997922</v>
          </cell>
          <cell r="B6853" t="str">
            <v/>
          </cell>
          <cell r="C6853" t="str">
            <v/>
          </cell>
          <cell r="D6853" t="str">
            <v>CC</v>
          </cell>
          <cell r="E6853" t="str">
            <v>JACOBO</v>
          </cell>
          <cell r="F6853" t="str">
            <v>RODRIGUEZ RINCON</v>
          </cell>
          <cell r="G6853" t="str">
            <v>RODRIGUEZ RINCON JACOBO</v>
          </cell>
          <cell r="H6853" t="str">
            <v>FUNC</v>
          </cell>
          <cell r="I6853" t="str">
            <v>FUNCIONARIO</v>
          </cell>
          <cell r="J6853" t="str">
            <v>CR 8 17 A 21</v>
          </cell>
          <cell r="K6853" t="str">
            <v>17174</v>
          </cell>
          <cell r="L6853" t="str">
            <v>CHINCHINÁ</v>
          </cell>
          <cell r="M6853" t="str">
            <v>3217149441</v>
          </cell>
        </row>
        <row r="6854">
          <cell r="A6854">
            <v>1054999291</v>
          </cell>
          <cell r="B6854" t="str">
            <v/>
          </cell>
          <cell r="C6854" t="str">
            <v/>
          </cell>
          <cell r="D6854" t="str">
            <v>CC</v>
          </cell>
          <cell r="E6854" t="str">
            <v>JOAN MANUEL</v>
          </cell>
          <cell r="F6854" t="str">
            <v>ZAPATA RODRIGUEZ</v>
          </cell>
          <cell r="G6854" t="str">
            <v>ZAPATA RODRIGUEZ JOAN MANUEL</v>
          </cell>
          <cell r="H6854" t="str">
            <v>FUNC</v>
          </cell>
          <cell r="I6854" t="str">
            <v>FUNCIONARIO</v>
          </cell>
          <cell r="J6854" t="str">
            <v>CR 10 B N 14 A 09</v>
          </cell>
          <cell r="K6854" t="str">
            <v>17174</v>
          </cell>
          <cell r="L6854" t="str">
            <v>CHINCHINÁ</v>
          </cell>
          <cell r="M6854" t="str">
            <v>3223725933</v>
          </cell>
        </row>
        <row r="6855">
          <cell r="A6855">
            <v>1055229284</v>
          </cell>
          <cell r="B6855" t="str">
            <v/>
          </cell>
          <cell r="C6855" t="str">
            <v/>
          </cell>
          <cell r="D6855" t="str">
            <v>CC</v>
          </cell>
          <cell r="E6855" t="str">
            <v>LEIDY VICTORIA</v>
          </cell>
          <cell r="F6855" t="str">
            <v>MOYANO AMAYA</v>
          </cell>
          <cell r="G6855" t="str">
            <v>MOYANO AMAYA LEIDY VICTORIA</v>
          </cell>
          <cell r="H6855" t="str">
            <v>FUNC</v>
          </cell>
          <cell r="I6855" t="str">
            <v>FUNCIONARIO</v>
          </cell>
          <cell r="J6855" t="str">
            <v>CR 22 N 11 B 22</v>
          </cell>
          <cell r="K6855" t="str">
            <v>15759</v>
          </cell>
          <cell r="L6855" t="str">
            <v>SOGAMOSO</v>
          </cell>
          <cell r="M6855" t="str">
            <v>3219823276</v>
          </cell>
        </row>
        <row r="6856">
          <cell r="A6856">
            <v>1055917045</v>
          </cell>
          <cell r="B6856" t="str">
            <v>9</v>
          </cell>
          <cell r="C6856" t="str">
            <v/>
          </cell>
          <cell r="D6856" t="str">
            <v>NP</v>
          </cell>
          <cell r="E6856" t="str">
            <v>HUGO ANDRES</v>
          </cell>
          <cell r="F6856" t="str">
            <v>MURILLO GUTIERREZ</v>
          </cell>
          <cell r="G6856" t="str">
            <v>MURILLO GUTIERREZ HUGO ANDRES</v>
          </cell>
          <cell r="H6856" t="str">
            <v>RESI</v>
          </cell>
          <cell r="I6856" t="str">
            <v>REGIMEN SIMPLIFICADO</v>
          </cell>
          <cell r="J6856" t="str">
            <v>BRR LAS COLINAS CA 1 A 54</v>
          </cell>
          <cell r="K6856" t="str">
            <v>17444</v>
          </cell>
          <cell r="L6856" t="str">
            <v>MARQUETALIA</v>
          </cell>
          <cell r="M6856" t="str">
            <v>3204126222</v>
          </cell>
        </row>
        <row r="6857">
          <cell r="A6857">
            <v>1055917404</v>
          </cell>
          <cell r="B6857" t="str">
            <v>1</v>
          </cell>
          <cell r="C6857" t="str">
            <v/>
          </cell>
          <cell r="D6857" t="str">
            <v>NP</v>
          </cell>
          <cell r="E6857" t="str">
            <v>JOREGE MARIO</v>
          </cell>
          <cell r="F6857" t="str">
            <v>MUÑOZ ARANGO</v>
          </cell>
          <cell r="G6857" t="str">
            <v>MUÑOZ ARANGO JOREGE MARIO</v>
          </cell>
          <cell r="H6857" t="str">
            <v>RESI</v>
          </cell>
          <cell r="I6857" t="str">
            <v>REGIMEN SIMPLIFICADO</v>
          </cell>
          <cell r="J6857" t="str">
            <v xml:space="preserve"> VRD GUAYAQUIL</v>
          </cell>
          <cell r="K6857" t="str">
            <v>17662</v>
          </cell>
          <cell r="L6857" t="str">
            <v>SAMANÁ</v>
          </cell>
          <cell r="M6857" t="str">
            <v>322947468</v>
          </cell>
        </row>
        <row r="6858">
          <cell r="A6858">
            <v>1055919365</v>
          </cell>
          <cell r="B6858" t="str">
            <v/>
          </cell>
          <cell r="C6858" t="str">
            <v/>
          </cell>
          <cell r="D6858" t="str">
            <v>CC</v>
          </cell>
          <cell r="E6858" t="str">
            <v>KAREN LORENA</v>
          </cell>
          <cell r="F6858" t="str">
            <v>HERNANDEZ MARTINEZ</v>
          </cell>
          <cell r="G6858" t="str">
            <v>HERNANDEZ MARTINEZ KAREN LORENA</v>
          </cell>
          <cell r="H6858" t="str">
            <v>FUNC</v>
          </cell>
          <cell r="I6858" t="str">
            <v>FUNCIONARIO</v>
          </cell>
          <cell r="J6858" t="str">
            <v>VRD DOÑA JUANA</v>
          </cell>
          <cell r="K6858" t="str">
            <v>17867</v>
          </cell>
          <cell r="L6858" t="str">
            <v>VICTORIA</v>
          </cell>
          <cell r="M6858" t="str">
            <v>3504307374</v>
          </cell>
        </row>
        <row r="6859">
          <cell r="A6859">
            <v>1055919462</v>
          </cell>
          <cell r="B6859" t="str">
            <v/>
          </cell>
          <cell r="C6859" t="str">
            <v/>
          </cell>
          <cell r="D6859" t="str">
            <v>CC</v>
          </cell>
          <cell r="E6859" t="str">
            <v>SARA LUCÍA</v>
          </cell>
          <cell r="F6859" t="str">
            <v>ESCOBAR CASTILLO</v>
          </cell>
          <cell r="G6859" t="str">
            <v>ESCOBAR CASTILLO SARA LUCÍA</v>
          </cell>
          <cell r="H6859" t="str">
            <v>FUNC</v>
          </cell>
          <cell r="I6859" t="str">
            <v>FUNCIONARIO</v>
          </cell>
          <cell r="J6859" t="str">
            <v>CR 42 B 67 D 23</v>
          </cell>
          <cell r="K6859" t="str">
            <v>17001</v>
          </cell>
          <cell r="L6859" t="str">
            <v>MANIZALES</v>
          </cell>
          <cell r="M6859" t="str">
            <v>3215932201</v>
          </cell>
        </row>
        <row r="6860">
          <cell r="A6860">
            <v>1055919704</v>
          </cell>
          <cell r="B6860" t="str">
            <v/>
          </cell>
          <cell r="C6860" t="str">
            <v/>
          </cell>
          <cell r="D6860" t="str">
            <v>CC</v>
          </cell>
          <cell r="E6860" t="str">
            <v>VALERIA</v>
          </cell>
          <cell r="F6860" t="str">
            <v>GARCIA GONZALEZ</v>
          </cell>
          <cell r="G6860" t="str">
            <v>GARCIA GONZALEZ VALERIA</v>
          </cell>
          <cell r="H6860" t="str">
            <v>FUNC</v>
          </cell>
          <cell r="I6860" t="str">
            <v>FUNCIONARIO</v>
          </cell>
          <cell r="J6860" t="str">
            <v>CR 21 38 55</v>
          </cell>
          <cell r="K6860" t="str">
            <v>17001</v>
          </cell>
          <cell r="L6860" t="str">
            <v>MANIZALES</v>
          </cell>
          <cell r="M6860" t="str">
            <v>3134764965</v>
          </cell>
        </row>
        <row r="6861">
          <cell r="A6861">
            <v>1056054477</v>
          </cell>
          <cell r="B6861" t="str">
            <v/>
          </cell>
          <cell r="C6861" t="str">
            <v/>
          </cell>
          <cell r="D6861" t="str">
            <v>CC</v>
          </cell>
          <cell r="E6861" t="str">
            <v>JHON SEBASTIAN</v>
          </cell>
          <cell r="F6861" t="str">
            <v>SANDOVAL BAEZ</v>
          </cell>
          <cell r="G6861" t="str">
            <v>SANDOVAL BAEZ JHON SEBASTIAN</v>
          </cell>
          <cell r="H6861" t="str">
            <v>FUNC</v>
          </cell>
          <cell r="I6861" t="str">
            <v>FUNCIONARIO</v>
          </cell>
          <cell r="J6861" t="str">
            <v>CLL 11 25 A 37</v>
          </cell>
          <cell r="K6861" t="str">
            <v>15238</v>
          </cell>
          <cell r="L6861" t="str">
            <v>DUITAMA</v>
          </cell>
          <cell r="M6861" t="str">
            <v>3203286377</v>
          </cell>
        </row>
        <row r="6862">
          <cell r="A6862">
            <v>1056553999</v>
          </cell>
          <cell r="B6862" t="str">
            <v/>
          </cell>
          <cell r="C6862" t="str">
            <v/>
          </cell>
          <cell r="D6862" t="str">
            <v>CC</v>
          </cell>
          <cell r="E6862" t="str">
            <v>WILMAR ALBEIRO</v>
          </cell>
          <cell r="F6862" t="str">
            <v>MALPICA CARREÑO</v>
          </cell>
          <cell r="G6862" t="str">
            <v>MALPICA CARREÑO WILMAR ALBEIRO</v>
          </cell>
          <cell r="H6862" t="str">
            <v>FUNC</v>
          </cell>
          <cell r="I6862" t="str">
            <v>FUNCIONARIO</v>
          </cell>
          <cell r="J6862" t="str">
            <v>CR 20 6 26</v>
          </cell>
          <cell r="K6862" t="str">
            <v>15238</v>
          </cell>
          <cell r="L6862" t="str">
            <v>DUITAMA</v>
          </cell>
          <cell r="M6862" t="str">
            <v>3107753835</v>
          </cell>
        </row>
        <row r="6863">
          <cell r="A6863">
            <v>1056955290</v>
          </cell>
          <cell r="B6863" t="str">
            <v/>
          </cell>
          <cell r="C6863" t="str">
            <v/>
          </cell>
          <cell r="D6863" t="str">
            <v>CC</v>
          </cell>
          <cell r="E6863" t="str">
            <v>JACINTO</v>
          </cell>
          <cell r="F6863" t="str">
            <v>ALDANA MALDONADO</v>
          </cell>
          <cell r="G6863" t="str">
            <v>ALDANA MALDONADO JACINTO</v>
          </cell>
          <cell r="H6863" t="str">
            <v>FUNC</v>
          </cell>
          <cell r="I6863" t="str">
            <v>FUNCIONARIO</v>
          </cell>
          <cell r="J6863" t="str">
            <v>CALLE 47 No 12B-27 SOGAMOSO</v>
          </cell>
          <cell r="K6863" t="str">
            <v>15516</v>
          </cell>
          <cell r="L6863" t="str">
            <v>PAIPA</v>
          </cell>
          <cell r="M6863" t="str">
            <v>0000</v>
          </cell>
        </row>
        <row r="6864">
          <cell r="A6864">
            <v>1056956695</v>
          </cell>
          <cell r="B6864" t="str">
            <v/>
          </cell>
          <cell r="C6864" t="str">
            <v/>
          </cell>
          <cell r="D6864" t="str">
            <v>CC</v>
          </cell>
          <cell r="E6864" t="str">
            <v>FREDY ALEXANDER</v>
          </cell>
          <cell r="F6864" t="str">
            <v>CORREDOR OSORIO</v>
          </cell>
          <cell r="G6864" t="str">
            <v>CORREDOR OSORIO FREDY ALEXANDER</v>
          </cell>
          <cell r="H6864" t="str">
            <v>FUNC</v>
          </cell>
          <cell r="I6864" t="str">
            <v>FUNCIONARIO</v>
          </cell>
          <cell r="J6864" t="str">
            <v>TRANV. 11 N. 28 A- 35</v>
          </cell>
          <cell r="K6864" t="str">
            <v>15001</v>
          </cell>
          <cell r="L6864" t="str">
            <v>TUNJA</v>
          </cell>
          <cell r="M6864" t="str">
            <v>3112564850</v>
          </cell>
        </row>
        <row r="6865">
          <cell r="A6865">
            <v>1057074396</v>
          </cell>
          <cell r="B6865" t="str">
            <v/>
          </cell>
          <cell r="C6865" t="str">
            <v/>
          </cell>
          <cell r="D6865" t="str">
            <v>CC</v>
          </cell>
          <cell r="E6865" t="str">
            <v>DIEGO ALEXANDER</v>
          </cell>
          <cell r="F6865" t="str">
            <v>MORALES ROMERO</v>
          </cell>
          <cell r="G6865" t="str">
            <v>MORALES ROMERO DIEGO ALEXANDER</v>
          </cell>
          <cell r="H6865" t="str">
            <v>EXFU</v>
          </cell>
          <cell r="I6865" t="str">
            <v>EX-FUNCIONARIOS</v>
          </cell>
          <cell r="J6865" t="str">
            <v>CR 8 18 34</v>
          </cell>
          <cell r="K6865" t="str">
            <v>15001</v>
          </cell>
          <cell r="L6865" t="str">
            <v>TUNJA</v>
          </cell>
          <cell r="M6865" t="str">
            <v>3202400375</v>
          </cell>
        </row>
        <row r="6866">
          <cell r="A6866">
            <v>1057306041</v>
          </cell>
          <cell r="B6866" t="str">
            <v/>
          </cell>
          <cell r="C6866" t="str">
            <v/>
          </cell>
          <cell r="D6866" t="str">
            <v>CC</v>
          </cell>
          <cell r="E6866" t="str">
            <v>CAMILA</v>
          </cell>
          <cell r="F6866" t="str">
            <v>JIMENEZ GOMEZ</v>
          </cell>
          <cell r="G6866" t="str">
            <v>JIMENEZ GOMEZ CAMILA</v>
          </cell>
          <cell r="H6866" t="str">
            <v>FUNC</v>
          </cell>
          <cell r="I6866" t="str">
            <v>FUNCIONARIO</v>
          </cell>
          <cell r="J6866" t="str">
            <v>CRA 23 No 75A-140</v>
          </cell>
          <cell r="K6866" t="str">
            <v>17001</v>
          </cell>
          <cell r="L6866" t="str">
            <v>MANIZALES</v>
          </cell>
          <cell r="M6866" t="str">
            <v>3128754702</v>
          </cell>
        </row>
        <row r="6867">
          <cell r="A6867">
            <v>1057570149</v>
          </cell>
          <cell r="B6867" t="str">
            <v/>
          </cell>
          <cell r="C6867" t="str">
            <v/>
          </cell>
          <cell r="D6867" t="str">
            <v>CC</v>
          </cell>
          <cell r="E6867" t="str">
            <v>MARILUZ</v>
          </cell>
          <cell r="F6867" t="str">
            <v>BELTRAN BARRERA</v>
          </cell>
          <cell r="G6867" t="str">
            <v>BELTRAN BARRERA MARILUZ</v>
          </cell>
          <cell r="H6867" t="str">
            <v>FUNC</v>
          </cell>
          <cell r="I6867" t="str">
            <v>FUNCIONARIO</v>
          </cell>
          <cell r="J6867" t="str">
            <v>VEREDA LA INDEPENDENCIA</v>
          </cell>
          <cell r="K6867" t="str">
            <v>15759</v>
          </cell>
          <cell r="L6867" t="str">
            <v>SOGAMOSO</v>
          </cell>
          <cell r="M6867" t="str">
            <v>3124287049</v>
          </cell>
        </row>
        <row r="6868">
          <cell r="A6868">
            <v>1057570803</v>
          </cell>
          <cell r="B6868" t="str">
            <v/>
          </cell>
          <cell r="C6868" t="str">
            <v/>
          </cell>
          <cell r="D6868" t="str">
            <v>CC</v>
          </cell>
          <cell r="E6868" t="str">
            <v>MICHELL DAYANNA</v>
          </cell>
          <cell r="F6868" t="str">
            <v>HERRERA RIVERA</v>
          </cell>
          <cell r="G6868" t="str">
            <v>HERRERA RIVERA MICHELL DAYANNA</v>
          </cell>
          <cell r="H6868" t="str">
            <v>FUNC</v>
          </cell>
          <cell r="I6868" t="str">
            <v>FUNCIONARIO</v>
          </cell>
          <cell r="J6868" t="str">
            <v>VDA CAMEZ-CUARTO</v>
          </cell>
          <cell r="K6868" t="str">
            <v>15759</v>
          </cell>
          <cell r="L6868" t="str">
            <v>SOGAMOSO</v>
          </cell>
          <cell r="M6868" t="str">
            <v>3135441553</v>
          </cell>
        </row>
        <row r="6869">
          <cell r="A6869">
            <v>1057573166</v>
          </cell>
          <cell r="B6869" t="str">
            <v/>
          </cell>
          <cell r="C6869" t="str">
            <v/>
          </cell>
          <cell r="D6869" t="str">
            <v>CC</v>
          </cell>
          <cell r="E6869" t="str">
            <v>LEONARDO</v>
          </cell>
          <cell r="F6869" t="str">
            <v>GUTIERREZ ARISMENDY</v>
          </cell>
          <cell r="G6869" t="str">
            <v>GUTIERREZ ARISMENDY LEONARDO</v>
          </cell>
          <cell r="H6869" t="str">
            <v>FUNC</v>
          </cell>
          <cell r="I6869" t="str">
            <v>FUNCIONARIO</v>
          </cell>
          <cell r="J6869" t="str">
            <v>CL 04   14   91 BRR SANTA CATALINA</v>
          </cell>
          <cell r="K6869" t="str">
            <v>15516</v>
          </cell>
          <cell r="L6869" t="str">
            <v>PAIPA</v>
          </cell>
          <cell r="M6869" t="str">
            <v>715416</v>
          </cell>
        </row>
        <row r="6870">
          <cell r="A6870">
            <v>1057573425</v>
          </cell>
          <cell r="B6870" t="str">
            <v>3</v>
          </cell>
          <cell r="C6870" t="str">
            <v/>
          </cell>
          <cell r="D6870" t="str">
            <v>NP</v>
          </cell>
          <cell r="E6870" t="str">
            <v>ALBA PATRICIA</v>
          </cell>
          <cell r="F6870" t="str">
            <v>ROJAS CRUZ</v>
          </cell>
          <cell r="G6870" t="str">
            <v>ROJAS CRUZ ALBA PATRICIA</v>
          </cell>
          <cell r="H6870" t="str">
            <v>RESI</v>
          </cell>
          <cell r="I6870" t="str">
            <v>REGIMEN SIMPLIFICADO</v>
          </cell>
          <cell r="J6870" t="str">
            <v>CR 18   10   15</v>
          </cell>
          <cell r="K6870" t="str">
            <v>85010</v>
          </cell>
          <cell r="L6870" t="str">
            <v>AGUAZUL</v>
          </cell>
          <cell r="M6870" t="str">
            <v>3134211540</v>
          </cell>
        </row>
        <row r="6871">
          <cell r="A6871">
            <v>1057576983</v>
          </cell>
          <cell r="B6871" t="str">
            <v/>
          </cell>
          <cell r="C6871" t="str">
            <v/>
          </cell>
          <cell r="D6871" t="str">
            <v>CC</v>
          </cell>
          <cell r="E6871" t="str">
            <v>JHON EDUARDO</v>
          </cell>
          <cell r="F6871" t="str">
            <v>GONZALEZ RINCON</v>
          </cell>
          <cell r="G6871" t="str">
            <v>GONZALEZ RINCON JHON EDUARDO</v>
          </cell>
          <cell r="H6871" t="str">
            <v>FUNC</v>
          </cell>
          <cell r="I6871" t="str">
            <v>FUNCIONARIO</v>
          </cell>
          <cell r="J6871" t="str">
            <v>CL 48   15   31</v>
          </cell>
          <cell r="K6871" t="str">
            <v>17001</v>
          </cell>
          <cell r="L6871" t="str">
            <v>MANIZALES</v>
          </cell>
          <cell r="M6871" t="str">
            <v>3138130714</v>
          </cell>
        </row>
        <row r="6872">
          <cell r="A6872">
            <v>1057577840</v>
          </cell>
          <cell r="B6872" t="str">
            <v/>
          </cell>
          <cell r="C6872" t="str">
            <v/>
          </cell>
          <cell r="D6872" t="str">
            <v>CC</v>
          </cell>
          <cell r="E6872" t="str">
            <v>NAHYR</v>
          </cell>
          <cell r="F6872" t="str">
            <v>VARGAS CAMARGO</v>
          </cell>
          <cell r="G6872" t="str">
            <v>VARGAS CAMARGO NAHYR</v>
          </cell>
          <cell r="H6872" t="str">
            <v>FUNC</v>
          </cell>
          <cell r="I6872" t="str">
            <v>FUNCIONARIO</v>
          </cell>
          <cell r="J6872" t="str">
            <v>CL 28 SUR N 20 53</v>
          </cell>
          <cell r="K6872" t="str">
            <v>15759</v>
          </cell>
          <cell r="L6872" t="str">
            <v>SOGAMOSO</v>
          </cell>
          <cell r="M6872" t="str">
            <v>3123002879</v>
          </cell>
        </row>
        <row r="6873">
          <cell r="A6873">
            <v>1057578178</v>
          </cell>
          <cell r="B6873" t="str">
            <v>1</v>
          </cell>
          <cell r="C6873" t="str">
            <v/>
          </cell>
          <cell r="D6873" t="str">
            <v>NP</v>
          </cell>
          <cell r="E6873" t="str">
            <v>JUAN ALEXANDER</v>
          </cell>
          <cell r="F6873" t="str">
            <v>ALARCON CARDENAS</v>
          </cell>
          <cell r="G6873" t="str">
            <v>ALARCON CARDENAS JUAN ALEXANDER</v>
          </cell>
          <cell r="H6873" t="str">
            <v>IMVE</v>
          </cell>
          <cell r="I6873" t="str">
            <v>IMPUESTO SOBRE LAS VENTAS</v>
          </cell>
          <cell r="J6873" t="str">
            <v>CL 5 15 15</v>
          </cell>
          <cell r="K6873" t="str">
            <v>15759</v>
          </cell>
          <cell r="L6873" t="str">
            <v>SOGAMOSO</v>
          </cell>
          <cell r="M6873" t="str">
            <v>3214051173</v>
          </cell>
        </row>
        <row r="6874">
          <cell r="A6874">
            <v>1057578712</v>
          </cell>
          <cell r="B6874" t="str">
            <v/>
          </cell>
          <cell r="C6874" t="str">
            <v/>
          </cell>
          <cell r="D6874" t="str">
            <v>CC</v>
          </cell>
          <cell r="E6874" t="str">
            <v>YOLY EUNISE</v>
          </cell>
          <cell r="F6874" t="str">
            <v>MONTIEL CASAS</v>
          </cell>
          <cell r="G6874" t="str">
            <v>MONTIEL CASAS YOLY EUNISE</v>
          </cell>
          <cell r="H6874" t="str">
            <v>FUNC</v>
          </cell>
          <cell r="I6874" t="str">
            <v>FUNCIONARIO</v>
          </cell>
          <cell r="J6874" t="str">
            <v>CR 37 20 137</v>
          </cell>
          <cell r="K6874" t="str">
            <v>15759</v>
          </cell>
          <cell r="L6874" t="str">
            <v>SOGAMOSO</v>
          </cell>
          <cell r="M6874" t="str">
            <v>3176496927</v>
          </cell>
        </row>
        <row r="6875">
          <cell r="A6875">
            <v>1057584178</v>
          </cell>
          <cell r="B6875" t="str">
            <v/>
          </cell>
          <cell r="C6875" t="str">
            <v/>
          </cell>
          <cell r="D6875" t="str">
            <v>CC</v>
          </cell>
          <cell r="E6875" t="str">
            <v>IVAN DARIO</v>
          </cell>
          <cell r="F6875" t="str">
            <v>PINTO</v>
          </cell>
          <cell r="G6875" t="str">
            <v>PINTO IVAN DARIO</v>
          </cell>
          <cell r="H6875" t="str">
            <v>FUNC</v>
          </cell>
          <cell r="I6875" t="str">
            <v>FUNCIONARIO</v>
          </cell>
          <cell r="J6875" t="str">
            <v>CLLE 8 # 20A-32</v>
          </cell>
          <cell r="K6875" t="str">
            <v>15759</v>
          </cell>
          <cell r="L6875" t="str">
            <v>SOGAMOSO</v>
          </cell>
          <cell r="M6875" t="str">
            <v>3203329233</v>
          </cell>
        </row>
        <row r="6876">
          <cell r="A6876">
            <v>1057585703</v>
          </cell>
          <cell r="B6876" t="str">
            <v>8</v>
          </cell>
          <cell r="C6876" t="str">
            <v/>
          </cell>
          <cell r="D6876" t="str">
            <v>NP</v>
          </cell>
          <cell r="E6876" t="str">
            <v>RODRIGO</v>
          </cell>
          <cell r="F6876" t="str">
            <v>ACEVEDO PULIDO</v>
          </cell>
          <cell r="G6876" t="str">
            <v>ACEVEDO PULIDO RODRIGO</v>
          </cell>
          <cell r="H6876" t="str">
            <v>RESI</v>
          </cell>
          <cell r="I6876" t="str">
            <v>REGIMEN SIMPLIFICADO</v>
          </cell>
          <cell r="J6876" t="str">
            <v>CL 4  3  15</v>
          </cell>
          <cell r="K6876" t="str">
            <v>15822</v>
          </cell>
          <cell r="L6876" t="str">
            <v>TOTA</v>
          </cell>
          <cell r="M6876" t="str">
            <v>3133688566</v>
          </cell>
        </row>
        <row r="6877">
          <cell r="A6877">
            <v>1057586378</v>
          </cell>
          <cell r="B6877" t="str">
            <v/>
          </cell>
          <cell r="C6877" t="str">
            <v/>
          </cell>
          <cell r="D6877" t="str">
            <v>CC</v>
          </cell>
          <cell r="E6877" t="str">
            <v>DANIEL ALEJANDRO</v>
          </cell>
          <cell r="F6877" t="str">
            <v>NOSSA RODRIGUEZ</v>
          </cell>
          <cell r="G6877" t="str">
            <v>NOSSA RODRIGUEZ DANIEL ALEJANDRO</v>
          </cell>
          <cell r="H6877" t="str">
            <v>FUNC</v>
          </cell>
          <cell r="I6877" t="str">
            <v>FUNCIONARIO</v>
          </cell>
          <cell r="J6877" t="str">
            <v>TV 4 14 SUR BRR LA PLAYITA</v>
          </cell>
          <cell r="K6877" t="str">
            <v>15759</v>
          </cell>
          <cell r="L6877" t="str">
            <v>SOGAMOSO</v>
          </cell>
          <cell r="M6877" t="str">
            <v>3125353972</v>
          </cell>
        </row>
        <row r="6878">
          <cell r="A6878">
            <v>1057586458</v>
          </cell>
          <cell r="B6878" t="str">
            <v/>
          </cell>
          <cell r="C6878" t="str">
            <v/>
          </cell>
          <cell r="D6878" t="str">
            <v>CC</v>
          </cell>
          <cell r="E6878" t="str">
            <v>YENNI PAOLA</v>
          </cell>
          <cell r="F6878" t="str">
            <v>AVELLA CRUZ</v>
          </cell>
          <cell r="G6878" t="str">
            <v>AVELLA CRUZ YENNI PAOLA</v>
          </cell>
          <cell r="H6878" t="str">
            <v>FUNC</v>
          </cell>
          <cell r="I6878" t="str">
            <v>FUNCIONARIO</v>
          </cell>
          <cell r="J6878" t="str">
            <v>CR 16 BIS   5   07</v>
          </cell>
          <cell r="K6878" t="str">
            <v>15516</v>
          </cell>
          <cell r="L6878" t="str">
            <v>PAIPA</v>
          </cell>
          <cell r="M6878" t="str">
            <v>3227018524</v>
          </cell>
        </row>
        <row r="6879">
          <cell r="A6879">
            <v>1057588082</v>
          </cell>
          <cell r="B6879" t="str">
            <v/>
          </cell>
          <cell r="C6879" t="str">
            <v/>
          </cell>
          <cell r="D6879" t="str">
            <v>CC</v>
          </cell>
          <cell r="E6879" t="str">
            <v>JOSE SEBASTIAN</v>
          </cell>
          <cell r="F6879" t="str">
            <v>MACHADO OCHOA</v>
          </cell>
          <cell r="G6879" t="str">
            <v>MACHADO OCHOA JOSE SEBASTIAN</v>
          </cell>
          <cell r="H6879" t="str">
            <v>FUNC</v>
          </cell>
          <cell r="I6879" t="str">
            <v>FUNCIONARIO</v>
          </cell>
          <cell r="J6879" t="str">
            <v>BARRIO MONQUITA VEREDA AGUA BLANCA</v>
          </cell>
          <cell r="K6879" t="str">
            <v>15759</v>
          </cell>
          <cell r="L6879" t="str">
            <v>SOGAMOSO</v>
          </cell>
          <cell r="M6879" t="str">
            <v>3112330446</v>
          </cell>
        </row>
        <row r="6880">
          <cell r="A6880">
            <v>1057588527</v>
          </cell>
          <cell r="B6880" t="str">
            <v/>
          </cell>
          <cell r="C6880" t="str">
            <v/>
          </cell>
          <cell r="D6880" t="str">
            <v>CC</v>
          </cell>
          <cell r="E6880" t="str">
            <v>MARTHA LIZETH</v>
          </cell>
          <cell r="F6880" t="str">
            <v>NIÑO VELASQUEZ</v>
          </cell>
          <cell r="G6880" t="str">
            <v>NIÑO VELASQUEZ MARTHA LIZETH</v>
          </cell>
          <cell r="H6880" t="str">
            <v>FUNC</v>
          </cell>
          <cell r="I6880" t="str">
            <v>FUNCIONARIO</v>
          </cell>
          <cell r="J6880" t="str">
            <v>CL 56   11   78</v>
          </cell>
          <cell r="K6880" t="str">
            <v>17001</v>
          </cell>
          <cell r="L6880" t="str">
            <v>MANIZALES</v>
          </cell>
          <cell r="M6880" t="str">
            <v>3204804922</v>
          </cell>
        </row>
        <row r="6881">
          <cell r="A6881">
            <v>1057589434</v>
          </cell>
          <cell r="B6881" t="str">
            <v/>
          </cell>
          <cell r="C6881" t="str">
            <v/>
          </cell>
          <cell r="D6881" t="str">
            <v>CC</v>
          </cell>
          <cell r="E6881" t="str">
            <v>JUAN ALEXANDER</v>
          </cell>
          <cell r="F6881" t="str">
            <v>PINTO JIMENEZ</v>
          </cell>
          <cell r="G6881" t="str">
            <v>PINTO JIMENEZ JUAN ALEXANDER</v>
          </cell>
          <cell r="H6881" t="str">
            <v>FUNC</v>
          </cell>
          <cell r="I6881" t="str">
            <v>FUNCIONARIO</v>
          </cell>
          <cell r="J6881" t="str">
            <v>CL 9 A   2 A   47</v>
          </cell>
          <cell r="K6881" t="str">
            <v>15516</v>
          </cell>
          <cell r="L6881" t="str">
            <v>PAIPA</v>
          </cell>
          <cell r="M6881" t="str">
            <v>3125902935</v>
          </cell>
        </row>
        <row r="6882">
          <cell r="A6882">
            <v>1057589457</v>
          </cell>
          <cell r="B6882" t="str">
            <v/>
          </cell>
          <cell r="C6882" t="str">
            <v/>
          </cell>
          <cell r="D6882" t="str">
            <v>CC</v>
          </cell>
          <cell r="E6882" t="str">
            <v>YULY ALEJANDRA</v>
          </cell>
          <cell r="F6882" t="str">
            <v>PINEDA RODRIGUEZ</v>
          </cell>
          <cell r="G6882" t="str">
            <v>PINEDA RODRIGUEZ YULY ALEJANDRA</v>
          </cell>
          <cell r="H6882" t="str">
            <v>FUNC</v>
          </cell>
          <cell r="I6882" t="str">
            <v>FUNCIONARIO</v>
          </cell>
          <cell r="J6882" t="str">
            <v>TV 4 A   5   29 BRR LAS ALONDRAS</v>
          </cell>
          <cell r="K6882" t="str">
            <v>15516</v>
          </cell>
          <cell r="L6882" t="str">
            <v>PAIPA</v>
          </cell>
          <cell r="M6882" t="str">
            <v>3102421850</v>
          </cell>
        </row>
        <row r="6883">
          <cell r="A6883">
            <v>1057590650</v>
          </cell>
          <cell r="B6883" t="str">
            <v/>
          </cell>
          <cell r="C6883" t="str">
            <v/>
          </cell>
          <cell r="D6883" t="str">
            <v>CC</v>
          </cell>
          <cell r="E6883" t="str">
            <v>KAREN ANDREA</v>
          </cell>
          <cell r="F6883" t="str">
            <v>PINEDA MARTINEZ</v>
          </cell>
          <cell r="G6883" t="str">
            <v>PINEDA MARTINEZ KAREN ANDREA</v>
          </cell>
          <cell r="H6883" t="str">
            <v>FUNC</v>
          </cell>
          <cell r="I6883" t="str">
            <v>FUNCIONARIO</v>
          </cell>
          <cell r="J6883" t="str">
            <v>CR 18   06   39</v>
          </cell>
          <cell r="K6883" t="str">
            <v>15516</v>
          </cell>
          <cell r="L6883" t="str">
            <v>PAIPA</v>
          </cell>
          <cell r="M6883" t="str">
            <v>3133095820</v>
          </cell>
        </row>
        <row r="6884">
          <cell r="A6884">
            <v>1057593390</v>
          </cell>
          <cell r="B6884" t="str">
            <v/>
          </cell>
          <cell r="C6884" t="str">
            <v/>
          </cell>
          <cell r="D6884" t="str">
            <v>CC</v>
          </cell>
          <cell r="E6884" t="str">
            <v>LUIS EDUARDO</v>
          </cell>
          <cell r="F6884" t="str">
            <v>SIERRA LADINO</v>
          </cell>
          <cell r="G6884" t="str">
            <v>SIERRA LADINO LUIS EDUARDO</v>
          </cell>
          <cell r="H6884" t="str">
            <v>FUNC</v>
          </cell>
          <cell r="I6884" t="str">
            <v>FUNCIONARIO</v>
          </cell>
          <cell r="J6884" t="str">
            <v>CL 1 C SUR BRR EL TRIANGULO</v>
          </cell>
          <cell r="K6884" t="str">
            <v>15759</v>
          </cell>
          <cell r="L6884" t="str">
            <v>SOGAMOSO</v>
          </cell>
          <cell r="M6884" t="str">
            <v>3142912783</v>
          </cell>
        </row>
        <row r="6885">
          <cell r="A6885">
            <v>1057595236</v>
          </cell>
          <cell r="B6885" t="str">
            <v/>
          </cell>
          <cell r="C6885" t="str">
            <v/>
          </cell>
          <cell r="D6885" t="str">
            <v>CC</v>
          </cell>
          <cell r="E6885" t="str">
            <v>YEISON FERNEY</v>
          </cell>
          <cell r="F6885" t="str">
            <v>GUEVARA GUARIN</v>
          </cell>
          <cell r="G6885" t="str">
            <v xml:space="preserve"> YEISON FERNEY</v>
          </cell>
          <cell r="H6885" t="str">
            <v>FUNC</v>
          </cell>
          <cell r="I6885" t="str">
            <v>FUNCIONARIO</v>
          </cell>
          <cell r="J6885" t="str">
            <v>CRA 14 # 1B SUR-45</v>
          </cell>
          <cell r="K6885" t="str">
            <v>15759</v>
          </cell>
          <cell r="L6885" t="str">
            <v>SOGAMOSO</v>
          </cell>
          <cell r="M6885" t="str">
            <v>3132598653</v>
          </cell>
        </row>
        <row r="6886">
          <cell r="A6886">
            <v>1057596708</v>
          </cell>
          <cell r="B6886" t="str">
            <v/>
          </cell>
          <cell r="C6886" t="str">
            <v/>
          </cell>
          <cell r="D6886" t="str">
            <v>CC</v>
          </cell>
          <cell r="E6886" t="str">
            <v>DANIEL FERNANDO</v>
          </cell>
          <cell r="F6886" t="str">
            <v>ALVARADO AVILA</v>
          </cell>
          <cell r="G6886" t="str">
            <v>ALVARADO AVILA DANIEL FERNANDO</v>
          </cell>
          <cell r="H6886" t="str">
            <v>FUNC</v>
          </cell>
          <cell r="I6886" t="str">
            <v>FUNCIONARIO</v>
          </cell>
          <cell r="J6886" t="str">
            <v>CL 5 SUR 12 28</v>
          </cell>
          <cell r="K6886" t="str">
            <v>15759</v>
          </cell>
          <cell r="L6886" t="str">
            <v>SOGAMOSO</v>
          </cell>
          <cell r="M6886" t="str">
            <v>3229438862</v>
          </cell>
        </row>
        <row r="6887">
          <cell r="A6887">
            <v>1057596709</v>
          </cell>
          <cell r="B6887" t="str">
            <v/>
          </cell>
          <cell r="C6887" t="str">
            <v/>
          </cell>
          <cell r="D6887" t="str">
            <v>CC</v>
          </cell>
          <cell r="E6887" t="str">
            <v>DANIEL FERNANDO</v>
          </cell>
          <cell r="F6887" t="str">
            <v>ALVARADO AVILA</v>
          </cell>
          <cell r="G6887" t="str">
            <v>ALVARADO AVILA DANIEL FERNANDO</v>
          </cell>
          <cell r="H6887" t="str">
            <v>FUNC</v>
          </cell>
          <cell r="I6887" t="str">
            <v>FUNCIONARIO</v>
          </cell>
          <cell r="J6887" t="str">
            <v>CL 5 S 12 B 28</v>
          </cell>
          <cell r="K6887" t="str">
            <v>15759</v>
          </cell>
          <cell r="L6887" t="str">
            <v>SOGAMOSO</v>
          </cell>
          <cell r="M6887" t="str">
            <v>3229438862</v>
          </cell>
        </row>
        <row r="6888">
          <cell r="A6888">
            <v>1057599699</v>
          </cell>
          <cell r="B6888" t="str">
            <v>7</v>
          </cell>
          <cell r="C6888" t="str">
            <v/>
          </cell>
          <cell r="D6888" t="str">
            <v>NP</v>
          </cell>
          <cell r="E6888" t="str">
            <v>MIGUEL ANGEL</v>
          </cell>
          <cell r="F6888" t="str">
            <v>VEGA VARGAS</v>
          </cell>
          <cell r="G6888" t="str">
            <v>VEGA VARGAS MIGUEL ANGEL</v>
          </cell>
          <cell r="H6888" t="str">
            <v>NORE</v>
          </cell>
          <cell r="I6888" t="str">
            <v>NO RESPONSABLE DE IVA</v>
          </cell>
          <cell r="J6888" t="str">
            <v>CL 10 BIS 14 A 55</v>
          </cell>
          <cell r="K6888" t="str">
            <v>17001</v>
          </cell>
          <cell r="L6888" t="str">
            <v>MANIZALES</v>
          </cell>
          <cell r="M6888" t="str">
            <v>3174929648</v>
          </cell>
        </row>
        <row r="6889">
          <cell r="A6889">
            <v>1057607922</v>
          </cell>
          <cell r="B6889" t="str">
            <v/>
          </cell>
          <cell r="C6889" t="str">
            <v/>
          </cell>
          <cell r="D6889" t="str">
            <v>CC</v>
          </cell>
          <cell r="E6889" t="str">
            <v>BRAYAN STEVEN</v>
          </cell>
          <cell r="F6889" t="str">
            <v>ZORRO BOTIA</v>
          </cell>
          <cell r="G6889" t="str">
            <v>ZORRO BOTIA BRAYAN STEVEN</v>
          </cell>
          <cell r="H6889" t="str">
            <v>FUNC</v>
          </cell>
          <cell r="I6889" t="str">
            <v>FUNCIONARIO</v>
          </cell>
          <cell r="J6889" t="str">
            <v>CLL 2A # 18-46</v>
          </cell>
          <cell r="K6889" t="str">
            <v>15759</v>
          </cell>
          <cell r="L6889" t="str">
            <v>SOGAMOSO</v>
          </cell>
          <cell r="M6889" t="str">
            <v>3118329068</v>
          </cell>
        </row>
        <row r="6890">
          <cell r="A6890">
            <v>1057608207</v>
          </cell>
          <cell r="B6890" t="str">
            <v/>
          </cell>
          <cell r="C6890" t="str">
            <v/>
          </cell>
          <cell r="D6890" t="str">
            <v>CC</v>
          </cell>
          <cell r="E6890" t="str">
            <v>JORGE ARMANDO</v>
          </cell>
          <cell r="F6890" t="str">
            <v>TRUJILLO BAYONA</v>
          </cell>
          <cell r="G6890" t="str">
            <v>TRUJILLO BAYONA JORGE ARMANDO</v>
          </cell>
          <cell r="H6890" t="str">
            <v>FUNC</v>
          </cell>
          <cell r="I6890" t="str">
            <v>FUNCIONARIO</v>
          </cell>
          <cell r="J6890" t="str">
            <v>CL 11 SUR 12 93 BRR</v>
          </cell>
          <cell r="K6890" t="str">
            <v>15759</v>
          </cell>
          <cell r="L6890" t="str">
            <v>SOGAMOSO</v>
          </cell>
          <cell r="M6890" t="str">
            <v>3206796631</v>
          </cell>
        </row>
        <row r="6891">
          <cell r="A6891">
            <v>1057609791</v>
          </cell>
          <cell r="B6891" t="str">
            <v/>
          </cell>
          <cell r="C6891" t="str">
            <v/>
          </cell>
          <cell r="D6891" t="str">
            <v>CC</v>
          </cell>
          <cell r="E6891" t="str">
            <v>NATALIA PAOLA</v>
          </cell>
          <cell r="F6891" t="str">
            <v>LUGO GOMEZ</v>
          </cell>
          <cell r="G6891" t="str">
            <v>LUGO GOMEZ NATALIA PAOLA</v>
          </cell>
          <cell r="H6891" t="str">
            <v>FUNC</v>
          </cell>
          <cell r="I6891" t="str">
            <v>FUNCIONARIO</v>
          </cell>
          <cell r="J6891" t="str">
            <v>CR 25 17 56</v>
          </cell>
          <cell r="K6891" t="str">
            <v>15759</v>
          </cell>
          <cell r="L6891" t="str">
            <v>SOGAMOSO</v>
          </cell>
          <cell r="M6891" t="str">
            <v>3144278174</v>
          </cell>
        </row>
        <row r="6892">
          <cell r="A6892">
            <v>1057610872</v>
          </cell>
          <cell r="B6892" t="str">
            <v/>
          </cell>
          <cell r="C6892" t="str">
            <v/>
          </cell>
          <cell r="D6892" t="str">
            <v>CC</v>
          </cell>
          <cell r="E6892" t="str">
            <v>WILMAR YESID</v>
          </cell>
          <cell r="F6892" t="str">
            <v>RODRIGUEZ CALIXTO</v>
          </cell>
          <cell r="G6892" t="str">
            <v>RODRIGUEZ CALIXTO WILMAR YESID</v>
          </cell>
          <cell r="H6892" t="str">
            <v>FUNC</v>
          </cell>
          <cell r="I6892" t="str">
            <v>FUNCIONARIO</v>
          </cell>
          <cell r="J6892" t="str">
            <v>CL 3 3 97 BRR CHAMEZA</v>
          </cell>
          <cell r="K6892" t="str">
            <v>15491</v>
          </cell>
          <cell r="L6892" t="str">
            <v>NOBSA</v>
          </cell>
          <cell r="M6892" t="str">
            <v>3105678169</v>
          </cell>
        </row>
        <row r="6893">
          <cell r="A6893">
            <v>1057757403</v>
          </cell>
          <cell r="B6893" t="str">
            <v/>
          </cell>
          <cell r="C6893" t="str">
            <v/>
          </cell>
          <cell r="D6893" t="str">
            <v>CC</v>
          </cell>
          <cell r="E6893" t="str">
            <v>JUAN RAFAEL</v>
          </cell>
          <cell r="F6893" t="str">
            <v>BALLESTEROS SANCHEZ</v>
          </cell>
          <cell r="G6893" t="str">
            <v>BALLESTEROS SANCHEZ JUAN RAFAEL</v>
          </cell>
          <cell r="H6893" t="str">
            <v>FUNC</v>
          </cell>
          <cell r="I6893" t="str">
            <v>FUNCIONARIO</v>
          </cell>
          <cell r="J6893" t="str">
            <v>CR 4 N 19 20</v>
          </cell>
          <cell r="K6893" t="str">
            <v>17001</v>
          </cell>
          <cell r="L6893" t="str">
            <v>MANIZALES</v>
          </cell>
          <cell r="M6893" t="str">
            <v>3218666375</v>
          </cell>
        </row>
        <row r="6894">
          <cell r="A6894">
            <v>1057758140</v>
          </cell>
          <cell r="B6894" t="str">
            <v/>
          </cell>
          <cell r="C6894" t="str">
            <v/>
          </cell>
          <cell r="D6894" t="str">
            <v>CC</v>
          </cell>
          <cell r="E6894" t="str">
            <v xml:space="preserve"> LADY CAROLINA</v>
          </cell>
          <cell r="F6894" t="str">
            <v>GALLEGO ROJAS</v>
          </cell>
          <cell r="G6894" t="str">
            <v>GALLEGO ROJAS  LADY CAROLINA</v>
          </cell>
          <cell r="H6894" t="str">
            <v>FUNC</v>
          </cell>
          <cell r="I6894" t="str">
            <v>FUNCIONARIO</v>
          </cell>
          <cell r="J6894" t="str">
            <v>CR 24   17 E   05 BRR BOSTON</v>
          </cell>
          <cell r="K6894" t="str">
            <v>17001</v>
          </cell>
          <cell r="L6894" t="str">
            <v>MANIZALES</v>
          </cell>
          <cell r="M6894" t="str">
            <v>3204255435</v>
          </cell>
        </row>
        <row r="6895">
          <cell r="A6895">
            <v>1057783269</v>
          </cell>
          <cell r="B6895" t="str">
            <v>1</v>
          </cell>
          <cell r="C6895" t="str">
            <v/>
          </cell>
          <cell r="D6895" t="str">
            <v>NP</v>
          </cell>
          <cell r="E6895" t="str">
            <v>PABLO ANDRES</v>
          </cell>
          <cell r="F6895" t="str">
            <v>GOMEZ TAMAYO</v>
          </cell>
          <cell r="G6895" t="str">
            <v>GOMEZ TAMAYO PABLO ANDRES</v>
          </cell>
          <cell r="H6895" t="str">
            <v>RESI</v>
          </cell>
          <cell r="I6895" t="str">
            <v>REGIMEN SIMPLIFICADO</v>
          </cell>
          <cell r="J6895" t="str">
            <v>CR  8  11  31</v>
          </cell>
          <cell r="K6895" t="str">
            <v>17001</v>
          </cell>
          <cell r="L6895" t="str">
            <v>MANIZALES</v>
          </cell>
          <cell r="M6895" t="str">
            <v>3113601228</v>
          </cell>
        </row>
        <row r="6896">
          <cell r="A6896">
            <v>1057784974</v>
          </cell>
          <cell r="B6896" t="str">
            <v>0</v>
          </cell>
          <cell r="C6896" t="str">
            <v/>
          </cell>
          <cell r="D6896" t="str">
            <v>NP</v>
          </cell>
          <cell r="E6896" t="str">
            <v>YENIFER LEONISA</v>
          </cell>
          <cell r="F6896" t="str">
            <v>ESCOBAR CASTAÑO</v>
          </cell>
          <cell r="G6896" t="str">
            <v>ESCOBAR CASTAÑO YENIFER LEONISA</v>
          </cell>
          <cell r="H6896" t="str">
            <v>RESI</v>
          </cell>
          <cell r="I6896" t="str">
            <v>REGIMEN SIMPLIFICADO</v>
          </cell>
          <cell r="J6896" t="str">
            <v>VRD LLANADAS SEC</v>
          </cell>
          <cell r="K6896" t="str">
            <v>17433</v>
          </cell>
          <cell r="L6896" t="str">
            <v>MANZANARES</v>
          </cell>
          <cell r="M6896" t="str">
            <v>3213470407</v>
          </cell>
        </row>
        <row r="6897">
          <cell r="A6897">
            <v>1057786429</v>
          </cell>
          <cell r="B6897" t="str">
            <v/>
          </cell>
          <cell r="C6897" t="str">
            <v/>
          </cell>
          <cell r="D6897" t="str">
            <v>CC</v>
          </cell>
          <cell r="E6897" t="str">
            <v>JHON JAIRO</v>
          </cell>
          <cell r="F6897" t="str">
            <v>VALENCIA LÓPEZ</v>
          </cell>
          <cell r="G6897" t="str">
            <v>VALENCIA LÓPEZ JHON JAIRO</v>
          </cell>
          <cell r="H6897" t="str">
            <v>IMVE</v>
          </cell>
          <cell r="I6897" t="str">
            <v>IMPUESTO SOBRE LAS VENTAS</v>
          </cell>
          <cell r="J6897" t="str">
            <v>MCP MANZANARES</v>
          </cell>
          <cell r="K6897" t="str">
            <v>17433</v>
          </cell>
          <cell r="L6897" t="str">
            <v>MANZANARES</v>
          </cell>
          <cell r="M6897" t="str">
            <v>NO TIENE</v>
          </cell>
        </row>
        <row r="6898">
          <cell r="A6898">
            <v>1058351374</v>
          </cell>
          <cell r="B6898" t="str">
            <v/>
          </cell>
          <cell r="C6898" t="str">
            <v/>
          </cell>
          <cell r="D6898" t="str">
            <v>CC</v>
          </cell>
          <cell r="E6898" t="str">
            <v>KEVIN SANTIAGO</v>
          </cell>
          <cell r="F6898" t="str">
            <v>RODRIGUEZ BARINAS</v>
          </cell>
          <cell r="G6898" t="str">
            <v>RODRIGUEZ BARINAS KEVIN SANTIAGO</v>
          </cell>
          <cell r="H6898" t="str">
            <v>FUNC</v>
          </cell>
          <cell r="I6898" t="str">
            <v>FUNCIONARIO</v>
          </cell>
          <cell r="J6898" t="str">
            <v>VEREDA OMBUCHITA</v>
          </cell>
          <cell r="K6898" t="str">
            <v>15759</v>
          </cell>
          <cell r="L6898" t="str">
            <v>SOGAMOSO</v>
          </cell>
          <cell r="M6898" t="str">
            <v>3118462017</v>
          </cell>
        </row>
        <row r="6899">
          <cell r="A6899">
            <v>1058431212</v>
          </cell>
          <cell r="B6899" t="str">
            <v/>
          </cell>
          <cell r="C6899" t="str">
            <v/>
          </cell>
          <cell r="D6899" t="str">
            <v>CC</v>
          </cell>
          <cell r="E6899" t="str">
            <v>LUIS FERNANDO</v>
          </cell>
          <cell r="F6899" t="str">
            <v>ARISMENDI ESTUPIÑAN</v>
          </cell>
          <cell r="G6899" t="str">
            <v>ARISMENDI ESTUPIÑAN LUIS FERNANDO</v>
          </cell>
          <cell r="H6899" t="str">
            <v>FUNC</v>
          </cell>
          <cell r="I6899" t="str">
            <v>FUNCIONARIO</v>
          </cell>
          <cell r="J6899" t="str">
            <v>VRD TASCO</v>
          </cell>
          <cell r="K6899" t="str">
            <v>15516</v>
          </cell>
          <cell r="L6899" t="str">
            <v>PAIPA</v>
          </cell>
          <cell r="M6899" t="str">
            <v>3118216368</v>
          </cell>
        </row>
        <row r="6900">
          <cell r="A6900">
            <v>1058460967</v>
          </cell>
          <cell r="B6900" t="str">
            <v/>
          </cell>
          <cell r="C6900" t="str">
            <v/>
          </cell>
          <cell r="D6900" t="str">
            <v>CC</v>
          </cell>
          <cell r="E6900" t="str">
            <v>HEYDER YOHAN</v>
          </cell>
          <cell r="F6900" t="str">
            <v>CHAPARRO BAYONA</v>
          </cell>
          <cell r="G6900" t="str">
            <v>CHAPARRO BAYONA HEYDER YOHAN</v>
          </cell>
          <cell r="H6900" t="str">
            <v>FUNC</v>
          </cell>
          <cell r="I6900" t="str">
            <v>FUNCIONARIO</v>
          </cell>
          <cell r="J6900" t="str">
            <v>TOTA VEREDA LA PUERTA</v>
          </cell>
          <cell r="K6900" t="str">
            <v>15822</v>
          </cell>
          <cell r="L6900" t="str">
            <v>TOTA</v>
          </cell>
          <cell r="M6900" t="str">
            <v>3142771527</v>
          </cell>
        </row>
        <row r="6901">
          <cell r="A6901">
            <v>1058816357</v>
          </cell>
          <cell r="B6901" t="str">
            <v/>
          </cell>
          <cell r="C6901" t="str">
            <v/>
          </cell>
          <cell r="D6901" t="str">
            <v>CC</v>
          </cell>
          <cell r="E6901" t="str">
            <v>SANDRA MILENA</v>
          </cell>
          <cell r="F6901" t="str">
            <v>RAMIREZ VALENCIA</v>
          </cell>
          <cell r="G6901" t="str">
            <v>RAMIREZ VALENCIA SANDRA MILENA</v>
          </cell>
          <cell r="H6901" t="str">
            <v>FUNC</v>
          </cell>
          <cell r="I6901" t="str">
            <v>FUNCIONARIO</v>
          </cell>
          <cell r="J6901" t="str">
            <v>CR 1 F   5   16</v>
          </cell>
          <cell r="K6901" t="str">
            <v>17486</v>
          </cell>
          <cell r="L6901" t="str">
            <v>NEIRA</v>
          </cell>
          <cell r="M6901" t="str">
            <v>3216578488</v>
          </cell>
        </row>
        <row r="6902">
          <cell r="A6902">
            <v>1058817205</v>
          </cell>
          <cell r="B6902" t="str">
            <v>2</v>
          </cell>
          <cell r="C6902" t="str">
            <v/>
          </cell>
          <cell r="D6902" t="str">
            <v>NP</v>
          </cell>
          <cell r="E6902" t="str">
            <v>PAULA MILENA</v>
          </cell>
          <cell r="F6902" t="str">
            <v>OTALVARO RIOS</v>
          </cell>
          <cell r="G6902" t="str">
            <v>OTALVARO RIOS PAULA MILENA</v>
          </cell>
          <cell r="H6902" t="str">
            <v>RESI</v>
          </cell>
          <cell r="I6902" t="str">
            <v>REGIMEN SIMPLIFICADO</v>
          </cell>
          <cell r="J6902" t="str">
            <v>CR 9 9 44</v>
          </cell>
          <cell r="K6902" t="str">
            <v>17486</v>
          </cell>
          <cell r="L6902" t="str">
            <v>NEIRA</v>
          </cell>
          <cell r="M6902" t="str">
            <v>3209736779</v>
          </cell>
        </row>
        <row r="6903">
          <cell r="A6903">
            <v>1058820194</v>
          </cell>
          <cell r="B6903" t="str">
            <v/>
          </cell>
          <cell r="C6903" t="str">
            <v/>
          </cell>
          <cell r="D6903" t="str">
            <v>CC</v>
          </cell>
          <cell r="E6903" t="str">
            <v>LAURA XIMENA</v>
          </cell>
          <cell r="F6903" t="str">
            <v>ARROYAVE OROZCO</v>
          </cell>
          <cell r="G6903" t="str">
            <v>ARROYAVE OROZCO LAURA XIMENA</v>
          </cell>
          <cell r="H6903" t="str">
            <v>FUNC</v>
          </cell>
          <cell r="I6903" t="str">
            <v>FUNCIONARIO</v>
          </cell>
          <cell r="J6903" t="str">
            <v>CL 10   7   31</v>
          </cell>
          <cell r="K6903" t="str">
            <v>17001</v>
          </cell>
          <cell r="L6903" t="str">
            <v>MANIZALES</v>
          </cell>
          <cell r="M6903" t="str">
            <v>3147637712</v>
          </cell>
        </row>
        <row r="6904">
          <cell r="A6904">
            <v>1058846382</v>
          </cell>
          <cell r="B6904" t="str">
            <v/>
          </cell>
          <cell r="C6904" t="str">
            <v/>
          </cell>
          <cell r="D6904" t="str">
            <v>CC</v>
          </cell>
          <cell r="E6904" t="str">
            <v>JAIME ALBERTO</v>
          </cell>
          <cell r="F6904" t="str">
            <v>ARANGO FLOREZ</v>
          </cell>
          <cell r="G6904" t="str">
            <v>ARANGO FLOREZ JAIME ALBERTO</v>
          </cell>
          <cell r="H6904" t="str">
            <v>FUNC</v>
          </cell>
          <cell r="I6904" t="str">
            <v>FUNCIONARIO</v>
          </cell>
          <cell r="J6904" t="str">
            <v>CL 35 N 39 04</v>
          </cell>
          <cell r="K6904" t="str">
            <v>17001</v>
          </cell>
          <cell r="L6904" t="str">
            <v>MANIZALES</v>
          </cell>
          <cell r="M6904" t="str">
            <v>3146262547</v>
          </cell>
        </row>
        <row r="6905">
          <cell r="A6905">
            <v>1058846688</v>
          </cell>
          <cell r="B6905" t="str">
            <v/>
          </cell>
          <cell r="C6905" t="str">
            <v/>
          </cell>
          <cell r="D6905" t="str">
            <v>CC</v>
          </cell>
          <cell r="E6905" t="str">
            <v>LAURA VANESA</v>
          </cell>
          <cell r="F6905" t="str">
            <v>CARDONA GIRALDO</v>
          </cell>
          <cell r="G6905" t="str">
            <v>CARDONA GIRALDO LAURA VANESA</v>
          </cell>
          <cell r="H6905" t="str">
            <v>FUNC</v>
          </cell>
          <cell r="I6905" t="str">
            <v>FUNCIONARIO</v>
          </cell>
          <cell r="J6905" t="str">
            <v>CR 11 4 34</v>
          </cell>
          <cell r="K6905" t="str">
            <v>17001</v>
          </cell>
          <cell r="L6905" t="str">
            <v>MANIZALES</v>
          </cell>
          <cell r="M6905" t="str">
            <v>3117110905</v>
          </cell>
        </row>
        <row r="6906">
          <cell r="A6906">
            <v>1058847852</v>
          </cell>
          <cell r="B6906" t="str">
            <v/>
          </cell>
          <cell r="C6906" t="str">
            <v/>
          </cell>
          <cell r="D6906" t="str">
            <v>CC</v>
          </cell>
          <cell r="E6906" t="str">
            <v>DIANA LORENA</v>
          </cell>
          <cell r="F6906" t="str">
            <v>GIRALDO ZULUAGA</v>
          </cell>
          <cell r="G6906" t="str">
            <v>GIRALDO ZULUAGA DIANA LORENA</v>
          </cell>
          <cell r="H6906" t="str">
            <v>FUNC</v>
          </cell>
          <cell r="I6906" t="str">
            <v>FUNCIONARIO</v>
          </cell>
          <cell r="J6906" t="str">
            <v>CL 9 06 51</v>
          </cell>
          <cell r="K6906" t="str">
            <v>17541</v>
          </cell>
          <cell r="L6906" t="str">
            <v>PENSILVANIA</v>
          </cell>
          <cell r="M6906" t="str">
            <v>3122727436</v>
          </cell>
        </row>
        <row r="6907">
          <cell r="A6907">
            <v>1058913356</v>
          </cell>
          <cell r="B6907" t="str">
            <v/>
          </cell>
          <cell r="C6907" t="str">
            <v/>
          </cell>
          <cell r="D6907" t="str">
            <v>CC</v>
          </cell>
          <cell r="E6907" t="str">
            <v>LAURA CRISTINA</v>
          </cell>
          <cell r="F6907" t="str">
            <v>GARCIA LEDESMA</v>
          </cell>
          <cell r="G6907" t="str">
            <v>GARCIA LEDESMA LAURA CRISTINA</v>
          </cell>
          <cell r="H6907" t="str">
            <v>EXFU</v>
          </cell>
          <cell r="I6907" t="str">
            <v>EX-FUNCIONARIOS</v>
          </cell>
          <cell r="J6907" t="str">
            <v>CALLE 62A No 18-91</v>
          </cell>
          <cell r="K6907" t="str">
            <v>17001</v>
          </cell>
          <cell r="L6907" t="str">
            <v>MANIZALES</v>
          </cell>
          <cell r="M6907" t="str">
            <v>3113884215</v>
          </cell>
        </row>
        <row r="6908">
          <cell r="A6908">
            <v>1059445828</v>
          </cell>
          <cell r="B6908" t="str">
            <v>7</v>
          </cell>
          <cell r="C6908" t="str">
            <v/>
          </cell>
          <cell r="D6908" t="str">
            <v>NP</v>
          </cell>
          <cell r="E6908" t="str">
            <v>JULIO CESAR</v>
          </cell>
          <cell r="F6908" t="str">
            <v>LEDEZMA CUNDUMI</v>
          </cell>
          <cell r="G6908" t="str">
            <v>LEDEZMA CUNDUMI JULIO CESAR</v>
          </cell>
          <cell r="H6908" t="str">
            <v>RESI</v>
          </cell>
          <cell r="I6908" t="str">
            <v>REGIMEN SIMPLIFICADO</v>
          </cell>
          <cell r="J6908" t="str">
            <v xml:space="preserve"> CR 3  7 10 BRR EL PORVENIR</v>
          </cell>
          <cell r="K6908" t="str">
            <v>19318</v>
          </cell>
          <cell r="L6908" t="str">
            <v>GUAPI</v>
          </cell>
          <cell r="M6908" t="str">
            <v>3148403322</v>
          </cell>
        </row>
        <row r="6909">
          <cell r="A6909">
            <v>1059446220</v>
          </cell>
          <cell r="B6909" t="str">
            <v/>
          </cell>
          <cell r="C6909" t="str">
            <v/>
          </cell>
          <cell r="D6909" t="str">
            <v>CC</v>
          </cell>
          <cell r="E6909" t="str">
            <v>YURANY PAOLA</v>
          </cell>
          <cell r="F6909" t="str">
            <v>GONGORA CUERO</v>
          </cell>
          <cell r="G6909" t="str">
            <v>GONGORA CUERO YURANY PAOLA</v>
          </cell>
          <cell r="H6909" t="str">
            <v>FUNC</v>
          </cell>
          <cell r="I6909" t="str">
            <v>FUNCIONARIO</v>
          </cell>
          <cell r="J6909" t="str">
            <v>BRR LAS FLORES</v>
          </cell>
          <cell r="K6909" t="str">
            <v>19318</v>
          </cell>
          <cell r="L6909" t="str">
            <v>GUAPI</v>
          </cell>
          <cell r="M6909" t="str">
            <v>3124096209</v>
          </cell>
        </row>
        <row r="6910">
          <cell r="A6910">
            <v>1059446535</v>
          </cell>
          <cell r="B6910" t="str">
            <v>9</v>
          </cell>
          <cell r="C6910" t="str">
            <v/>
          </cell>
          <cell r="D6910" t="str">
            <v>NP</v>
          </cell>
          <cell r="E6910" t="str">
            <v>EMERITA</v>
          </cell>
          <cell r="F6910" t="str">
            <v>SOLIS GRANJA</v>
          </cell>
          <cell r="G6910" t="str">
            <v>SOLIS GRANJA EMERITA</v>
          </cell>
          <cell r="H6910" t="str">
            <v>RESI</v>
          </cell>
          <cell r="I6910" t="str">
            <v>REGIMEN SIMPLIFICADO</v>
          </cell>
          <cell r="J6910" t="str">
            <v>CR 5  7 09</v>
          </cell>
          <cell r="K6910" t="str">
            <v>19318</v>
          </cell>
          <cell r="L6910" t="str">
            <v>GUAPI</v>
          </cell>
          <cell r="M6910" t="str">
            <v>3217160681</v>
          </cell>
        </row>
        <row r="6911">
          <cell r="A6911">
            <v>1059449480</v>
          </cell>
          <cell r="B6911" t="str">
            <v/>
          </cell>
          <cell r="C6911" t="str">
            <v/>
          </cell>
          <cell r="D6911" t="str">
            <v>CC</v>
          </cell>
          <cell r="E6911" t="str">
            <v>JOHNNY SOLON</v>
          </cell>
          <cell r="F6911" t="str">
            <v>PAZ CAICEDO</v>
          </cell>
          <cell r="G6911" t="str">
            <v>PAZ CAICEDO JOHNNY SOLON</v>
          </cell>
          <cell r="H6911" t="str">
            <v>FUNC</v>
          </cell>
          <cell r="I6911" t="str">
            <v>FUNCIONARIO</v>
          </cell>
          <cell r="J6911" t="str">
            <v>BRR PUERTO CALI</v>
          </cell>
          <cell r="K6911" t="str">
            <v>19318</v>
          </cell>
          <cell r="L6911" t="str">
            <v>GUAPI</v>
          </cell>
          <cell r="M6911" t="str">
            <v>3106272777</v>
          </cell>
        </row>
        <row r="6912">
          <cell r="A6912">
            <v>1059695330</v>
          </cell>
          <cell r="B6912" t="str">
            <v/>
          </cell>
          <cell r="C6912" t="str">
            <v/>
          </cell>
          <cell r="D6912" t="str">
            <v>CC</v>
          </cell>
          <cell r="E6912" t="str">
            <v>LUIS DAGNOVER</v>
          </cell>
          <cell r="F6912" t="str">
            <v>LADINO GARCÍA</v>
          </cell>
          <cell r="G6912" t="str">
            <v>LADINO GARCÍA LUIS DAGNOVER</v>
          </cell>
          <cell r="H6912" t="str">
            <v>FUNC</v>
          </cell>
          <cell r="I6912" t="str">
            <v>FUNCIONARIO</v>
          </cell>
          <cell r="J6912" t="str">
            <v>CRA 32D 3006</v>
          </cell>
          <cell r="K6912" t="str">
            <v>17614</v>
          </cell>
          <cell r="L6912" t="str">
            <v>RIOSUCIO</v>
          </cell>
          <cell r="M6912" t="str">
            <v>3215813727</v>
          </cell>
        </row>
        <row r="6913">
          <cell r="A6913">
            <v>1059695573</v>
          </cell>
          <cell r="B6913" t="str">
            <v/>
          </cell>
          <cell r="C6913" t="str">
            <v/>
          </cell>
          <cell r="D6913" t="str">
            <v>CC</v>
          </cell>
          <cell r="E6913" t="str">
            <v>DAGNOBER DE JEJUS</v>
          </cell>
          <cell r="F6913" t="str">
            <v>LARGO MORALES</v>
          </cell>
          <cell r="G6913" t="str">
            <v>LARGO MORALES DAGNOBER DE JEJUS</v>
          </cell>
          <cell r="H6913" t="str">
            <v>FUNC</v>
          </cell>
          <cell r="I6913" t="str">
            <v>FUNCIONARIO</v>
          </cell>
          <cell r="J6913" t="str">
            <v>CARRERA 6A N° 16A-17</v>
          </cell>
          <cell r="K6913" t="str">
            <v>27615</v>
          </cell>
          <cell r="L6913" t="str">
            <v>RIOSUCIO</v>
          </cell>
          <cell r="M6913" t="str">
            <v>3108413575</v>
          </cell>
        </row>
        <row r="6914">
          <cell r="A6914">
            <v>1059701176</v>
          </cell>
          <cell r="B6914" t="str">
            <v/>
          </cell>
          <cell r="C6914" t="str">
            <v/>
          </cell>
          <cell r="D6914" t="str">
            <v>CC</v>
          </cell>
          <cell r="E6914" t="str">
            <v>CLAUDIA MARCELA</v>
          </cell>
          <cell r="F6914" t="str">
            <v>CALVO ZAPATA</v>
          </cell>
          <cell r="G6914" t="str">
            <v>CALVO ZAPATA CLAUDIA MARCELA</v>
          </cell>
          <cell r="H6914" t="str">
            <v>FUNC</v>
          </cell>
          <cell r="I6914" t="str">
            <v>FUNCIONARIO</v>
          </cell>
          <cell r="J6914" t="str">
            <v>CL 60   25   51 AP 201 BRR LA ESTRELLA</v>
          </cell>
          <cell r="K6914" t="str">
            <v>17001</v>
          </cell>
          <cell r="L6914" t="str">
            <v>MANIZALES</v>
          </cell>
          <cell r="M6914" t="str">
            <v>3127216724</v>
          </cell>
        </row>
        <row r="6915">
          <cell r="A6915">
            <v>1059706121</v>
          </cell>
          <cell r="B6915" t="str">
            <v>1</v>
          </cell>
          <cell r="C6915" t="str">
            <v/>
          </cell>
          <cell r="D6915" t="str">
            <v>NP</v>
          </cell>
          <cell r="E6915" t="str">
            <v>DANIELA</v>
          </cell>
          <cell r="F6915" t="str">
            <v>FERNÁNDEZ GIRALDO</v>
          </cell>
          <cell r="G6915" t="str">
            <v>FERNÁNDEZ GIRALDO DANIELA</v>
          </cell>
          <cell r="H6915" t="str">
            <v>IMVE</v>
          </cell>
          <cell r="I6915" t="str">
            <v>IMPUESTO SOBRE LAS VENTAS</v>
          </cell>
          <cell r="J6915" t="str">
            <v>CR 25 71 93 CON CONJUNTO MIRADOR DE SANCANCIO</v>
          </cell>
          <cell r="K6915" t="str">
            <v>17001</v>
          </cell>
          <cell r="L6915" t="str">
            <v>MANIZALES</v>
          </cell>
          <cell r="M6915" t="str">
            <v>3104478500</v>
          </cell>
        </row>
        <row r="6916">
          <cell r="A6916">
            <v>1059786099</v>
          </cell>
          <cell r="B6916" t="str">
            <v/>
          </cell>
          <cell r="C6916" t="str">
            <v/>
          </cell>
          <cell r="D6916" t="str">
            <v>CC</v>
          </cell>
          <cell r="E6916" t="str">
            <v>ANGELA MARIA</v>
          </cell>
          <cell r="F6916" t="str">
            <v>ROMAN VARGAS</v>
          </cell>
          <cell r="G6916" t="str">
            <v>ROMAN VARGAS ANGELA MARIA</v>
          </cell>
          <cell r="H6916" t="str">
            <v>FUNC</v>
          </cell>
          <cell r="I6916" t="str">
            <v>FUNCIONARIO</v>
          </cell>
          <cell r="J6916" t="str">
            <v>CR 23 64 B 33</v>
          </cell>
          <cell r="K6916" t="str">
            <v>17001</v>
          </cell>
          <cell r="L6916" t="str">
            <v>MANIZALES</v>
          </cell>
          <cell r="M6916" t="str">
            <v>8756262</v>
          </cell>
        </row>
        <row r="6917">
          <cell r="A6917">
            <v>1059810357</v>
          </cell>
          <cell r="B6917" t="str">
            <v/>
          </cell>
          <cell r="C6917" t="str">
            <v/>
          </cell>
          <cell r="D6917" t="str">
            <v>CC</v>
          </cell>
          <cell r="E6917" t="str">
            <v>MANUEL FERMIN</v>
          </cell>
          <cell r="F6917" t="str">
            <v>GIRALDO GUTIERREZ</v>
          </cell>
          <cell r="G6917" t="str">
            <v>GIRALDO GUTIERREZ MANUEL FERMIN</v>
          </cell>
          <cell r="H6917" t="str">
            <v>FUNC</v>
          </cell>
          <cell r="I6917" t="str">
            <v>FUNCIONARIO</v>
          </cell>
          <cell r="J6917" t="str">
            <v>CL 71 N 4 71 CA 21</v>
          </cell>
          <cell r="K6917" t="str">
            <v>17873</v>
          </cell>
          <cell r="L6917" t="str">
            <v>VILLAMARÍA</v>
          </cell>
          <cell r="M6917" t="str">
            <v>3137910429</v>
          </cell>
        </row>
        <row r="6918">
          <cell r="A6918">
            <v>1059811190</v>
          </cell>
          <cell r="B6918" t="str">
            <v>7</v>
          </cell>
          <cell r="C6918" t="str">
            <v/>
          </cell>
          <cell r="D6918" t="str">
            <v>NP</v>
          </cell>
          <cell r="E6918" t="str">
            <v>ALDANY</v>
          </cell>
          <cell r="F6918" t="str">
            <v>MUÑOZ GARCIA</v>
          </cell>
          <cell r="G6918" t="str">
            <v>MUÑOZ GARCIA ALDANY</v>
          </cell>
          <cell r="H6918" t="str">
            <v>RESI</v>
          </cell>
          <cell r="I6918" t="str">
            <v>REGIMEN SIMPLIFICADO</v>
          </cell>
          <cell r="J6918" t="str">
            <v>CR 5   4   26</v>
          </cell>
          <cell r="K6918" t="str">
            <v>85430</v>
          </cell>
          <cell r="L6918" t="str">
            <v>TRINIDAD</v>
          </cell>
          <cell r="M6918" t="str">
            <v>3214046423</v>
          </cell>
        </row>
        <row r="6919">
          <cell r="A6919">
            <v>1060589880</v>
          </cell>
          <cell r="B6919" t="str">
            <v/>
          </cell>
          <cell r="C6919" t="str">
            <v/>
          </cell>
          <cell r="D6919" t="str">
            <v>CC</v>
          </cell>
          <cell r="E6919" t="str">
            <v>JORGE ENRIQUE</v>
          </cell>
          <cell r="F6919" t="str">
            <v>RIOS VELASQUEZ</v>
          </cell>
          <cell r="G6919" t="str">
            <v>RIOS VELASQUEZ JORGE ENRIQUE</v>
          </cell>
          <cell r="H6919" t="str">
            <v>FUNC</v>
          </cell>
          <cell r="I6919" t="str">
            <v>FUNCIONARIO</v>
          </cell>
          <cell r="J6919" t="str">
            <v>CRA 6 29 109</v>
          </cell>
          <cell r="K6919" t="str">
            <v>17777</v>
          </cell>
          <cell r="L6919" t="str">
            <v>SUPÍA</v>
          </cell>
          <cell r="M6919" t="str">
            <v>8560376</v>
          </cell>
        </row>
        <row r="6920">
          <cell r="A6920">
            <v>1060593080</v>
          </cell>
          <cell r="B6920" t="str">
            <v/>
          </cell>
          <cell r="C6920" t="str">
            <v/>
          </cell>
          <cell r="D6920" t="str">
            <v>CC</v>
          </cell>
          <cell r="E6920" t="str">
            <v>LUISA MARIA</v>
          </cell>
          <cell r="F6920" t="str">
            <v>LONDONO MAFLA</v>
          </cell>
          <cell r="G6920" t="str">
            <v>LONDONO MAFLA LUISA MARIA</v>
          </cell>
          <cell r="H6920" t="str">
            <v>FUNC</v>
          </cell>
          <cell r="I6920" t="str">
            <v>FUNCIONARIO</v>
          </cell>
          <cell r="J6920" t="str">
            <v>CALLE 30 No 6-20</v>
          </cell>
          <cell r="K6920" t="str">
            <v>17001</v>
          </cell>
          <cell r="L6920" t="str">
            <v>MANIZALES</v>
          </cell>
          <cell r="M6920" t="str">
            <v>3148147030</v>
          </cell>
        </row>
        <row r="6921">
          <cell r="A6921">
            <v>1060647409</v>
          </cell>
          <cell r="B6921" t="str">
            <v/>
          </cell>
          <cell r="C6921" t="str">
            <v/>
          </cell>
          <cell r="D6921" t="str">
            <v>CC</v>
          </cell>
          <cell r="E6921" t="str">
            <v>VALENTINA</v>
          </cell>
          <cell r="F6921" t="str">
            <v>MAYA MARIN</v>
          </cell>
          <cell r="G6921" t="str">
            <v>MAYA MARIN VALENTINA</v>
          </cell>
          <cell r="H6921" t="str">
            <v>FUNC</v>
          </cell>
          <cell r="I6921" t="str">
            <v>FUNCIONARIO</v>
          </cell>
          <cell r="J6921" t="str">
            <v>CR 03   10 A 55</v>
          </cell>
          <cell r="K6921" t="str">
            <v>17001</v>
          </cell>
          <cell r="L6921" t="str">
            <v>MANIZALES</v>
          </cell>
          <cell r="M6921" t="str">
            <v>8770345</v>
          </cell>
        </row>
        <row r="6922">
          <cell r="A6922">
            <v>1060647929</v>
          </cell>
          <cell r="B6922" t="str">
            <v>3</v>
          </cell>
          <cell r="C6922" t="str">
            <v/>
          </cell>
          <cell r="D6922" t="str">
            <v>NP</v>
          </cell>
          <cell r="E6922" t="str">
            <v>GLORIA NANCY</v>
          </cell>
          <cell r="F6922" t="str">
            <v>VARGAS HENAO</v>
          </cell>
          <cell r="G6922" t="str">
            <v>VARGAS HENAO GLORIA NANCY</v>
          </cell>
          <cell r="H6922" t="str">
            <v>RESI</v>
          </cell>
          <cell r="I6922" t="str">
            <v>REGIMEN SIMPLIFICADO</v>
          </cell>
          <cell r="J6922" t="str">
            <v>CORREGIMIENTO FLORENCIA SAMANA</v>
          </cell>
          <cell r="K6922" t="str">
            <v>17662</v>
          </cell>
          <cell r="L6922" t="str">
            <v>SAMANÁ</v>
          </cell>
          <cell r="M6922" t="str">
            <v>3136191390</v>
          </cell>
        </row>
        <row r="6923">
          <cell r="A6923">
            <v>1060648846</v>
          </cell>
          <cell r="B6923" t="str">
            <v/>
          </cell>
          <cell r="C6923" t="str">
            <v/>
          </cell>
          <cell r="D6923" t="str">
            <v>CC</v>
          </cell>
          <cell r="E6923" t="str">
            <v>VALERIA</v>
          </cell>
          <cell r="F6923" t="str">
            <v>PLAZA SERNA</v>
          </cell>
          <cell r="G6923" t="str">
            <v>PLAZA SERNA VALERIA</v>
          </cell>
          <cell r="H6923" t="str">
            <v>FUNC</v>
          </cell>
          <cell r="I6923" t="str">
            <v>FUNCIONARIO</v>
          </cell>
          <cell r="J6923" t="str">
            <v>CL 72 26 24 PALERMO</v>
          </cell>
          <cell r="K6923" t="str">
            <v>17001</v>
          </cell>
          <cell r="L6923" t="str">
            <v>MANIZALES</v>
          </cell>
          <cell r="M6923" t="str">
            <v>8872428</v>
          </cell>
        </row>
        <row r="6924">
          <cell r="A6924">
            <v>1060650527</v>
          </cell>
          <cell r="B6924" t="str">
            <v/>
          </cell>
          <cell r="C6924" t="str">
            <v/>
          </cell>
          <cell r="D6924" t="str">
            <v>CC</v>
          </cell>
          <cell r="E6924" t="str">
            <v>DANIELA</v>
          </cell>
          <cell r="F6924" t="str">
            <v>CARDONA ALZATE</v>
          </cell>
          <cell r="G6924" t="str">
            <v>CARDONA ALZATE DANIELA</v>
          </cell>
          <cell r="H6924" t="str">
            <v>FUNC</v>
          </cell>
          <cell r="I6924" t="str">
            <v>FUNCIONARIO</v>
          </cell>
          <cell r="J6924" t="str">
            <v>CALLE 50B # 33-15</v>
          </cell>
          <cell r="K6924" t="str">
            <v>17001</v>
          </cell>
          <cell r="L6924" t="str">
            <v>MANIZALES</v>
          </cell>
          <cell r="M6924" t="str">
            <v>3116004529</v>
          </cell>
        </row>
        <row r="6925">
          <cell r="A6925">
            <v>1060651119</v>
          </cell>
          <cell r="B6925" t="str">
            <v/>
          </cell>
          <cell r="C6925" t="str">
            <v/>
          </cell>
          <cell r="D6925" t="str">
            <v>CC</v>
          </cell>
          <cell r="E6925" t="str">
            <v>ELIZABETH</v>
          </cell>
          <cell r="F6925" t="str">
            <v>ZULUAGA GAVIRIA</v>
          </cell>
          <cell r="G6925" t="str">
            <v>ZULUAGA GAVIRIA  ELIZABETH</v>
          </cell>
          <cell r="H6925" t="str">
            <v>FUNC</v>
          </cell>
          <cell r="I6925" t="str">
            <v>FUNCIONARIO</v>
          </cell>
          <cell r="J6925" t="str">
            <v>CL 34 N 50 03</v>
          </cell>
          <cell r="K6925" t="str">
            <v>17001</v>
          </cell>
          <cell r="L6925" t="str">
            <v>MANIZALES</v>
          </cell>
          <cell r="M6925" t="str">
            <v>8927696</v>
          </cell>
        </row>
        <row r="6926">
          <cell r="A6926">
            <v>1060651435</v>
          </cell>
          <cell r="B6926" t="str">
            <v/>
          </cell>
          <cell r="C6926" t="str">
            <v/>
          </cell>
          <cell r="D6926" t="str">
            <v>CC</v>
          </cell>
          <cell r="E6926" t="str">
            <v>JORGE HERNAN</v>
          </cell>
          <cell r="F6926" t="str">
            <v>LONDOÑO TREJOS</v>
          </cell>
          <cell r="G6926" t="str">
            <v>LONDOÑO TREJOS JORGE HERNAN</v>
          </cell>
          <cell r="H6926" t="str">
            <v>FUNC</v>
          </cell>
          <cell r="I6926" t="str">
            <v>FUNCIONARIO</v>
          </cell>
          <cell r="J6926" t="str">
            <v>CL 04   11   09 BRR LA PRADERA</v>
          </cell>
          <cell r="K6926" t="str">
            <v>17001</v>
          </cell>
          <cell r="L6926" t="str">
            <v>MANIZALES</v>
          </cell>
          <cell r="M6926" t="str">
            <v>8906143</v>
          </cell>
        </row>
        <row r="6927">
          <cell r="A6927">
            <v>1060652071</v>
          </cell>
          <cell r="B6927" t="str">
            <v/>
          </cell>
          <cell r="C6927" t="str">
            <v/>
          </cell>
          <cell r="D6927" t="str">
            <v>CC</v>
          </cell>
          <cell r="E6927" t="str">
            <v>JAKELINE</v>
          </cell>
          <cell r="F6927" t="str">
            <v>FLOREZ MOLANO</v>
          </cell>
          <cell r="G6927" t="str">
            <v>FLOREZ MOLANO JAKELINE</v>
          </cell>
          <cell r="H6927" t="str">
            <v>FUNC</v>
          </cell>
          <cell r="I6927" t="str">
            <v>FUNCIONARIO</v>
          </cell>
          <cell r="J6927" t="str">
            <v>CR 9 A   1 A 27</v>
          </cell>
          <cell r="K6927" t="str">
            <v>17001</v>
          </cell>
          <cell r="L6927" t="str">
            <v>MANIZALES</v>
          </cell>
          <cell r="M6927" t="str">
            <v>3225680</v>
          </cell>
        </row>
        <row r="6928">
          <cell r="A6928">
            <v>1060654337</v>
          </cell>
          <cell r="B6928" t="str">
            <v/>
          </cell>
          <cell r="C6928" t="str">
            <v/>
          </cell>
          <cell r="D6928" t="str">
            <v>CC</v>
          </cell>
          <cell r="E6928" t="str">
            <v>KATHERINE</v>
          </cell>
          <cell r="F6928" t="str">
            <v>JIMENEZ TABARES</v>
          </cell>
          <cell r="G6928" t="str">
            <v>JIMENEZ TABARES KATHERINE</v>
          </cell>
          <cell r="H6928" t="str">
            <v>FUNC</v>
          </cell>
          <cell r="I6928" t="str">
            <v>FUNCIONARIO</v>
          </cell>
          <cell r="J6928" t="str">
            <v>CR 10   1 A   15</v>
          </cell>
          <cell r="K6928" t="str">
            <v>17001</v>
          </cell>
          <cell r="L6928" t="str">
            <v>MANIZALES</v>
          </cell>
          <cell r="M6928" t="str">
            <v>3206142190</v>
          </cell>
        </row>
        <row r="6929">
          <cell r="A6929">
            <v>1060654710</v>
          </cell>
          <cell r="B6929" t="str">
            <v/>
          </cell>
          <cell r="C6929" t="str">
            <v/>
          </cell>
          <cell r="D6929" t="str">
            <v>CC</v>
          </cell>
          <cell r="E6929" t="str">
            <v>ANDRES FELIPE</v>
          </cell>
          <cell r="F6929" t="str">
            <v>HENAO CARDONA</v>
          </cell>
          <cell r="G6929" t="str">
            <v>HENAO CARDONA ANDRES FELIPE</v>
          </cell>
          <cell r="H6929" t="str">
            <v>FUNC</v>
          </cell>
          <cell r="I6929" t="str">
            <v>FUNCIONARIO</v>
          </cell>
          <cell r="J6929" t="str">
            <v>CR 9 B   1   15</v>
          </cell>
          <cell r="K6929" t="str">
            <v>17001</v>
          </cell>
          <cell r="L6929" t="str">
            <v>MANIZALES</v>
          </cell>
          <cell r="M6929" t="str">
            <v>8907475</v>
          </cell>
        </row>
        <row r="6930">
          <cell r="A6930">
            <v>1060656261</v>
          </cell>
          <cell r="B6930" t="str">
            <v/>
          </cell>
          <cell r="C6930" t="str">
            <v/>
          </cell>
          <cell r="D6930" t="str">
            <v>CC</v>
          </cell>
          <cell r="E6930" t="str">
            <v>JUAN DAVID</v>
          </cell>
          <cell r="F6930" t="str">
            <v>SANCHEZ ARREDONDO</v>
          </cell>
          <cell r="G6930" t="str">
            <v>SANCHEZ ARREDONDO JUAN DAVID</v>
          </cell>
          <cell r="H6930" t="str">
            <v>FUNC</v>
          </cell>
          <cell r="I6930" t="str">
            <v>FUNCIONARIO</v>
          </cell>
          <cell r="J6930" t="str">
            <v>CR 5 11 08</v>
          </cell>
          <cell r="K6930" t="str">
            <v>17001</v>
          </cell>
          <cell r="L6930" t="str">
            <v>MANIZALES</v>
          </cell>
          <cell r="M6930" t="str">
            <v>3227721420</v>
          </cell>
        </row>
        <row r="6931">
          <cell r="A6931">
            <v>1060657036</v>
          </cell>
          <cell r="B6931" t="str">
            <v/>
          </cell>
          <cell r="C6931" t="str">
            <v/>
          </cell>
          <cell r="D6931" t="str">
            <v>CC</v>
          </cell>
          <cell r="E6931" t="str">
            <v>CAROLINA</v>
          </cell>
          <cell r="F6931" t="str">
            <v>FLOREZ RENDON</v>
          </cell>
          <cell r="G6931" t="str">
            <v>FLOREZ RENDON CAROLINA</v>
          </cell>
          <cell r="H6931" t="str">
            <v>FUNC</v>
          </cell>
          <cell r="I6931" t="str">
            <v>FUNCIONARIO</v>
          </cell>
          <cell r="J6931" t="str">
            <v>CL 1   2   58</v>
          </cell>
          <cell r="K6931" t="str">
            <v>17001</v>
          </cell>
          <cell r="L6931" t="str">
            <v>MANIZALES</v>
          </cell>
          <cell r="M6931" t="str">
            <v>3128764733</v>
          </cell>
        </row>
        <row r="6932">
          <cell r="A6932">
            <v>1061047434</v>
          </cell>
          <cell r="B6932" t="str">
            <v/>
          </cell>
          <cell r="C6932" t="str">
            <v/>
          </cell>
          <cell r="D6932" t="str">
            <v>CC</v>
          </cell>
          <cell r="E6932" t="str">
            <v>SARA KATHERIN</v>
          </cell>
          <cell r="F6932" t="str">
            <v>POSADA RAMIREZ</v>
          </cell>
          <cell r="G6932" t="str">
            <v>POSADA RAMIREZ SARA KATHERIN</v>
          </cell>
          <cell r="H6932" t="str">
            <v>FUNC</v>
          </cell>
          <cell r="I6932" t="str">
            <v>FUNCIONARIO</v>
          </cell>
          <cell r="J6932" t="str">
            <v>CR 18 A N 76 61</v>
          </cell>
          <cell r="K6932" t="str">
            <v>17867</v>
          </cell>
          <cell r="L6932" t="str">
            <v>VICTORIA</v>
          </cell>
          <cell r="M6932" t="str">
            <v>3137649938</v>
          </cell>
        </row>
        <row r="6933">
          <cell r="A6933">
            <v>1061047538</v>
          </cell>
          <cell r="B6933" t="str">
            <v/>
          </cell>
          <cell r="C6933" t="str">
            <v/>
          </cell>
          <cell r="D6933" t="str">
            <v>CC</v>
          </cell>
          <cell r="E6933" t="str">
            <v>ANGI LORENA</v>
          </cell>
          <cell r="F6933" t="str">
            <v>ARISTIZABAL GARCIA</v>
          </cell>
          <cell r="G6933" t="str">
            <v>ARISTIZABAL GARCIA ANGI LORENA</v>
          </cell>
          <cell r="H6933" t="str">
            <v>FUNC</v>
          </cell>
          <cell r="I6933" t="str">
            <v>FUNCIONARIO</v>
          </cell>
          <cell r="J6933" t="str">
            <v>CL 47   17   42 BRR LOS CEDROS</v>
          </cell>
          <cell r="K6933" t="str">
            <v>17001</v>
          </cell>
          <cell r="L6933" t="str">
            <v>MANIZALES</v>
          </cell>
          <cell r="M6933" t="str">
            <v>8900126</v>
          </cell>
        </row>
        <row r="6934">
          <cell r="A6934">
            <v>1061047737</v>
          </cell>
          <cell r="B6934" t="str">
            <v/>
          </cell>
          <cell r="C6934" t="str">
            <v/>
          </cell>
          <cell r="D6934" t="str">
            <v>CC</v>
          </cell>
          <cell r="E6934" t="str">
            <v>HEBER BRANDON</v>
          </cell>
          <cell r="F6934" t="str">
            <v>DIAZ RAMIREZ</v>
          </cell>
          <cell r="G6934" t="str">
            <v>DIAZ RAMIREZ HEBER BRANDON</v>
          </cell>
          <cell r="H6934" t="str">
            <v>FUNC</v>
          </cell>
          <cell r="I6934" t="str">
            <v>FUNCIONARIO</v>
          </cell>
          <cell r="J6934" t="str">
            <v>MANIZALES</v>
          </cell>
          <cell r="K6934" t="str">
            <v>17001</v>
          </cell>
          <cell r="L6934" t="str">
            <v>MANIZALES</v>
          </cell>
          <cell r="M6934" t="str">
            <v>3146446134</v>
          </cell>
        </row>
        <row r="6935">
          <cell r="A6935">
            <v>1061048129</v>
          </cell>
          <cell r="B6935" t="str">
            <v/>
          </cell>
          <cell r="C6935" t="str">
            <v/>
          </cell>
          <cell r="D6935" t="str">
            <v>CC</v>
          </cell>
          <cell r="E6935" t="str">
            <v>TANIA SOFIA</v>
          </cell>
          <cell r="F6935" t="str">
            <v>HENAO VARGAS</v>
          </cell>
          <cell r="G6935" t="str">
            <v>HENAO VARGAS TANIA SOFIA</v>
          </cell>
          <cell r="H6935" t="str">
            <v>FUNC</v>
          </cell>
          <cell r="I6935" t="str">
            <v>FUNCIONARIO</v>
          </cell>
          <cell r="J6935" t="str">
            <v>CR 12 A 65 195</v>
          </cell>
          <cell r="K6935" t="str">
            <v>17001</v>
          </cell>
          <cell r="L6935" t="str">
            <v>MANIZALES</v>
          </cell>
          <cell r="M6935" t="str">
            <v>3106040609</v>
          </cell>
        </row>
        <row r="6936">
          <cell r="A6936">
            <v>1061198068</v>
          </cell>
          <cell r="B6936" t="str">
            <v/>
          </cell>
          <cell r="C6936" t="str">
            <v/>
          </cell>
          <cell r="D6936" t="str">
            <v>CC</v>
          </cell>
          <cell r="E6936" t="str">
            <v>HEIDER</v>
          </cell>
          <cell r="F6936" t="str">
            <v>MANCILLA OBREGON</v>
          </cell>
          <cell r="G6936" t="str">
            <v>MANCILLA OBREGON HEIDER</v>
          </cell>
          <cell r="H6936" t="str">
            <v>FUNC</v>
          </cell>
          <cell r="I6936" t="str">
            <v>FUNCIONARIO</v>
          </cell>
          <cell r="J6936" t="str">
            <v>BRR VENECIA</v>
          </cell>
          <cell r="K6936" t="str">
            <v>19318</v>
          </cell>
          <cell r="L6936" t="str">
            <v>GUAPI</v>
          </cell>
          <cell r="M6936" t="str">
            <v>3224533107</v>
          </cell>
        </row>
        <row r="6937">
          <cell r="A6937">
            <v>1061201414</v>
          </cell>
          <cell r="B6937" t="str">
            <v>1</v>
          </cell>
          <cell r="C6937" t="str">
            <v/>
          </cell>
          <cell r="D6937" t="str">
            <v>NP</v>
          </cell>
          <cell r="E6937" t="str">
            <v>MARBEL</v>
          </cell>
          <cell r="F6937" t="str">
            <v>VERGARA CORTES</v>
          </cell>
          <cell r="G6937" t="str">
            <v xml:space="preserve">VERGARA CORTES MARBEL                                       </v>
          </cell>
          <cell r="H6937" t="str">
            <v>RESI</v>
          </cell>
          <cell r="I6937" t="str">
            <v>REGIMEN SIMPLIFICADO</v>
          </cell>
          <cell r="J6937" t="str">
            <v>BRR SANTA MONICA</v>
          </cell>
          <cell r="K6937" t="str">
            <v>19318</v>
          </cell>
          <cell r="L6937" t="str">
            <v>GUAPI</v>
          </cell>
          <cell r="M6937" t="str">
            <v>3127081432</v>
          </cell>
        </row>
        <row r="6938">
          <cell r="A6938">
            <v>1061201573</v>
          </cell>
          <cell r="B6938" t="str">
            <v/>
          </cell>
          <cell r="C6938" t="str">
            <v/>
          </cell>
          <cell r="D6938" t="str">
            <v>CC</v>
          </cell>
          <cell r="E6938" t="str">
            <v>LUISA FERNANDA</v>
          </cell>
          <cell r="F6938" t="str">
            <v>PLAYONERO PAZ</v>
          </cell>
          <cell r="G6938" t="str">
            <v>PLAYONERO PAZ LUISA FERNANDA</v>
          </cell>
          <cell r="H6938" t="str">
            <v>FUNC</v>
          </cell>
          <cell r="I6938" t="str">
            <v>FUNCIONARIO</v>
          </cell>
          <cell r="J6938" t="str">
            <v>BELLA VISTA</v>
          </cell>
          <cell r="K6938" t="str">
            <v>17001</v>
          </cell>
          <cell r="L6938" t="str">
            <v>MANIZALES</v>
          </cell>
          <cell r="M6938" t="str">
            <v>3157024863</v>
          </cell>
        </row>
        <row r="6939">
          <cell r="A6939">
            <v>1061338253</v>
          </cell>
          <cell r="B6939" t="str">
            <v>1</v>
          </cell>
          <cell r="C6939" t="str">
            <v/>
          </cell>
          <cell r="D6939" t="str">
            <v>NP</v>
          </cell>
          <cell r="E6939" t="str">
            <v>JOHAN MAURICIO</v>
          </cell>
          <cell r="F6939" t="str">
            <v>HERRERA ATEHORTUA</v>
          </cell>
          <cell r="G6939" t="str">
            <v>HERRERA ATEHORTUA JOHAN MAURICIO</v>
          </cell>
          <cell r="H6939" t="str">
            <v>PNSA</v>
          </cell>
          <cell r="I6939" t="str">
            <v>PNA NATURAL SIN ACTIVIDAD ECONOC</v>
          </cell>
          <cell r="J6939" t="str">
            <v>CORR FLORENCIA CL 3 5 62</v>
          </cell>
          <cell r="K6939" t="str">
            <v>17662</v>
          </cell>
          <cell r="L6939" t="str">
            <v>SAMANÁ</v>
          </cell>
          <cell r="M6939" t="str">
            <v>3148766244</v>
          </cell>
        </row>
        <row r="6940">
          <cell r="A6940">
            <v>1061368209</v>
          </cell>
          <cell r="B6940" t="str">
            <v/>
          </cell>
          <cell r="C6940" t="str">
            <v/>
          </cell>
          <cell r="D6940" t="str">
            <v>CC</v>
          </cell>
          <cell r="E6940" t="str">
            <v>CARLOS MARIO</v>
          </cell>
          <cell r="F6940" t="str">
            <v>DUQUE CHAVES</v>
          </cell>
          <cell r="G6940" t="str">
            <v>DUQUE CHAVES CARLOS MARIO</v>
          </cell>
          <cell r="H6940" t="str">
            <v>FUNC</v>
          </cell>
          <cell r="I6940" t="str">
            <v>FUNCIONARIO</v>
          </cell>
          <cell r="J6940" t="str">
            <v>CL 65   3   23</v>
          </cell>
          <cell r="K6940" t="str">
            <v>17001</v>
          </cell>
          <cell r="L6940" t="str">
            <v>MANIZALES</v>
          </cell>
          <cell r="M6940" t="str">
            <v>3154334120</v>
          </cell>
        </row>
        <row r="6941">
          <cell r="A6941">
            <v>1061625278</v>
          </cell>
          <cell r="B6941" t="str">
            <v/>
          </cell>
          <cell r="C6941" t="str">
            <v/>
          </cell>
          <cell r="D6941" t="str">
            <v>CC</v>
          </cell>
          <cell r="E6941" t="str">
            <v>PABLO</v>
          </cell>
          <cell r="F6941" t="str">
            <v>GIL AGUDELO</v>
          </cell>
          <cell r="G6941" t="str">
            <v>GIL AGUDELO PABLO</v>
          </cell>
          <cell r="H6941" t="str">
            <v>FUNC</v>
          </cell>
          <cell r="I6941" t="str">
            <v>FUNCIONARIO</v>
          </cell>
          <cell r="J6941" t="str">
            <v>CL 8 4 21</v>
          </cell>
          <cell r="K6941" t="str">
            <v>17524</v>
          </cell>
          <cell r="L6941" t="str">
            <v>PALESTINA</v>
          </cell>
          <cell r="M6941" t="str">
            <v>3103936437</v>
          </cell>
        </row>
        <row r="6942">
          <cell r="A6942">
            <v>1061625497</v>
          </cell>
          <cell r="B6942" t="str">
            <v/>
          </cell>
          <cell r="C6942" t="str">
            <v/>
          </cell>
          <cell r="D6942" t="str">
            <v>CC</v>
          </cell>
          <cell r="E6942" t="str">
            <v>ARIAS GIL</v>
          </cell>
          <cell r="F6942" t="str">
            <v xml:space="preserve">DANIELA </v>
          </cell>
          <cell r="G6942" t="str">
            <v>ARIAS GIL DANIELA</v>
          </cell>
          <cell r="H6942" t="str">
            <v>FUNC</v>
          </cell>
          <cell r="I6942" t="str">
            <v>FUNCIONARIO</v>
          </cell>
          <cell r="J6942" t="str">
            <v>BRR ACUARELA CAMPO HERMOSO CA A 6</v>
          </cell>
          <cell r="K6942" t="str">
            <v>17001</v>
          </cell>
          <cell r="L6942" t="str">
            <v>MANIZALES</v>
          </cell>
          <cell r="M6942" t="str">
            <v>8846776</v>
          </cell>
        </row>
        <row r="6943">
          <cell r="A6943">
            <v>1061654580</v>
          </cell>
          <cell r="B6943" t="str">
            <v/>
          </cell>
          <cell r="C6943" t="str">
            <v/>
          </cell>
          <cell r="D6943" t="str">
            <v>CC</v>
          </cell>
          <cell r="E6943" t="str">
            <v>JHON EDWAR</v>
          </cell>
          <cell r="F6943" t="str">
            <v>GIL GALLEGO</v>
          </cell>
          <cell r="G6943" t="str">
            <v>GIL GALLEGO JHON EDWAR</v>
          </cell>
          <cell r="H6943" t="str">
            <v>FUNC</v>
          </cell>
          <cell r="I6943" t="str">
            <v>FUNCIONARIO</v>
          </cell>
          <cell r="J6943" t="str">
            <v>CL 49 B   34 D   65</v>
          </cell>
          <cell r="K6943" t="str">
            <v>17001</v>
          </cell>
          <cell r="L6943" t="str">
            <v>MANIZALES</v>
          </cell>
          <cell r="M6943" t="str">
            <v>3148964925</v>
          </cell>
        </row>
        <row r="6944">
          <cell r="A6944">
            <v>1061654673</v>
          </cell>
          <cell r="B6944" t="str">
            <v/>
          </cell>
          <cell r="C6944" t="str">
            <v/>
          </cell>
          <cell r="D6944" t="str">
            <v>CC</v>
          </cell>
          <cell r="E6944" t="str">
            <v>WILMER</v>
          </cell>
          <cell r="F6944" t="str">
            <v>RONDON GALVIZ</v>
          </cell>
          <cell r="G6944" t="str">
            <v>RONDON GALVIZ WILMER</v>
          </cell>
          <cell r="H6944" t="str">
            <v>RESI</v>
          </cell>
          <cell r="I6944" t="str">
            <v>REGIMEN SIMPLIFICADO</v>
          </cell>
          <cell r="J6944" t="str">
            <v>VRD LA CUMBRE FCA LA CUMBRE</v>
          </cell>
          <cell r="K6944" t="str">
            <v>17662</v>
          </cell>
          <cell r="L6944" t="str">
            <v>SAMANÁ</v>
          </cell>
          <cell r="M6944" t="str">
            <v>3113293113</v>
          </cell>
        </row>
        <row r="6945">
          <cell r="A6945">
            <v>1061654980</v>
          </cell>
          <cell r="B6945" t="str">
            <v>2</v>
          </cell>
          <cell r="C6945" t="str">
            <v/>
          </cell>
          <cell r="D6945" t="str">
            <v>NP</v>
          </cell>
          <cell r="E6945" t="str">
            <v>MARIA YORLADYS</v>
          </cell>
          <cell r="F6945" t="str">
            <v>GIRALDO TORRES</v>
          </cell>
          <cell r="G6945" t="str">
            <v>GIRALDO TORRES MARIA YORLADYS</v>
          </cell>
          <cell r="H6945" t="str">
            <v>RECO</v>
          </cell>
          <cell r="I6945" t="str">
            <v>REGIMEN COMUN</v>
          </cell>
          <cell r="J6945" t="str">
            <v>CR 24 54  32</v>
          </cell>
          <cell r="K6945" t="str">
            <v>17001</v>
          </cell>
          <cell r="L6945" t="str">
            <v>MANIZALES</v>
          </cell>
          <cell r="M6945" t="str">
            <v>31524336611</v>
          </cell>
        </row>
        <row r="6946">
          <cell r="A6946">
            <v>1061657216</v>
          </cell>
          <cell r="B6946" t="str">
            <v/>
          </cell>
          <cell r="C6946" t="str">
            <v/>
          </cell>
          <cell r="D6946" t="str">
            <v>CC</v>
          </cell>
          <cell r="E6946" t="str">
            <v>DANNA STEPHANÍA</v>
          </cell>
          <cell r="F6946" t="str">
            <v>GIRALDO DUQUE</v>
          </cell>
          <cell r="G6946" t="str">
            <v>GIRALDO DUQUE DANNA STEPHANÍA</v>
          </cell>
          <cell r="H6946" t="str">
            <v>FUNC</v>
          </cell>
          <cell r="I6946" t="str">
            <v>FUNCIONARIO</v>
          </cell>
          <cell r="J6946" t="str">
            <v>CR 86 N 57 E 216 BRR ALTOS DE GRANADA</v>
          </cell>
          <cell r="K6946" t="str">
            <v>17001</v>
          </cell>
          <cell r="L6946" t="str">
            <v>MANIZALES</v>
          </cell>
          <cell r="M6946" t="str">
            <v>3104248624</v>
          </cell>
        </row>
        <row r="6947">
          <cell r="A6947">
            <v>1061657889</v>
          </cell>
          <cell r="B6947" t="str">
            <v>3</v>
          </cell>
          <cell r="C6947" t="str">
            <v/>
          </cell>
          <cell r="D6947" t="str">
            <v>NP</v>
          </cell>
          <cell r="E6947" t="str">
            <v>YENEIDY</v>
          </cell>
          <cell r="F6947" t="str">
            <v>GIRALDO ECHEVERRY</v>
          </cell>
          <cell r="G6947" t="str">
            <v>GIRALDO ECHEVERRY YENEIDY</v>
          </cell>
          <cell r="H6947" t="str">
            <v>RESI</v>
          </cell>
          <cell r="I6947" t="str">
            <v>REGIMEN SIMPLIFICADO</v>
          </cell>
          <cell r="J6947" t="str">
            <v>SALIDA A MANZANARES SEC COLEGIO</v>
          </cell>
          <cell r="K6947" t="str">
            <v>17444</v>
          </cell>
          <cell r="L6947" t="str">
            <v>MARQUETALIA</v>
          </cell>
          <cell r="M6947" t="str">
            <v>3148185421</v>
          </cell>
        </row>
        <row r="6948">
          <cell r="A6948">
            <v>1061711144</v>
          </cell>
          <cell r="B6948" t="str">
            <v>6</v>
          </cell>
          <cell r="C6948" t="str">
            <v/>
          </cell>
          <cell r="D6948" t="str">
            <v>NP</v>
          </cell>
          <cell r="E6948" t="str">
            <v>YENNY PATRICIA</v>
          </cell>
          <cell r="F6948" t="str">
            <v>MONTAÑO TORRES</v>
          </cell>
          <cell r="G6948" t="str">
            <v>MONTAÑO TORRES YENNY PATRICIA</v>
          </cell>
          <cell r="H6948" t="str">
            <v>RESI</v>
          </cell>
          <cell r="I6948" t="str">
            <v>REGIMEN SIMPLIFICADO</v>
          </cell>
          <cell r="J6948" t="str">
            <v>CR 2 CL 9 BRR LAS PALMAS</v>
          </cell>
          <cell r="K6948" t="str">
            <v>19318</v>
          </cell>
          <cell r="L6948" t="str">
            <v>GUAPI</v>
          </cell>
          <cell r="M6948" t="str">
            <v>3206663943</v>
          </cell>
        </row>
        <row r="6949">
          <cell r="A6949">
            <v>1061725447</v>
          </cell>
          <cell r="B6949" t="str">
            <v>3</v>
          </cell>
          <cell r="C6949" t="str">
            <v/>
          </cell>
          <cell r="D6949" t="str">
            <v>NP</v>
          </cell>
          <cell r="E6949" t="str">
            <v>DIANA PAOLA</v>
          </cell>
          <cell r="F6949" t="str">
            <v>RIASCOS RIASCOS</v>
          </cell>
          <cell r="G6949" t="str">
            <v>RIASCOS RIASCOS DIANA PAOLA</v>
          </cell>
          <cell r="H6949" t="str">
            <v>RESI</v>
          </cell>
          <cell r="I6949" t="str">
            <v>REGIMEN SIMPLIFICADO</v>
          </cell>
          <cell r="J6949" t="str">
            <v>CR 34 64 28</v>
          </cell>
          <cell r="K6949" t="str">
            <v>17001</v>
          </cell>
          <cell r="L6949" t="str">
            <v>MANIZALES</v>
          </cell>
          <cell r="M6949" t="str">
            <v>3208276070</v>
          </cell>
        </row>
        <row r="6950">
          <cell r="A6950">
            <v>1064433721</v>
          </cell>
          <cell r="B6950" t="str">
            <v/>
          </cell>
          <cell r="C6950" t="str">
            <v/>
          </cell>
          <cell r="D6950" t="str">
            <v>CC</v>
          </cell>
          <cell r="E6950" t="str">
            <v>MARIANA</v>
          </cell>
          <cell r="F6950" t="str">
            <v>LOAIZA FERNANDEZ</v>
          </cell>
          <cell r="G6950" t="str">
            <v>LOAIZA FERNANDEZ MARIANA</v>
          </cell>
          <cell r="H6950" t="str">
            <v>FUNC</v>
          </cell>
          <cell r="I6950" t="str">
            <v>FUNCIONARIO</v>
          </cell>
          <cell r="J6950" t="str">
            <v>CRA 22 nO 464-64</v>
          </cell>
          <cell r="K6950" t="str">
            <v>17001</v>
          </cell>
          <cell r="L6950" t="str">
            <v>MANIZALES</v>
          </cell>
          <cell r="M6950" t="str">
            <v>3122202617</v>
          </cell>
        </row>
        <row r="6951">
          <cell r="A6951">
            <v>1064710527</v>
          </cell>
          <cell r="B6951" t="str">
            <v/>
          </cell>
          <cell r="C6951" t="str">
            <v/>
          </cell>
          <cell r="D6951" t="str">
            <v>CC</v>
          </cell>
          <cell r="E6951" t="str">
            <v>JOSE DAVID</v>
          </cell>
          <cell r="F6951" t="str">
            <v>LOPEZ MONTERO</v>
          </cell>
          <cell r="G6951" t="str">
            <v>LOPEZ MONTERO JOSE DAVID</v>
          </cell>
          <cell r="H6951" t="str">
            <v>RESI</v>
          </cell>
          <cell r="I6951" t="str">
            <v>REGIMEN SIMPLIFICADO</v>
          </cell>
          <cell r="J6951" t="str">
            <v>VEREDA TRINIDAD</v>
          </cell>
          <cell r="K6951" t="str">
            <v>17001</v>
          </cell>
          <cell r="L6951" t="str">
            <v>MANIZALES</v>
          </cell>
          <cell r="M6951" t="str">
            <v>8756262</v>
          </cell>
        </row>
        <row r="6952">
          <cell r="A6952">
            <v>1069723560</v>
          </cell>
          <cell r="B6952" t="str">
            <v>8</v>
          </cell>
          <cell r="C6952" t="str">
            <v/>
          </cell>
          <cell r="D6952" t="str">
            <v>NP</v>
          </cell>
          <cell r="E6952" t="str">
            <v>DARINSON</v>
          </cell>
          <cell r="F6952" t="str">
            <v>CUBILLOS MAYORGA</v>
          </cell>
          <cell r="G6952" t="str">
            <v>CUBILLOS MAYORGA DARINSON</v>
          </cell>
          <cell r="H6952" t="str">
            <v>NORE</v>
          </cell>
          <cell r="I6952" t="str">
            <v>NO RESPONSABLE DE IVA</v>
          </cell>
          <cell r="J6952" t="str">
            <v>CL 20 59 A 33</v>
          </cell>
          <cell r="K6952" t="str">
            <v>25290</v>
          </cell>
          <cell r="L6952" t="str">
            <v>FUSAGASUGÁ</v>
          </cell>
          <cell r="M6952" t="str">
            <v>8780409</v>
          </cell>
        </row>
        <row r="6953">
          <cell r="A6953">
            <v>1071889364</v>
          </cell>
          <cell r="B6953" t="str">
            <v/>
          </cell>
          <cell r="C6953" t="str">
            <v/>
          </cell>
          <cell r="D6953" t="str">
            <v>CC</v>
          </cell>
          <cell r="E6953" t="str">
            <v>WILMER ANDREY</v>
          </cell>
          <cell r="F6953" t="str">
            <v>LOPEZ SALCEDO</v>
          </cell>
          <cell r="G6953" t="str">
            <v>LOPEZ SALCEDO WILMER ANDREY</v>
          </cell>
          <cell r="H6953" t="str">
            <v>FUNC</v>
          </cell>
          <cell r="I6953" t="str">
            <v>FUNCIONARIO</v>
          </cell>
          <cell r="J6953" t="str">
            <v>CL 11   4   51 BRR VILLA SOLANO</v>
          </cell>
          <cell r="K6953" t="str">
            <v>17001</v>
          </cell>
          <cell r="L6953" t="str">
            <v>MANIZALES</v>
          </cell>
          <cell r="M6953" t="str">
            <v>3202934273</v>
          </cell>
        </row>
        <row r="6954">
          <cell r="A6954">
            <v>1072365477</v>
          </cell>
          <cell r="B6954" t="str">
            <v>9</v>
          </cell>
          <cell r="C6954" t="str">
            <v/>
          </cell>
          <cell r="D6954" t="str">
            <v>NP</v>
          </cell>
          <cell r="E6954" t="str">
            <v>ANGGIE YULIANA</v>
          </cell>
          <cell r="F6954" t="str">
            <v>LOPEZ DIAZ</v>
          </cell>
          <cell r="G6954" t="str">
            <v>LOPEZ DIAZ ANGGIE YULIANA</v>
          </cell>
          <cell r="H6954" t="str">
            <v>RESI</v>
          </cell>
          <cell r="I6954" t="str">
            <v>REGIMEN SIMPLIFICADO</v>
          </cell>
          <cell r="J6954" t="str">
            <v xml:space="preserve"> CL 6  6 59 LC 2</v>
          </cell>
          <cell r="K6954" t="str">
            <v>15646</v>
          </cell>
          <cell r="L6954" t="str">
            <v>SAMACÁ</v>
          </cell>
          <cell r="M6954" t="str">
            <v>3144871613</v>
          </cell>
        </row>
        <row r="6955">
          <cell r="A6955">
            <v>1073320317</v>
          </cell>
          <cell r="B6955" t="str">
            <v>9</v>
          </cell>
          <cell r="C6955" t="str">
            <v/>
          </cell>
          <cell r="D6955" t="str">
            <v>NP</v>
          </cell>
          <cell r="E6955" t="str">
            <v>CARLOS FERNANDO</v>
          </cell>
          <cell r="F6955" t="str">
            <v>QUIÑONEZ MARMOLEJO</v>
          </cell>
          <cell r="G6955" t="str">
            <v>QUIÑONEZ MARMOLEJO CARLOS FERNANDO</v>
          </cell>
          <cell r="H6955" t="str">
            <v>RESI</v>
          </cell>
          <cell r="I6955" t="str">
            <v>REGIMEN SIMPLIFICADO</v>
          </cell>
          <cell r="J6955" t="str">
            <v>CL 34 2 19 BRR SANTISIMA TRINIDAD CORR SAN MIGUEL</v>
          </cell>
          <cell r="K6955" t="str">
            <v>05756</v>
          </cell>
          <cell r="L6955" t="str">
            <v>SONSON</v>
          </cell>
          <cell r="M6955" t="str">
            <v>3164067435</v>
          </cell>
        </row>
        <row r="6956">
          <cell r="A6956">
            <v>1073324357</v>
          </cell>
          <cell r="B6956" t="str">
            <v/>
          </cell>
          <cell r="C6956" t="str">
            <v/>
          </cell>
          <cell r="D6956" t="str">
            <v>CC</v>
          </cell>
          <cell r="E6956" t="str">
            <v>KENIA JULIET</v>
          </cell>
          <cell r="F6956" t="str">
            <v>MOSQUERA MOSQUERA</v>
          </cell>
          <cell r="G6956" t="str">
            <v>MOSQUERA MOSQUERA KENIA JULIET</v>
          </cell>
          <cell r="H6956" t="str">
            <v>FUNC</v>
          </cell>
          <cell r="I6956" t="str">
            <v>FUNCIONARIO</v>
          </cell>
          <cell r="J6956" t="str">
            <v>CLL 47 N 6B-58</v>
          </cell>
          <cell r="K6956" t="str">
            <v>17662</v>
          </cell>
          <cell r="L6956" t="str">
            <v>SAMANÁ</v>
          </cell>
          <cell r="M6956" t="str">
            <v>3137134256</v>
          </cell>
        </row>
        <row r="6957">
          <cell r="A6957">
            <v>1073325709</v>
          </cell>
          <cell r="B6957" t="str">
            <v>5</v>
          </cell>
          <cell r="C6957" t="str">
            <v/>
          </cell>
          <cell r="D6957" t="str">
            <v>NP</v>
          </cell>
          <cell r="E6957" t="str">
            <v>ALEJANDRO</v>
          </cell>
          <cell r="F6957" t="str">
            <v>GUTIERREZ MADRID</v>
          </cell>
          <cell r="G6957" t="str">
            <v>GUTIERREZ MADRID ALEJANDRO</v>
          </cell>
          <cell r="H6957" t="str">
            <v>RESI</v>
          </cell>
          <cell r="I6957" t="str">
            <v>REGIMEN SIMPLIFICADO</v>
          </cell>
          <cell r="J6957" t="str">
            <v>C SAN MIGUEL CAS</v>
          </cell>
          <cell r="K6957" t="str">
            <v>05756</v>
          </cell>
          <cell r="L6957" t="str">
            <v>SONSON</v>
          </cell>
          <cell r="M6957" t="str">
            <v>3147520930</v>
          </cell>
        </row>
        <row r="6958">
          <cell r="A6958">
            <v>1074656217</v>
          </cell>
          <cell r="B6958" t="str">
            <v/>
          </cell>
          <cell r="C6958" t="str">
            <v/>
          </cell>
          <cell r="D6958" t="str">
            <v>CC</v>
          </cell>
          <cell r="E6958" t="str">
            <v>ROSALIA</v>
          </cell>
          <cell r="F6958" t="str">
            <v>LOZANO CHAVERA</v>
          </cell>
          <cell r="G6958" t="str">
            <v>LOZANO CHAVERA ROSALIA</v>
          </cell>
          <cell r="H6958" t="str">
            <v>FUNC</v>
          </cell>
          <cell r="I6958" t="str">
            <v>FUNCIONARIO</v>
          </cell>
          <cell r="J6958" t="str">
            <v>CUPICA</v>
          </cell>
          <cell r="K6958" t="str">
            <v>17001</v>
          </cell>
          <cell r="L6958" t="str">
            <v>MANIZALES</v>
          </cell>
          <cell r="M6958" t="str">
            <v>0</v>
          </cell>
        </row>
        <row r="6959">
          <cell r="A6959">
            <v>1074656302</v>
          </cell>
          <cell r="B6959" t="str">
            <v/>
          </cell>
          <cell r="C6959" t="str">
            <v/>
          </cell>
          <cell r="D6959" t="str">
            <v>CC</v>
          </cell>
          <cell r="E6959" t="str">
            <v>ALVARO DE JESUS</v>
          </cell>
          <cell r="F6959" t="str">
            <v>CHAMORRO CONDE</v>
          </cell>
          <cell r="G6959" t="str">
            <v>CHAMORRO CONDE  ALVARO DE JESUS</v>
          </cell>
          <cell r="H6959" t="str">
            <v>FUNC</v>
          </cell>
          <cell r="I6959" t="str">
            <v>FUNCIONARIO</v>
          </cell>
          <cell r="J6959" t="str">
            <v>COMUN INDIGENA BOROBORO</v>
          </cell>
          <cell r="K6959" t="str">
            <v>27075</v>
          </cell>
          <cell r="L6959" t="str">
            <v>BAHÍA SOLANO</v>
          </cell>
          <cell r="M6959" t="str">
            <v>3206530086</v>
          </cell>
        </row>
        <row r="6960">
          <cell r="A6960">
            <v>1076329630</v>
          </cell>
          <cell r="B6960" t="str">
            <v/>
          </cell>
          <cell r="C6960" t="str">
            <v/>
          </cell>
          <cell r="D6960" t="str">
            <v>CC</v>
          </cell>
          <cell r="E6960" t="str">
            <v>DEIMER ANDRES</v>
          </cell>
          <cell r="F6960" t="str">
            <v>VALOIS CORDOBA</v>
          </cell>
          <cell r="G6960" t="str">
            <v>VALOIS CORDOBA DEIMER ANDRES</v>
          </cell>
          <cell r="H6960" t="str">
            <v>FUNC</v>
          </cell>
          <cell r="I6960" t="str">
            <v>FUNCIONARIO</v>
          </cell>
          <cell r="J6960" t="str">
            <v>KM 6 BRR VIA LA PINTADA</v>
          </cell>
          <cell r="K6960" t="str">
            <v>17001</v>
          </cell>
          <cell r="L6960" t="str">
            <v>MANIZALES</v>
          </cell>
          <cell r="M6960" t="str">
            <v>3147894484</v>
          </cell>
        </row>
        <row r="6961">
          <cell r="A6961">
            <v>1076647155</v>
          </cell>
          <cell r="B6961" t="str">
            <v/>
          </cell>
          <cell r="C6961" t="str">
            <v/>
          </cell>
          <cell r="D6961" t="str">
            <v>CC</v>
          </cell>
          <cell r="E6961" t="str">
            <v>NANCY ESPERANZA</v>
          </cell>
          <cell r="F6961" t="str">
            <v>NIETO CORTES</v>
          </cell>
          <cell r="G6961" t="str">
            <v>NIETO CORTES NANCY ESPERANZA</v>
          </cell>
          <cell r="H6961" t="str">
            <v>FUNC</v>
          </cell>
          <cell r="I6961" t="str">
            <v>FUNCIONARIO</v>
          </cell>
          <cell r="J6961" t="str">
            <v>CRA 18 # 4A-42</v>
          </cell>
          <cell r="K6961" t="str">
            <v>17001</v>
          </cell>
          <cell r="L6961" t="str">
            <v>MANIZALES</v>
          </cell>
          <cell r="M6961" t="str">
            <v>3103125093</v>
          </cell>
        </row>
        <row r="6962">
          <cell r="A6962">
            <v>1076656112</v>
          </cell>
          <cell r="B6962" t="str">
            <v/>
          </cell>
          <cell r="C6962" t="str">
            <v/>
          </cell>
          <cell r="D6962" t="str">
            <v>CC</v>
          </cell>
          <cell r="E6962" t="str">
            <v>JUAN PABLO</v>
          </cell>
          <cell r="F6962" t="str">
            <v>ACERO PLAZAS</v>
          </cell>
          <cell r="G6962" t="str">
            <v>ACERO PLAZAS JUAN PABLO</v>
          </cell>
          <cell r="H6962" t="str">
            <v>FUNC</v>
          </cell>
          <cell r="I6962" t="str">
            <v>FUNCIONARIO</v>
          </cell>
          <cell r="J6962" t="str">
            <v>LC 15 N 7 65 BRR LUNA PARK</v>
          </cell>
          <cell r="K6962" t="str">
            <v>15759</v>
          </cell>
          <cell r="L6962" t="str">
            <v>SOGAMOSO</v>
          </cell>
          <cell r="M6962" t="str">
            <v>3106188898</v>
          </cell>
        </row>
        <row r="6963">
          <cell r="A6963">
            <v>1076737826</v>
          </cell>
          <cell r="B6963" t="str">
            <v>8</v>
          </cell>
          <cell r="C6963" t="str">
            <v/>
          </cell>
          <cell r="D6963" t="str">
            <v>NP</v>
          </cell>
          <cell r="E6963" t="str">
            <v>ERIKA ALEJANDRA</v>
          </cell>
          <cell r="F6963" t="str">
            <v>GARCIA BENAVIDES</v>
          </cell>
          <cell r="G6963" t="str">
            <v>GARCIA BENAVIDES ERIKA ALEJANDRA</v>
          </cell>
          <cell r="H6963" t="str">
            <v>PNSA</v>
          </cell>
          <cell r="I6963" t="str">
            <v>PNA NATURAL SIN ACTIVIDAD ECONOC</v>
          </cell>
          <cell r="J6963" t="str">
            <v>CL 17 23 08</v>
          </cell>
          <cell r="K6963" t="str">
            <v>15516</v>
          </cell>
          <cell r="L6963" t="str">
            <v>PAIPA</v>
          </cell>
          <cell r="M6963" t="str">
            <v>3202500866</v>
          </cell>
        </row>
        <row r="6964">
          <cell r="A6964">
            <v>1077172159</v>
          </cell>
          <cell r="B6964" t="str">
            <v/>
          </cell>
          <cell r="C6964" t="str">
            <v/>
          </cell>
          <cell r="D6964" t="str">
            <v>CC</v>
          </cell>
          <cell r="E6964" t="str">
            <v>CARMENZA</v>
          </cell>
          <cell r="F6964" t="str">
            <v>DIAZ HINESTROZA</v>
          </cell>
          <cell r="G6964" t="str">
            <v>DIAZ HINESTROZA CARMENZA</v>
          </cell>
          <cell r="H6964" t="str">
            <v>FUNC</v>
          </cell>
          <cell r="I6964" t="str">
            <v>FUNCIONARIO</v>
          </cell>
          <cell r="J6964" t="str">
            <v>BRR VIENTO LIBRE</v>
          </cell>
          <cell r="K6964" t="str">
            <v>27075</v>
          </cell>
          <cell r="L6964" t="str">
            <v>BAHÍA SOLANO</v>
          </cell>
          <cell r="M6964" t="str">
            <v>3228406789</v>
          </cell>
        </row>
        <row r="6965">
          <cell r="A6965">
            <v>1077172236</v>
          </cell>
          <cell r="B6965" t="str">
            <v/>
          </cell>
          <cell r="C6965" t="str">
            <v/>
          </cell>
          <cell r="D6965" t="str">
            <v>CC</v>
          </cell>
          <cell r="E6965" t="str">
            <v>CRUZ YANIRA</v>
          </cell>
          <cell r="F6965" t="str">
            <v>LONDOÑO CORDOBA</v>
          </cell>
          <cell r="G6965" t="str">
            <v>LONDOÑO CORDOBA CRUZ YANIRA</v>
          </cell>
          <cell r="H6965" t="str">
            <v>FUNC</v>
          </cell>
          <cell r="I6965" t="str">
            <v>FUNCIONARIO</v>
          </cell>
          <cell r="J6965" t="str">
            <v>BARRIO LAS CONCHITAS</v>
          </cell>
          <cell r="K6965" t="str">
            <v>27075</v>
          </cell>
          <cell r="L6965" t="str">
            <v>BAHÍA SOLANO</v>
          </cell>
          <cell r="M6965" t="str">
            <v>3127377515</v>
          </cell>
        </row>
        <row r="6966">
          <cell r="A6966">
            <v>1077172344</v>
          </cell>
          <cell r="B6966" t="str">
            <v>7</v>
          </cell>
          <cell r="C6966" t="str">
            <v/>
          </cell>
          <cell r="D6966" t="str">
            <v>NP</v>
          </cell>
          <cell r="E6966" t="str">
            <v>JOSÉ DAVID</v>
          </cell>
          <cell r="F6966" t="str">
            <v>RENGIFO CUESTA</v>
          </cell>
          <cell r="G6966" t="str">
            <v>RENGIFO CUESTA JOSÉ DAVID</v>
          </cell>
          <cell r="H6966" t="str">
            <v>PNSA</v>
          </cell>
          <cell r="I6966" t="str">
            <v>PNA NATURAL SIN ACTIVIDAD ECONOC</v>
          </cell>
          <cell r="J6966" t="str">
            <v>CLE 4 AA NORTE</v>
          </cell>
          <cell r="K6966" t="str">
            <v>27075</v>
          </cell>
          <cell r="L6966" t="str">
            <v>BAHÍA SOLANO</v>
          </cell>
          <cell r="M6966" t="str">
            <v>3206345056</v>
          </cell>
        </row>
        <row r="6967">
          <cell r="A6967">
            <v>1077173103</v>
          </cell>
          <cell r="B6967" t="str">
            <v/>
          </cell>
          <cell r="C6967" t="str">
            <v/>
          </cell>
          <cell r="D6967" t="str">
            <v>CC</v>
          </cell>
          <cell r="E6967" t="str">
            <v>ELSY ENID</v>
          </cell>
          <cell r="F6967" t="str">
            <v>ROA DIAZ</v>
          </cell>
          <cell r="G6967" t="str">
            <v>ROA DIAZ ELSY ENID</v>
          </cell>
          <cell r="H6967" t="str">
            <v>FUNC</v>
          </cell>
          <cell r="I6967" t="str">
            <v>FUNCIONARIO</v>
          </cell>
          <cell r="J6967" t="str">
            <v>BRR LAS CONCHITAS</v>
          </cell>
          <cell r="K6967" t="str">
            <v>27075</v>
          </cell>
          <cell r="L6967" t="str">
            <v>BAHÍA SOLANO</v>
          </cell>
          <cell r="M6967" t="str">
            <v>3223860728</v>
          </cell>
        </row>
        <row r="6968">
          <cell r="A6968">
            <v>1077173238</v>
          </cell>
          <cell r="B6968" t="str">
            <v/>
          </cell>
          <cell r="C6968" t="str">
            <v/>
          </cell>
          <cell r="D6968" t="str">
            <v>CC</v>
          </cell>
          <cell r="E6968" t="str">
            <v>CARLOS ALBERTO</v>
          </cell>
          <cell r="F6968" t="str">
            <v>BELTRAN MOSQUERA</v>
          </cell>
          <cell r="G6968" t="str">
            <v>BELTRAN MOSQUERA CARLOS ALBERTO</v>
          </cell>
          <cell r="H6968" t="str">
            <v>FUNC</v>
          </cell>
          <cell r="I6968" t="str">
            <v>FUNCIONARIO</v>
          </cell>
          <cell r="J6968" t="str">
            <v>CUPICA</v>
          </cell>
          <cell r="K6968" t="str">
            <v>27075</v>
          </cell>
          <cell r="L6968" t="str">
            <v>BAHÍA SOLANO</v>
          </cell>
          <cell r="M6968" t="str">
            <v>3128667617</v>
          </cell>
        </row>
        <row r="6969">
          <cell r="A6969">
            <v>1077173269</v>
          </cell>
          <cell r="B6969" t="str">
            <v/>
          </cell>
          <cell r="C6969" t="str">
            <v/>
          </cell>
          <cell r="D6969" t="str">
            <v>CC</v>
          </cell>
          <cell r="E6969" t="str">
            <v>ALEXANDER</v>
          </cell>
          <cell r="F6969" t="str">
            <v>TAPI CHAMORRO</v>
          </cell>
          <cell r="G6969" t="str">
            <v>TAPI CHAMORRO ALEXANDER</v>
          </cell>
          <cell r="H6969" t="str">
            <v>FUNC</v>
          </cell>
          <cell r="I6969" t="str">
            <v>FUNCIONARIO</v>
          </cell>
          <cell r="J6969" t="str">
            <v>C EL VALLE</v>
          </cell>
          <cell r="K6969" t="str">
            <v>27075</v>
          </cell>
          <cell r="L6969" t="str">
            <v>BAHÍA SOLANO</v>
          </cell>
          <cell r="M6969" t="str">
            <v>0</v>
          </cell>
        </row>
        <row r="6970">
          <cell r="A6970">
            <v>1077173308</v>
          </cell>
          <cell r="B6970" t="str">
            <v/>
          </cell>
          <cell r="C6970" t="str">
            <v/>
          </cell>
          <cell r="D6970" t="str">
            <v>CC</v>
          </cell>
          <cell r="E6970" t="str">
            <v>CARLOS RAFAEL</v>
          </cell>
          <cell r="F6970" t="str">
            <v>LOZANO HINESTROZA</v>
          </cell>
          <cell r="G6970" t="str">
            <v>LOZANO HINESTROZA CARLOS RAFAEL</v>
          </cell>
          <cell r="H6970" t="str">
            <v>FUNC</v>
          </cell>
          <cell r="I6970" t="str">
            <v>FUNCIONARIO</v>
          </cell>
          <cell r="J6970" t="str">
            <v>BRR FILLO CASTRO</v>
          </cell>
          <cell r="K6970" t="str">
            <v>27075</v>
          </cell>
          <cell r="L6970" t="str">
            <v>BAHÍA SOLANO</v>
          </cell>
          <cell r="M6970" t="str">
            <v>3232224209</v>
          </cell>
        </row>
        <row r="6971">
          <cell r="A6971">
            <v>1077173360</v>
          </cell>
          <cell r="B6971" t="str">
            <v/>
          </cell>
          <cell r="C6971" t="str">
            <v/>
          </cell>
          <cell r="D6971" t="str">
            <v>CC</v>
          </cell>
          <cell r="E6971" t="str">
            <v>EIDY</v>
          </cell>
          <cell r="F6971" t="str">
            <v>SALAS URRUTIA</v>
          </cell>
          <cell r="G6971" t="str">
            <v>SALAS URRUTIA EIDY</v>
          </cell>
          <cell r="H6971" t="str">
            <v>FUNC</v>
          </cell>
          <cell r="I6971" t="str">
            <v>FUNCIONARIO</v>
          </cell>
          <cell r="J6971" t="str">
            <v>BRR EL CARMEN</v>
          </cell>
          <cell r="K6971" t="str">
            <v>27075</v>
          </cell>
          <cell r="L6971" t="str">
            <v>BAHÍA SOLANO</v>
          </cell>
          <cell r="M6971" t="str">
            <v>3148734981</v>
          </cell>
        </row>
        <row r="6972">
          <cell r="A6972">
            <v>1077173435</v>
          </cell>
          <cell r="B6972" t="str">
            <v>3</v>
          </cell>
          <cell r="C6972" t="str">
            <v/>
          </cell>
          <cell r="D6972" t="str">
            <v>NP</v>
          </cell>
          <cell r="E6972" t="str">
            <v>FELIX HAMINSON</v>
          </cell>
          <cell r="F6972" t="str">
            <v>RIVAS CORDOBA</v>
          </cell>
          <cell r="G6972" t="str">
            <v>RIVAS CORDOBA FELIX HAMINSON</v>
          </cell>
          <cell r="H6972" t="str">
            <v>RESI</v>
          </cell>
          <cell r="I6972" t="str">
            <v>REGIMEN SIMPLIFICADO</v>
          </cell>
          <cell r="J6972" t="str">
            <v>BRR EL CARMEN</v>
          </cell>
          <cell r="K6972" t="str">
            <v>27075</v>
          </cell>
          <cell r="L6972" t="str">
            <v>BAHÍA SOLANO</v>
          </cell>
          <cell r="M6972" t="str">
            <v>3147050877</v>
          </cell>
        </row>
        <row r="6973">
          <cell r="A6973">
            <v>1077173554</v>
          </cell>
          <cell r="B6973" t="str">
            <v/>
          </cell>
          <cell r="C6973" t="str">
            <v/>
          </cell>
          <cell r="D6973" t="str">
            <v>CC</v>
          </cell>
          <cell r="E6973" t="str">
            <v>ESNEDA</v>
          </cell>
          <cell r="F6973" t="str">
            <v>BADILLO GIRON</v>
          </cell>
          <cell r="G6973" t="str">
            <v>BADILLO GIRON ESNEDA</v>
          </cell>
          <cell r="H6973" t="str">
            <v>FUNC</v>
          </cell>
          <cell r="I6973" t="str">
            <v>FUNCIONARIO</v>
          </cell>
          <cell r="J6973" t="str">
            <v>BRR LA ESMERALDA</v>
          </cell>
          <cell r="K6973" t="str">
            <v>27075</v>
          </cell>
          <cell r="L6973" t="str">
            <v>BAHÍA SOLANO</v>
          </cell>
          <cell r="M6973" t="str">
            <v>3234968629</v>
          </cell>
        </row>
        <row r="6974">
          <cell r="A6974">
            <v>1077173589</v>
          </cell>
          <cell r="B6974" t="str">
            <v/>
          </cell>
          <cell r="C6974" t="str">
            <v/>
          </cell>
          <cell r="D6974" t="str">
            <v>CC</v>
          </cell>
          <cell r="E6974" t="str">
            <v>LUIS ANDRES</v>
          </cell>
          <cell r="F6974" t="str">
            <v>VIDAL MARTINEZ</v>
          </cell>
          <cell r="G6974" t="str">
            <v>VIDAL MARTINEZ LUIS ANDRES</v>
          </cell>
          <cell r="H6974" t="str">
            <v>FUNC</v>
          </cell>
          <cell r="I6974" t="str">
            <v>FUNCIONARIO</v>
          </cell>
          <cell r="J6974" t="str">
            <v>LA MAREA</v>
          </cell>
          <cell r="K6974" t="str">
            <v>27075</v>
          </cell>
          <cell r="L6974" t="str">
            <v>BAHÍA SOLANO</v>
          </cell>
          <cell r="M6974" t="str">
            <v>3218828102</v>
          </cell>
        </row>
        <row r="6975">
          <cell r="A6975">
            <v>1077173774</v>
          </cell>
          <cell r="B6975" t="str">
            <v>5</v>
          </cell>
          <cell r="C6975" t="str">
            <v/>
          </cell>
          <cell r="D6975" t="str">
            <v>NP</v>
          </cell>
          <cell r="E6975" t="str">
            <v>SEBASTIAN</v>
          </cell>
          <cell r="F6975" t="str">
            <v>HERRERA</v>
          </cell>
          <cell r="G6975" t="str">
            <v>HERRERA SEBASTIAN</v>
          </cell>
          <cell r="H6975" t="str">
            <v>RESI</v>
          </cell>
          <cell r="I6975" t="str">
            <v>REGIMEN SIMPLIFICADO</v>
          </cell>
          <cell r="J6975" t="str">
            <v>BRR FILLO CASTRO</v>
          </cell>
          <cell r="K6975" t="str">
            <v>27075</v>
          </cell>
          <cell r="L6975" t="str">
            <v>BAHÍA SOLANO</v>
          </cell>
          <cell r="M6975" t="str">
            <v>3116261525</v>
          </cell>
        </row>
        <row r="6976">
          <cell r="A6976">
            <v>1077173846</v>
          </cell>
          <cell r="B6976" t="str">
            <v/>
          </cell>
          <cell r="C6976" t="str">
            <v/>
          </cell>
          <cell r="D6976" t="str">
            <v>CC</v>
          </cell>
          <cell r="E6976" t="str">
            <v>HELENA PATRICIA</v>
          </cell>
          <cell r="F6976" t="str">
            <v>VALENCIA LONDOÑO</v>
          </cell>
          <cell r="G6976" t="str">
            <v>VALENCIA LONDOÑO HELENA PATRICIA</v>
          </cell>
          <cell r="H6976" t="str">
            <v>FUNC</v>
          </cell>
          <cell r="I6976" t="str">
            <v>FUNCIONARIO</v>
          </cell>
          <cell r="J6976" t="str">
            <v>BARRIO LA FLORESTA</v>
          </cell>
          <cell r="K6976" t="str">
            <v>27075</v>
          </cell>
          <cell r="L6976" t="str">
            <v>BAHÍA SOLANO</v>
          </cell>
          <cell r="M6976" t="str">
            <v>3137380791</v>
          </cell>
        </row>
        <row r="6977">
          <cell r="A6977">
            <v>1077173977</v>
          </cell>
          <cell r="B6977" t="str">
            <v/>
          </cell>
          <cell r="C6977" t="str">
            <v/>
          </cell>
          <cell r="D6977" t="str">
            <v>CC</v>
          </cell>
          <cell r="E6977" t="str">
            <v>YAMINZON</v>
          </cell>
          <cell r="F6977" t="str">
            <v>ZUÑIGA RIOS</v>
          </cell>
          <cell r="G6977" t="str">
            <v>ZUÑIGA RIOS YAMINZON</v>
          </cell>
          <cell r="H6977" t="str">
            <v>FUNC</v>
          </cell>
          <cell r="I6977" t="str">
            <v>FUNCIONARIO</v>
          </cell>
          <cell r="J6977" t="str">
            <v>CL 03 BRR LA FLORESTA</v>
          </cell>
          <cell r="K6977" t="str">
            <v>27075</v>
          </cell>
          <cell r="L6977" t="str">
            <v>BAHÍA SOLANO</v>
          </cell>
          <cell r="M6977" t="str">
            <v>3104171226</v>
          </cell>
        </row>
        <row r="6978">
          <cell r="A6978">
            <v>1077174009</v>
          </cell>
          <cell r="B6978" t="str">
            <v>3</v>
          </cell>
          <cell r="C6978" t="str">
            <v/>
          </cell>
          <cell r="D6978" t="str">
            <v>NP</v>
          </cell>
          <cell r="E6978" t="str">
            <v>ANGELA GISELA</v>
          </cell>
          <cell r="F6978" t="str">
            <v>MORENO TORRES</v>
          </cell>
          <cell r="G6978" t="str">
            <v>MORENO TORRES ANGELA GISELA</v>
          </cell>
          <cell r="H6978" t="str">
            <v>RESI</v>
          </cell>
          <cell r="I6978" t="str">
            <v>REGIMEN SIMPLIFICADO</v>
          </cell>
          <cell r="J6978" t="str">
            <v xml:space="preserve"> CL 47  43 114</v>
          </cell>
          <cell r="K6978" t="str">
            <v>05001</v>
          </cell>
          <cell r="L6978" t="str">
            <v>MEDELLÍN</v>
          </cell>
          <cell r="M6978" t="str">
            <v>3105012583</v>
          </cell>
        </row>
        <row r="6979">
          <cell r="A6979">
            <v>1077174125</v>
          </cell>
          <cell r="B6979" t="str">
            <v>1</v>
          </cell>
          <cell r="C6979" t="str">
            <v/>
          </cell>
          <cell r="D6979" t="str">
            <v>NP</v>
          </cell>
          <cell r="E6979" t="str">
            <v>MANUEL</v>
          </cell>
          <cell r="F6979" t="str">
            <v>VALOYES PALACIOS</v>
          </cell>
          <cell r="G6979" t="str">
            <v>VALOYES PALACIOS MANUEL</v>
          </cell>
          <cell r="H6979" t="str">
            <v>RESI</v>
          </cell>
          <cell r="I6979" t="str">
            <v>REGIMEN SIMPLIFICADO</v>
          </cell>
          <cell r="J6979" t="str">
            <v>MCP BAHIA SOLANO</v>
          </cell>
          <cell r="K6979" t="str">
            <v>27075</v>
          </cell>
          <cell r="L6979" t="str">
            <v>BAHÍA SOLANO</v>
          </cell>
          <cell r="M6979" t="str">
            <v>3127764946</v>
          </cell>
        </row>
        <row r="6980">
          <cell r="A6980">
            <v>1077174611</v>
          </cell>
          <cell r="B6980" t="str">
            <v/>
          </cell>
          <cell r="C6980" t="str">
            <v/>
          </cell>
          <cell r="D6980" t="str">
            <v>CC</v>
          </cell>
          <cell r="E6980" t="str">
            <v>YANICETH RIVAS</v>
          </cell>
          <cell r="F6980" t="str">
            <v xml:space="preserve">URRUTIA </v>
          </cell>
          <cell r="G6980" t="str">
            <v>YANICETH RIVAS URRUTIA</v>
          </cell>
          <cell r="H6980" t="str">
            <v>FUNC</v>
          </cell>
          <cell r="I6980" t="str">
            <v>FUNCIONARIO</v>
          </cell>
          <cell r="J6980" t="str">
            <v>Barrio la Esmeralda  corregimiento de Cupica</v>
          </cell>
          <cell r="K6980" t="str">
            <v>27075</v>
          </cell>
          <cell r="L6980" t="str">
            <v>BAHÍA SOLANO</v>
          </cell>
          <cell r="M6980" t="str">
            <v>3112135083</v>
          </cell>
        </row>
        <row r="6981">
          <cell r="A6981">
            <v>1077174778</v>
          </cell>
          <cell r="B6981" t="str">
            <v/>
          </cell>
          <cell r="C6981" t="str">
            <v/>
          </cell>
          <cell r="D6981" t="str">
            <v>CC</v>
          </cell>
          <cell r="E6981" t="str">
            <v>VICTOR ALIRIO</v>
          </cell>
          <cell r="F6981" t="str">
            <v>CORDOBA BERMUDES</v>
          </cell>
          <cell r="G6981" t="str">
            <v>CORDOBA BERMUDEZ VICTOR ALIRIO</v>
          </cell>
          <cell r="H6981" t="str">
            <v>FUNC</v>
          </cell>
          <cell r="I6981" t="str">
            <v>FUNCIONARIO</v>
          </cell>
          <cell r="J6981" t="str">
            <v>BRR MIRA FLORES</v>
          </cell>
          <cell r="K6981" t="str">
            <v>27075</v>
          </cell>
          <cell r="L6981" t="str">
            <v>BAHÍA SOLANO</v>
          </cell>
          <cell r="M6981" t="str">
            <v>3226312810</v>
          </cell>
        </row>
        <row r="6982">
          <cell r="A6982">
            <v>1077174959</v>
          </cell>
          <cell r="B6982" t="str">
            <v/>
          </cell>
          <cell r="C6982" t="str">
            <v/>
          </cell>
          <cell r="D6982" t="str">
            <v>CC</v>
          </cell>
          <cell r="E6982" t="str">
            <v>TEOFILA ROSIO</v>
          </cell>
          <cell r="F6982" t="str">
            <v>BELTRAN MOSQUERA</v>
          </cell>
          <cell r="G6982" t="str">
            <v>BELTRAN MOSQUERA TEOFILA ROSIO</v>
          </cell>
          <cell r="H6982" t="str">
            <v>FUNC</v>
          </cell>
          <cell r="I6982" t="str">
            <v>FUNCIONARIO</v>
          </cell>
          <cell r="J6982" t="str">
            <v>BRR CUPICA</v>
          </cell>
          <cell r="K6982" t="str">
            <v>17001</v>
          </cell>
          <cell r="L6982" t="str">
            <v>MANIZALES</v>
          </cell>
          <cell r="M6982" t="str">
            <v>3214387413</v>
          </cell>
        </row>
        <row r="6983">
          <cell r="A6983">
            <v>1077175210</v>
          </cell>
          <cell r="B6983" t="str">
            <v/>
          </cell>
          <cell r="C6983" t="str">
            <v/>
          </cell>
          <cell r="D6983" t="str">
            <v>CC</v>
          </cell>
          <cell r="E6983" t="str">
            <v>SANDRA DANIELA</v>
          </cell>
          <cell r="F6983" t="str">
            <v>SANCLEMENTE BELTRAN</v>
          </cell>
          <cell r="G6983" t="str">
            <v>SANCLEMENTE BELTRAN SANDRA DANIELA</v>
          </cell>
          <cell r="H6983" t="str">
            <v>FUNC</v>
          </cell>
          <cell r="I6983" t="str">
            <v>FUNCIONARIO</v>
          </cell>
          <cell r="J6983" t="str">
            <v>BRR CUPICA</v>
          </cell>
          <cell r="K6983" t="str">
            <v>17001</v>
          </cell>
          <cell r="L6983" t="str">
            <v>MANIZALES</v>
          </cell>
          <cell r="M6983" t="str">
            <v>3105177326</v>
          </cell>
        </row>
        <row r="6984">
          <cell r="A6984">
            <v>1077175671</v>
          </cell>
          <cell r="B6984" t="str">
            <v>4</v>
          </cell>
          <cell r="C6984" t="str">
            <v/>
          </cell>
          <cell r="D6984" t="str">
            <v>NP</v>
          </cell>
          <cell r="E6984" t="str">
            <v>JHON JAIRO</v>
          </cell>
          <cell r="F6984" t="str">
            <v>CUESTA CORDOBA</v>
          </cell>
          <cell r="G6984" t="str">
            <v>CUESTA CORDOBA JHON JAIRO</v>
          </cell>
          <cell r="H6984" t="str">
            <v>RESI</v>
          </cell>
          <cell r="I6984" t="str">
            <v>REGIMEN SIMPLIFICADO</v>
          </cell>
          <cell r="J6984" t="str">
            <v>CASAS FISCALES DE PAIPA</v>
          </cell>
          <cell r="K6984" t="str">
            <v>15516</v>
          </cell>
          <cell r="L6984" t="str">
            <v>PAIPA</v>
          </cell>
          <cell r="M6984" t="str">
            <v>313277</v>
          </cell>
        </row>
        <row r="6985">
          <cell r="A6985">
            <v>1077439511</v>
          </cell>
          <cell r="B6985" t="str">
            <v>9</v>
          </cell>
          <cell r="C6985" t="str">
            <v/>
          </cell>
          <cell r="D6985" t="str">
            <v>NP</v>
          </cell>
          <cell r="E6985" t="str">
            <v>YAJAIRA</v>
          </cell>
          <cell r="F6985" t="str">
            <v>LOZANO SAAVEDRA</v>
          </cell>
          <cell r="G6985" t="str">
            <v>LOZANO SAAVEDRA YAJAIRA</v>
          </cell>
          <cell r="H6985" t="str">
            <v>RESI</v>
          </cell>
          <cell r="I6985" t="str">
            <v>REGIMEN SIMPLIFICADO</v>
          </cell>
          <cell r="J6985" t="str">
            <v>BRR CHOCOLATAL</v>
          </cell>
          <cell r="K6985" t="str">
            <v>27075</v>
          </cell>
          <cell r="L6985" t="str">
            <v>BAHÍA SOLANO</v>
          </cell>
          <cell r="M6985" t="str">
            <v>3226313967</v>
          </cell>
        </row>
        <row r="6986">
          <cell r="A6986">
            <v>1077439521</v>
          </cell>
          <cell r="B6986" t="str">
            <v>2</v>
          </cell>
          <cell r="C6986" t="str">
            <v/>
          </cell>
          <cell r="D6986" t="str">
            <v>NP</v>
          </cell>
          <cell r="E6986" t="str">
            <v>JOHNATAN ALI</v>
          </cell>
          <cell r="F6986" t="str">
            <v>SANCHEZ MORENO</v>
          </cell>
          <cell r="G6986" t="str">
            <v>SANCHEZ MORENO JOHNATAN ALI</v>
          </cell>
          <cell r="H6986" t="str">
            <v>RESI</v>
          </cell>
          <cell r="I6986" t="str">
            <v>REGIMEN SIMPLIFICADO</v>
          </cell>
          <cell r="J6986" t="str">
            <v>CR 6   25   29 BRR PANDEYUCA</v>
          </cell>
          <cell r="K6986" t="str">
            <v>27001</v>
          </cell>
          <cell r="L6986" t="str">
            <v>QUIBDO</v>
          </cell>
          <cell r="M6986" t="str">
            <v>6709850</v>
          </cell>
        </row>
        <row r="6987">
          <cell r="A6987">
            <v>1077460394</v>
          </cell>
          <cell r="B6987" t="str">
            <v/>
          </cell>
          <cell r="C6987" t="str">
            <v/>
          </cell>
          <cell r="D6987" t="str">
            <v>CC</v>
          </cell>
          <cell r="E6987" t="str">
            <v>YAIR</v>
          </cell>
          <cell r="F6987" t="str">
            <v>RENGIFO MOSQUERA</v>
          </cell>
          <cell r="G6987" t="str">
            <v>RENGIFO MOSQUERA YAIR</v>
          </cell>
          <cell r="H6987" t="str">
            <v>FUNC</v>
          </cell>
          <cell r="I6987" t="str">
            <v>FUNCIONARIO</v>
          </cell>
          <cell r="J6987" t="str">
            <v>CRA 31 71 A 18</v>
          </cell>
          <cell r="K6987" t="str">
            <v>05001</v>
          </cell>
          <cell r="L6987" t="str">
            <v>MEDELLÍN</v>
          </cell>
          <cell r="M6987" t="str">
            <v>3006601110</v>
          </cell>
        </row>
        <row r="6988">
          <cell r="A6988">
            <v>1078576309</v>
          </cell>
          <cell r="B6988" t="str">
            <v/>
          </cell>
          <cell r="C6988" t="str">
            <v/>
          </cell>
          <cell r="D6988" t="str">
            <v>CC</v>
          </cell>
          <cell r="E6988" t="str">
            <v>LEYDER</v>
          </cell>
          <cell r="F6988" t="str">
            <v>TORRES ROMAÑA</v>
          </cell>
          <cell r="G6988" t="str">
            <v>TORRES ROMAÑA LEYDER</v>
          </cell>
          <cell r="H6988" t="str">
            <v>FUNC</v>
          </cell>
          <cell r="I6988" t="str">
            <v>FUNCIONARIO</v>
          </cell>
          <cell r="J6988" t="str">
            <v xml:space="preserve">ACANDI                                  </v>
          </cell>
          <cell r="K6988" t="str">
            <v>27006</v>
          </cell>
          <cell r="L6988" t="str">
            <v>ACANDÍ</v>
          </cell>
          <cell r="M6988" t="str">
            <v>3116228976</v>
          </cell>
        </row>
        <row r="6989">
          <cell r="A6989">
            <v>1078666130</v>
          </cell>
          <cell r="B6989" t="str">
            <v/>
          </cell>
          <cell r="C6989" t="str">
            <v/>
          </cell>
          <cell r="D6989" t="str">
            <v>CC</v>
          </cell>
          <cell r="E6989" t="str">
            <v>GREY CAROLINA</v>
          </cell>
          <cell r="F6989" t="str">
            <v>LOZANO GONZALEZ</v>
          </cell>
          <cell r="G6989" t="str">
            <v>LOZANO GONZALEZ GREY CAROLINA</v>
          </cell>
          <cell r="H6989" t="str">
            <v>FUNC</v>
          </cell>
          <cell r="I6989" t="str">
            <v>FUNCIONARIO</v>
          </cell>
          <cell r="J6989" t="str">
            <v>BRR  CHOCOLATAL CL PRINCIPAL</v>
          </cell>
          <cell r="K6989" t="str">
            <v>27075</v>
          </cell>
          <cell r="L6989" t="str">
            <v>BAHÍA SOLANO</v>
          </cell>
          <cell r="M6989" t="str">
            <v>3106647858</v>
          </cell>
        </row>
        <row r="6990">
          <cell r="A6990">
            <v>1079358698</v>
          </cell>
          <cell r="B6990" t="str">
            <v/>
          </cell>
          <cell r="C6990" t="str">
            <v/>
          </cell>
          <cell r="D6990" t="str">
            <v>CC</v>
          </cell>
          <cell r="E6990" t="str">
            <v>ORTENCIO</v>
          </cell>
          <cell r="F6990" t="str">
            <v>ROJAS YERRITO</v>
          </cell>
          <cell r="G6990" t="str">
            <v>ROJAS YERRITO ORTENCIO</v>
          </cell>
          <cell r="H6990" t="str">
            <v>FUNC</v>
          </cell>
          <cell r="I6990" t="str">
            <v>FUNCIONARIO</v>
          </cell>
          <cell r="J6990" t="str">
            <v>C EL VALLE</v>
          </cell>
          <cell r="K6990" t="str">
            <v>27075</v>
          </cell>
          <cell r="L6990" t="str">
            <v>BAHÍA SOLANO</v>
          </cell>
          <cell r="M6990" t="str">
            <v>0</v>
          </cell>
        </row>
        <row r="6991">
          <cell r="A6991">
            <v>1079604483</v>
          </cell>
          <cell r="B6991" t="str">
            <v>5</v>
          </cell>
          <cell r="C6991" t="str">
            <v/>
          </cell>
          <cell r="D6991" t="str">
            <v>NP</v>
          </cell>
          <cell r="E6991" t="str">
            <v>KATIA MARLEY</v>
          </cell>
          <cell r="F6991" t="str">
            <v>ALDANA CHALA</v>
          </cell>
          <cell r="G6991" t="str">
            <v>ALDANA CHALA KATIA MARLEY</v>
          </cell>
          <cell r="H6991" t="str">
            <v>RESI</v>
          </cell>
          <cell r="I6991" t="str">
            <v>REGIMEN SIMPLIFICADO</v>
          </cell>
          <cell r="J6991" t="str">
            <v>CC UNICENTRO LC S 01</v>
          </cell>
          <cell r="K6991" t="str">
            <v>85001</v>
          </cell>
          <cell r="L6991" t="str">
            <v>YOPAL</v>
          </cell>
          <cell r="M6991" t="str">
            <v>3208949266</v>
          </cell>
        </row>
        <row r="6992">
          <cell r="A6992">
            <v>1079884664</v>
          </cell>
          <cell r="B6992" t="str">
            <v>1</v>
          </cell>
          <cell r="C6992" t="str">
            <v/>
          </cell>
          <cell r="D6992" t="str">
            <v>NP</v>
          </cell>
          <cell r="E6992" t="str">
            <v>FERNEY NICOLAS</v>
          </cell>
          <cell r="F6992" t="str">
            <v>MIRANDA SILGADO</v>
          </cell>
          <cell r="G6992" t="str">
            <v>MIRANDA SILGADO FERNEY NICOLAS</v>
          </cell>
          <cell r="H6992" t="str">
            <v>RESI</v>
          </cell>
          <cell r="I6992" t="str">
            <v>REGIMEN SIMPLIFICADO</v>
          </cell>
          <cell r="J6992" t="str">
            <v>CR 59 43 A 20</v>
          </cell>
          <cell r="K6992" t="str">
            <v>08758</v>
          </cell>
          <cell r="L6992" t="str">
            <v>SOLEDAD</v>
          </cell>
          <cell r="M6992" t="str">
            <v>3117587809</v>
          </cell>
        </row>
        <row r="6993">
          <cell r="A6993">
            <v>1081394623</v>
          </cell>
          <cell r="B6993" t="str">
            <v>4</v>
          </cell>
          <cell r="C6993" t="str">
            <v/>
          </cell>
          <cell r="D6993" t="str">
            <v>NP</v>
          </cell>
          <cell r="E6993" t="str">
            <v>SINDY LORENA</v>
          </cell>
          <cell r="F6993" t="str">
            <v>RAMIREZ PERDOMO</v>
          </cell>
          <cell r="G6993" t="str">
            <v>RAMIREZ PERDOMO SINDY LORENA</v>
          </cell>
          <cell r="H6993" t="str">
            <v>NORE</v>
          </cell>
          <cell r="I6993" t="str">
            <v>NO RESPONSABLE DE IVA</v>
          </cell>
          <cell r="J6993" t="str">
            <v>CLLE 3 B 96 64 AP. 202 A</v>
          </cell>
          <cell r="K6993" t="str">
            <v>76001</v>
          </cell>
          <cell r="L6993" t="str">
            <v>CALI</v>
          </cell>
          <cell r="M6993" t="str">
            <v>3700157</v>
          </cell>
        </row>
        <row r="6994">
          <cell r="A6994">
            <v>1086138221</v>
          </cell>
          <cell r="B6994" t="str">
            <v>9</v>
          </cell>
          <cell r="C6994" t="str">
            <v/>
          </cell>
          <cell r="D6994" t="str">
            <v>NP</v>
          </cell>
          <cell r="E6994" t="str">
            <v>JOSÉ MIGUEL</v>
          </cell>
          <cell r="F6994" t="str">
            <v>ORTEGA GAVIRIA</v>
          </cell>
          <cell r="G6994" t="str">
            <v>ORTEGA GAVIRIA JOSÉ MIGUEL</v>
          </cell>
          <cell r="H6994" t="str">
            <v>NORE</v>
          </cell>
          <cell r="I6994" t="str">
            <v>NO RESPONSABLE DE IVA</v>
          </cell>
          <cell r="J6994" t="str">
            <v>CR 32 B 96 A 76 BARRIO LA ENEA</v>
          </cell>
          <cell r="K6994" t="str">
            <v>17001</v>
          </cell>
          <cell r="L6994" t="str">
            <v>MANIZALES</v>
          </cell>
          <cell r="M6994" t="str">
            <v>3126699609</v>
          </cell>
        </row>
        <row r="6995">
          <cell r="A6995">
            <v>1087490657</v>
          </cell>
          <cell r="B6995" t="str">
            <v/>
          </cell>
          <cell r="C6995" t="str">
            <v/>
          </cell>
          <cell r="D6995" t="str">
            <v>CC</v>
          </cell>
          <cell r="E6995" t="str">
            <v>LEIDY DANIELA</v>
          </cell>
          <cell r="F6995" t="str">
            <v>ARIAS MUNERA</v>
          </cell>
          <cell r="G6995" t="str">
            <v>ARIAS MUNERA LEIDY DANIELA</v>
          </cell>
          <cell r="H6995" t="str">
            <v>FUNC</v>
          </cell>
          <cell r="I6995" t="str">
            <v>FUNCIONARIO</v>
          </cell>
          <cell r="J6995" t="str">
            <v>CR 3 E N 1 30</v>
          </cell>
          <cell r="K6995" t="str">
            <v>66088</v>
          </cell>
          <cell r="L6995" t="str">
            <v>BELÉN DE UMBRÍA</v>
          </cell>
          <cell r="M6995" t="str">
            <v>3128878083</v>
          </cell>
        </row>
        <row r="6996">
          <cell r="A6996">
            <v>1088032311</v>
          </cell>
          <cell r="B6996" t="str">
            <v/>
          </cell>
          <cell r="C6996" t="str">
            <v/>
          </cell>
          <cell r="D6996" t="str">
            <v>CC</v>
          </cell>
          <cell r="E6996" t="str">
            <v>LINA FERNANDA</v>
          </cell>
          <cell r="F6996" t="str">
            <v>BOTERO NARANJO</v>
          </cell>
          <cell r="G6996" t="str">
            <v>BOTERO NARANJO LINA FERNANDA</v>
          </cell>
          <cell r="H6996" t="str">
            <v>FUNC</v>
          </cell>
          <cell r="I6996" t="str">
            <v>FUNCIONARIO</v>
          </cell>
          <cell r="J6996" t="str">
            <v>CL 28   22   42 AP 301</v>
          </cell>
          <cell r="K6996" t="str">
            <v>17001</v>
          </cell>
          <cell r="L6996" t="str">
            <v>MANIZALES</v>
          </cell>
          <cell r="M6996" t="str">
            <v>8914661</v>
          </cell>
        </row>
        <row r="6997">
          <cell r="A6997">
            <v>1088253862</v>
          </cell>
          <cell r="B6997" t="str">
            <v/>
          </cell>
          <cell r="C6997" t="str">
            <v/>
          </cell>
          <cell r="D6997" t="str">
            <v>CC</v>
          </cell>
          <cell r="E6997" t="str">
            <v>JESICA LEANDRA</v>
          </cell>
          <cell r="F6997" t="str">
            <v>RAMIREZ CARDONA</v>
          </cell>
          <cell r="G6997" t="str">
            <v>RAMIREZ CARDONA JESICA LEANDRA</v>
          </cell>
          <cell r="H6997" t="str">
            <v>FUNC</v>
          </cell>
          <cell r="I6997" t="str">
            <v>FUNCIONARIO</v>
          </cell>
          <cell r="J6997" t="str">
            <v>CR 22 48 b 15</v>
          </cell>
          <cell r="K6997" t="str">
            <v>17001</v>
          </cell>
          <cell r="L6997" t="str">
            <v>MANIZALES</v>
          </cell>
          <cell r="M6997" t="str">
            <v>3147592313</v>
          </cell>
        </row>
        <row r="6998">
          <cell r="A6998">
            <v>1088287907</v>
          </cell>
          <cell r="B6998" t="str">
            <v/>
          </cell>
          <cell r="C6998" t="str">
            <v/>
          </cell>
          <cell r="D6998" t="str">
            <v>CC</v>
          </cell>
          <cell r="E6998" t="str">
            <v>MATEO</v>
          </cell>
          <cell r="F6998" t="str">
            <v>SALAZAR CASTAÑO</v>
          </cell>
          <cell r="G6998" t="str">
            <v>SALAZAR CASTAÑO MATEO</v>
          </cell>
          <cell r="H6998" t="str">
            <v>FUNC</v>
          </cell>
          <cell r="I6998" t="str">
            <v>FUNCIONARIO</v>
          </cell>
          <cell r="J6998" t="str">
            <v>CR 15 BIS   8   05 APTDO 302</v>
          </cell>
          <cell r="K6998" t="str">
            <v>17001</v>
          </cell>
          <cell r="L6998" t="str">
            <v>MANIZALES</v>
          </cell>
          <cell r="M6998" t="str">
            <v>3128893414</v>
          </cell>
        </row>
        <row r="6999">
          <cell r="A6999">
            <v>1088293063</v>
          </cell>
          <cell r="B6999" t="str">
            <v/>
          </cell>
          <cell r="C6999" t="str">
            <v/>
          </cell>
          <cell r="D6999" t="str">
            <v>CC</v>
          </cell>
          <cell r="E6999" t="str">
            <v>SANTIAGO</v>
          </cell>
          <cell r="F6999" t="str">
            <v>SUAREZ ARISTIZABAL</v>
          </cell>
          <cell r="G6999" t="str">
            <v>SUAREZ ARISTIZABAL SANTIAGO</v>
          </cell>
          <cell r="H6999" t="str">
            <v>FUNC</v>
          </cell>
          <cell r="I6999" t="str">
            <v>FUNCIONARIO</v>
          </cell>
          <cell r="J6999" t="str">
            <v>CR 8   12   35 BRR CHIPRE</v>
          </cell>
          <cell r="K6999" t="str">
            <v>17001</v>
          </cell>
          <cell r="L6999" t="str">
            <v>MANIZALES</v>
          </cell>
          <cell r="M6999" t="str">
            <v>8808290</v>
          </cell>
        </row>
        <row r="7000">
          <cell r="A7000">
            <v>1088301271</v>
          </cell>
          <cell r="B7000" t="str">
            <v>2</v>
          </cell>
          <cell r="C7000" t="str">
            <v/>
          </cell>
          <cell r="D7000" t="str">
            <v>NP</v>
          </cell>
          <cell r="E7000" t="str">
            <v>ALEJANDRO</v>
          </cell>
          <cell r="F7000" t="str">
            <v>BUITRAGO DUQUE</v>
          </cell>
          <cell r="G7000" t="str">
            <v>BUITRAGO DUQUE ALEJANDRO</v>
          </cell>
          <cell r="H7000" t="str">
            <v>RECO</v>
          </cell>
          <cell r="I7000" t="str">
            <v>REGIMEN COMUN</v>
          </cell>
          <cell r="J7000" t="str">
            <v>MZ 19  CA 187  BRR VILLA DEL CAMPESTRE</v>
          </cell>
          <cell r="K7000" t="str">
            <v>66170</v>
          </cell>
          <cell r="L7000" t="str">
            <v>DOSQUEBRADAS</v>
          </cell>
          <cell r="M7000" t="str">
            <v>3124713277</v>
          </cell>
        </row>
        <row r="7001">
          <cell r="A7001">
            <v>1088317734</v>
          </cell>
          <cell r="B7001" t="str">
            <v/>
          </cell>
          <cell r="C7001" t="str">
            <v/>
          </cell>
          <cell r="D7001" t="str">
            <v>CC</v>
          </cell>
          <cell r="E7001" t="str">
            <v>LAURA</v>
          </cell>
          <cell r="F7001" t="str">
            <v>ESTRADA TANGARIFE</v>
          </cell>
          <cell r="G7001" t="str">
            <v>ESTRADA TANGARIFE LAURA</v>
          </cell>
          <cell r="H7001" t="str">
            <v>FUNC</v>
          </cell>
          <cell r="I7001" t="str">
            <v>FUNCIONARIO</v>
          </cell>
          <cell r="J7001" t="str">
            <v>CR 22   54   21</v>
          </cell>
          <cell r="K7001" t="str">
            <v>17001</v>
          </cell>
          <cell r="L7001" t="str">
            <v>MANIZALES</v>
          </cell>
          <cell r="M7001" t="str">
            <v>3127430238</v>
          </cell>
        </row>
        <row r="7002">
          <cell r="A7002">
            <v>1088331426</v>
          </cell>
          <cell r="B7002" t="str">
            <v/>
          </cell>
          <cell r="C7002" t="str">
            <v/>
          </cell>
          <cell r="D7002" t="str">
            <v>CC</v>
          </cell>
          <cell r="E7002" t="str">
            <v>DAVID FERNANDO</v>
          </cell>
          <cell r="F7002" t="str">
            <v>CRUZ REYES</v>
          </cell>
          <cell r="G7002" t="str">
            <v>CRUZ REYES DAVID FERNANDO</v>
          </cell>
          <cell r="H7002" t="str">
            <v>FUNC</v>
          </cell>
          <cell r="I7002" t="str">
            <v>FUNCIONARIO</v>
          </cell>
          <cell r="J7002" t="str">
            <v>CRA 6 # 57 01 06</v>
          </cell>
          <cell r="K7002" t="str">
            <v>17001</v>
          </cell>
          <cell r="L7002" t="str">
            <v>MANIZALES</v>
          </cell>
          <cell r="M7002" t="str">
            <v>3117117345</v>
          </cell>
        </row>
        <row r="7003">
          <cell r="A7003">
            <v>1088537009</v>
          </cell>
          <cell r="B7003" t="str">
            <v/>
          </cell>
          <cell r="C7003" t="str">
            <v/>
          </cell>
          <cell r="D7003" t="str">
            <v>CC</v>
          </cell>
          <cell r="E7003" t="str">
            <v>WILMAR ANDRES</v>
          </cell>
          <cell r="F7003" t="str">
            <v>LOAIZA AGUIRRE</v>
          </cell>
          <cell r="G7003" t="str">
            <v>LOAIZA AGUIRRE WILMAR ANDRES</v>
          </cell>
          <cell r="H7003" t="str">
            <v>FUNC</v>
          </cell>
          <cell r="I7003" t="str">
            <v>FUNCIONARIO</v>
          </cell>
          <cell r="J7003" t="str">
            <v>CR 31D 42 13</v>
          </cell>
          <cell r="K7003" t="str">
            <v>17001</v>
          </cell>
          <cell r="L7003" t="str">
            <v>MANIZALES</v>
          </cell>
          <cell r="M7003" t="str">
            <v>3186245610</v>
          </cell>
        </row>
        <row r="7004">
          <cell r="A7004">
            <v>1089798265</v>
          </cell>
          <cell r="B7004" t="str">
            <v/>
          </cell>
          <cell r="C7004" t="str">
            <v/>
          </cell>
          <cell r="D7004" t="str">
            <v>CC</v>
          </cell>
          <cell r="E7004" t="str">
            <v>MARIA ISABEL</v>
          </cell>
          <cell r="F7004" t="str">
            <v>PORTOCARRERO OROBIO</v>
          </cell>
          <cell r="G7004" t="str">
            <v>PORTOCARRERO OROBIO MARIA ISABEL</v>
          </cell>
          <cell r="H7004" t="str">
            <v>FUNC</v>
          </cell>
          <cell r="I7004" t="str">
            <v>FUNCIONARIO</v>
          </cell>
          <cell r="J7004" t="str">
            <v>BRR</v>
          </cell>
          <cell r="K7004" t="str">
            <v>19318</v>
          </cell>
          <cell r="L7004" t="str">
            <v>GUAPI</v>
          </cell>
          <cell r="M7004" t="str">
            <v>3118392256</v>
          </cell>
        </row>
        <row r="7005">
          <cell r="A7005">
            <v>1090503979</v>
          </cell>
          <cell r="B7005" t="str">
            <v/>
          </cell>
          <cell r="C7005" t="str">
            <v/>
          </cell>
          <cell r="D7005" t="str">
            <v>CC</v>
          </cell>
          <cell r="E7005" t="str">
            <v>JENNY PAOLA</v>
          </cell>
          <cell r="F7005" t="str">
            <v>OSPITIA MUÑOZ</v>
          </cell>
          <cell r="G7005" t="str">
            <v>OSPITIA MUÑOZ JENNY PAOLA</v>
          </cell>
          <cell r="H7005" t="str">
            <v>FUNC</v>
          </cell>
          <cell r="I7005" t="str">
            <v>FUNCIONARIO</v>
          </cell>
          <cell r="J7005" t="str">
            <v>CASA BLANCA 1</v>
          </cell>
          <cell r="K7005" t="str">
            <v>94001</v>
          </cell>
          <cell r="L7005" t="str">
            <v>INÍRIDA</v>
          </cell>
          <cell r="M7005" t="str">
            <v>3112840236</v>
          </cell>
        </row>
        <row r="7006">
          <cell r="A7006">
            <v>1093537098</v>
          </cell>
          <cell r="B7006" t="str">
            <v>6</v>
          </cell>
          <cell r="C7006" t="str">
            <v/>
          </cell>
          <cell r="D7006" t="str">
            <v>NP</v>
          </cell>
          <cell r="E7006" t="str">
            <v>JOHANA ANDREA</v>
          </cell>
          <cell r="F7006" t="str">
            <v>MORA VALENCIA</v>
          </cell>
          <cell r="G7006" t="str">
            <v>MORA VALENCIA JOHANA ANDREA</v>
          </cell>
          <cell r="H7006" t="str">
            <v>RESI</v>
          </cell>
          <cell r="I7006" t="str">
            <v>REGIMEN SIMPLIFICADO</v>
          </cell>
          <cell r="J7006" t="str">
            <v>CR 1 NORTE 18 A 20</v>
          </cell>
          <cell r="K7006" t="str">
            <v>76147</v>
          </cell>
          <cell r="L7006" t="str">
            <v>CARTAGO</v>
          </cell>
          <cell r="M7006" t="str">
            <v>3216733540</v>
          </cell>
        </row>
        <row r="7007">
          <cell r="A7007">
            <v>1093741173</v>
          </cell>
          <cell r="B7007" t="str">
            <v/>
          </cell>
          <cell r="C7007" t="str">
            <v/>
          </cell>
          <cell r="D7007" t="str">
            <v>CC</v>
          </cell>
          <cell r="E7007" t="str">
            <v>CRISTIAN YAHIR</v>
          </cell>
          <cell r="F7007" t="str">
            <v>ALVAREZ HERNANDEZ</v>
          </cell>
          <cell r="G7007" t="str">
            <v>ALVAREZ HERNANDEZ CRISTIAN YAHIR</v>
          </cell>
          <cell r="H7007" t="str">
            <v>FUNC</v>
          </cell>
          <cell r="I7007" t="str">
            <v>FUNCIONARIO</v>
          </cell>
          <cell r="J7007" t="str">
            <v>CALLE 19 No 33-74 TORRE 9 APTO 504 RUBLEDALES 2</v>
          </cell>
          <cell r="K7007" t="str">
            <v>15238</v>
          </cell>
          <cell r="L7007" t="str">
            <v>DUITAMA</v>
          </cell>
          <cell r="M7007" t="str">
            <v>3123692333</v>
          </cell>
        </row>
        <row r="7008">
          <cell r="A7008">
            <v>1094241375</v>
          </cell>
          <cell r="B7008" t="str">
            <v/>
          </cell>
          <cell r="C7008" t="str">
            <v/>
          </cell>
          <cell r="D7008" t="str">
            <v>CC</v>
          </cell>
          <cell r="E7008" t="str">
            <v>RICHARD JHOAN</v>
          </cell>
          <cell r="F7008" t="str">
            <v>JIMENEZ</v>
          </cell>
          <cell r="G7008" t="str">
            <v>JIMENEZ RICHARD JHOAN</v>
          </cell>
          <cell r="H7008" t="str">
            <v>FUNC</v>
          </cell>
          <cell r="I7008" t="str">
            <v>FUNCIONARIO</v>
          </cell>
          <cell r="J7008" t="str">
            <v>TV 20 32 37</v>
          </cell>
          <cell r="K7008" t="str">
            <v>15516</v>
          </cell>
          <cell r="L7008" t="str">
            <v>PAIPA</v>
          </cell>
          <cell r="M7008" t="str">
            <v>3202146605</v>
          </cell>
        </row>
        <row r="7009">
          <cell r="A7009">
            <v>1094885378</v>
          </cell>
          <cell r="B7009" t="str">
            <v/>
          </cell>
          <cell r="C7009" t="str">
            <v/>
          </cell>
          <cell r="D7009" t="str">
            <v>CC</v>
          </cell>
          <cell r="E7009" t="str">
            <v>JOSE JULIAN</v>
          </cell>
          <cell r="F7009" t="str">
            <v>HERRERA ARANGO</v>
          </cell>
          <cell r="G7009" t="str">
            <v>HERRERA ARANGO JOSE JULIAN</v>
          </cell>
          <cell r="H7009" t="str">
            <v>FUNC</v>
          </cell>
          <cell r="I7009" t="str">
            <v>FUNCIONARIO</v>
          </cell>
          <cell r="J7009" t="str">
            <v>AV 15   15   150</v>
          </cell>
          <cell r="K7009" t="str">
            <v>97001</v>
          </cell>
          <cell r="L7009" t="str">
            <v>MITÚ</v>
          </cell>
          <cell r="M7009" t="str">
            <v>3162505653</v>
          </cell>
        </row>
        <row r="7010">
          <cell r="A7010">
            <v>1094903926</v>
          </cell>
          <cell r="B7010" t="str">
            <v>3</v>
          </cell>
          <cell r="C7010" t="str">
            <v/>
          </cell>
          <cell r="D7010" t="str">
            <v>NP</v>
          </cell>
          <cell r="E7010" t="str">
            <v>DANIEL FELIPE</v>
          </cell>
          <cell r="F7010" t="str">
            <v>MONTOYA GIRALDO</v>
          </cell>
          <cell r="G7010" t="str">
            <v>MONTOYA GIRALDO DANIEL FELIPE</v>
          </cell>
          <cell r="H7010" t="str">
            <v>NORE</v>
          </cell>
          <cell r="I7010" t="str">
            <v>NO RESPONSABLE DE IVA</v>
          </cell>
          <cell r="J7010" t="str">
            <v>CR  20 A 71 20 AP 305</v>
          </cell>
          <cell r="K7010" t="str">
            <v>17001</v>
          </cell>
          <cell r="L7010" t="str">
            <v>MANIZALES</v>
          </cell>
          <cell r="M7010" t="str">
            <v>3114716454</v>
          </cell>
        </row>
        <row r="7011">
          <cell r="A7011">
            <v>1094908658</v>
          </cell>
          <cell r="B7011" t="str">
            <v>7</v>
          </cell>
          <cell r="C7011" t="str">
            <v/>
          </cell>
          <cell r="D7011" t="str">
            <v>NP</v>
          </cell>
          <cell r="E7011" t="str">
            <v>ELIZABETH</v>
          </cell>
          <cell r="F7011" t="str">
            <v>GOMEZ RAMIREZ</v>
          </cell>
          <cell r="G7011" t="str">
            <v>GOMEZ RAMIREZ ELIZABETH</v>
          </cell>
          <cell r="H7011" t="str">
            <v>RESI</v>
          </cell>
          <cell r="I7011" t="str">
            <v>REGIMEN SIMPLIFICADO</v>
          </cell>
          <cell r="J7011" t="str">
            <v>CL 12 18 14</v>
          </cell>
          <cell r="K7011" t="str">
            <v>63001</v>
          </cell>
          <cell r="L7011" t="str">
            <v>ARMENIA</v>
          </cell>
          <cell r="M7011" t="str">
            <v>3103718797</v>
          </cell>
        </row>
        <row r="7012">
          <cell r="A7012">
            <v>1094957290</v>
          </cell>
          <cell r="B7012" t="str">
            <v>1</v>
          </cell>
          <cell r="C7012" t="str">
            <v/>
          </cell>
          <cell r="D7012" t="str">
            <v>NP</v>
          </cell>
          <cell r="E7012" t="str">
            <v>LEIDI ANDREA</v>
          </cell>
          <cell r="F7012" t="str">
            <v>MARTINEZ PALACIO</v>
          </cell>
          <cell r="G7012" t="str">
            <v>MARTINEZ PALACIO LEIDI ANDREA</v>
          </cell>
          <cell r="H7012" t="str">
            <v>IMVE</v>
          </cell>
          <cell r="I7012" t="str">
            <v>IMPUESTO SOBRE LAS VENTAS</v>
          </cell>
          <cell r="J7012" t="str">
            <v>CL 65 24 97</v>
          </cell>
          <cell r="K7012" t="str">
            <v>17001</v>
          </cell>
          <cell r="L7012" t="str">
            <v>MANIZALES</v>
          </cell>
          <cell r="M7012" t="str">
            <v>3206920902</v>
          </cell>
        </row>
        <row r="7013">
          <cell r="A7013">
            <v>1097395160</v>
          </cell>
          <cell r="B7013" t="str">
            <v>9</v>
          </cell>
          <cell r="C7013" t="str">
            <v/>
          </cell>
          <cell r="D7013" t="str">
            <v>NP</v>
          </cell>
          <cell r="E7013" t="str">
            <v>PEDRO DAVID</v>
          </cell>
          <cell r="F7013" t="str">
            <v>GAVIRIA OSPINA</v>
          </cell>
          <cell r="G7013" t="str">
            <v>GAVIRIA OSPINA PEDRO DAVID</v>
          </cell>
          <cell r="H7013" t="str">
            <v>NORE</v>
          </cell>
          <cell r="I7013" t="str">
            <v>NO RESPONSABLE DE IVA</v>
          </cell>
          <cell r="J7013" t="str">
            <v>RESGUARDO INDIGENA DOCE DE OCTUBRECA 69</v>
          </cell>
          <cell r="K7013" t="str">
            <v>97001</v>
          </cell>
          <cell r="L7013" t="str">
            <v>MITÚ</v>
          </cell>
          <cell r="M7013" t="str">
            <v>3235232100</v>
          </cell>
        </row>
        <row r="7014">
          <cell r="A7014">
            <v>1097725309</v>
          </cell>
          <cell r="B7014" t="str">
            <v>6</v>
          </cell>
          <cell r="C7014" t="str">
            <v/>
          </cell>
          <cell r="D7014" t="str">
            <v>NP</v>
          </cell>
          <cell r="E7014" t="str">
            <v>FABIAN</v>
          </cell>
          <cell r="F7014" t="str">
            <v>GALVIS GOMEZ</v>
          </cell>
          <cell r="G7014" t="str">
            <v>GALVIS GOMEZ FABIAN</v>
          </cell>
          <cell r="H7014" t="str">
            <v>NORE</v>
          </cell>
          <cell r="I7014" t="str">
            <v>NO RESPONSABLE DE IVA</v>
          </cell>
          <cell r="J7014" t="str">
            <v>CR  7 # 15 - 55</v>
          </cell>
          <cell r="K7014" t="str">
            <v>63470</v>
          </cell>
          <cell r="L7014" t="str">
            <v>MONTENEGRO</v>
          </cell>
          <cell r="M7014" t="str">
            <v>3107860667</v>
          </cell>
        </row>
        <row r="7015">
          <cell r="A7015">
            <v>1098408825</v>
          </cell>
          <cell r="B7015" t="str">
            <v>1</v>
          </cell>
          <cell r="C7015" t="str">
            <v/>
          </cell>
          <cell r="D7015" t="str">
            <v>NP</v>
          </cell>
          <cell r="E7015" t="str">
            <v>JOSÉ RICARDO</v>
          </cell>
          <cell r="F7015" t="str">
            <v>PORRAS MORALES</v>
          </cell>
          <cell r="G7015" t="str">
            <v>PORRAS MORALES JOSÉ RICARDO</v>
          </cell>
          <cell r="H7015" t="str">
            <v>NORE</v>
          </cell>
          <cell r="I7015" t="str">
            <v>NO RESPONSABLE DE IVA</v>
          </cell>
          <cell r="J7015" t="str">
            <v>CR 27 22 26</v>
          </cell>
          <cell r="K7015" t="str">
            <v>85001</v>
          </cell>
          <cell r="L7015" t="str">
            <v>YOPAL</v>
          </cell>
          <cell r="M7015" t="str">
            <v>3204064820</v>
          </cell>
        </row>
        <row r="7016">
          <cell r="A7016">
            <v>1098409135</v>
          </cell>
          <cell r="B7016" t="str">
            <v>0</v>
          </cell>
          <cell r="C7016" t="str">
            <v/>
          </cell>
          <cell r="D7016" t="str">
            <v>NP</v>
          </cell>
          <cell r="E7016" t="str">
            <v>MARIBEL</v>
          </cell>
          <cell r="F7016" t="str">
            <v>PICO MEZA</v>
          </cell>
          <cell r="G7016" t="str">
            <v>PICO MEZA MARIBEL</v>
          </cell>
          <cell r="H7016" t="str">
            <v>RESI</v>
          </cell>
          <cell r="I7016" t="str">
            <v>REGIMEN SIMPLIFICADO</v>
          </cell>
          <cell r="J7016" t="str">
            <v>LT 25 MZ Q BRR VILLA FLOR</v>
          </cell>
          <cell r="K7016" t="str">
            <v>85001</v>
          </cell>
          <cell r="L7016" t="str">
            <v>YOPAL</v>
          </cell>
          <cell r="M7016" t="str">
            <v>3153861986</v>
          </cell>
        </row>
        <row r="7017">
          <cell r="A7017">
            <v>1098644203</v>
          </cell>
          <cell r="B7017" t="str">
            <v/>
          </cell>
          <cell r="C7017" t="str">
            <v/>
          </cell>
          <cell r="D7017" t="str">
            <v>CC</v>
          </cell>
          <cell r="E7017" t="str">
            <v>ASTRID NATHALIA</v>
          </cell>
          <cell r="F7017" t="str">
            <v>IBARRA MUÑOZ</v>
          </cell>
          <cell r="G7017" t="str">
            <v>IBARRA MUÑOZ ASTRID NATHALIA</v>
          </cell>
          <cell r="H7017" t="str">
            <v>FUNC</v>
          </cell>
          <cell r="I7017" t="str">
            <v>FUNCIONARIO</v>
          </cell>
          <cell r="J7017" t="str">
            <v>CR 8 A   64   22 CONJ PALMA REAL  CA 57</v>
          </cell>
          <cell r="K7017" t="str">
            <v>11001</v>
          </cell>
          <cell r="L7017" t="str">
            <v>BOGOTA DC</v>
          </cell>
          <cell r="M7017" t="str">
            <v>6441551</v>
          </cell>
        </row>
        <row r="7018">
          <cell r="A7018">
            <v>1098645885</v>
          </cell>
          <cell r="B7018" t="str">
            <v/>
          </cell>
          <cell r="C7018" t="str">
            <v/>
          </cell>
          <cell r="D7018" t="str">
            <v>CC</v>
          </cell>
          <cell r="E7018" t="str">
            <v>FABIAN ANDRES</v>
          </cell>
          <cell r="F7018" t="str">
            <v>BLANCO MARTINEZ</v>
          </cell>
          <cell r="G7018" t="str">
            <v>BLANCO MARTINEZ FABIAN ANDRES</v>
          </cell>
          <cell r="H7018" t="str">
            <v>FUNC</v>
          </cell>
          <cell r="I7018" t="str">
            <v>FUNCIONARIO</v>
          </cell>
          <cell r="J7018" t="str">
            <v>CR 4 8 78</v>
          </cell>
          <cell r="K7018" t="str">
            <v>97001</v>
          </cell>
          <cell r="L7018" t="str">
            <v>MITÚ</v>
          </cell>
          <cell r="M7018" t="str">
            <v>3227267045</v>
          </cell>
        </row>
        <row r="7019">
          <cell r="A7019">
            <v>1098672966</v>
          </cell>
          <cell r="B7019" t="str">
            <v/>
          </cell>
          <cell r="C7019" t="str">
            <v/>
          </cell>
          <cell r="D7019" t="str">
            <v>CC</v>
          </cell>
          <cell r="E7019" t="str">
            <v>ERVIN ANDRES</v>
          </cell>
          <cell r="F7019" t="str">
            <v>CASADIEGOS LUNA</v>
          </cell>
          <cell r="G7019" t="str">
            <v>CASADIEGOS LUNA ERVIN ANDRES</v>
          </cell>
          <cell r="H7019" t="str">
            <v>FUNC</v>
          </cell>
          <cell r="I7019" t="str">
            <v>FUNCIONARIO</v>
          </cell>
          <cell r="J7019" t="str">
            <v>CL 38   24   36</v>
          </cell>
          <cell r="K7019" t="str">
            <v>85001</v>
          </cell>
          <cell r="L7019" t="str">
            <v>YOPAL</v>
          </cell>
          <cell r="M7019" t="str">
            <v>3112338944</v>
          </cell>
        </row>
        <row r="7020">
          <cell r="A7020">
            <v>1101454382</v>
          </cell>
          <cell r="B7020" t="str">
            <v/>
          </cell>
          <cell r="C7020" t="str">
            <v/>
          </cell>
          <cell r="D7020" t="str">
            <v>CC</v>
          </cell>
          <cell r="E7020" t="str">
            <v>OSCAR DAVID</v>
          </cell>
          <cell r="F7020" t="str">
            <v>PEREZ ALVAREZ</v>
          </cell>
          <cell r="G7020" t="str">
            <v>PEREZ ALVAREZ OSCAR DAVID</v>
          </cell>
          <cell r="H7020" t="str">
            <v>FUNC</v>
          </cell>
          <cell r="I7020" t="str">
            <v>FUNCIONARIO</v>
          </cell>
          <cell r="J7020" t="str">
            <v>CL 66   31 B</v>
          </cell>
          <cell r="K7020" t="str">
            <v>17001</v>
          </cell>
          <cell r="L7020" t="str">
            <v>MANIZALES</v>
          </cell>
          <cell r="M7020" t="str">
            <v>3015942120</v>
          </cell>
        </row>
        <row r="7021">
          <cell r="A7021">
            <v>1108206005</v>
          </cell>
          <cell r="B7021" t="str">
            <v/>
          </cell>
          <cell r="C7021" t="str">
            <v/>
          </cell>
          <cell r="D7021" t="str">
            <v>CC</v>
          </cell>
          <cell r="E7021" t="str">
            <v>JAVIER CAMILO</v>
          </cell>
          <cell r="F7021" t="str">
            <v>NUÑEZ GONZALEZ</v>
          </cell>
          <cell r="G7021" t="str">
            <v>NUÑEZ GONZALEZ JAVIER CAMILO</v>
          </cell>
          <cell r="H7021" t="str">
            <v>EXFU</v>
          </cell>
          <cell r="I7021" t="str">
            <v>EX-FUNCIONARIOS</v>
          </cell>
          <cell r="J7021" t="str">
            <v>CL 1 DG 37</v>
          </cell>
          <cell r="K7021" t="str">
            <v>17873</v>
          </cell>
          <cell r="L7021" t="str">
            <v>VILLAMARÍA</v>
          </cell>
          <cell r="M7021" t="str">
            <v>3234186899</v>
          </cell>
        </row>
        <row r="7022">
          <cell r="A7022">
            <v>1108207110</v>
          </cell>
          <cell r="B7022" t="str">
            <v/>
          </cell>
          <cell r="C7022" t="str">
            <v/>
          </cell>
          <cell r="D7022" t="str">
            <v>CC</v>
          </cell>
          <cell r="E7022" t="str">
            <v>LILIA MARCELA</v>
          </cell>
          <cell r="F7022" t="str">
            <v>VILLANUEVA CEBALLOS</v>
          </cell>
          <cell r="G7022" t="str">
            <v>VILLANUEVA CEBALLOS LILIA MARCELA</v>
          </cell>
          <cell r="H7022" t="str">
            <v>FUNC</v>
          </cell>
          <cell r="I7022" t="str">
            <v>FUNCIONARIO</v>
          </cell>
          <cell r="J7022" t="str">
            <v>CR 30 C   65   28</v>
          </cell>
          <cell r="K7022" t="str">
            <v>17001</v>
          </cell>
          <cell r="L7022" t="str">
            <v>MANIZALES</v>
          </cell>
          <cell r="M7022" t="str">
            <v>3226906680</v>
          </cell>
        </row>
        <row r="7023">
          <cell r="A7023">
            <v>1110474744</v>
          </cell>
          <cell r="B7023" t="str">
            <v/>
          </cell>
          <cell r="C7023" t="str">
            <v/>
          </cell>
          <cell r="D7023" t="str">
            <v>CC</v>
          </cell>
          <cell r="E7023" t="str">
            <v>JULIETH</v>
          </cell>
          <cell r="F7023" t="str">
            <v>ARBOLEDA YEPES</v>
          </cell>
          <cell r="G7023" t="str">
            <v>ARBOLEDA YEPES JULIETH</v>
          </cell>
          <cell r="H7023" t="str">
            <v>FUNC</v>
          </cell>
          <cell r="I7023" t="str">
            <v>FUNCIONARIO</v>
          </cell>
          <cell r="J7023" t="str">
            <v>CL 65 A N 23 B 33 AP 205</v>
          </cell>
          <cell r="K7023" t="str">
            <v>17001</v>
          </cell>
          <cell r="L7023" t="str">
            <v>MANIZALES</v>
          </cell>
          <cell r="M7023" t="str">
            <v>3204601866</v>
          </cell>
        </row>
        <row r="7024">
          <cell r="A7024">
            <v>1110478432</v>
          </cell>
          <cell r="B7024" t="str">
            <v/>
          </cell>
          <cell r="C7024" t="str">
            <v/>
          </cell>
          <cell r="D7024" t="str">
            <v>CC</v>
          </cell>
          <cell r="E7024" t="str">
            <v>LAURA MARCELA</v>
          </cell>
          <cell r="F7024" t="str">
            <v>GONZALEZ GONZALEZ</v>
          </cell>
          <cell r="G7024" t="str">
            <v>GONZALEZ GONZALEZ LAURA MARCELA</v>
          </cell>
          <cell r="H7024" t="str">
            <v>FUNC</v>
          </cell>
          <cell r="I7024" t="str">
            <v>FUNCIONARIO</v>
          </cell>
          <cell r="J7024" t="str">
            <v>CR12C N 48 D   49</v>
          </cell>
          <cell r="K7024" t="str">
            <v>17001</v>
          </cell>
          <cell r="L7024" t="str">
            <v>MANIZALES</v>
          </cell>
          <cell r="M7024" t="str">
            <v>3213057944</v>
          </cell>
        </row>
        <row r="7025">
          <cell r="A7025">
            <v>1111194247</v>
          </cell>
          <cell r="B7025" t="str">
            <v/>
          </cell>
          <cell r="C7025" t="str">
            <v/>
          </cell>
          <cell r="D7025" t="str">
            <v>CC</v>
          </cell>
          <cell r="E7025" t="str">
            <v>MAYRA ALEJANDRA</v>
          </cell>
          <cell r="F7025" t="str">
            <v>NARANJO MONSALVE</v>
          </cell>
          <cell r="G7025" t="str">
            <v>NARANJO MONSALVE MAYRA ALEJANDRA</v>
          </cell>
          <cell r="H7025" t="str">
            <v>FUNC</v>
          </cell>
          <cell r="I7025" t="str">
            <v>FUNCIONARIO</v>
          </cell>
          <cell r="J7025" t="str">
            <v>CALLE 43 N° 5B-14 BARRIO MONTECARLO</v>
          </cell>
          <cell r="K7025" t="str">
            <v>85001</v>
          </cell>
          <cell r="L7025" t="str">
            <v>YOPAL</v>
          </cell>
          <cell r="M7025" t="str">
            <v>3133460560</v>
          </cell>
        </row>
        <row r="7026">
          <cell r="A7026">
            <v>1112762830</v>
          </cell>
          <cell r="B7026" t="str">
            <v>3</v>
          </cell>
          <cell r="C7026" t="str">
            <v/>
          </cell>
          <cell r="D7026" t="str">
            <v>NP</v>
          </cell>
          <cell r="E7026" t="str">
            <v>INGRID</v>
          </cell>
          <cell r="F7026" t="str">
            <v>RESTREPO GOMEZ</v>
          </cell>
          <cell r="G7026" t="str">
            <v>RESTREPO GOMEZ INGRID</v>
          </cell>
          <cell r="H7026" t="str">
            <v>REOR</v>
          </cell>
          <cell r="I7026" t="str">
            <v>RENTA REGIMEN ORDINARIO</v>
          </cell>
          <cell r="J7026" t="str">
            <v>CL 77   18   15</v>
          </cell>
          <cell r="K7026" t="str">
            <v>17001</v>
          </cell>
          <cell r="L7026" t="str">
            <v>MANIZALES</v>
          </cell>
          <cell r="M7026" t="str">
            <v>3164909745</v>
          </cell>
        </row>
        <row r="7027">
          <cell r="A7027">
            <v>1112785085</v>
          </cell>
          <cell r="B7027" t="str">
            <v/>
          </cell>
          <cell r="C7027" t="str">
            <v/>
          </cell>
          <cell r="D7027" t="str">
            <v>CC</v>
          </cell>
          <cell r="E7027" t="str">
            <v>FABI JOSE</v>
          </cell>
          <cell r="F7027" t="str">
            <v>RESTREPO TORRES</v>
          </cell>
          <cell r="G7027" t="str">
            <v>RESTREPO TORRES FABI JOSE</v>
          </cell>
          <cell r="H7027" t="str">
            <v>FUNC</v>
          </cell>
          <cell r="I7027" t="str">
            <v>FUNCIONARIO</v>
          </cell>
          <cell r="J7027" t="str">
            <v>CR 11   16 B 74</v>
          </cell>
          <cell r="K7027" t="str">
            <v>17001</v>
          </cell>
          <cell r="L7027" t="str">
            <v>MANIZALES</v>
          </cell>
          <cell r="M7027" t="str">
            <v>3114391611</v>
          </cell>
        </row>
        <row r="7028">
          <cell r="A7028">
            <v>1114400856</v>
          </cell>
          <cell r="B7028" t="str">
            <v/>
          </cell>
          <cell r="C7028" t="str">
            <v/>
          </cell>
          <cell r="D7028" t="str">
            <v>CC</v>
          </cell>
          <cell r="E7028" t="str">
            <v>JESUS DAVID</v>
          </cell>
          <cell r="F7028" t="str">
            <v>LEON ALVAREZ</v>
          </cell>
          <cell r="G7028" t="str">
            <v>LEON ALVAREZ JESUS DAVID</v>
          </cell>
          <cell r="H7028" t="str">
            <v>RESI</v>
          </cell>
          <cell r="I7028" t="str">
            <v>REGIMEN SIMPLIFICADO</v>
          </cell>
          <cell r="J7028" t="str">
            <v>CL 18   9   111</v>
          </cell>
          <cell r="K7028" t="str">
            <v>17001</v>
          </cell>
          <cell r="L7028" t="str">
            <v>MANIZALES</v>
          </cell>
          <cell r="M7028" t="str">
            <v>3206219759</v>
          </cell>
        </row>
        <row r="7029">
          <cell r="A7029">
            <v>1115063216</v>
          </cell>
          <cell r="B7029" t="str">
            <v>2</v>
          </cell>
          <cell r="C7029" t="str">
            <v/>
          </cell>
          <cell r="D7029" t="str">
            <v>NP</v>
          </cell>
          <cell r="E7029" t="str">
            <v>MARIBEL</v>
          </cell>
          <cell r="F7029" t="str">
            <v>PALACIOS BOCANEGRA</v>
          </cell>
          <cell r="G7029" t="str">
            <v>PALACIOS BOCANEGRA MARIBEL</v>
          </cell>
          <cell r="H7029" t="str">
            <v>RESI</v>
          </cell>
          <cell r="I7029" t="str">
            <v>REGIMEN SIMPLIFICADO</v>
          </cell>
          <cell r="J7029" t="str">
            <v>CL 15 A  14 06 BRR CENTRO</v>
          </cell>
          <cell r="K7029" t="str">
            <v>97001</v>
          </cell>
          <cell r="L7029" t="str">
            <v>MITÚ</v>
          </cell>
          <cell r="M7029" t="str">
            <v>3132395019</v>
          </cell>
        </row>
        <row r="7030">
          <cell r="A7030">
            <v>1115690747</v>
          </cell>
          <cell r="B7030" t="str">
            <v>0</v>
          </cell>
          <cell r="C7030" t="str">
            <v/>
          </cell>
          <cell r="D7030" t="str">
            <v>NP</v>
          </cell>
          <cell r="E7030" t="str">
            <v>MAIRA LIZBETH</v>
          </cell>
          <cell r="F7030" t="str">
            <v>RINCON WALTEROS</v>
          </cell>
          <cell r="G7030" t="str">
            <v>RINCON WALTEROS MAIRA LIZBETH</v>
          </cell>
          <cell r="H7030" t="str">
            <v>RESI</v>
          </cell>
          <cell r="I7030" t="str">
            <v>REGIMEN SIMPLIFICADO</v>
          </cell>
          <cell r="J7030" t="str">
            <v>CR 4   5   59 BRR EL PROGRESO</v>
          </cell>
          <cell r="K7030" t="str">
            <v>85225</v>
          </cell>
          <cell r="L7030" t="str">
            <v>NUNCHÍA</v>
          </cell>
          <cell r="M7030" t="str">
            <v>3215565017</v>
          </cell>
        </row>
        <row r="7031">
          <cell r="A7031">
            <v>1115690932</v>
          </cell>
          <cell r="B7031" t="str">
            <v/>
          </cell>
          <cell r="C7031" t="str">
            <v/>
          </cell>
          <cell r="D7031" t="str">
            <v>CC</v>
          </cell>
          <cell r="E7031" t="str">
            <v>HERNANDO</v>
          </cell>
          <cell r="F7031" t="str">
            <v>GONZALEZ</v>
          </cell>
          <cell r="G7031" t="str">
            <v>GONZALEZ HERNANDO</v>
          </cell>
          <cell r="H7031" t="str">
            <v>RESI</v>
          </cell>
          <cell r="I7031" t="str">
            <v>REGIMEN SIMPLIFICADO</v>
          </cell>
          <cell r="J7031" t="str">
            <v>VEREDA COREA</v>
          </cell>
          <cell r="K7031" t="str">
            <v>17001</v>
          </cell>
          <cell r="L7031" t="str">
            <v>MANIZALES</v>
          </cell>
          <cell r="M7031" t="str">
            <v>8756262</v>
          </cell>
        </row>
        <row r="7032">
          <cell r="A7032">
            <v>1115691737</v>
          </cell>
          <cell r="B7032" t="str">
            <v/>
          </cell>
          <cell r="C7032" t="str">
            <v/>
          </cell>
          <cell r="D7032" t="str">
            <v>CC</v>
          </cell>
          <cell r="E7032" t="str">
            <v>GERSON</v>
          </cell>
          <cell r="F7032" t="str">
            <v>GARCIA RINCON</v>
          </cell>
          <cell r="G7032" t="str">
            <v>GARCIA RINCON GERSON</v>
          </cell>
          <cell r="H7032" t="str">
            <v>RESI</v>
          </cell>
          <cell r="I7032" t="str">
            <v>REGIMEN SIMPLIFICADO</v>
          </cell>
          <cell r="J7032" t="str">
            <v>VEREDA COREA</v>
          </cell>
          <cell r="K7032" t="str">
            <v>17001</v>
          </cell>
          <cell r="L7032" t="str">
            <v>MANIZALES</v>
          </cell>
          <cell r="M7032" t="str">
            <v>8756262</v>
          </cell>
        </row>
        <row r="7033">
          <cell r="A7033">
            <v>1115851146</v>
          </cell>
          <cell r="B7033" t="str">
            <v>6</v>
          </cell>
          <cell r="C7033" t="str">
            <v/>
          </cell>
          <cell r="D7033" t="str">
            <v>NP</v>
          </cell>
          <cell r="E7033" t="str">
            <v>YEISON ANTONIO</v>
          </cell>
          <cell r="F7033" t="str">
            <v>HEREDIA AGUIRRE</v>
          </cell>
          <cell r="G7033" t="str">
            <v>HEREDIA AGUIRRE YEISON ANTONIO</v>
          </cell>
          <cell r="H7033" t="str">
            <v>RESI</v>
          </cell>
          <cell r="I7033" t="str">
            <v>REGIMEN SIMPLIFICADO</v>
          </cell>
          <cell r="J7033" t="str">
            <v>CL 22 15 15</v>
          </cell>
          <cell r="K7033" t="str">
            <v>85001</v>
          </cell>
          <cell r="L7033" t="str">
            <v>YOPAL</v>
          </cell>
          <cell r="M7033" t="str">
            <v>3102346645</v>
          </cell>
        </row>
        <row r="7034">
          <cell r="A7034">
            <v>1115853831</v>
          </cell>
          <cell r="B7034" t="str">
            <v/>
          </cell>
          <cell r="C7034" t="str">
            <v/>
          </cell>
          <cell r="D7034" t="str">
            <v>CC</v>
          </cell>
          <cell r="E7034" t="str">
            <v>DORIS PATRICIA</v>
          </cell>
          <cell r="F7034" t="str">
            <v>MENDIVELSO ABRIL</v>
          </cell>
          <cell r="G7034" t="str">
            <v>MENDIVELSO ABRIL DORIS PATRICIA</v>
          </cell>
          <cell r="H7034" t="str">
            <v>FUNC</v>
          </cell>
          <cell r="I7034" t="str">
            <v>FUNCIONARIO</v>
          </cell>
          <cell r="J7034" t="str">
            <v>CLL 28B N° 30-34</v>
          </cell>
          <cell r="K7034" t="str">
            <v>85001</v>
          </cell>
          <cell r="L7034" t="str">
            <v>YOPAL</v>
          </cell>
          <cell r="M7034" t="str">
            <v>3114405760</v>
          </cell>
        </row>
        <row r="7035">
          <cell r="A7035">
            <v>1115918145</v>
          </cell>
          <cell r="B7035" t="str">
            <v/>
          </cell>
          <cell r="C7035" t="str">
            <v/>
          </cell>
          <cell r="D7035" t="str">
            <v>CC</v>
          </cell>
          <cell r="E7035" t="str">
            <v>YEYMER JAVIER</v>
          </cell>
          <cell r="F7035" t="str">
            <v>DEDIOS CASTRO</v>
          </cell>
          <cell r="G7035" t="str">
            <v>DEDIOS CASTRO YEYMER JAVIER</v>
          </cell>
          <cell r="H7035" t="str">
            <v>RESI</v>
          </cell>
          <cell r="I7035" t="str">
            <v>REGIMEN SIMPLIFICADO</v>
          </cell>
          <cell r="J7035" t="str">
            <v>VEREDA COREA</v>
          </cell>
          <cell r="K7035" t="str">
            <v>17001</v>
          </cell>
          <cell r="L7035" t="str">
            <v>MANIZALES</v>
          </cell>
          <cell r="M7035" t="str">
            <v>8756262</v>
          </cell>
        </row>
        <row r="7036">
          <cell r="A7036">
            <v>1116549047</v>
          </cell>
          <cell r="B7036" t="str">
            <v/>
          </cell>
          <cell r="C7036" t="str">
            <v/>
          </cell>
          <cell r="D7036" t="str">
            <v>CC</v>
          </cell>
          <cell r="E7036" t="str">
            <v>GERSON FARLEY</v>
          </cell>
          <cell r="F7036" t="str">
            <v>CRUZ RIVERA</v>
          </cell>
          <cell r="G7036" t="str">
            <v>CRUZ RIVERA GERSON FARLEY</v>
          </cell>
          <cell r="H7036" t="str">
            <v>RESI</v>
          </cell>
          <cell r="I7036" t="str">
            <v>REGIMEN SIMPLIFICADO</v>
          </cell>
          <cell r="J7036" t="str">
            <v>VEREDA COREA</v>
          </cell>
          <cell r="K7036" t="str">
            <v>17001</v>
          </cell>
          <cell r="L7036" t="str">
            <v>MANIZALES</v>
          </cell>
          <cell r="M7036" t="str">
            <v>8756262</v>
          </cell>
        </row>
        <row r="7037">
          <cell r="A7037">
            <v>1116642347</v>
          </cell>
          <cell r="B7037" t="str">
            <v/>
          </cell>
          <cell r="C7037" t="str">
            <v/>
          </cell>
          <cell r="D7037" t="str">
            <v>CC</v>
          </cell>
          <cell r="E7037" t="str">
            <v>ALDIVER ELIECER</v>
          </cell>
          <cell r="F7037" t="str">
            <v>BERNAL OLARTE</v>
          </cell>
          <cell r="G7037" t="str">
            <v>BERNAL OLARTE ALDIVER ELIECER</v>
          </cell>
          <cell r="H7037" t="str">
            <v>FUNC</v>
          </cell>
          <cell r="I7037" t="str">
            <v>FUNCIONARIO</v>
          </cell>
          <cell r="J7037" t="str">
            <v>XXX</v>
          </cell>
          <cell r="K7037" t="str">
            <v>15759</v>
          </cell>
          <cell r="L7037" t="str">
            <v>SOGAMOSO</v>
          </cell>
          <cell r="M7037" t="str">
            <v>3143833313</v>
          </cell>
        </row>
        <row r="7038">
          <cell r="A7038">
            <v>1116662535</v>
          </cell>
          <cell r="B7038" t="str">
            <v>0</v>
          </cell>
          <cell r="C7038" t="str">
            <v/>
          </cell>
          <cell r="D7038" t="str">
            <v>NP</v>
          </cell>
          <cell r="E7038" t="str">
            <v>LEIDY YANETH</v>
          </cell>
          <cell r="F7038" t="str">
            <v>SANCHEZ ALVAREZ</v>
          </cell>
          <cell r="G7038" t="str">
            <v>SANCHEZ ALVAREZ LEIDY YANETH</v>
          </cell>
          <cell r="H7038" t="str">
            <v>RESI</v>
          </cell>
          <cell r="I7038" t="str">
            <v>REGIMEN SIMPLIFICADO</v>
          </cell>
          <cell r="J7038" t="str">
            <v>MZ G CA 15 BRR VILLA POLITA</v>
          </cell>
          <cell r="K7038" t="str">
            <v>85430</v>
          </cell>
          <cell r="L7038" t="str">
            <v>TRINIDAD</v>
          </cell>
          <cell r="M7038" t="str">
            <v>3115104996</v>
          </cell>
        </row>
        <row r="7039">
          <cell r="A7039">
            <v>1116662554</v>
          </cell>
          <cell r="B7039" t="str">
            <v>0</v>
          </cell>
          <cell r="C7039" t="str">
            <v/>
          </cell>
          <cell r="D7039" t="str">
            <v>NP</v>
          </cell>
          <cell r="E7039" t="str">
            <v>EWDER</v>
          </cell>
          <cell r="F7039" t="str">
            <v>SALCEDO SANDOVAL</v>
          </cell>
          <cell r="G7039" t="str">
            <v>SALCEDO SANDOVAL EWDER</v>
          </cell>
          <cell r="H7039" t="str">
            <v>RESI</v>
          </cell>
          <cell r="I7039" t="str">
            <v>REGIMEN SIMPLIFICADO</v>
          </cell>
          <cell r="J7039" t="str">
            <v>VRD PLATANALES FCA LOS CLAVELES</v>
          </cell>
          <cell r="K7039" t="str">
            <v>85325</v>
          </cell>
          <cell r="L7039" t="str">
            <v>SAN LUIS DE PALENQUE</v>
          </cell>
          <cell r="M7039" t="str">
            <v>3112299743</v>
          </cell>
        </row>
        <row r="7040">
          <cell r="A7040">
            <v>1116663549</v>
          </cell>
          <cell r="B7040" t="str">
            <v/>
          </cell>
          <cell r="C7040" t="str">
            <v/>
          </cell>
          <cell r="D7040" t="str">
            <v>CC</v>
          </cell>
          <cell r="E7040" t="str">
            <v>ANDERSON ADELMO</v>
          </cell>
          <cell r="F7040" t="str">
            <v>ABRIL RIOS</v>
          </cell>
          <cell r="G7040" t="str">
            <v>ABRIL RIOS ANDERSON ADELMO</v>
          </cell>
          <cell r="H7040" t="str">
            <v>RESI</v>
          </cell>
          <cell r="I7040" t="str">
            <v>REGIMEN SIMPLIFICADO</v>
          </cell>
          <cell r="J7040" t="str">
            <v>VEREDA TRINIDAD</v>
          </cell>
          <cell r="K7040" t="str">
            <v>17001</v>
          </cell>
          <cell r="L7040" t="str">
            <v>MANIZALES</v>
          </cell>
          <cell r="M7040" t="str">
            <v>8756262</v>
          </cell>
        </row>
        <row r="7041">
          <cell r="A7041">
            <v>1116664163</v>
          </cell>
          <cell r="B7041" t="str">
            <v/>
          </cell>
          <cell r="C7041" t="str">
            <v/>
          </cell>
          <cell r="D7041" t="str">
            <v>CC</v>
          </cell>
          <cell r="E7041" t="str">
            <v>JAEL</v>
          </cell>
          <cell r="F7041" t="str">
            <v>TUMAY REUTO</v>
          </cell>
          <cell r="G7041" t="str">
            <v>TUMAY REUTO JAEL</v>
          </cell>
          <cell r="H7041" t="str">
            <v>RESI</v>
          </cell>
          <cell r="I7041" t="str">
            <v>REGIMEN SIMPLIFICADO</v>
          </cell>
          <cell r="J7041" t="str">
            <v>CL 36   7 B   34</v>
          </cell>
          <cell r="K7041" t="str">
            <v>85001</v>
          </cell>
          <cell r="L7041" t="str">
            <v>YOPAL</v>
          </cell>
          <cell r="M7041" t="str">
            <v>3144126835</v>
          </cell>
        </row>
        <row r="7042">
          <cell r="A7042">
            <v>1116664196</v>
          </cell>
          <cell r="B7042" t="str">
            <v>6</v>
          </cell>
          <cell r="C7042" t="str">
            <v/>
          </cell>
          <cell r="D7042" t="str">
            <v>NP</v>
          </cell>
          <cell r="E7042" t="str">
            <v>LORENA</v>
          </cell>
          <cell r="F7042" t="str">
            <v>MALABER ABRIL</v>
          </cell>
          <cell r="G7042" t="str">
            <v>MALABER ABRIL LORENA</v>
          </cell>
          <cell r="H7042" t="str">
            <v>RESI</v>
          </cell>
          <cell r="I7042" t="str">
            <v>REGIMEN SIMPLIFICADO</v>
          </cell>
          <cell r="J7042" t="str">
            <v>CL 36 B   23   76</v>
          </cell>
          <cell r="K7042" t="str">
            <v>85001</v>
          </cell>
          <cell r="L7042" t="str">
            <v>YOPAL</v>
          </cell>
          <cell r="M7042" t="str">
            <v>3142648532</v>
          </cell>
        </row>
        <row r="7043">
          <cell r="A7043">
            <v>1116664204</v>
          </cell>
          <cell r="B7043" t="str">
            <v>7</v>
          </cell>
          <cell r="C7043" t="str">
            <v/>
          </cell>
          <cell r="D7043" t="str">
            <v>NP</v>
          </cell>
          <cell r="E7043" t="str">
            <v>URIEL ESNEYDER</v>
          </cell>
          <cell r="F7043" t="str">
            <v>CHAQUEA CASTRO</v>
          </cell>
          <cell r="G7043" t="str">
            <v>CHAQUEA CASTRO URIEL ESNEYDER</v>
          </cell>
          <cell r="H7043" t="str">
            <v>RESI</v>
          </cell>
          <cell r="I7043" t="str">
            <v>REGIMEN SIMPLIFICADO</v>
          </cell>
          <cell r="J7043" t="str">
            <v>CL 5   10   57</v>
          </cell>
          <cell r="K7043" t="str">
            <v>99624</v>
          </cell>
          <cell r="L7043" t="str">
            <v>SANTA ROSALÍA</v>
          </cell>
          <cell r="M7043" t="str">
            <v>3112754726</v>
          </cell>
        </row>
        <row r="7044">
          <cell r="A7044">
            <v>1116665672</v>
          </cell>
          <cell r="B7044" t="str">
            <v/>
          </cell>
          <cell r="C7044" t="str">
            <v/>
          </cell>
          <cell r="D7044" t="str">
            <v>CC</v>
          </cell>
          <cell r="E7044" t="str">
            <v>HERNANDO</v>
          </cell>
          <cell r="F7044" t="str">
            <v>SANCHEZ HERNANDEZ</v>
          </cell>
          <cell r="G7044" t="str">
            <v>SANCHEZ HERNANDEZ HERNANDO</v>
          </cell>
          <cell r="H7044" t="str">
            <v>RESI</v>
          </cell>
          <cell r="I7044" t="str">
            <v>REGIMEN SIMPLIFICADO</v>
          </cell>
          <cell r="J7044" t="str">
            <v>VEREDA TRINIDAD</v>
          </cell>
          <cell r="K7044" t="str">
            <v>17001</v>
          </cell>
          <cell r="L7044" t="str">
            <v>MANIZALES</v>
          </cell>
          <cell r="M7044" t="str">
            <v>8756262</v>
          </cell>
        </row>
        <row r="7045">
          <cell r="A7045">
            <v>1116665829</v>
          </cell>
          <cell r="B7045" t="str">
            <v/>
          </cell>
          <cell r="C7045" t="str">
            <v/>
          </cell>
          <cell r="D7045" t="str">
            <v>CC</v>
          </cell>
          <cell r="E7045" t="str">
            <v>LADYS PATRICIA</v>
          </cell>
          <cell r="F7045" t="str">
            <v>VARGAS INOCENCIO</v>
          </cell>
          <cell r="G7045" t="str">
            <v>VARGAS INOCENCIO LADYS PATRICIA</v>
          </cell>
          <cell r="H7045" t="str">
            <v>RESI</v>
          </cell>
          <cell r="I7045" t="str">
            <v>REGIMEN SIMPLIFICADO</v>
          </cell>
          <cell r="J7045" t="str">
            <v>CR 24   22   12</v>
          </cell>
          <cell r="K7045" t="str">
            <v>85001</v>
          </cell>
          <cell r="L7045" t="str">
            <v>YOPAL</v>
          </cell>
          <cell r="M7045" t="str">
            <v>3125034057</v>
          </cell>
        </row>
        <row r="7046">
          <cell r="A7046">
            <v>1116667790</v>
          </cell>
          <cell r="B7046" t="str">
            <v/>
          </cell>
          <cell r="C7046" t="str">
            <v/>
          </cell>
          <cell r="D7046" t="str">
            <v>CC</v>
          </cell>
          <cell r="E7046" t="str">
            <v>RAFAEL EDUARDO</v>
          </cell>
          <cell r="F7046" t="str">
            <v>FEMAYOR MIANCHA</v>
          </cell>
          <cell r="G7046" t="str">
            <v>FEMAYOR MIANCHA RAFAEL EDUARDO</v>
          </cell>
          <cell r="H7046" t="str">
            <v>RESI</v>
          </cell>
          <cell r="I7046" t="str">
            <v>REGIMEN SIMPLIFICADO</v>
          </cell>
          <cell r="J7046" t="str">
            <v>TRINIDAD</v>
          </cell>
          <cell r="K7046" t="str">
            <v>85430</v>
          </cell>
          <cell r="L7046" t="str">
            <v>TRINIDAD</v>
          </cell>
          <cell r="M7046" t="str">
            <v>3115218963</v>
          </cell>
        </row>
        <row r="7047">
          <cell r="A7047">
            <v>1116855717</v>
          </cell>
          <cell r="B7047" t="str">
            <v/>
          </cell>
          <cell r="C7047" t="str">
            <v/>
          </cell>
          <cell r="D7047" t="str">
            <v>CC</v>
          </cell>
          <cell r="E7047" t="str">
            <v>SAUL</v>
          </cell>
          <cell r="F7047" t="str">
            <v>SALON PERICO</v>
          </cell>
          <cell r="G7047" t="str">
            <v>SALON PERICO SAUL</v>
          </cell>
          <cell r="H7047" t="str">
            <v>RESI</v>
          </cell>
          <cell r="I7047" t="str">
            <v>REGIMEN SIMPLIFICADO</v>
          </cell>
          <cell r="J7047" t="str">
            <v>XXX</v>
          </cell>
          <cell r="K7047" t="str">
            <v>17001</v>
          </cell>
          <cell r="L7047" t="str">
            <v>MANIZALES</v>
          </cell>
          <cell r="M7047" t="str">
            <v>XXX</v>
          </cell>
        </row>
        <row r="7048">
          <cell r="A7048">
            <v>1117503363</v>
          </cell>
          <cell r="B7048" t="str">
            <v/>
          </cell>
          <cell r="C7048" t="str">
            <v/>
          </cell>
          <cell r="D7048" t="str">
            <v>CC</v>
          </cell>
          <cell r="E7048" t="str">
            <v>RUTH NELLY</v>
          </cell>
          <cell r="F7048" t="str">
            <v>VALDERRAMA CARDENAS</v>
          </cell>
          <cell r="G7048" t="str">
            <v>VALDERRAMA CARDENAS RUTH NELLY</v>
          </cell>
          <cell r="H7048" t="str">
            <v>FUNC</v>
          </cell>
          <cell r="I7048" t="str">
            <v>FUNCIONARIO</v>
          </cell>
          <cell r="J7048" t="str">
            <v>CL 12 BIS   2 A   84</v>
          </cell>
          <cell r="K7048" t="str">
            <v>17001</v>
          </cell>
          <cell r="L7048" t="str">
            <v>MANIZALES</v>
          </cell>
          <cell r="M7048" t="str">
            <v>3142265618</v>
          </cell>
        </row>
        <row r="7049">
          <cell r="A7049">
            <v>1117504381</v>
          </cell>
          <cell r="B7049" t="str">
            <v/>
          </cell>
          <cell r="C7049" t="str">
            <v/>
          </cell>
          <cell r="D7049" t="str">
            <v>CC</v>
          </cell>
          <cell r="E7049" t="str">
            <v>ROBINSON</v>
          </cell>
          <cell r="F7049" t="str">
            <v>VALENZUELA PRIETO</v>
          </cell>
          <cell r="G7049" t="str">
            <v>VALENZUELA PRIETO ROBINSON</v>
          </cell>
          <cell r="H7049" t="str">
            <v>RESI</v>
          </cell>
          <cell r="I7049" t="str">
            <v>REGIMEN SIMPLIFICADO</v>
          </cell>
          <cell r="J7049" t="str">
            <v>CR 7 A   25   46</v>
          </cell>
          <cell r="K7049" t="str">
            <v>99001</v>
          </cell>
          <cell r="L7049" t="str">
            <v>PUERTO CARREÑO</v>
          </cell>
          <cell r="M7049" t="str">
            <v>3115798671</v>
          </cell>
        </row>
        <row r="7050">
          <cell r="A7050">
            <v>1117521481</v>
          </cell>
          <cell r="B7050" t="str">
            <v>0</v>
          </cell>
          <cell r="C7050" t="str">
            <v/>
          </cell>
          <cell r="D7050" t="str">
            <v>NP</v>
          </cell>
          <cell r="E7050" t="str">
            <v>KRISTIAN FERNANDO</v>
          </cell>
          <cell r="F7050" t="str">
            <v>CALDERON RINCON</v>
          </cell>
          <cell r="G7050" t="str">
            <v>CALDERON RINCON KRISTIAN FERNANDO</v>
          </cell>
          <cell r="H7050" t="str">
            <v>RESI</v>
          </cell>
          <cell r="I7050" t="str">
            <v>REGIMEN SIMPLIFICADO</v>
          </cell>
          <cell r="J7050" t="str">
            <v>CR 14  6 A 25 BRR CENTRO</v>
          </cell>
          <cell r="K7050" t="str">
            <v>18150</v>
          </cell>
          <cell r="L7050" t="str">
            <v>CARTAGENA DEL CHAIRÁ</v>
          </cell>
          <cell r="M7050" t="str">
            <v>4645938</v>
          </cell>
        </row>
        <row r="7051">
          <cell r="A7051">
            <v>1118122572</v>
          </cell>
          <cell r="B7051" t="str">
            <v/>
          </cell>
          <cell r="C7051" t="str">
            <v/>
          </cell>
          <cell r="D7051" t="str">
            <v>CC</v>
          </cell>
          <cell r="E7051" t="str">
            <v>BLANCA NUBIA</v>
          </cell>
          <cell r="F7051" t="str">
            <v>BURGOS MORA</v>
          </cell>
          <cell r="G7051" t="str">
            <v>BURGOS MORA BLANCA NUBIA</v>
          </cell>
          <cell r="H7051" t="str">
            <v>FUNC</v>
          </cell>
          <cell r="I7051" t="str">
            <v>FUNCIONARIO</v>
          </cell>
          <cell r="J7051" t="str">
            <v>CRA 5 # 4A-21</v>
          </cell>
          <cell r="K7051" t="str">
            <v>15238</v>
          </cell>
          <cell r="L7051" t="str">
            <v>DUITAMA</v>
          </cell>
          <cell r="M7051" t="str">
            <v>3208219752</v>
          </cell>
        </row>
        <row r="7052">
          <cell r="A7052">
            <v>1118122973</v>
          </cell>
          <cell r="B7052" t="str">
            <v/>
          </cell>
          <cell r="C7052" t="str">
            <v/>
          </cell>
          <cell r="D7052" t="str">
            <v>CC</v>
          </cell>
          <cell r="E7052" t="str">
            <v>CESAR NAIN</v>
          </cell>
          <cell r="F7052" t="str">
            <v>MORALES FERNANDEZ</v>
          </cell>
          <cell r="G7052" t="str">
            <v>MORALES FERNANDEZ CESAR NAIN</v>
          </cell>
          <cell r="H7052" t="str">
            <v>RESI</v>
          </cell>
          <cell r="I7052" t="str">
            <v>REGIMEN SIMPLIFICADO</v>
          </cell>
          <cell r="J7052" t="str">
            <v>TRINIDAD</v>
          </cell>
          <cell r="K7052" t="str">
            <v>85430</v>
          </cell>
          <cell r="L7052" t="str">
            <v>TRINIDAD</v>
          </cell>
          <cell r="M7052" t="str">
            <v>3115218963</v>
          </cell>
        </row>
        <row r="7053">
          <cell r="A7053">
            <v>1118125390</v>
          </cell>
          <cell r="B7053" t="str">
            <v/>
          </cell>
          <cell r="C7053" t="str">
            <v/>
          </cell>
          <cell r="D7053" t="str">
            <v>CC</v>
          </cell>
          <cell r="E7053" t="str">
            <v>YERLY JINETH</v>
          </cell>
          <cell r="F7053" t="str">
            <v>SOLER CASTAÑEDA</v>
          </cell>
          <cell r="G7053" t="str">
            <v>SOLER CASTAÑEDA YERLY JINETH</v>
          </cell>
          <cell r="H7053" t="str">
            <v>FUNC</v>
          </cell>
          <cell r="I7053" t="str">
            <v>FUNCIONARIO</v>
          </cell>
          <cell r="J7053" t="str">
            <v>CRA 1-# 6-37</v>
          </cell>
          <cell r="K7053" t="str">
            <v>85162</v>
          </cell>
          <cell r="L7053" t="str">
            <v>MONTERREY</v>
          </cell>
          <cell r="M7053" t="str">
            <v>3142693355</v>
          </cell>
        </row>
        <row r="7054">
          <cell r="A7054">
            <v>1118530317</v>
          </cell>
          <cell r="B7054" t="str">
            <v>2</v>
          </cell>
          <cell r="C7054" t="str">
            <v/>
          </cell>
          <cell r="D7054" t="str">
            <v>NP</v>
          </cell>
          <cell r="E7054" t="str">
            <v>DUBY VIVIANA</v>
          </cell>
          <cell r="F7054" t="str">
            <v>CORTES BERNAL</v>
          </cell>
          <cell r="G7054" t="str">
            <v>CORTES BERNAL DUBY VIVIANA</v>
          </cell>
          <cell r="H7054" t="str">
            <v>RESI</v>
          </cell>
          <cell r="I7054" t="str">
            <v>REGIMEN SIMPLIFICADO</v>
          </cell>
          <cell r="J7054" t="str">
            <v>CR 5   8   29</v>
          </cell>
          <cell r="K7054" t="str">
            <v>85430</v>
          </cell>
          <cell r="L7054" t="str">
            <v>TRINIDAD</v>
          </cell>
          <cell r="M7054" t="str">
            <v>3115267705</v>
          </cell>
        </row>
        <row r="7055">
          <cell r="A7055">
            <v>1118531643</v>
          </cell>
          <cell r="B7055" t="str">
            <v/>
          </cell>
          <cell r="C7055" t="str">
            <v/>
          </cell>
          <cell r="D7055" t="str">
            <v>CC</v>
          </cell>
          <cell r="E7055" t="str">
            <v>ADRIANA LIZETH</v>
          </cell>
          <cell r="F7055" t="str">
            <v>TRUJILLO LEGUIZAMON</v>
          </cell>
          <cell r="G7055" t="str">
            <v>TRUJILLO LEGUIZAMON ADRIANA LIZETH</v>
          </cell>
          <cell r="H7055" t="str">
            <v>FUNC</v>
          </cell>
          <cell r="I7055" t="str">
            <v>FUNCIONARIO</v>
          </cell>
          <cell r="J7055" t="str">
            <v>CALLE 54A N° 11C 45</v>
          </cell>
          <cell r="K7055" t="str">
            <v>15759</v>
          </cell>
          <cell r="L7055" t="str">
            <v>SOGAMOSO</v>
          </cell>
          <cell r="M7055" t="str">
            <v>3132563939</v>
          </cell>
        </row>
        <row r="7056">
          <cell r="A7056">
            <v>1118531926</v>
          </cell>
          <cell r="B7056" t="str">
            <v>2</v>
          </cell>
          <cell r="C7056" t="str">
            <v/>
          </cell>
          <cell r="D7056" t="str">
            <v>NP</v>
          </cell>
          <cell r="E7056" t="str">
            <v>JULIO CESAR</v>
          </cell>
          <cell r="F7056" t="str">
            <v>TOVAR  ROSILLO</v>
          </cell>
          <cell r="G7056" t="str">
            <v>TOVAR  ROSILLO JULIO CESAR</v>
          </cell>
          <cell r="H7056" t="str">
            <v>RESI</v>
          </cell>
          <cell r="I7056" t="str">
            <v>REGIMEN SIMPLIFICADO</v>
          </cell>
          <cell r="J7056" t="str">
            <v>CEN</v>
          </cell>
          <cell r="K7056" t="str">
            <v>99624</v>
          </cell>
          <cell r="L7056" t="str">
            <v>SANTA ROSALÍA</v>
          </cell>
          <cell r="M7056" t="str">
            <v>3112099171</v>
          </cell>
        </row>
        <row r="7057">
          <cell r="A7057">
            <v>1118532304</v>
          </cell>
          <cell r="B7057" t="str">
            <v>6</v>
          </cell>
          <cell r="C7057" t="str">
            <v/>
          </cell>
          <cell r="D7057" t="str">
            <v>NP</v>
          </cell>
          <cell r="E7057" t="str">
            <v>DIOMEDES</v>
          </cell>
          <cell r="F7057" t="str">
            <v>NIÑO NIÑO</v>
          </cell>
          <cell r="G7057" t="str">
            <v>NIÑO NIÑO DIOMEDES</v>
          </cell>
          <cell r="H7057" t="str">
            <v>RESI</v>
          </cell>
          <cell r="I7057" t="str">
            <v>REGIMEN SIMPLIFICADO</v>
          </cell>
          <cell r="J7057" t="str">
            <v>CR 19   7   14</v>
          </cell>
          <cell r="K7057" t="str">
            <v>85001</v>
          </cell>
          <cell r="L7057" t="str">
            <v>YOPAL</v>
          </cell>
          <cell r="M7057" t="str">
            <v>3114562745</v>
          </cell>
        </row>
        <row r="7058">
          <cell r="A7058">
            <v>1118532969</v>
          </cell>
          <cell r="B7058" t="str">
            <v>3</v>
          </cell>
          <cell r="C7058" t="str">
            <v/>
          </cell>
          <cell r="D7058" t="str">
            <v>NP</v>
          </cell>
          <cell r="E7058" t="str">
            <v>ANA SIXTA</v>
          </cell>
          <cell r="F7058" t="str">
            <v>GALAN FARFAN</v>
          </cell>
          <cell r="G7058" t="str">
            <v>GALAN FARFAN ANA SIXTA</v>
          </cell>
          <cell r="H7058" t="str">
            <v>RESI</v>
          </cell>
          <cell r="I7058" t="str">
            <v>REGIMEN SIMPLIFICADO</v>
          </cell>
          <cell r="J7058" t="str">
            <v>VRD COREA FCA EL CHAPARRAL</v>
          </cell>
          <cell r="K7058" t="str">
            <v>85225</v>
          </cell>
          <cell r="L7058" t="str">
            <v>NUNCHÍA</v>
          </cell>
          <cell r="M7058" t="str">
            <v>3204830305</v>
          </cell>
        </row>
        <row r="7059">
          <cell r="A7059">
            <v>1118537481</v>
          </cell>
          <cell r="B7059" t="str">
            <v>4</v>
          </cell>
          <cell r="C7059" t="str">
            <v/>
          </cell>
          <cell r="D7059" t="str">
            <v>NP</v>
          </cell>
          <cell r="E7059" t="str">
            <v>NIDIA ROCIO</v>
          </cell>
          <cell r="F7059" t="str">
            <v>NIÑO NIÑO</v>
          </cell>
          <cell r="G7059" t="str">
            <v>NIÑO NIÑO NIDIA ROCIO</v>
          </cell>
          <cell r="H7059" t="str">
            <v>NORE</v>
          </cell>
          <cell r="I7059" t="str">
            <v>NO RESPONSABLE DE IVA</v>
          </cell>
          <cell r="J7059" t="str">
            <v>CR 19 7 02</v>
          </cell>
          <cell r="K7059" t="str">
            <v>85001</v>
          </cell>
          <cell r="L7059" t="str">
            <v>YOPAL</v>
          </cell>
          <cell r="M7059" t="str">
            <v>3108095628</v>
          </cell>
        </row>
        <row r="7060">
          <cell r="A7060">
            <v>1118538519</v>
          </cell>
          <cell r="B7060" t="str">
            <v/>
          </cell>
          <cell r="C7060" t="str">
            <v/>
          </cell>
          <cell r="D7060" t="str">
            <v>CC</v>
          </cell>
          <cell r="E7060" t="str">
            <v>MARTHA SOFIA</v>
          </cell>
          <cell r="F7060" t="str">
            <v>DIAZ TORRES</v>
          </cell>
          <cell r="G7060" t="str">
            <v>DIAZ TORRES MARTHA SOFIA</v>
          </cell>
          <cell r="H7060" t="str">
            <v>FUNC</v>
          </cell>
          <cell r="I7060" t="str">
            <v>FUNCIONARIO</v>
          </cell>
          <cell r="J7060" t="str">
            <v>CL 15   21   79</v>
          </cell>
          <cell r="K7060" t="str">
            <v>85001</v>
          </cell>
          <cell r="L7060" t="str">
            <v>YOPAL</v>
          </cell>
          <cell r="M7060" t="str">
            <v>3114777745</v>
          </cell>
        </row>
        <row r="7061">
          <cell r="A7061">
            <v>1118539095</v>
          </cell>
          <cell r="B7061" t="str">
            <v/>
          </cell>
          <cell r="C7061" t="str">
            <v/>
          </cell>
          <cell r="D7061" t="str">
            <v>CC</v>
          </cell>
          <cell r="E7061" t="str">
            <v>NINI JHOHANA</v>
          </cell>
          <cell r="F7061" t="str">
            <v>CUEVAS BAUTISTA</v>
          </cell>
          <cell r="G7061" t="str">
            <v>CUEVAS BAUTISTA NINI JHOHANA</v>
          </cell>
          <cell r="H7061" t="str">
            <v>RESI</v>
          </cell>
          <cell r="I7061" t="str">
            <v>REGIMEN SIMPLIFICADO</v>
          </cell>
          <cell r="J7061" t="str">
            <v>C LA YOPALOSA</v>
          </cell>
          <cell r="K7061" t="str">
            <v>85225</v>
          </cell>
          <cell r="L7061" t="str">
            <v>NUNCHÍA</v>
          </cell>
          <cell r="M7061" t="str">
            <v>3208595609</v>
          </cell>
        </row>
        <row r="7062">
          <cell r="A7062">
            <v>1118540717</v>
          </cell>
          <cell r="B7062" t="str">
            <v/>
          </cell>
          <cell r="C7062" t="str">
            <v/>
          </cell>
          <cell r="D7062" t="str">
            <v>CC</v>
          </cell>
          <cell r="E7062" t="str">
            <v>LEONARDO</v>
          </cell>
          <cell r="F7062" t="str">
            <v>CERON ANTOLINEZ</v>
          </cell>
          <cell r="G7062" t="str">
            <v>CERON ANTOLINEZ LEONARDO</v>
          </cell>
          <cell r="H7062" t="str">
            <v>RESI</v>
          </cell>
          <cell r="I7062" t="str">
            <v>REGIMEN SIMPLIFICADO</v>
          </cell>
          <cell r="J7062" t="str">
            <v>CL 15 A   25   08 BRR LOS HELECHOS</v>
          </cell>
          <cell r="K7062" t="str">
            <v>85001</v>
          </cell>
          <cell r="L7062" t="str">
            <v>YOPAL</v>
          </cell>
          <cell r="M7062" t="str">
            <v>3212060733</v>
          </cell>
        </row>
        <row r="7063">
          <cell r="A7063">
            <v>1118544908</v>
          </cell>
          <cell r="B7063" t="str">
            <v>6</v>
          </cell>
          <cell r="C7063" t="str">
            <v/>
          </cell>
          <cell r="D7063" t="str">
            <v>NP</v>
          </cell>
          <cell r="E7063" t="str">
            <v>CRISTIAN NICOLAS</v>
          </cell>
          <cell r="F7063" t="str">
            <v>VARGAS FRANCO</v>
          </cell>
          <cell r="G7063" t="str">
            <v>VARGAS FRANCO CRISTIAN NICOLAS</v>
          </cell>
          <cell r="H7063" t="str">
            <v>RESI</v>
          </cell>
          <cell r="I7063" t="str">
            <v>REGIMEN SIMPLIFICADO</v>
          </cell>
          <cell r="J7063" t="str">
            <v>CR 9   21 A   16</v>
          </cell>
          <cell r="K7063" t="str">
            <v>85001</v>
          </cell>
          <cell r="L7063" t="str">
            <v>YOPAL</v>
          </cell>
          <cell r="M7063" t="str">
            <v>3103229723</v>
          </cell>
        </row>
        <row r="7064">
          <cell r="A7064">
            <v>1118546280</v>
          </cell>
          <cell r="B7064" t="str">
            <v/>
          </cell>
          <cell r="C7064" t="str">
            <v/>
          </cell>
          <cell r="D7064" t="str">
            <v>CC</v>
          </cell>
          <cell r="E7064" t="str">
            <v>YEIMY VIVIANA</v>
          </cell>
          <cell r="F7064" t="str">
            <v>TUMAY HERNANDEZ</v>
          </cell>
          <cell r="G7064" t="str">
            <v>TUMAY HERNANDEZ YEIMY VIVIANA</v>
          </cell>
          <cell r="H7064" t="str">
            <v>FUNC</v>
          </cell>
          <cell r="I7064" t="str">
            <v>FUNCIONARIO</v>
          </cell>
          <cell r="J7064" t="str">
            <v>CL 24   26   05</v>
          </cell>
          <cell r="K7064" t="str">
            <v>85001</v>
          </cell>
          <cell r="L7064" t="str">
            <v>YOPAL</v>
          </cell>
          <cell r="M7064" t="str">
            <v>3226385057</v>
          </cell>
        </row>
        <row r="7065">
          <cell r="A7065">
            <v>1118546872</v>
          </cell>
          <cell r="B7065" t="str">
            <v/>
          </cell>
          <cell r="C7065" t="str">
            <v/>
          </cell>
          <cell r="D7065" t="str">
            <v>CC</v>
          </cell>
          <cell r="E7065" t="str">
            <v>FABIAN RICARDO</v>
          </cell>
          <cell r="F7065" t="str">
            <v>ESPAÑOL NOVA</v>
          </cell>
          <cell r="G7065" t="str">
            <v>ESPAÑOL NOVA FABIAN RICARDO</v>
          </cell>
          <cell r="H7065" t="str">
            <v>FUNC</v>
          </cell>
          <cell r="I7065" t="str">
            <v>FUNCIONARIO</v>
          </cell>
          <cell r="J7065" t="str">
            <v>CR 18   10   24 BRR LAS AMERICAS</v>
          </cell>
          <cell r="K7065" t="str">
            <v>15516</v>
          </cell>
          <cell r="L7065" t="str">
            <v>PAIPA</v>
          </cell>
          <cell r="M7065" t="str">
            <v>3214081273</v>
          </cell>
        </row>
        <row r="7066">
          <cell r="A7066">
            <v>1118547691</v>
          </cell>
          <cell r="B7066" t="str">
            <v/>
          </cell>
          <cell r="C7066" t="str">
            <v/>
          </cell>
          <cell r="D7066" t="str">
            <v>CC</v>
          </cell>
          <cell r="E7066" t="str">
            <v>ELDA JELITZE</v>
          </cell>
          <cell r="F7066" t="str">
            <v>NIÑO REYES</v>
          </cell>
          <cell r="G7066" t="str">
            <v>NIÑO REYES ELDA JELITZE</v>
          </cell>
          <cell r="H7066" t="str">
            <v>FUNC</v>
          </cell>
          <cell r="I7066" t="str">
            <v>FUNCIONARIO</v>
          </cell>
          <cell r="J7066" t="str">
            <v>CL 28   23   75</v>
          </cell>
          <cell r="K7066" t="str">
            <v>17001</v>
          </cell>
          <cell r="L7066" t="str">
            <v>MANIZALES</v>
          </cell>
          <cell r="M7066" t="str">
            <v>3134435032</v>
          </cell>
        </row>
        <row r="7067">
          <cell r="A7067">
            <v>1118548328</v>
          </cell>
          <cell r="B7067" t="str">
            <v/>
          </cell>
          <cell r="C7067" t="str">
            <v/>
          </cell>
          <cell r="D7067" t="str">
            <v>CC</v>
          </cell>
          <cell r="E7067" t="str">
            <v>YESSICA FERNANDA</v>
          </cell>
          <cell r="F7067" t="str">
            <v>SILVA REY</v>
          </cell>
          <cell r="G7067" t="str">
            <v>SILVA REY YESSICA FERNANDA</v>
          </cell>
          <cell r="H7067" t="str">
            <v>FUNC</v>
          </cell>
          <cell r="I7067" t="str">
            <v>FUNCIONARIO</v>
          </cell>
          <cell r="J7067" t="str">
            <v>CL 40 CR 37 TO 2 AP 101</v>
          </cell>
          <cell r="K7067" t="str">
            <v>85001</v>
          </cell>
          <cell r="L7067" t="str">
            <v>YOPAL</v>
          </cell>
          <cell r="M7067" t="str">
            <v>3214265803</v>
          </cell>
        </row>
        <row r="7068">
          <cell r="A7068">
            <v>1118549144</v>
          </cell>
          <cell r="B7068" t="str">
            <v/>
          </cell>
          <cell r="C7068" t="str">
            <v/>
          </cell>
          <cell r="D7068" t="str">
            <v>CC</v>
          </cell>
          <cell r="E7068" t="str">
            <v>ALBEIRO</v>
          </cell>
          <cell r="F7068" t="str">
            <v>SUA PEÑALOZA</v>
          </cell>
          <cell r="G7068" t="str">
            <v>SUA PEÑALOZA ALBEIRO</v>
          </cell>
          <cell r="H7068" t="str">
            <v>FUNC</v>
          </cell>
          <cell r="I7068" t="str">
            <v>FUNCIONARIO</v>
          </cell>
          <cell r="J7068" t="str">
            <v>CL 44   7   03</v>
          </cell>
          <cell r="K7068" t="str">
            <v>15516</v>
          </cell>
          <cell r="L7068" t="str">
            <v>PAIPA</v>
          </cell>
          <cell r="M7068" t="str">
            <v>3124992651</v>
          </cell>
        </row>
        <row r="7069">
          <cell r="A7069">
            <v>1118553923</v>
          </cell>
          <cell r="B7069" t="str">
            <v/>
          </cell>
          <cell r="C7069" t="str">
            <v/>
          </cell>
          <cell r="D7069" t="str">
            <v>CC</v>
          </cell>
          <cell r="E7069" t="str">
            <v>HECTOR FABIAN</v>
          </cell>
          <cell r="F7069" t="str">
            <v>CABALLERO VILLALBA</v>
          </cell>
          <cell r="G7069" t="str">
            <v>CABALLERO VILLALBA HECTOR FABIAN</v>
          </cell>
          <cell r="H7069" t="str">
            <v>FUNC</v>
          </cell>
          <cell r="I7069" t="str">
            <v>FUNCIONARIO</v>
          </cell>
          <cell r="J7069" t="str">
            <v>CALLE 18-3B-224</v>
          </cell>
          <cell r="K7069" t="str">
            <v>15001</v>
          </cell>
          <cell r="L7069" t="str">
            <v>TUNJA</v>
          </cell>
          <cell r="M7069" t="str">
            <v>3107641387</v>
          </cell>
        </row>
        <row r="7070">
          <cell r="A7070">
            <v>1118774152</v>
          </cell>
          <cell r="B7070" t="str">
            <v>1</v>
          </cell>
          <cell r="C7070" t="str">
            <v/>
          </cell>
          <cell r="D7070" t="str">
            <v>NP</v>
          </cell>
          <cell r="E7070" t="str">
            <v>LIBIA YANID</v>
          </cell>
          <cell r="F7070" t="str">
            <v>POLANCO BARRAGAN</v>
          </cell>
          <cell r="G7070" t="str">
            <v>POLANCO BARRAGAN LIBIA YANID</v>
          </cell>
          <cell r="H7070" t="str">
            <v>RESI</v>
          </cell>
          <cell r="I7070" t="str">
            <v>REGIMEN SIMPLIFICADO</v>
          </cell>
          <cell r="J7070" t="str">
            <v>VRD MATA DE SANTO FCA PUNTO BONITO</v>
          </cell>
          <cell r="K7070" t="str">
            <v>17001</v>
          </cell>
          <cell r="L7070" t="str">
            <v>MANIZALES</v>
          </cell>
          <cell r="M7070" t="str">
            <v>3214388695</v>
          </cell>
        </row>
        <row r="7071">
          <cell r="A7071">
            <v>1118775160</v>
          </cell>
          <cell r="B7071" t="str">
            <v/>
          </cell>
          <cell r="C7071" t="str">
            <v/>
          </cell>
          <cell r="D7071" t="str">
            <v>CC</v>
          </cell>
          <cell r="E7071" t="str">
            <v>YERSON ALFREDO</v>
          </cell>
          <cell r="F7071" t="str">
            <v>PIDIACHI</v>
          </cell>
          <cell r="G7071" t="str">
            <v>PIDIACHI YERSON ALFREDO</v>
          </cell>
          <cell r="H7071" t="str">
            <v>RESI</v>
          </cell>
          <cell r="I7071" t="str">
            <v>REGIMEN SIMPLIFICADO</v>
          </cell>
          <cell r="J7071" t="str">
            <v>MCP SAN LUIS DE PALENQUE VRD YOPITO</v>
          </cell>
          <cell r="K7071" t="str">
            <v>85001</v>
          </cell>
          <cell r="L7071" t="str">
            <v>YOPAL</v>
          </cell>
          <cell r="M7071" t="str">
            <v>3115882282</v>
          </cell>
        </row>
        <row r="7072">
          <cell r="A7072">
            <v>1118775190</v>
          </cell>
          <cell r="B7072" t="str">
            <v>6</v>
          </cell>
          <cell r="C7072" t="str">
            <v/>
          </cell>
          <cell r="D7072" t="str">
            <v>NP</v>
          </cell>
          <cell r="E7072" t="str">
            <v>JIMMY DARWIN</v>
          </cell>
          <cell r="F7072" t="str">
            <v>INOCENCIO RIVEROS</v>
          </cell>
          <cell r="G7072" t="str">
            <v>INOCENCIO RIVEROS JIMMY DARWIN</v>
          </cell>
          <cell r="H7072" t="str">
            <v>RESI</v>
          </cell>
          <cell r="I7072" t="str">
            <v>REGIMEN SIMPLIFICADO</v>
          </cell>
          <cell r="J7072" t="str">
            <v>CL 36   7 B   34 P 1</v>
          </cell>
          <cell r="K7072" t="str">
            <v>85001</v>
          </cell>
          <cell r="L7072" t="str">
            <v>YOPAL</v>
          </cell>
          <cell r="M7072" t="str">
            <v>3106982582</v>
          </cell>
        </row>
        <row r="7073">
          <cell r="A7073">
            <v>1118812417</v>
          </cell>
          <cell r="B7073" t="str">
            <v/>
          </cell>
          <cell r="C7073" t="str">
            <v/>
          </cell>
          <cell r="D7073" t="str">
            <v>CC</v>
          </cell>
          <cell r="E7073" t="str">
            <v>SANDRA PATRICIA</v>
          </cell>
          <cell r="F7073" t="str">
            <v>CARVAJAL JULIO</v>
          </cell>
          <cell r="G7073" t="str">
            <v>CARVAJAL JULIO SANDRA PATRICIA</v>
          </cell>
          <cell r="H7073" t="str">
            <v>RESI</v>
          </cell>
          <cell r="I7073" t="str">
            <v>REGIMEN SIMPLIFICADO</v>
          </cell>
          <cell r="J7073" t="str">
            <v>CORR BAHIA TRIGANA</v>
          </cell>
          <cell r="K7073" t="str">
            <v>27006</v>
          </cell>
          <cell r="L7073" t="str">
            <v>ACANDÍ</v>
          </cell>
          <cell r="M7073" t="str">
            <v>3135228715</v>
          </cell>
        </row>
        <row r="7074">
          <cell r="A7074">
            <v>1120581353</v>
          </cell>
          <cell r="B7074" t="str">
            <v>3</v>
          </cell>
          <cell r="C7074" t="str">
            <v/>
          </cell>
          <cell r="D7074" t="str">
            <v>NP</v>
          </cell>
          <cell r="E7074" t="str">
            <v>BRYAN ANDRES</v>
          </cell>
          <cell r="F7074" t="str">
            <v>MOLINA CASTAÑO</v>
          </cell>
          <cell r="G7074" t="str">
            <v>MOLINA CASTAÑO BRYAN ANDRES</v>
          </cell>
          <cell r="H7074" t="str">
            <v>NORE</v>
          </cell>
          <cell r="I7074" t="str">
            <v>NO RESPONSABLE DE IVA</v>
          </cell>
          <cell r="J7074" t="str">
            <v>AV COLONIZADORES 29 53 BRR VEINTE DE JULIO</v>
          </cell>
          <cell r="K7074" t="str">
            <v>95001</v>
          </cell>
          <cell r="L7074" t="str">
            <v>SAN JOSÉ DEL GUAVIARE</v>
          </cell>
          <cell r="M7074" t="str">
            <v>3204097692</v>
          </cell>
        </row>
        <row r="7075">
          <cell r="A7075">
            <v>1121198292</v>
          </cell>
          <cell r="B7075" t="str">
            <v/>
          </cell>
          <cell r="C7075" t="str">
            <v/>
          </cell>
          <cell r="D7075" t="str">
            <v>CC</v>
          </cell>
          <cell r="E7075" t="str">
            <v>DIANA ISABEL</v>
          </cell>
          <cell r="F7075" t="str">
            <v>PIZANGO AHUANARI</v>
          </cell>
          <cell r="G7075" t="str">
            <v>PIZANGO AHUANARI DIANA ISABEL</v>
          </cell>
          <cell r="H7075" t="str">
            <v>FUNC</v>
          </cell>
          <cell r="I7075" t="str">
            <v>FUNCIONARIO</v>
          </cell>
          <cell r="J7075" t="str">
            <v>LETICIA</v>
          </cell>
          <cell r="K7075" t="str">
            <v>91001</v>
          </cell>
          <cell r="L7075" t="str">
            <v>LETICIA</v>
          </cell>
          <cell r="M7075" t="str">
            <v>0</v>
          </cell>
        </row>
        <row r="7076">
          <cell r="A7076">
            <v>1121199183</v>
          </cell>
          <cell r="B7076" t="str">
            <v/>
          </cell>
          <cell r="C7076" t="str">
            <v/>
          </cell>
          <cell r="D7076" t="str">
            <v>CC</v>
          </cell>
          <cell r="E7076" t="str">
            <v>JESUS OBADIAS</v>
          </cell>
          <cell r="F7076" t="str">
            <v>ORDONEZ MANUYAMA</v>
          </cell>
          <cell r="G7076" t="str">
            <v>ORDONEZ MANUYAMA JESUS OBADIAS</v>
          </cell>
          <cell r="H7076" t="str">
            <v>FUNC</v>
          </cell>
          <cell r="I7076" t="str">
            <v>FUNCIONARIO</v>
          </cell>
          <cell r="J7076" t="str">
            <v>LETICIA</v>
          </cell>
          <cell r="K7076" t="str">
            <v>91001</v>
          </cell>
          <cell r="L7076" t="str">
            <v>LETICIA</v>
          </cell>
          <cell r="M7076" t="str">
            <v>0</v>
          </cell>
        </row>
        <row r="7077">
          <cell r="A7077">
            <v>1121199258</v>
          </cell>
          <cell r="B7077" t="str">
            <v/>
          </cell>
          <cell r="C7077" t="str">
            <v/>
          </cell>
          <cell r="D7077" t="str">
            <v>CC</v>
          </cell>
          <cell r="E7077" t="str">
            <v>WILMAR JAIR</v>
          </cell>
          <cell r="F7077" t="str">
            <v>SALAZAR PEREZ</v>
          </cell>
          <cell r="G7077" t="str">
            <v>SALAZAR PEREZ WILMAR JAIR</v>
          </cell>
          <cell r="H7077" t="str">
            <v>FUNC</v>
          </cell>
          <cell r="I7077" t="str">
            <v>FUNCIONARIO</v>
          </cell>
          <cell r="J7077" t="str">
            <v>BRR AFASINTE</v>
          </cell>
          <cell r="K7077" t="str">
            <v>91001</v>
          </cell>
          <cell r="L7077" t="str">
            <v>LETICIA</v>
          </cell>
          <cell r="M7077" t="str">
            <v>3143185592</v>
          </cell>
        </row>
        <row r="7078">
          <cell r="A7078">
            <v>1121419207</v>
          </cell>
          <cell r="B7078" t="str">
            <v/>
          </cell>
          <cell r="C7078" t="str">
            <v/>
          </cell>
          <cell r="D7078" t="str">
            <v>CC</v>
          </cell>
          <cell r="E7078" t="str">
            <v>ANDRES FELIPE</v>
          </cell>
          <cell r="F7078" t="str">
            <v>GONZALEZ SANTOS</v>
          </cell>
          <cell r="G7078" t="str">
            <v>GONZALEZ SANTOS ANDRES FELIPE</v>
          </cell>
          <cell r="H7078" t="str">
            <v>RESI</v>
          </cell>
          <cell r="I7078" t="str">
            <v>REGIMEN SIMPLIFICADO</v>
          </cell>
          <cell r="J7078" t="str">
            <v>CR 2   12   42</v>
          </cell>
          <cell r="K7078" t="str">
            <v>50590</v>
          </cell>
          <cell r="L7078" t="str">
            <v>PUERTO RICO</v>
          </cell>
          <cell r="M7078" t="str">
            <v>3132608324</v>
          </cell>
        </row>
        <row r="7079">
          <cell r="A7079">
            <v>1121706339</v>
          </cell>
          <cell r="B7079" t="str">
            <v/>
          </cell>
          <cell r="C7079" t="str">
            <v/>
          </cell>
          <cell r="D7079" t="str">
            <v>CC</v>
          </cell>
          <cell r="E7079" t="str">
            <v>MIGUEL ANGUEL</v>
          </cell>
          <cell r="F7079" t="str">
            <v>SAAVEDRA NUÑEZ</v>
          </cell>
          <cell r="G7079" t="str">
            <v>SAAVEDRA NUÑEZ MIGUEL ANGUEL</v>
          </cell>
          <cell r="H7079" t="str">
            <v>FUNC</v>
          </cell>
          <cell r="I7079" t="str">
            <v>FUNCIONARIO</v>
          </cell>
          <cell r="J7079" t="str">
            <v>BRR LA PRIMAVERA KM 06   29   16</v>
          </cell>
          <cell r="K7079" t="str">
            <v>94001</v>
          </cell>
          <cell r="L7079" t="str">
            <v>INÍRIDA</v>
          </cell>
          <cell r="M7079" t="str">
            <v>3132765230</v>
          </cell>
        </row>
        <row r="7080">
          <cell r="A7080">
            <v>1121706367</v>
          </cell>
          <cell r="B7080" t="str">
            <v/>
          </cell>
          <cell r="C7080" t="str">
            <v/>
          </cell>
          <cell r="D7080" t="str">
            <v>CC</v>
          </cell>
          <cell r="E7080" t="str">
            <v>JOHANA ANDREA</v>
          </cell>
          <cell r="F7080" t="str">
            <v>FIGUEROA PEREZ</v>
          </cell>
          <cell r="G7080" t="str">
            <v>FIGUEROA PEREZ JOHANA ANDREA</v>
          </cell>
          <cell r="H7080" t="str">
            <v>FUNC</v>
          </cell>
          <cell r="I7080" t="str">
            <v>FUNCIONARIO</v>
          </cell>
          <cell r="J7080" t="str">
            <v>CL 19 A   11   15</v>
          </cell>
          <cell r="K7080" t="str">
            <v>94001</v>
          </cell>
          <cell r="L7080" t="str">
            <v>INÍRIDA</v>
          </cell>
          <cell r="M7080" t="str">
            <v>3164138976</v>
          </cell>
        </row>
        <row r="7081">
          <cell r="A7081">
            <v>1121706416</v>
          </cell>
          <cell r="B7081" t="str">
            <v>1</v>
          </cell>
          <cell r="C7081" t="str">
            <v/>
          </cell>
          <cell r="D7081" t="str">
            <v>NP</v>
          </cell>
          <cell r="E7081" t="str">
            <v>ANA JULIA</v>
          </cell>
          <cell r="F7081" t="str">
            <v>ARRIETA PADILLA</v>
          </cell>
          <cell r="G7081" t="str">
            <v>ARRIETA PADILLA ANA JULIA</v>
          </cell>
          <cell r="H7081" t="str">
            <v>RESI</v>
          </cell>
          <cell r="I7081" t="str">
            <v>REGIMEN SIMPLIFICADO</v>
          </cell>
          <cell r="J7081" t="str">
            <v>CL 26   7   54 BRR LA PRIMAVERA</v>
          </cell>
          <cell r="K7081" t="str">
            <v>94001</v>
          </cell>
          <cell r="L7081" t="str">
            <v>INÍRIDA</v>
          </cell>
          <cell r="M7081" t="str">
            <v>3106257789</v>
          </cell>
        </row>
        <row r="7082">
          <cell r="A7082">
            <v>1121706605</v>
          </cell>
          <cell r="B7082" t="str">
            <v>7</v>
          </cell>
          <cell r="C7082" t="str">
            <v/>
          </cell>
          <cell r="D7082" t="str">
            <v>NP</v>
          </cell>
          <cell r="E7082" t="str">
            <v>CARLOS ANDRES</v>
          </cell>
          <cell r="F7082" t="str">
            <v>PEREZ RODAS</v>
          </cell>
          <cell r="G7082" t="str">
            <v>PEREZ RODAS CARLOS ANDRES</v>
          </cell>
          <cell r="H7082" t="str">
            <v>RESI</v>
          </cell>
          <cell r="I7082" t="str">
            <v>REGIMEN SIMPLIFICADO</v>
          </cell>
          <cell r="J7082" t="str">
            <v>CL 18 9 72 BRR COMUNEROS</v>
          </cell>
          <cell r="K7082" t="str">
            <v>94001</v>
          </cell>
          <cell r="L7082" t="str">
            <v>INÍRIDA</v>
          </cell>
          <cell r="M7082" t="str">
            <v>3208403377</v>
          </cell>
        </row>
        <row r="7083">
          <cell r="A7083">
            <v>1121707267</v>
          </cell>
          <cell r="B7083" t="str">
            <v/>
          </cell>
          <cell r="C7083" t="str">
            <v/>
          </cell>
          <cell r="D7083" t="str">
            <v>CC</v>
          </cell>
          <cell r="E7083" t="str">
            <v>WALMIR</v>
          </cell>
          <cell r="F7083" t="str">
            <v>GONZALEZ YAPUARE</v>
          </cell>
          <cell r="G7083" t="str">
            <v>GONZALEZ YAPUARE WALMIR</v>
          </cell>
          <cell r="H7083" t="str">
            <v>FUNC</v>
          </cell>
          <cell r="I7083" t="str">
            <v>FUNCIONARIO</v>
          </cell>
          <cell r="J7083" t="str">
            <v>CL 17   15   16</v>
          </cell>
          <cell r="K7083" t="str">
            <v>94001</v>
          </cell>
          <cell r="L7083" t="str">
            <v>INÍRIDA</v>
          </cell>
          <cell r="M7083" t="str">
            <v>3102571208</v>
          </cell>
        </row>
        <row r="7084">
          <cell r="A7084">
            <v>1121710506</v>
          </cell>
          <cell r="B7084" t="str">
            <v/>
          </cell>
          <cell r="C7084" t="str">
            <v/>
          </cell>
          <cell r="D7084" t="str">
            <v>CC</v>
          </cell>
          <cell r="E7084" t="str">
            <v>MIRYAN ELENA</v>
          </cell>
          <cell r="F7084" t="str">
            <v>DOMINGUEZ SOLOZA</v>
          </cell>
          <cell r="G7084" t="str">
            <v>DOMINGUEZ SOLOZA MIRYAN ELENA</v>
          </cell>
          <cell r="H7084" t="str">
            <v>FUNC</v>
          </cell>
          <cell r="I7084" t="str">
            <v>FUNCIONARIO</v>
          </cell>
          <cell r="J7084" t="str">
            <v>CL 19 CR 17 BRR LIBERTADORES</v>
          </cell>
          <cell r="K7084" t="str">
            <v>94001</v>
          </cell>
          <cell r="L7084" t="str">
            <v>INÍRIDA</v>
          </cell>
          <cell r="M7084" t="str">
            <v>3208861647</v>
          </cell>
        </row>
        <row r="7085">
          <cell r="A7085">
            <v>1121711000</v>
          </cell>
          <cell r="B7085" t="str">
            <v>1</v>
          </cell>
          <cell r="C7085" t="str">
            <v/>
          </cell>
          <cell r="D7085" t="str">
            <v>NP</v>
          </cell>
          <cell r="E7085" t="str">
            <v>JOSE JOAQUIN</v>
          </cell>
          <cell r="F7085" t="str">
            <v>LOZANO LOPEZ</v>
          </cell>
          <cell r="G7085" t="str">
            <v>LOZANO LOPEZ JOSE JOAQUIN</v>
          </cell>
          <cell r="H7085" t="str">
            <v>RESI</v>
          </cell>
          <cell r="I7085" t="str">
            <v>REGIMEN SIMPLIFICADO</v>
          </cell>
          <cell r="J7085" t="str">
            <v>CR 6 B 29 06 BRR PRIMAVERA SEGUNDA ETAPA</v>
          </cell>
          <cell r="K7085" t="str">
            <v>94001</v>
          </cell>
          <cell r="L7085" t="str">
            <v>INÍRIDA</v>
          </cell>
          <cell r="M7085" t="str">
            <v>3114809436</v>
          </cell>
        </row>
        <row r="7086">
          <cell r="A7086">
            <v>1121711783</v>
          </cell>
          <cell r="B7086" t="str">
            <v>1</v>
          </cell>
          <cell r="C7086" t="str">
            <v/>
          </cell>
          <cell r="D7086" t="str">
            <v>NP</v>
          </cell>
          <cell r="E7086" t="str">
            <v>CRISTIAN DAVID</v>
          </cell>
          <cell r="F7086" t="str">
            <v>RODRIGUEZ BUSTAMANTE</v>
          </cell>
          <cell r="G7086" t="str">
            <v>RODRIGUEZ BUSTAMANTE CRISTIAN DAVID</v>
          </cell>
          <cell r="H7086" t="str">
            <v>RESI</v>
          </cell>
          <cell r="I7086" t="str">
            <v>REGIMEN SIMPLIFICADO</v>
          </cell>
          <cell r="J7086" t="str">
            <v>CL 27 6 04 BRR PRIAMVERA II ETAPA</v>
          </cell>
          <cell r="K7086" t="str">
            <v>94001</v>
          </cell>
          <cell r="L7086" t="str">
            <v>INÍRIDA</v>
          </cell>
          <cell r="M7086" t="str">
            <v>3112192202</v>
          </cell>
        </row>
        <row r="7087">
          <cell r="A7087">
            <v>1121712190</v>
          </cell>
          <cell r="B7087" t="str">
            <v>7</v>
          </cell>
          <cell r="C7087" t="str">
            <v/>
          </cell>
          <cell r="D7087" t="str">
            <v>NP</v>
          </cell>
          <cell r="E7087" t="str">
            <v>SAUL ALEJANDRO</v>
          </cell>
          <cell r="F7087" t="str">
            <v>MORA TORRES</v>
          </cell>
          <cell r="G7087" t="str">
            <v>MORA TORRES SAUL ALEJANDRO</v>
          </cell>
          <cell r="H7087" t="str">
            <v>IMVE</v>
          </cell>
          <cell r="I7087" t="str">
            <v>IMPUESTO SOBRE LAS VENTAS</v>
          </cell>
          <cell r="J7087" t="str">
            <v>CR 7 16 31 BRR CENTRO</v>
          </cell>
          <cell r="K7087" t="str">
            <v>94001</v>
          </cell>
          <cell r="L7087" t="str">
            <v>INÍRIDA</v>
          </cell>
          <cell r="M7087" t="str">
            <v>3114904343</v>
          </cell>
        </row>
        <row r="7088">
          <cell r="A7088">
            <v>1121712865</v>
          </cell>
          <cell r="B7088" t="str">
            <v/>
          </cell>
          <cell r="C7088" t="str">
            <v/>
          </cell>
          <cell r="D7088" t="str">
            <v>CC</v>
          </cell>
          <cell r="E7088" t="str">
            <v>MAURICIO</v>
          </cell>
          <cell r="F7088" t="str">
            <v>ZULETA SANCHEZ</v>
          </cell>
          <cell r="G7088" t="str">
            <v>ZULETA SANCHEZ MAURICIO</v>
          </cell>
          <cell r="H7088" t="str">
            <v>FUNC</v>
          </cell>
          <cell r="I7088" t="str">
            <v>FUNCIONARIO</v>
          </cell>
          <cell r="J7088" t="str">
            <v>CL 26 C 14 43</v>
          </cell>
          <cell r="K7088" t="str">
            <v>94001</v>
          </cell>
          <cell r="L7088" t="str">
            <v>INÍRIDA</v>
          </cell>
          <cell r="M7088" t="str">
            <v>3214785150</v>
          </cell>
        </row>
        <row r="7089">
          <cell r="A7089">
            <v>1121713446</v>
          </cell>
          <cell r="B7089" t="str">
            <v/>
          </cell>
          <cell r="C7089" t="str">
            <v/>
          </cell>
          <cell r="D7089" t="str">
            <v>CC</v>
          </cell>
          <cell r="E7089" t="str">
            <v>LUBIAN</v>
          </cell>
          <cell r="F7089" t="str">
            <v>MARTINEZ GONZALEZ</v>
          </cell>
          <cell r="G7089" t="str">
            <v>MARTINEZ GONZALEZ LUBIAN</v>
          </cell>
          <cell r="H7089" t="str">
            <v>RESI</v>
          </cell>
          <cell r="I7089" t="str">
            <v>REGIMEN SIMPLIFICADO</v>
          </cell>
          <cell r="J7089" t="str">
            <v>XX</v>
          </cell>
          <cell r="K7089" t="str">
            <v>08573</v>
          </cell>
          <cell r="L7089" t="str">
            <v>PUERTO COLOMBIA</v>
          </cell>
          <cell r="M7089" t="str">
            <v>XX</v>
          </cell>
        </row>
        <row r="7090">
          <cell r="A7090">
            <v>1121714361</v>
          </cell>
          <cell r="B7090" t="str">
            <v/>
          </cell>
          <cell r="C7090" t="str">
            <v/>
          </cell>
          <cell r="D7090" t="str">
            <v>CC</v>
          </cell>
          <cell r="E7090" t="str">
            <v>ARNOL</v>
          </cell>
          <cell r="F7090" t="str">
            <v>VELA TRUJILLO</v>
          </cell>
          <cell r="G7090" t="str">
            <v>VELA TRUJILLO ARNOL</v>
          </cell>
          <cell r="H7090" t="str">
            <v>FUNC</v>
          </cell>
          <cell r="I7090" t="str">
            <v>FUNCIONARIO</v>
          </cell>
          <cell r="J7090" t="str">
            <v>CL 26   8   38</v>
          </cell>
          <cell r="K7090" t="str">
            <v>94001</v>
          </cell>
          <cell r="L7090" t="str">
            <v>INÍRIDA</v>
          </cell>
          <cell r="M7090" t="str">
            <v>3178491379</v>
          </cell>
        </row>
        <row r="7091">
          <cell r="A7091">
            <v>1121714383</v>
          </cell>
          <cell r="B7091" t="str">
            <v/>
          </cell>
          <cell r="C7091" t="str">
            <v/>
          </cell>
          <cell r="D7091" t="str">
            <v>CC</v>
          </cell>
          <cell r="E7091" t="str">
            <v>NILZON ELIZAR</v>
          </cell>
          <cell r="F7091" t="str">
            <v>VELASQUEZ RODRIGUEZ</v>
          </cell>
          <cell r="G7091" t="str">
            <v>VELASQUEZ RODRIGUEZ NILZON ELIZAR</v>
          </cell>
          <cell r="H7091" t="str">
            <v>FUNC</v>
          </cell>
          <cell r="I7091" t="str">
            <v>FUNCIONARIO</v>
          </cell>
          <cell r="J7091" t="str">
            <v>CL 17 11 43</v>
          </cell>
          <cell r="K7091" t="str">
            <v>94001</v>
          </cell>
          <cell r="L7091" t="str">
            <v>INÍRIDA</v>
          </cell>
          <cell r="M7091" t="str">
            <v>3212740969</v>
          </cell>
        </row>
        <row r="7092">
          <cell r="A7092">
            <v>1121717027</v>
          </cell>
          <cell r="B7092" t="str">
            <v/>
          </cell>
          <cell r="C7092" t="str">
            <v/>
          </cell>
          <cell r="D7092" t="str">
            <v>CC</v>
          </cell>
          <cell r="E7092" t="str">
            <v>YOCENIS KARINA</v>
          </cell>
          <cell r="F7092" t="str">
            <v>GARCIA REYNO</v>
          </cell>
          <cell r="G7092" t="str">
            <v>GARCIA REYNO YOCENIS KARINA</v>
          </cell>
          <cell r="H7092" t="str">
            <v>FUNC</v>
          </cell>
          <cell r="I7092" t="str">
            <v>FUNCIONARIO</v>
          </cell>
          <cell r="J7092" t="str">
            <v>CR 23 26 126</v>
          </cell>
          <cell r="K7092" t="str">
            <v>94001</v>
          </cell>
          <cell r="L7092" t="str">
            <v>INÍRIDA</v>
          </cell>
          <cell r="M7092" t="str">
            <v>3212360463</v>
          </cell>
        </row>
        <row r="7093">
          <cell r="A7093">
            <v>1121720539</v>
          </cell>
          <cell r="B7093" t="str">
            <v/>
          </cell>
          <cell r="C7093" t="str">
            <v/>
          </cell>
          <cell r="D7093" t="str">
            <v>CC</v>
          </cell>
          <cell r="E7093" t="str">
            <v>YINA YOLANY</v>
          </cell>
          <cell r="F7093" t="str">
            <v>MORALES GARZON</v>
          </cell>
          <cell r="G7093" t="str">
            <v>MORALES GARZON YINA YOLANY</v>
          </cell>
          <cell r="H7093" t="str">
            <v>EXFU</v>
          </cell>
          <cell r="I7093" t="str">
            <v>EX-FUNCIONARIOS</v>
          </cell>
          <cell r="J7093" t="str">
            <v>CARRERA 18 N° 2B-36</v>
          </cell>
          <cell r="K7093" t="str">
            <v>15759</v>
          </cell>
          <cell r="L7093" t="str">
            <v>SOGAMOSO</v>
          </cell>
          <cell r="M7093" t="str">
            <v>3143648556</v>
          </cell>
        </row>
        <row r="7094">
          <cell r="A7094">
            <v>1121840325</v>
          </cell>
          <cell r="B7094" t="str">
            <v>2</v>
          </cell>
          <cell r="C7094" t="str">
            <v/>
          </cell>
          <cell r="D7094" t="str">
            <v>NP</v>
          </cell>
          <cell r="E7094" t="str">
            <v>MAGDA VIVIANA</v>
          </cell>
          <cell r="F7094" t="str">
            <v>REYES RAMIREZ</v>
          </cell>
          <cell r="G7094" t="str">
            <v>REYES RAMIREZ MAGDA VIVIANA</v>
          </cell>
          <cell r="H7094" t="str">
            <v>NORE</v>
          </cell>
          <cell r="I7094" t="str">
            <v>NO RESPONSABLE DE IVA</v>
          </cell>
          <cell r="J7094" t="str">
            <v>CR 29   18-03 LC 107 CC HOBO</v>
          </cell>
          <cell r="K7094" t="str">
            <v>85001</v>
          </cell>
          <cell r="L7094" t="str">
            <v>YOPAL</v>
          </cell>
          <cell r="M7094" t="str">
            <v>3214240918</v>
          </cell>
        </row>
        <row r="7095">
          <cell r="A7095">
            <v>1121846436</v>
          </cell>
          <cell r="B7095" t="str">
            <v>9</v>
          </cell>
          <cell r="C7095" t="str">
            <v/>
          </cell>
          <cell r="D7095" t="str">
            <v>NP</v>
          </cell>
          <cell r="E7095" t="str">
            <v>JAZMIN</v>
          </cell>
          <cell r="F7095" t="str">
            <v>ROMERO SIERRA</v>
          </cell>
          <cell r="G7095" t="str">
            <v>ROMERO SIERRA JAZMIN</v>
          </cell>
          <cell r="H7095" t="str">
            <v>NORE</v>
          </cell>
          <cell r="I7095" t="str">
            <v>NO RESPONSABLE DE IVA</v>
          </cell>
          <cell r="J7095" t="str">
            <v>CL 13 13 47 BRR CENTRO</v>
          </cell>
          <cell r="K7095" t="str">
            <v>97001</v>
          </cell>
          <cell r="L7095" t="str">
            <v>MITÚ</v>
          </cell>
          <cell r="M7095" t="str">
            <v>3194367731</v>
          </cell>
        </row>
        <row r="7096">
          <cell r="A7096">
            <v>1121856844</v>
          </cell>
          <cell r="B7096" t="str">
            <v/>
          </cell>
          <cell r="C7096" t="str">
            <v/>
          </cell>
          <cell r="D7096" t="str">
            <v>CC</v>
          </cell>
          <cell r="E7096" t="str">
            <v>GERARDO ALONSO</v>
          </cell>
          <cell r="F7096" t="str">
            <v>PEREZ BOLIVAR</v>
          </cell>
          <cell r="G7096" t="str">
            <v>PEREZ BOLIVAR GERARDO ALONSO</v>
          </cell>
          <cell r="H7096" t="str">
            <v>NORE</v>
          </cell>
          <cell r="I7096" t="str">
            <v>NO RESPONSABLE DE IVA</v>
          </cell>
          <cell r="J7096" t="str">
            <v>MCP MAPIRIPAN</v>
          </cell>
          <cell r="K7096" t="str">
            <v>50325</v>
          </cell>
          <cell r="L7096" t="str">
            <v>MAPIRIPÁN</v>
          </cell>
          <cell r="M7096" t="str">
            <v>3146474989</v>
          </cell>
        </row>
        <row r="7097">
          <cell r="A7097">
            <v>1121858300</v>
          </cell>
          <cell r="B7097" t="str">
            <v>8</v>
          </cell>
          <cell r="C7097" t="str">
            <v/>
          </cell>
          <cell r="D7097" t="str">
            <v>NP</v>
          </cell>
          <cell r="E7097" t="str">
            <v>CLAUDIA JOHANA</v>
          </cell>
          <cell r="F7097" t="str">
            <v>HERRERA SANTAFE</v>
          </cell>
          <cell r="G7097" t="str">
            <v>HERRERA SANTAFE CLAUDIA JOHANA</v>
          </cell>
          <cell r="H7097" t="str">
            <v>RESI</v>
          </cell>
          <cell r="I7097" t="str">
            <v>REGIMEN SIMPLIFICADO</v>
          </cell>
          <cell r="J7097" t="str">
            <v>CR 8 E 20 A 17 SUR AP 406 B TO 1 BRR CONJMIRADOR DEL LLANO</v>
          </cell>
          <cell r="K7097" t="str">
            <v>50001</v>
          </cell>
          <cell r="L7097" t="str">
            <v>VILLAVICENCIO</v>
          </cell>
          <cell r="M7097" t="str">
            <v>3208365499</v>
          </cell>
        </row>
        <row r="7098">
          <cell r="A7098">
            <v>1121859361</v>
          </cell>
          <cell r="B7098" t="str">
            <v/>
          </cell>
          <cell r="C7098" t="str">
            <v/>
          </cell>
          <cell r="D7098" t="str">
            <v>CC</v>
          </cell>
          <cell r="E7098" t="str">
            <v>DIANA MARCELA</v>
          </cell>
          <cell r="F7098" t="str">
            <v>REY PASIVE</v>
          </cell>
          <cell r="G7098" t="str">
            <v>REY PASIVE DIANA MARCELA</v>
          </cell>
          <cell r="H7098" t="str">
            <v>FUNC</v>
          </cell>
          <cell r="I7098" t="str">
            <v>FUNCIONARIO</v>
          </cell>
          <cell r="J7098" t="str">
            <v>CR 13 28 14</v>
          </cell>
          <cell r="K7098" t="str">
            <v>94001</v>
          </cell>
          <cell r="L7098" t="str">
            <v>INÍRIDA</v>
          </cell>
          <cell r="M7098" t="str">
            <v>3212757579</v>
          </cell>
        </row>
        <row r="7099">
          <cell r="A7099">
            <v>1121907051</v>
          </cell>
          <cell r="B7099" t="str">
            <v>1</v>
          </cell>
          <cell r="C7099" t="str">
            <v/>
          </cell>
          <cell r="D7099" t="str">
            <v>NP</v>
          </cell>
          <cell r="E7099" t="str">
            <v>PEDRO ALEJANDRO</v>
          </cell>
          <cell r="F7099" t="str">
            <v>PULIDO MORA</v>
          </cell>
          <cell r="G7099" t="str">
            <v>PULIDO MORA PEDRO ALEJANDRO</v>
          </cell>
          <cell r="H7099" t="str">
            <v>RESI</v>
          </cell>
          <cell r="I7099" t="str">
            <v>REGIMEN SIMPLIFICADO</v>
          </cell>
          <cell r="J7099" t="str">
            <v>BRR SIETE DE AGOSTO</v>
          </cell>
          <cell r="K7099" t="str">
            <v>97001</v>
          </cell>
          <cell r="L7099" t="str">
            <v>MITÚ</v>
          </cell>
          <cell r="M7099" t="str">
            <v>3157665899</v>
          </cell>
        </row>
        <row r="7100">
          <cell r="A7100">
            <v>1121931773</v>
          </cell>
          <cell r="B7100" t="str">
            <v/>
          </cell>
          <cell r="C7100" t="str">
            <v/>
          </cell>
          <cell r="D7100" t="str">
            <v>CC</v>
          </cell>
          <cell r="E7100" t="str">
            <v>HENRY ALEXANDER</v>
          </cell>
          <cell r="F7100" t="str">
            <v>VARGAS LADINO</v>
          </cell>
          <cell r="G7100" t="str">
            <v>VARGAS LADINO HENRY ALEXANDER</v>
          </cell>
          <cell r="H7100" t="str">
            <v>RESI</v>
          </cell>
          <cell r="I7100" t="str">
            <v>REGIMEN SIMPLIFICADO</v>
          </cell>
          <cell r="J7100" t="str">
            <v>VILLAVICENCIO</v>
          </cell>
          <cell r="K7100" t="str">
            <v>50001</v>
          </cell>
          <cell r="L7100" t="str">
            <v>VILLAVICENCIO</v>
          </cell>
          <cell r="M7100" t="str">
            <v>3115796443</v>
          </cell>
        </row>
        <row r="7101">
          <cell r="A7101">
            <v>1121950334</v>
          </cell>
          <cell r="B7101" t="str">
            <v>0</v>
          </cell>
          <cell r="C7101" t="str">
            <v/>
          </cell>
          <cell r="D7101" t="str">
            <v>NP</v>
          </cell>
          <cell r="E7101" t="str">
            <v>ANGIE MELISSA</v>
          </cell>
          <cell r="F7101" t="str">
            <v>PEREZ PEDRAZA</v>
          </cell>
          <cell r="G7101" t="str">
            <v>PEREZ PEDRAZA ANGIE MELISSA</v>
          </cell>
          <cell r="H7101" t="str">
            <v>NORE</v>
          </cell>
          <cell r="I7101" t="str">
            <v>NO RESPONSABLE DE IVA</v>
          </cell>
          <cell r="J7101" t="str">
            <v>CL 17 A 08 69 BRR CUERVO ARAOZ</v>
          </cell>
          <cell r="K7101" t="str">
            <v>97001</v>
          </cell>
          <cell r="L7101" t="str">
            <v>MITÚ</v>
          </cell>
          <cell r="M7101" t="str">
            <v>3228129931</v>
          </cell>
        </row>
        <row r="7102">
          <cell r="A7102">
            <v>1122237460</v>
          </cell>
          <cell r="B7102" t="str">
            <v>7</v>
          </cell>
          <cell r="C7102" t="str">
            <v/>
          </cell>
          <cell r="D7102" t="str">
            <v>NP</v>
          </cell>
          <cell r="E7102" t="str">
            <v>VLADIMIR ARLEY</v>
          </cell>
          <cell r="F7102" t="str">
            <v>PULIDO GODOY</v>
          </cell>
          <cell r="G7102" t="str">
            <v>PULIDO GODOY VLADIMIR ARLEY</v>
          </cell>
          <cell r="H7102" t="str">
            <v>RESI</v>
          </cell>
          <cell r="I7102" t="str">
            <v>REGIMEN SIMPLIFICADO</v>
          </cell>
          <cell r="J7102" t="str">
            <v>CL PRINCIPAL CR 8 CL 8</v>
          </cell>
          <cell r="K7102" t="str">
            <v>97001</v>
          </cell>
          <cell r="L7102" t="str">
            <v>MITÚ</v>
          </cell>
          <cell r="M7102" t="str">
            <v>3195067775</v>
          </cell>
        </row>
        <row r="7103">
          <cell r="A7103">
            <v>1122646890</v>
          </cell>
          <cell r="B7103" t="str">
            <v>5</v>
          </cell>
          <cell r="C7103" t="str">
            <v/>
          </cell>
          <cell r="D7103" t="str">
            <v>NP</v>
          </cell>
          <cell r="E7103" t="str">
            <v>JUAN CAMILO</v>
          </cell>
          <cell r="F7103" t="str">
            <v>AGUADO HERNANDEZ</v>
          </cell>
          <cell r="G7103" t="str">
            <v>AGUADO HERNANDEZ JUAN CAMILO</v>
          </cell>
          <cell r="H7103" t="str">
            <v>NORE</v>
          </cell>
          <cell r="I7103" t="str">
            <v>NO RESPONSABLE DE IVA</v>
          </cell>
          <cell r="J7103" t="str">
            <v>CR 13 28 14 BRR LA VORAGINE</v>
          </cell>
          <cell r="K7103" t="str">
            <v>94001</v>
          </cell>
          <cell r="L7103" t="str">
            <v>INÍRIDA</v>
          </cell>
          <cell r="M7103" t="str">
            <v>3226583624</v>
          </cell>
        </row>
        <row r="7104">
          <cell r="A7104">
            <v>1123205407</v>
          </cell>
          <cell r="B7104" t="str">
            <v/>
          </cell>
          <cell r="C7104" t="str">
            <v/>
          </cell>
          <cell r="D7104" t="str">
            <v>CC</v>
          </cell>
          <cell r="E7104" t="str">
            <v>BLADIMIR</v>
          </cell>
          <cell r="F7104" t="str">
            <v>MARTINEZ ORTIZ</v>
          </cell>
          <cell r="G7104" t="str">
            <v>MARTINEZ ORTIZ BLADIMIR</v>
          </cell>
          <cell r="H7104" t="str">
            <v>RESI</v>
          </cell>
          <cell r="I7104" t="str">
            <v>REGIMEN SIMPLIFICADO</v>
          </cell>
          <cell r="J7104" t="str">
            <v>PUERTO ASIS PUTUMAYO</v>
          </cell>
          <cell r="K7104" t="str">
            <v>17001</v>
          </cell>
          <cell r="L7104" t="str">
            <v>MANIZALES</v>
          </cell>
          <cell r="M7104" t="str">
            <v>XXX</v>
          </cell>
        </row>
        <row r="7105">
          <cell r="A7105">
            <v>1123302852</v>
          </cell>
          <cell r="B7105" t="str">
            <v/>
          </cell>
          <cell r="C7105" t="str">
            <v/>
          </cell>
          <cell r="D7105" t="str">
            <v>CC</v>
          </cell>
          <cell r="E7105" t="str">
            <v>DANIEL ISAAC</v>
          </cell>
          <cell r="F7105" t="str">
            <v>PEREZ MORA</v>
          </cell>
          <cell r="G7105" t="str">
            <v>PEREZ MORA DANIEL ISAAC</v>
          </cell>
          <cell r="H7105" t="str">
            <v>RESI</v>
          </cell>
          <cell r="I7105" t="str">
            <v>REGIMEN SIMPLIFICADO</v>
          </cell>
          <cell r="J7105" t="str">
            <v>PUERTO ASIS PUTUMAYO</v>
          </cell>
          <cell r="K7105" t="str">
            <v>17001</v>
          </cell>
          <cell r="L7105" t="str">
            <v>MANIZALES</v>
          </cell>
          <cell r="M7105" t="str">
            <v>XXX</v>
          </cell>
        </row>
        <row r="7106">
          <cell r="A7106">
            <v>1123311064</v>
          </cell>
          <cell r="B7106" t="str">
            <v/>
          </cell>
          <cell r="C7106" t="str">
            <v/>
          </cell>
          <cell r="D7106" t="str">
            <v>CC</v>
          </cell>
          <cell r="E7106" t="str">
            <v>ANDRES CAMILO</v>
          </cell>
          <cell r="F7106" t="str">
            <v>ESCARPETA FIGUEROA</v>
          </cell>
          <cell r="G7106" t="str">
            <v>ESCARPETA FIGUEROA ANDRES CAMILO</v>
          </cell>
          <cell r="H7106" t="str">
            <v>RESI</v>
          </cell>
          <cell r="I7106" t="str">
            <v>REGIMEN SIMPLIFICADO</v>
          </cell>
          <cell r="J7106" t="str">
            <v>PUERTO ASIS PUTUMAYO</v>
          </cell>
          <cell r="K7106" t="str">
            <v>17001</v>
          </cell>
          <cell r="L7106" t="str">
            <v>MANIZALES</v>
          </cell>
          <cell r="M7106" t="str">
            <v>XXX</v>
          </cell>
        </row>
        <row r="7107">
          <cell r="A7107">
            <v>1123627792</v>
          </cell>
          <cell r="B7107" t="str">
            <v>4</v>
          </cell>
          <cell r="C7107" t="str">
            <v/>
          </cell>
          <cell r="D7107" t="str">
            <v>NP</v>
          </cell>
          <cell r="E7107" t="str">
            <v>SERGIO ALEJANDRO</v>
          </cell>
          <cell r="F7107" t="str">
            <v>WILSON VASQUEZ</v>
          </cell>
          <cell r="G7107" t="str">
            <v>WILSON VASQUEZ SERGIO ALEJANDRO</v>
          </cell>
          <cell r="H7107" t="str">
            <v>RESI</v>
          </cell>
          <cell r="I7107" t="str">
            <v>REGIMEN SIMPLIFICADO</v>
          </cell>
          <cell r="J7107" t="str">
            <v>BRR LA ROCOSA SEGUNDA ENTRADA CA AL LADO CANCHA DE LOS TURCOS</v>
          </cell>
          <cell r="K7107" t="str">
            <v>88001</v>
          </cell>
          <cell r="L7107" t="str">
            <v>SAN ANDRÉS</v>
          </cell>
          <cell r="M7107" t="str">
            <v>3162296150</v>
          </cell>
        </row>
        <row r="7108">
          <cell r="A7108">
            <v>1123790214</v>
          </cell>
          <cell r="B7108" t="str">
            <v/>
          </cell>
          <cell r="C7108" t="str">
            <v/>
          </cell>
          <cell r="D7108" t="str">
            <v>NE</v>
          </cell>
          <cell r="E7108" t="str">
            <v/>
          </cell>
          <cell r="F7108" t="str">
            <v/>
          </cell>
          <cell r="G7108" t="str">
            <v>LEITNER AG / SpA</v>
          </cell>
          <cell r="H7108" t="str">
            <v>EXTR</v>
          </cell>
          <cell r="I7108" t="str">
            <v>EXTRANJERO</v>
          </cell>
          <cell r="J7108" t="str">
            <v>VIA BRENNERO 34 IT 39049 VIPITENO STERZING</v>
          </cell>
          <cell r="K7108" t="str">
            <v>11001</v>
          </cell>
          <cell r="L7108" t="str">
            <v>BOGOTA DC</v>
          </cell>
          <cell r="M7108" t="str">
            <v>390472722111</v>
          </cell>
        </row>
        <row r="7109">
          <cell r="A7109">
            <v>1125468255</v>
          </cell>
          <cell r="B7109" t="str">
            <v/>
          </cell>
          <cell r="C7109" t="str">
            <v/>
          </cell>
          <cell r="D7109" t="str">
            <v>CC</v>
          </cell>
          <cell r="E7109" t="str">
            <v>CRISTIAN DANILO</v>
          </cell>
          <cell r="F7109" t="str">
            <v>MARTINEZ RAMIREZ</v>
          </cell>
          <cell r="G7109" t="str">
            <v>MARTINEZ RAMIREZ CRISTIAN DANILO</v>
          </cell>
          <cell r="H7109" t="str">
            <v>FUNC</v>
          </cell>
          <cell r="I7109" t="str">
            <v>FUNCIONARIO</v>
          </cell>
          <cell r="J7109" t="str">
            <v>BRR 13 DE JUNIO MITU</v>
          </cell>
          <cell r="K7109" t="str">
            <v>97001</v>
          </cell>
          <cell r="L7109" t="str">
            <v>MITÚ</v>
          </cell>
          <cell r="M7109" t="str">
            <v>3103335157</v>
          </cell>
        </row>
        <row r="7110">
          <cell r="A7110">
            <v>1125468421</v>
          </cell>
          <cell r="B7110" t="str">
            <v/>
          </cell>
          <cell r="C7110" t="str">
            <v/>
          </cell>
          <cell r="D7110" t="str">
            <v>CC</v>
          </cell>
          <cell r="E7110" t="str">
            <v>OSWALDO DE JESUS</v>
          </cell>
          <cell r="F7110" t="str">
            <v>PINILLA GONZALEZ</v>
          </cell>
          <cell r="G7110" t="str">
            <v>PINILLA GONZALEZ OSWALDO DE JESUS</v>
          </cell>
          <cell r="H7110" t="str">
            <v>EXFU</v>
          </cell>
          <cell r="I7110" t="str">
            <v>EX-FUNCIONARIOS</v>
          </cell>
          <cell r="J7110" t="str">
            <v>CL 5 17 A 40</v>
          </cell>
          <cell r="K7110" t="str">
            <v>97001</v>
          </cell>
          <cell r="L7110" t="str">
            <v>MITÚ</v>
          </cell>
          <cell r="M7110" t="str">
            <v>3106886385</v>
          </cell>
        </row>
        <row r="7111">
          <cell r="A7111">
            <v>1125468599</v>
          </cell>
          <cell r="B7111" t="str">
            <v/>
          </cell>
          <cell r="C7111" t="str">
            <v/>
          </cell>
          <cell r="D7111" t="str">
            <v>CC</v>
          </cell>
          <cell r="E7111" t="str">
            <v>WILMAR</v>
          </cell>
          <cell r="F7111" t="str">
            <v>PEREZ MONTALVO</v>
          </cell>
          <cell r="G7111" t="str">
            <v>PEREZ MONTALVO WILMAR</v>
          </cell>
          <cell r="H7111" t="str">
            <v>FUNC</v>
          </cell>
          <cell r="I7111" t="str">
            <v>FUNCIONARIO</v>
          </cell>
          <cell r="J7111" t="str">
            <v>CR 13 BRR TRECE DE JUNIO</v>
          </cell>
          <cell r="K7111" t="str">
            <v>97001</v>
          </cell>
          <cell r="L7111" t="str">
            <v>MITÚ</v>
          </cell>
          <cell r="M7111" t="str">
            <v>3165897430</v>
          </cell>
        </row>
        <row r="7112">
          <cell r="A7112">
            <v>1125469267</v>
          </cell>
          <cell r="B7112" t="str">
            <v/>
          </cell>
          <cell r="C7112" t="str">
            <v/>
          </cell>
          <cell r="D7112" t="str">
            <v>CC</v>
          </cell>
          <cell r="E7112" t="str">
            <v>CARLOS EDUARDO</v>
          </cell>
          <cell r="F7112" t="str">
            <v>RODRIGUEZ RAMIREZ</v>
          </cell>
          <cell r="G7112" t="str">
            <v>RODRIGUEZ RAMIREZ CARLOS EDUARDO</v>
          </cell>
          <cell r="H7112" t="str">
            <v>FUNC</v>
          </cell>
          <cell r="I7112" t="str">
            <v>FUNCIONARIO</v>
          </cell>
          <cell r="J7112" t="str">
            <v>YARARAKA</v>
          </cell>
          <cell r="K7112" t="str">
            <v>17001</v>
          </cell>
          <cell r="L7112" t="str">
            <v>MANIZALES</v>
          </cell>
          <cell r="M7112" t="str">
            <v>3134474408</v>
          </cell>
        </row>
        <row r="7113">
          <cell r="A7113">
            <v>1125469317</v>
          </cell>
          <cell r="B7113" t="str">
            <v/>
          </cell>
          <cell r="C7113" t="str">
            <v/>
          </cell>
          <cell r="D7113" t="str">
            <v>CC</v>
          </cell>
          <cell r="E7113" t="str">
            <v>JHONATAN ALBEIRO</v>
          </cell>
          <cell r="F7113" t="str">
            <v>MUÑOZ ALEMAN</v>
          </cell>
          <cell r="G7113" t="str">
            <v>MUÑOZ ALEMAN JHONATAN ALBEIRO</v>
          </cell>
          <cell r="H7113" t="str">
            <v>FUNC</v>
          </cell>
          <cell r="I7113" t="str">
            <v>FUNCIONARIO</v>
          </cell>
          <cell r="J7113" t="str">
            <v>TV 13     12   12</v>
          </cell>
          <cell r="K7113" t="str">
            <v>97001</v>
          </cell>
          <cell r="L7113" t="str">
            <v>MITÚ</v>
          </cell>
          <cell r="M7113" t="str">
            <v>3126727578</v>
          </cell>
        </row>
        <row r="7114">
          <cell r="A7114">
            <v>1125469332</v>
          </cell>
          <cell r="B7114" t="str">
            <v>9</v>
          </cell>
          <cell r="C7114" t="str">
            <v/>
          </cell>
          <cell r="D7114" t="str">
            <v>NP</v>
          </cell>
          <cell r="E7114" t="str">
            <v>JUAN</v>
          </cell>
          <cell r="F7114" t="str">
            <v>ROYERO MANOSALVA</v>
          </cell>
          <cell r="G7114" t="str">
            <v>ROYERO MANOSALVA JUAN</v>
          </cell>
          <cell r="H7114" t="str">
            <v>RESI</v>
          </cell>
          <cell r="I7114" t="str">
            <v>REGIMEN SIMPLIFICADO</v>
          </cell>
          <cell r="J7114" t="str">
            <v>CL 10 13 04 BRR LA UNION</v>
          </cell>
          <cell r="K7114" t="str">
            <v>97001</v>
          </cell>
          <cell r="L7114" t="str">
            <v>MITÚ</v>
          </cell>
          <cell r="M7114" t="str">
            <v>3112342910</v>
          </cell>
        </row>
        <row r="7115">
          <cell r="A7115">
            <v>1125469340</v>
          </cell>
          <cell r="B7115" t="str">
            <v/>
          </cell>
          <cell r="C7115" t="str">
            <v/>
          </cell>
          <cell r="D7115" t="str">
            <v>CC</v>
          </cell>
          <cell r="E7115" t="str">
            <v>JUAN CARLOS</v>
          </cell>
          <cell r="F7115" t="str">
            <v>RAMIREZ MARTINEZ</v>
          </cell>
          <cell r="G7115" t="str">
            <v>RAMIREZ MARTINEZ JUAN CARLOS</v>
          </cell>
          <cell r="H7115" t="str">
            <v>FUNC</v>
          </cell>
          <cell r="I7115" t="str">
            <v>FUNCIONARIO</v>
          </cell>
          <cell r="J7115" t="str">
            <v>COMUNIDAD TRE DE JUNIO</v>
          </cell>
          <cell r="K7115" t="str">
            <v>97001</v>
          </cell>
          <cell r="L7115" t="str">
            <v>MITÚ</v>
          </cell>
          <cell r="M7115" t="str">
            <v>3102319036</v>
          </cell>
        </row>
        <row r="7116">
          <cell r="A7116">
            <v>1125469376</v>
          </cell>
          <cell r="B7116" t="str">
            <v/>
          </cell>
          <cell r="C7116" t="str">
            <v/>
          </cell>
          <cell r="D7116" t="str">
            <v>CC</v>
          </cell>
          <cell r="E7116" t="str">
            <v>NESTOR GABRIEL</v>
          </cell>
          <cell r="F7116" t="str">
            <v>PAIVA URIBE</v>
          </cell>
          <cell r="G7116" t="str">
            <v>PAIVA URIBE NESTOR GABRIEL</v>
          </cell>
          <cell r="H7116" t="str">
            <v>FUNC</v>
          </cell>
          <cell r="I7116" t="str">
            <v>FUNCIONARIO</v>
          </cell>
          <cell r="J7116" t="str">
            <v>BRR CINCO DE DICIEMBRE</v>
          </cell>
          <cell r="K7116" t="str">
            <v>97001</v>
          </cell>
          <cell r="L7116" t="str">
            <v>MITÚ</v>
          </cell>
          <cell r="M7116" t="str">
            <v>0</v>
          </cell>
        </row>
        <row r="7117">
          <cell r="A7117">
            <v>1125470034</v>
          </cell>
          <cell r="B7117" t="str">
            <v>0</v>
          </cell>
          <cell r="C7117" t="str">
            <v/>
          </cell>
          <cell r="D7117" t="str">
            <v>NP</v>
          </cell>
          <cell r="E7117" t="str">
            <v>LORCY LILIANA</v>
          </cell>
          <cell r="F7117" t="str">
            <v>MEJIA TRUJILLO</v>
          </cell>
          <cell r="G7117" t="str">
            <v>MEJIA TRUJILLO LORCY LILIANA</v>
          </cell>
          <cell r="H7117" t="str">
            <v>RESI</v>
          </cell>
          <cell r="I7117" t="str">
            <v>REGIMEN SIMPLIFICADO</v>
          </cell>
          <cell r="J7117" t="str">
            <v>CR 6 7 46 BRR INAYA</v>
          </cell>
          <cell r="K7117" t="str">
            <v>97001</v>
          </cell>
          <cell r="L7117" t="str">
            <v>MITÚ</v>
          </cell>
          <cell r="M7117" t="str">
            <v>3175210472</v>
          </cell>
        </row>
        <row r="7118">
          <cell r="A7118">
            <v>1125470060</v>
          </cell>
          <cell r="B7118" t="str">
            <v/>
          </cell>
          <cell r="C7118" t="str">
            <v/>
          </cell>
          <cell r="D7118" t="str">
            <v>CC</v>
          </cell>
          <cell r="E7118" t="str">
            <v>WILLIAM BENJAMIN</v>
          </cell>
          <cell r="F7118" t="str">
            <v>CASTILLO MURILLO</v>
          </cell>
          <cell r="G7118" t="str">
            <v>CASTILLO MURILLO WILLIAM BENJAMIN</v>
          </cell>
          <cell r="H7118" t="str">
            <v>FUNC</v>
          </cell>
          <cell r="I7118" t="str">
            <v>FUNCIONARIO</v>
          </cell>
          <cell r="J7118" t="str">
            <v>CL 14 3 12</v>
          </cell>
          <cell r="K7118" t="str">
            <v>97001</v>
          </cell>
          <cell r="L7118" t="str">
            <v>MITÚ</v>
          </cell>
          <cell r="M7118" t="str">
            <v>3102633602</v>
          </cell>
        </row>
        <row r="7119">
          <cell r="A7119">
            <v>1125470224</v>
          </cell>
          <cell r="B7119" t="str">
            <v>3</v>
          </cell>
          <cell r="C7119" t="str">
            <v/>
          </cell>
          <cell r="D7119" t="str">
            <v>NP</v>
          </cell>
          <cell r="E7119" t="str">
            <v>DIANA CAMILA</v>
          </cell>
          <cell r="F7119" t="str">
            <v>MARTINEZ NEIRA</v>
          </cell>
          <cell r="G7119" t="str">
            <v>MARTINEZ NEIRA DIANA CAMILA</v>
          </cell>
          <cell r="H7119" t="str">
            <v>PNSA</v>
          </cell>
          <cell r="I7119" t="str">
            <v>PNA NATURAL SIN ACTIVIDAD ECONOC</v>
          </cell>
          <cell r="J7119" t="str">
            <v>BRR EL PROGRESO</v>
          </cell>
          <cell r="K7119" t="str">
            <v>97001</v>
          </cell>
          <cell r="L7119" t="str">
            <v>MITÚ</v>
          </cell>
          <cell r="M7119" t="str">
            <v>3223046795</v>
          </cell>
        </row>
        <row r="7120">
          <cell r="A7120">
            <v>1125470600</v>
          </cell>
          <cell r="B7120" t="str">
            <v/>
          </cell>
          <cell r="C7120" t="str">
            <v/>
          </cell>
          <cell r="D7120" t="str">
            <v>CC</v>
          </cell>
          <cell r="E7120" t="str">
            <v>ANDRES</v>
          </cell>
          <cell r="F7120" t="str">
            <v>MORALES CARRASQUILLA</v>
          </cell>
          <cell r="G7120" t="str">
            <v>MORALES CARRASQUILLA ANDRES</v>
          </cell>
          <cell r="H7120" t="str">
            <v>FUNC</v>
          </cell>
          <cell r="I7120" t="str">
            <v>FUNCIONARIO</v>
          </cell>
          <cell r="J7120" t="str">
            <v>BRR OCTUBRE 12</v>
          </cell>
          <cell r="K7120" t="str">
            <v>97001</v>
          </cell>
          <cell r="L7120" t="str">
            <v>MITÚ</v>
          </cell>
          <cell r="M7120" t="str">
            <v>3224744686</v>
          </cell>
        </row>
        <row r="7121">
          <cell r="A7121">
            <v>1125470684</v>
          </cell>
          <cell r="B7121" t="str">
            <v/>
          </cell>
          <cell r="C7121" t="str">
            <v/>
          </cell>
          <cell r="D7121" t="str">
            <v>CC</v>
          </cell>
          <cell r="E7121" t="str">
            <v>ALEX DE JESUS</v>
          </cell>
          <cell r="F7121" t="str">
            <v>LONDOÑO AVENDAÑO</v>
          </cell>
          <cell r="G7121" t="str">
            <v>LONDOÑO AVENDAÑO ALEX DE JESUS</v>
          </cell>
          <cell r="H7121" t="str">
            <v>FUNC</v>
          </cell>
          <cell r="I7121" t="str">
            <v>FUNCIONARIO</v>
          </cell>
          <cell r="J7121" t="str">
            <v>CLL 6 NO  6 0 MITU VAUPES</v>
          </cell>
          <cell r="K7121" t="str">
            <v>97001</v>
          </cell>
          <cell r="L7121" t="str">
            <v>MITÚ</v>
          </cell>
          <cell r="M7121" t="str">
            <v>3138189354</v>
          </cell>
        </row>
        <row r="7122">
          <cell r="A7122">
            <v>1125470850</v>
          </cell>
          <cell r="B7122" t="str">
            <v/>
          </cell>
          <cell r="C7122" t="str">
            <v/>
          </cell>
          <cell r="D7122" t="str">
            <v>CC</v>
          </cell>
          <cell r="E7122" t="str">
            <v>INDIRA MARELY</v>
          </cell>
          <cell r="F7122" t="str">
            <v>MONTAÑA SANCHEZ</v>
          </cell>
          <cell r="G7122" t="str">
            <v>MONTAÑA SANCHEZ INDIRA MARELY</v>
          </cell>
          <cell r="H7122" t="str">
            <v>FUNC</v>
          </cell>
          <cell r="I7122" t="str">
            <v>FUNCIONARIO</v>
          </cell>
          <cell r="J7122" t="str">
            <v>CL 19 7 136</v>
          </cell>
          <cell r="K7122" t="str">
            <v>97001</v>
          </cell>
          <cell r="L7122" t="str">
            <v>MITÚ</v>
          </cell>
          <cell r="M7122" t="str">
            <v>3168131014</v>
          </cell>
        </row>
        <row r="7123">
          <cell r="A7123">
            <v>1125471358</v>
          </cell>
          <cell r="B7123" t="str">
            <v/>
          </cell>
          <cell r="C7123" t="str">
            <v/>
          </cell>
          <cell r="D7123" t="str">
            <v>CC</v>
          </cell>
          <cell r="E7123" t="str">
            <v>SERGIO NORBERTO</v>
          </cell>
          <cell r="F7123" t="str">
            <v>SANDOVAL ORTIZ</v>
          </cell>
          <cell r="G7123" t="str">
            <v>SANDOVAL ORTIZ SERGIO NORBERTO</v>
          </cell>
          <cell r="H7123" t="str">
            <v>FUNC</v>
          </cell>
          <cell r="I7123" t="str">
            <v>FUNCIONARIO</v>
          </cell>
          <cell r="J7123" t="str">
            <v>BRR LA UNION</v>
          </cell>
          <cell r="K7123" t="str">
            <v>17001</v>
          </cell>
          <cell r="L7123" t="str">
            <v>MANIZALES</v>
          </cell>
          <cell r="M7123" t="str">
            <v>3186810197</v>
          </cell>
        </row>
        <row r="7124">
          <cell r="A7124">
            <v>1125471834</v>
          </cell>
          <cell r="B7124" t="str">
            <v/>
          </cell>
          <cell r="C7124" t="str">
            <v/>
          </cell>
          <cell r="D7124" t="str">
            <v>CC</v>
          </cell>
          <cell r="E7124" t="str">
            <v>ANDERSON AARON</v>
          </cell>
          <cell r="F7124" t="str">
            <v>MAYA CAICEDO</v>
          </cell>
          <cell r="G7124" t="str">
            <v>MAYA CAICEDO ANDERSON AARON</v>
          </cell>
          <cell r="H7124" t="str">
            <v>FUNC</v>
          </cell>
          <cell r="I7124" t="str">
            <v>FUNCIONARIO</v>
          </cell>
          <cell r="J7124" t="str">
            <v>BRR LAS BRISAS</v>
          </cell>
          <cell r="K7124" t="str">
            <v>97001</v>
          </cell>
          <cell r="L7124" t="str">
            <v>MITÚ</v>
          </cell>
          <cell r="M7124" t="str">
            <v>3212046798</v>
          </cell>
        </row>
        <row r="7125">
          <cell r="A7125">
            <v>1125471922</v>
          </cell>
          <cell r="B7125" t="str">
            <v/>
          </cell>
          <cell r="C7125" t="str">
            <v/>
          </cell>
          <cell r="D7125" t="str">
            <v>CC</v>
          </cell>
          <cell r="E7125" t="str">
            <v>MIGUEL ANGEL</v>
          </cell>
          <cell r="F7125" t="str">
            <v>GOMEZ MARTINEZ</v>
          </cell>
          <cell r="G7125" t="str">
            <v>GOMEZ MARTINEZ MIGUEL ANGEL</v>
          </cell>
          <cell r="H7125" t="str">
            <v>FUNC</v>
          </cell>
          <cell r="I7125" t="str">
            <v>FUNCIONARIO</v>
          </cell>
          <cell r="J7125" t="str">
            <v>CL 2 C 7 176</v>
          </cell>
          <cell r="K7125" t="str">
            <v>97001</v>
          </cell>
          <cell r="L7125" t="str">
            <v>MITÚ</v>
          </cell>
          <cell r="M7125" t="str">
            <v>3116586952</v>
          </cell>
        </row>
        <row r="7126">
          <cell r="A7126">
            <v>1125472242</v>
          </cell>
          <cell r="B7126" t="str">
            <v/>
          </cell>
          <cell r="C7126" t="str">
            <v/>
          </cell>
          <cell r="D7126" t="str">
            <v>CC</v>
          </cell>
          <cell r="E7126" t="str">
            <v>KAREN IRENIA</v>
          </cell>
          <cell r="F7126" t="str">
            <v>BURGOS ROMERO</v>
          </cell>
          <cell r="G7126" t="str">
            <v>BURGOS ROMERO KAREN IRENIA</v>
          </cell>
          <cell r="H7126" t="str">
            <v>FUNC</v>
          </cell>
          <cell r="I7126" t="str">
            <v>FUNCIONARIO</v>
          </cell>
          <cell r="J7126" t="str">
            <v>1111111</v>
          </cell>
          <cell r="K7126" t="str">
            <v>17001</v>
          </cell>
          <cell r="L7126" t="str">
            <v>MANIZALES</v>
          </cell>
          <cell r="M7126" t="str">
            <v>3124570161</v>
          </cell>
        </row>
        <row r="7127">
          <cell r="A7127">
            <v>1125472873</v>
          </cell>
          <cell r="B7127" t="str">
            <v/>
          </cell>
          <cell r="C7127" t="str">
            <v/>
          </cell>
          <cell r="D7127" t="str">
            <v>CC</v>
          </cell>
          <cell r="E7127" t="str">
            <v>JOSE WILBER</v>
          </cell>
          <cell r="F7127" t="str">
            <v>ALEMAN RAMIREZ</v>
          </cell>
          <cell r="G7127" t="str">
            <v>ALEMAN RAMIREZ JOSE WILBER</v>
          </cell>
          <cell r="H7127" t="str">
            <v>FUNC</v>
          </cell>
          <cell r="I7127" t="str">
            <v>FUNCIONARIO</v>
          </cell>
          <cell r="J7127" t="str">
            <v>Barrio Villa Alix</v>
          </cell>
          <cell r="K7127" t="str">
            <v>17001</v>
          </cell>
          <cell r="L7127" t="str">
            <v>MANIZALES</v>
          </cell>
          <cell r="M7127" t="str">
            <v>5214291</v>
          </cell>
        </row>
        <row r="7128">
          <cell r="A7128">
            <v>1125473266</v>
          </cell>
          <cell r="B7128" t="str">
            <v/>
          </cell>
          <cell r="C7128" t="str">
            <v/>
          </cell>
          <cell r="D7128" t="str">
            <v>CC</v>
          </cell>
          <cell r="E7128" t="str">
            <v>INGRI</v>
          </cell>
          <cell r="F7128" t="str">
            <v>VALENCIA CASTAÑEDA</v>
          </cell>
          <cell r="G7128" t="str">
            <v>VALENCIA CASTAÑEDA INGRI</v>
          </cell>
          <cell r="H7128" t="str">
            <v>EXFU</v>
          </cell>
          <cell r="I7128" t="str">
            <v>EX-FUNCIONARIOS</v>
          </cell>
          <cell r="J7128" t="str">
            <v>CL 19 7 75</v>
          </cell>
          <cell r="K7128" t="str">
            <v>97001</v>
          </cell>
          <cell r="L7128" t="str">
            <v>MITÚ</v>
          </cell>
          <cell r="M7128" t="str">
            <v>3126499652</v>
          </cell>
        </row>
        <row r="7129">
          <cell r="A7129">
            <v>1125474046</v>
          </cell>
          <cell r="B7129" t="str">
            <v/>
          </cell>
          <cell r="C7129" t="str">
            <v/>
          </cell>
          <cell r="D7129" t="str">
            <v>CC</v>
          </cell>
          <cell r="E7129" t="str">
            <v>DIEGO</v>
          </cell>
          <cell r="F7129" t="str">
            <v>CARO LOPEZ</v>
          </cell>
          <cell r="G7129" t="str">
            <v>CARO LOPEZ DIEGO</v>
          </cell>
          <cell r="H7129" t="str">
            <v>FUNC</v>
          </cell>
          <cell r="I7129" t="str">
            <v>FUNCIONARIO</v>
          </cell>
          <cell r="J7129" t="str">
            <v>CL 14   13   96</v>
          </cell>
          <cell r="K7129" t="str">
            <v>97001</v>
          </cell>
          <cell r="L7129" t="str">
            <v>MITÚ</v>
          </cell>
          <cell r="M7129" t="str">
            <v>3147216016</v>
          </cell>
        </row>
        <row r="7130">
          <cell r="A7130">
            <v>1125474696</v>
          </cell>
          <cell r="B7130" t="str">
            <v>4</v>
          </cell>
          <cell r="C7130" t="str">
            <v/>
          </cell>
          <cell r="D7130" t="str">
            <v>NP</v>
          </cell>
          <cell r="E7130" t="str">
            <v>MARIA FERNANDA</v>
          </cell>
          <cell r="F7130" t="str">
            <v>PIMENTEL COSTA</v>
          </cell>
          <cell r="G7130" t="str">
            <v>PIMENTEL COSTA MARIA FERNANDA</v>
          </cell>
          <cell r="H7130" t="str">
            <v>NORE</v>
          </cell>
          <cell r="I7130" t="str">
            <v>NO RESPONSABLE DE IVA</v>
          </cell>
          <cell r="J7130" t="str">
            <v>CR 13 A # 15 A-87 CENTRO A.</v>
          </cell>
          <cell r="K7130" t="str">
            <v>97001</v>
          </cell>
          <cell r="L7130" t="str">
            <v>MITÚ</v>
          </cell>
          <cell r="M7130" t="str">
            <v>3106243786</v>
          </cell>
        </row>
        <row r="7131">
          <cell r="A7131">
            <v>1125474905</v>
          </cell>
          <cell r="B7131" t="str">
            <v/>
          </cell>
          <cell r="C7131" t="str">
            <v/>
          </cell>
          <cell r="D7131" t="str">
            <v>CC</v>
          </cell>
          <cell r="E7131" t="str">
            <v>YULEICY NAYIVE</v>
          </cell>
          <cell r="F7131" t="str">
            <v>REY SANCHEZ</v>
          </cell>
          <cell r="G7131" t="str">
            <v>REY SANCHEZ YULEICY NAYIVE</v>
          </cell>
          <cell r="H7131" t="str">
            <v>FUNC</v>
          </cell>
          <cell r="I7131" t="str">
            <v>FUNCIONARIO</v>
          </cell>
          <cell r="J7131" t="str">
            <v>CL 20 3 56</v>
          </cell>
          <cell r="K7131" t="str">
            <v>17001</v>
          </cell>
          <cell r="L7131" t="str">
            <v>MANIZALES</v>
          </cell>
          <cell r="M7131" t="str">
            <v>3188772335</v>
          </cell>
        </row>
        <row r="7132">
          <cell r="A7132">
            <v>1125474944</v>
          </cell>
          <cell r="B7132" t="str">
            <v/>
          </cell>
          <cell r="C7132" t="str">
            <v/>
          </cell>
          <cell r="D7132" t="str">
            <v>CC</v>
          </cell>
          <cell r="E7132" t="str">
            <v>JARLY DALIDA</v>
          </cell>
          <cell r="F7132" t="str">
            <v>CONTRERAS ROMERO</v>
          </cell>
          <cell r="G7132" t="str">
            <v>CONTRERAS ROMERO JARLY DALIDA</v>
          </cell>
          <cell r="H7132" t="str">
            <v>FUNC</v>
          </cell>
          <cell r="I7132" t="str">
            <v>FUNCIONARIO</v>
          </cell>
          <cell r="J7132" t="str">
            <v>CR 9 M T   17 50</v>
          </cell>
          <cell r="K7132" t="str">
            <v>97001</v>
          </cell>
          <cell r="L7132" t="str">
            <v>MITÚ</v>
          </cell>
          <cell r="M7132" t="str">
            <v>3227282147</v>
          </cell>
        </row>
        <row r="7133">
          <cell r="A7133">
            <v>1125474964</v>
          </cell>
          <cell r="B7133" t="str">
            <v/>
          </cell>
          <cell r="C7133" t="str">
            <v/>
          </cell>
          <cell r="D7133" t="str">
            <v>CC</v>
          </cell>
          <cell r="E7133" t="str">
            <v>MANUEL GIOVANNI</v>
          </cell>
          <cell r="F7133" t="str">
            <v>CABALLERO GUERRERO</v>
          </cell>
          <cell r="G7133" t="str">
            <v>CABALLERO GUERRERO MANUEL GIOVANNI</v>
          </cell>
          <cell r="H7133" t="str">
            <v>FUNC</v>
          </cell>
          <cell r="I7133" t="str">
            <v>FUNCIONARIO</v>
          </cell>
          <cell r="J7133" t="str">
            <v>CLLE 17 # 3 -10</v>
          </cell>
          <cell r="K7133" t="str">
            <v>97001</v>
          </cell>
          <cell r="L7133" t="str">
            <v>MITÚ</v>
          </cell>
          <cell r="M7133" t="str">
            <v>3212412740</v>
          </cell>
        </row>
        <row r="7134">
          <cell r="A7134">
            <v>1125475592</v>
          </cell>
          <cell r="B7134" t="str">
            <v/>
          </cell>
          <cell r="C7134" t="str">
            <v/>
          </cell>
          <cell r="D7134" t="str">
            <v>CC</v>
          </cell>
          <cell r="E7134" t="str">
            <v>OSCAR RAMON</v>
          </cell>
          <cell r="F7134" t="str">
            <v>SANCHEZ FREITAS</v>
          </cell>
          <cell r="G7134" t="str">
            <v>SANCHEZ FREITAS OSCAR RAMON</v>
          </cell>
          <cell r="H7134" t="str">
            <v>FUNC</v>
          </cell>
          <cell r="I7134" t="str">
            <v>FUNCIONARIO</v>
          </cell>
          <cell r="J7134" t="str">
            <v>BARRIO LAS PALMERAS</v>
          </cell>
          <cell r="K7134" t="str">
            <v>97001</v>
          </cell>
          <cell r="L7134" t="str">
            <v>MITÚ</v>
          </cell>
          <cell r="M7134" t="str">
            <v>3203049074</v>
          </cell>
        </row>
        <row r="7135">
          <cell r="A7135">
            <v>1125475638</v>
          </cell>
          <cell r="B7135" t="str">
            <v/>
          </cell>
          <cell r="C7135" t="str">
            <v/>
          </cell>
          <cell r="D7135" t="str">
            <v>CC</v>
          </cell>
          <cell r="E7135" t="str">
            <v>NIXON</v>
          </cell>
          <cell r="F7135" t="str">
            <v>SIERRA PERILLA</v>
          </cell>
          <cell r="G7135" t="str">
            <v>SIERRA PERILLA NIXON</v>
          </cell>
          <cell r="H7135" t="str">
            <v>FUNC</v>
          </cell>
          <cell r="I7135" t="str">
            <v>FUNCIONARIO</v>
          </cell>
          <cell r="J7135" t="str">
            <v>BRR TRECE DE JUNIO</v>
          </cell>
          <cell r="K7135" t="str">
            <v>97001</v>
          </cell>
          <cell r="L7135" t="str">
            <v>MITÚ</v>
          </cell>
          <cell r="M7135" t="str">
            <v>3187282413</v>
          </cell>
        </row>
        <row r="7136">
          <cell r="A7136">
            <v>1125477125</v>
          </cell>
          <cell r="B7136" t="str">
            <v/>
          </cell>
          <cell r="C7136" t="str">
            <v/>
          </cell>
          <cell r="D7136" t="str">
            <v>CC</v>
          </cell>
          <cell r="E7136" t="str">
            <v>PEDRO ANTHONY</v>
          </cell>
          <cell r="F7136" t="str">
            <v>LOPEZ TRAVIESA</v>
          </cell>
          <cell r="G7136" t="str">
            <v>LOPEZ TRAVIESA PEDRO ANTHONY</v>
          </cell>
          <cell r="H7136" t="str">
            <v>FUNC</v>
          </cell>
          <cell r="I7136" t="str">
            <v>FUNCIONARIO</v>
          </cell>
          <cell r="J7136" t="str">
            <v>AV RIO VAUPES GUAMAL</v>
          </cell>
          <cell r="K7136" t="str">
            <v>97001</v>
          </cell>
          <cell r="L7136" t="str">
            <v>MITÚ</v>
          </cell>
          <cell r="M7136" t="str">
            <v>3102727671</v>
          </cell>
        </row>
        <row r="7137">
          <cell r="A7137">
            <v>1125477357</v>
          </cell>
          <cell r="B7137" t="str">
            <v/>
          </cell>
          <cell r="C7137" t="str">
            <v/>
          </cell>
          <cell r="D7137" t="str">
            <v>CC</v>
          </cell>
          <cell r="E7137" t="str">
            <v>LONDOÑO AVENDAÑO</v>
          </cell>
          <cell r="F7137" t="str">
            <v>GINA SESLEY</v>
          </cell>
          <cell r="G7137" t="str">
            <v>GINA SESLEY LONDOÑO AVENDAÑO</v>
          </cell>
          <cell r="H7137" t="str">
            <v>FUNC</v>
          </cell>
          <cell r="I7137" t="str">
            <v>FUNCIONARIO</v>
          </cell>
          <cell r="J7137" t="str">
            <v>CL 6 6 177</v>
          </cell>
          <cell r="K7137" t="str">
            <v>97001</v>
          </cell>
          <cell r="L7137" t="str">
            <v>MITÚ</v>
          </cell>
          <cell r="M7137" t="str">
            <v>3212938533</v>
          </cell>
        </row>
        <row r="7138">
          <cell r="A7138">
            <v>1125477567</v>
          </cell>
          <cell r="B7138" t="str">
            <v/>
          </cell>
          <cell r="C7138" t="str">
            <v/>
          </cell>
          <cell r="D7138" t="str">
            <v>CC</v>
          </cell>
          <cell r="E7138" t="str">
            <v>DEYCY DAYANA</v>
          </cell>
          <cell r="F7138" t="str">
            <v>HERNADNEZ SANCHEZ</v>
          </cell>
          <cell r="G7138" t="str">
            <v>HERNADNEZ SANCHEZ DEYCY DAYANA</v>
          </cell>
          <cell r="H7138" t="str">
            <v>FUNC</v>
          </cell>
          <cell r="I7138" t="str">
            <v>FUNCIONARIO</v>
          </cell>
          <cell r="J7138" t="str">
            <v>BRR NAVARRO BONILLA</v>
          </cell>
          <cell r="K7138" t="str">
            <v>97001</v>
          </cell>
          <cell r="L7138" t="str">
            <v>MITÚ</v>
          </cell>
          <cell r="M7138" t="str">
            <v>3232264232</v>
          </cell>
        </row>
        <row r="7139">
          <cell r="A7139">
            <v>1125477902</v>
          </cell>
          <cell r="B7139" t="str">
            <v/>
          </cell>
          <cell r="C7139" t="str">
            <v/>
          </cell>
          <cell r="D7139" t="str">
            <v>CC</v>
          </cell>
          <cell r="E7139" t="str">
            <v>KEVIN DONOVAN</v>
          </cell>
          <cell r="F7139" t="str">
            <v>WILSON VASQUEZ</v>
          </cell>
          <cell r="G7139" t="str">
            <v>WILSON VASQUEZ KEVIN DONOVAN</v>
          </cell>
          <cell r="H7139" t="str">
            <v>FUNC</v>
          </cell>
          <cell r="I7139" t="str">
            <v>FUNCIONARIO</v>
          </cell>
          <cell r="J7139" t="str">
            <v>BRR TRECE DE JULIO</v>
          </cell>
          <cell r="K7139" t="str">
            <v>97001</v>
          </cell>
          <cell r="L7139" t="str">
            <v>MITÚ</v>
          </cell>
          <cell r="M7139" t="str">
            <v>3176657994</v>
          </cell>
        </row>
        <row r="7140">
          <cell r="A7140">
            <v>1125878024</v>
          </cell>
          <cell r="B7140" t="str">
            <v>1</v>
          </cell>
          <cell r="C7140" t="str">
            <v/>
          </cell>
          <cell r="D7140" t="str">
            <v>NP</v>
          </cell>
          <cell r="E7140" t="str">
            <v>JHONY</v>
          </cell>
          <cell r="F7140" t="str">
            <v>MARTINEZ GONZALEZ</v>
          </cell>
          <cell r="G7140" t="str">
            <v>MARTINEZ GONZALEZ JHONY</v>
          </cell>
          <cell r="H7140" t="str">
            <v>RESI</v>
          </cell>
          <cell r="I7140" t="str">
            <v>REGIMEN SIMPLIFICADO</v>
          </cell>
          <cell r="J7140" t="str">
            <v>BRR VILLA HUMBERTO</v>
          </cell>
          <cell r="K7140" t="str">
            <v>97161</v>
          </cell>
          <cell r="L7140" t="str">
            <v>CARURU</v>
          </cell>
          <cell r="M7140" t="str">
            <v>3123907541</v>
          </cell>
        </row>
        <row r="7141">
          <cell r="A7141">
            <v>1127070881</v>
          </cell>
          <cell r="B7141" t="str">
            <v>3</v>
          </cell>
          <cell r="C7141" t="str">
            <v/>
          </cell>
          <cell r="D7141" t="str">
            <v>NP</v>
          </cell>
          <cell r="E7141" t="str">
            <v>WILSON FABIAN</v>
          </cell>
          <cell r="F7141" t="str">
            <v>BENAVIDES TAICUS</v>
          </cell>
          <cell r="G7141" t="str">
            <v>BENAVIDES TAICUS WILSON FABIAN</v>
          </cell>
          <cell r="H7141" t="str">
            <v>RESI</v>
          </cell>
          <cell r="I7141" t="str">
            <v>REGIMEN SIMPLIFICADO</v>
          </cell>
          <cell r="J7141" t="str">
            <v>BRR VILLA CAROLINA</v>
          </cell>
          <cell r="K7141" t="str">
            <v>86320</v>
          </cell>
          <cell r="L7141" t="str">
            <v>ORITO</v>
          </cell>
          <cell r="M7141" t="str">
            <v>4292377</v>
          </cell>
        </row>
        <row r="7142">
          <cell r="A7142">
            <v>1127140015</v>
          </cell>
          <cell r="B7142" t="str">
            <v>2</v>
          </cell>
          <cell r="C7142" t="str">
            <v/>
          </cell>
          <cell r="D7142" t="str">
            <v>NP</v>
          </cell>
          <cell r="E7142" t="str">
            <v>NESTOR IVAN</v>
          </cell>
          <cell r="F7142" t="str">
            <v>DIAZ ROJAS</v>
          </cell>
          <cell r="G7142" t="str">
            <v>DIAZ ROJAS NESTOR IVAN</v>
          </cell>
          <cell r="H7142" t="str">
            <v>RESI</v>
          </cell>
          <cell r="I7142" t="str">
            <v>REGIMEN SIMPLIFICADO</v>
          </cell>
          <cell r="J7142" t="str">
            <v>CALLE 22 B # 18 A 16</v>
          </cell>
          <cell r="K7142" t="str">
            <v>99001</v>
          </cell>
          <cell r="L7142" t="str">
            <v>PUERTO CARREÑO</v>
          </cell>
          <cell r="M7142" t="str">
            <v>3225480734</v>
          </cell>
        </row>
        <row r="7143">
          <cell r="A7143">
            <v>1127140106</v>
          </cell>
          <cell r="B7143" t="str">
            <v/>
          </cell>
          <cell r="C7143" t="str">
            <v/>
          </cell>
          <cell r="D7143" t="str">
            <v>CC</v>
          </cell>
          <cell r="E7143" t="str">
            <v>JORGE ENRIQUE</v>
          </cell>
          <cell r="F7143" t="str">
            <v>CUELLAR REUTO</v>
          </cell>
          <cell r="G7143" t="str">
            <v>CUELLAR REUTO JORGE ENRIQUE</v>
          </cell>
          <cell r="H7143" t="str">
            <v>RESI</v>
          </cell>
          <cell r="I7143" t="str">
            <v>REGIMEN SIMPLIFICADO</v>
          </cell>
          <cell r="J7143" t="str">
            <v>CL 6 A   28   29</v>
          </cell>
          <cell r="K7143" t="str">
            <v>99624</v>
          </cell>
          <cell r="L7143" t="str">
            <v>SANTA ROSALÍA</v>
          </cell>
          <cell r="M7143" t="str">
            <v>3102268812</v>
          </cell>
        </row>
        <row r="7144">
          <cell r="A7144">
            <v>1127140520</v>
          </cell>
          <cell r="B7144" t="str">
            <v/>
          </cell>
          <cell r="C7144" t="str">
            <v/>
          </cell>
          <cell r="D7144" t="str">
            <v>CC</v>
          </cell>
          <cell r="E7144" t="str">
            <v>ADOLFO</v>
          </cell>
          <cell r="F7144" t="str">
            <v>MONCADA INFANTE</v>
          </cell>
          <cell r="G7144" t="str">
            <v>MONCADA INFANTE ADOLFO</v>
          </cell>
          <cell r="H7144" t="str">
            <v>RESI</v>
          </cell>
          <cell r="I7144" t="str">
            <v>REGIMEN SIMPLIFICADO</v>
          </cell>
          <cell r="J7144" t="str">
            <v>VRD PAVANAY</v>
          </cell>
          <cell r="K7144" t="str">
            <v>99624</v>
          </cell>
          <cell r="L7144" t="str">
            <v>SANTA ROSALÍA</v>
          </cell>
          <cell r="M7144" t="str">
            <v>3143178333</v>
          </cell>
        </row>
        <row r="7145">
          <cell r="A7145">
            <v>1127141062</v>
          </cell>
          <cell r="B7145" t="str">
            <v/>
          </cell>
          <cell r="C7145" t="str">
            <v/>
          </cell>
          <cell r="D7145" t="str">
            <v>CC</v>
          </cell>
          <cell r="E7145" t="str">
            <v>PEDRO EMILIO</v>
          </cell>
          <cell r="F7145" t="str">
            <v>GARCIA TREJOS</v>
          </cell>
          <cell r="G7145" t="str">
            <v>GARCIA TREJOS PEDRO EMILIO</v>
          </cell>
          <cell r="H7145" t="str">
            <v>RESI</v>
          </cell>
          <cell r="I7145" t="str">
            <v>REGIMEN SIMPLIFICADO</v>
          </cell>
          <cell r="J7145" t="str">
            <v>XX</v>
          </cell>
          <cell r="K7145" t="str">
            <v>99624</v>
          </cell>
          <cell r="L7145" t="str">
            <v>SANTA ROSALÍA</v>
          </cell>
          <cell r="M7145" t="str">
            <v>XX</v>
          </cell>
        </row>
        <row r="7146">
          <cell r="A7146">
            <v>1127141297</v>
          </cell>
          <cell r="B7146" t="str">
            <v/>
          </cell>
          <cell r="C7146" t="str">
            <v/>
          </cell>
          <cell r="D7146" t="str">
            <v>CC</v>
          </cell>
          <cell r="E7146" t="str">
            <v>HAIDER SNEYDER</v>
          </cell>
          <cell r="F7146" t="str">
            <v>ALVAREZ RODRIGUEZ</v>
          </cell>
          <cell r="G7146" t="str">
            <v>ALVAREZ RODRIGUEZ HAIDER SNEYDER</v>
          </cell>
          <cell r="H7146" t="str">
            <v>RECO</v>
          </cell>
          <cell r="I7146" t="str">
            <v>REGIMEN COMUN</v>
          </cell>
          <cell r="J7146" t="str">
            <v>CL 17 A   18   19</v>
          </cell>
          <cell r="K7146" t="str">
            <v>50606</v>
          </cell>
          <cell r="L7146" t="str">
            <v>RESTREPO</v>
          </cell>
          <cell r="M7146" t="str">
            <v>3142626532</v>
          </cell>
        </row>
        <row r="7147">
          <cell r="A7147">
            <v>1127141995</v>
          </cell>
          <cell r="B7147" t="str">
            <v/>
          </cell>
          <cell r="C7147" t="str">
            <v/>
          </cell>
          <cell r="D7147" t="str">
            <v>CC</v>
          </cell>
          <cell r="E7147" t="str">
            <v>FREDY CAMILO</v>
          </cell>
          <cell r="F7147" t="str">
            <v>ALVARADO MALDONADO</v>
          </cell>
          <cell r="G7147" t="str">
            <v>ALVARADO MALDONADO FREDY CAMILO</v>
          </cell>
          <cell r="H7147" t="str">
            <v>RESI</v>
          </cell>
          <cell r="I7147" t="str">
            <v>REGIMEN SIMPLIFICADO</v>
          </cell>
          <cell r="J7147" t="str">
            <v>CL 6   27   13</v>
          </cell>
          <cell r="K7147" t="str">
            <v>99624</v>
          </cell>
          <cell r="L7147" t="str">
            <v>SANTA ROSALÍA</v>
          </cell>
          <cell r="M7147" t="str">
            <v>3133075744</v>
          </cell>
        </row>
        <row r="7148">
          <cell r="A7148">
            <v>1127383161</v>
          </cell>
          <cell r="B7148" t="str">
            <v>2</v>
          </cell>
          <cell r="C7148" t="str">
            <v/>
          </cell>
          <cell r="D7148" t="str">
            <v>NP</v>
          </cell>
          <cell r="E7148" t="str">
            <v>VLADIMIR ENRIQUE</v>
          </cell>
          <cell r="F7148" t="str">
            <v>DIAZ QUIROZ</v>
          </cell>
          <cell r="G7148" t="str">
            <v>DIAZ QUIROZ VLADIMIR ENRIQUE</v>
          </cell>
          <cell r="H7148" t="str">
            <v>NORE</v>
          </cell>
          <cell r="I7148" t="str">
            <v>NO RESPONSABLE DE IVA</v>
          </cell>
          <cell r="J7148" t="str">
            <v>CR 11 2 25 BRR PUNTA DE LAJA</v>
          </cell>
          <cell r="K7148" t="str">
            <v>99001</v>
          </cell>
          <cell r="L7148" t="str">
            <v>PUERTO CARREÑO</v>
          </cell>
          <cell r="M7148" t="str">
            <v>3502712006</v>
          </cell>
        </row>
        <row r="7149">
          <cell r="A7149">
            <v>1127389803</v>
          </cell>
          <cell r="B7149" t="str">
            <v>1</v>
          </cell>
          <cell r="C7149" t="str">
            <v/>
          </cell>
          <cell r="D7149" t="str">
            <v>NP</v>
          </cell>
          <cell r="E7149" t="str">
            <v>DANNY LETICIA</v>
          </cell>
          <cell r="F7149" t="str">
            <v>GUIO CASTAÑEDA</v>
          </cell>
          <cell r="G7149" t="str">
            <v>GUIO CASTAÑEDA DANNY LETICIA</v>
          </cell>
          <cell r="H7149" t="str">
            <v>IMVE</v>
          </cell>
          <cell r="I7149" t="str">
            <v>IMPUESTO SOBRE LAS VENTAS</v>
          </cell>
          <cell r="J7149" t="str">
            <v>CR 14 27 06 BRR SANTA HELENITA</v>
          </cell>
          <cell r="K7149" t="str">
            <v>99001</v>
          </cell>
          <cell r="L7149" t="str">
            <v>PUERTO CARREÑO</v>
          </cell>
          <cell r="M7149" t="str">
            <v>3507881081</v>
          </cell>
        </row>
        <row r="7150">
          <cell r="A7150">
            <v>1128272158</v>
          </cell>
          <cell r="B7150" t="str">
            <v>7</v>
          </cell>
          <cell r="C7150" t="str">
            <v/>
          </cell>
          <cell r="D7150" t="str">
            <v>NP</v>
          </cell>
          <cell r="E7150" t="str">
            <v>WILTON ANDRES</v>
          </cell>
          <cell r="F7150" t="str">
            <v>GONZALEZ RUA</v>
          </cell>
          <cell r="G7150" t="str">
            <v>GONZALEZ RUA WILTON ANDRES</v>
          </cell>
          <cell r="H7150" t="str">
            <v>RECO</v>
          </cell>
          <cell r="I7150" t="str">
            <v>REGIMEN COMUN</v>
          </cell>
          <cell r="J7150" t="str">
            <v>CR 49 CL 52 107 LC 117</v>
          </cell>
          <cell r="K7150" t="str">
            <v>05001</v>
          </cell>
          <cell r="L7150" t="str">
            <v>MEDELLÍN</v>
          </cell>
          <cell r="M7150" t="str">
            <v>4443851</v>
          </cell>
        </row>
        <row r="7151">
          <cell r="A7151">
            <v>1128427855</v>
          </cell>
          <cell r="B7151" t="str">
            <v/>
          </cell>
          <cell r="C7151" t="str">
            <v/>
          </cell>
          <cell r="D7151" t="str">
            <v>CC</v>
          </cell>
          <cell r="E7151" t="str">
            <v>DIANA LUCIA</v>
          </cell>
          <cell r="F7151" t="str">
            <v>GASPAR CATANO</v>
          </cell>
          <cell r="G7151" t="str">
            <v>GASPAR CATANO DIANA LUCIA</v>
          </cell>
          <cell r="H7151" t="str">
            <v>FUNC</v>
          </cell>
          <cell r="I7151" t="str">
            <v>FUNCIONARIO</v>
          </cell>
          <cell r="J7151" t="str">
            <v>CR 27 # 816-04</v>
          </cell>
          <cell r="K7151" t="str">
            <v>17001</v>
          </cell>
          <cell r="L7151" t="str">
            <v>MANIZALES</v>
          </cell>
          <cell r="M7151" t="str">
            <v>3213605627</v>
          </cell>
        </row>
        <row r="7152">
          <cell r="A7152">
            <v>1128625050</v>
          </cell>
          <cell r="B7152" t="str">
            <v>7</v>
          </cell>
          <cell r="C7152" t="str">
            <v/>
          </cell>
          <cell r="D7152" t="str">
            <v>NP</v>
          </cell>
          <cell r="E7152" t="str">
            <v>NESTOR</v>
          </cell>
          <cell r="F7152" t="str">
            <v>ARCILA LOPEZ</v>
          </cell>
          <cell r="G7152" t="str">
            <v>ARCILA LOPEZ NESTOR</v>
          </cell>
          <cell r="H7152" t="str">
            <v>RESI</v>
          </cell>
          <cell r="I7152" t="str">
            <v>REGIMEN SIMPLIFICADO</v>
          </cell>
          <cell r="J7152" t="str">
            <v>CORREGIMIENTO FLORENCIA VDA SANTA MARTA BAJA</v>
          </cell>
          <cell r="K7152" t="str">
            <v>17662</v>
          </cell>
          <cell r="L7152" t="str">
            <v>SAMANÁ</v>
          </cell>
          <cell r="M7152" t="str">
            <v>3142783526</v>
          </cell>
        </row>
        <row r="7153">
          <cell r="A7153">
            <v>1128627742</v>
          </cell>
          <cell r="B7153" t="str">
            <v/>
          </cell>
          <cell r="C7153" t="str">
            <v/>
          </cell>
          <cell r="D7153" t="str">
            <v>CC</v>
          </cell>
          <cell r="E7153" t="str">
            <v>MABEL ANDERE</v>
          </cell>
          <cell r="F7153" t="str">
            <v>TORO IBARRA</v>
          </cell>
          <cell r="G7153" t="str">
            <v>TORO IBARRA MABEL ANDERE</v>
          </cell>
          <cell r="H7153" t="str">
            <v>FUNC</v>
          </cell>
          <cell r="I7153" t="str">
            <v>FUNCIONARIO</v>
          </cell>
          <cell r="J7153" t="str">
            <v>CL 8 11 27</v>
          </cell>
          <cell r="K7153" t="str">
            <v>17001</v>
          </cell>
          <cell r="L7153" t="str">
            <v>MANIZALES</v>
          </cell>
          <cell r="M7153" t="str">
            <v>3103364671</v>
          </cell>
        </row>
        <row r="7154">
          <cell r="A7154">
            <v>1128726163</v>
          </cell>
          <cell r="B7154" t="str">
            <v/>
          </cell>
          <cell r="C7154" t="str">
            <v/>
          </cell>
          <cell r="D7154" t="str">
            <v>CC</v>
          </cell>
          <cell r="E7154" t="str">
            <v>ANDERSON</v>
          </cell>
          <cell r="F7154" t="str">
            <v>ACHITO LUVIAZA</v>
          </cell>
          <cell r="G7154" t="str">
            <v>ACHITO LUVIAZA ANDERSON</v>
          </cell>
          <cell r="H7154" t="str">
            <v>RESI</v>
          </cell>
          <cell r="I7154" t="str">
            <v>REGIMEN SIMPLIFICADO</v>
          </cell>
          <cell r="J7154" t="str">
            <v>MEDIO BAUDO</v>
          </cell>
          <cell r="K7154" t="str">
            <v>27430</v>
          </cell>
          <cell r="L7154" t="str">
            <v>MEDIO BAUDÓ</v>
          </cell>
          <cell r="M7154" t="str">
            <v>XXX</v>
          </cell>
        </row>
        <row r="7155">
          <cell r="A7155">
            <v>1129510421</v>
          </cell>
          <cell r="B7155" t="str">
            <v/>
          </cell>
          <cell r="C7155" t="str">
            <v/>
          </cell>
          <cell r="D7155" t="str">
            <v>CC</v>
          </cell>
          <cell r="E7155" t="str">
            <v>RODOLFO</v>
          </cell>
          <cell r="F7155" t="str">
            <v>TABAREZ</v>
          </cell>
          <cell r="G7155" t="str">
            <v>TABAREZ RODOLFO</v>
          </cell>
          <cell r="H7155" t="str">
            <v>RESI</v>
          </cell>
          <cell r="I7155" t="str">
            <v>REGIMEN SIMPLIFICADO</v>
          </cell>
          <cell r="J7155" t="str">
            <v>BARRANQUILLA</v>
          </cell>
          <cell r="K7155" t="str">
            <v>17001</v>
          </cell>
          <cell r="L7155" t="str">
            <v>MANIZALES</v>
          </cell>
          <cell r="M7155" t="str">
            <v>na</v>
          </cell>
        </row>
        <row r="7156">
          <cell r="A7156">
            <v>1130627855</v>
          </cell>
          <cell r="B7156" t="str">
            <v>5</v>
          </cell>
          <cell r="C7156" t="str">
            <v/>
          </cell>
          <cell r="D7156" t="str">
            <v>NP</v>
          </cell>
          <cell r="E7156" t="str">
            <v>DEISY YISSEL</v>
          </cell>
          <cell r="F7156" t="str">
            <v>TORRES CAICEDO</v>
          </cell>
          <cell r="G7156" t="str">
            <v>TORRES CAICEDO DEISY YISSEL</v>
          </cell>
          <cell r="H7156" t="str">
            <v>RESI</v>
          </cell>
          <cell r="I7156" t="str">
            <v>REGIMEN SIMPLIFICADO</v>
          </cell>
          <cell r="J7156" t="str">
            <v xml:space="preserve"> CL 28  CR 86  80 TO 13 AP 149  URB LAS MARGARITAS</v>
          </cell>
          <cell r="K7156" t="str">
            <v>76001</v>
          </cell>
          <cell r="L7156" t="str">
            <v>CALI</v>
          </cell>
          <cell r="M7156" t="str">
            <v>3128824820</v>
          </cell>
        </row>
        <row r="7157">
          <cell r="A7157">
            <v>1130667047</v>
          </cell>
          <cell r="B7157" t="str">
            <v>1</v>
          </cell>
          <cell r="C7157" t="str">
            <v/>
          </cell>
          <cell r="D7157" t="str">
            <v>NP</v>
          </cell>
          <cell r="E7157" t="str">
            <v>JIMMY ALEXANDER</v>
          </cell>
          <cell r="F7157" t="str">
            <v>NAVIA NAVIA</v>
          </cell>
          <cell r="G7157" t="str">
            <v>NAVIA NAVIA JIMMY ALEXANDER</v>
          </cell>
          <cell r="H7157" t="str">
            <v>RESI</v>
          </cell>
          <cell r="I7157" t="str">
            <v>REGIMEN SIMPLIFICADO</v>
          </cell>
          <cell r="J7157" t="str">
            <v>CR 31 84 20 URB EL NOGAL AP 1346</v>
          </cell>
          <cell r="K7157" t="str">
            <v>66001</v>
          </cell>
          <cell r="L7157" t="str">
            <v>PEREIRA</v>
          </cell>
          <cell r="M7157" t="str">
            <v>3178947794</v>
          </cell>
        </row>
        <row r="7158">
          <cell r="A7158">
            <v>1130678608</v>
          </cell>
          <cell r="B7158" t="str">
            <v/>
          </cell>
          <cell r="C7158" t="str">
            <v/>
          </cell>
          <cell r="D7158" t="str">
            <v>CC</v>
          </cell>
          <cell r="E7158" t="str">
            <v>MARIO DANIEL</v>
          </cell>
          <cell r="F7158" t="str">
            <v>OVIEDO MUTIS</v>
          </cell>
          <cell r="G7158" t="str">
            <v>OVIEDO MUTIS MARIO DANIEL</v>
          </cell>
          <cell r="H7158" t="str">
            <v>FUNC</v>
          </cell>
          <cell r="I7158" t="str">
            <v>FUNCIONARIO</v>
          </cell>
          <cell r="J7158" t="str">
            <v>CR 22   13   26</v>
          </cell>
          <cell r="K7158" t="str">
            <v>85001</v>
          </cell>
          <cell r="L7158" t="str">
            <v>YOPAL</v>
          </cell>
          <cell r="M7158" t="str">
            <v>3115367717</v>
          </cell>
        </row>
        <row r="7159">
          <cell r="A7159">
            <v>1133604822</v>
          </cell>
          <cell r="B7159" t="str">
            <v/>
          </cell>
          <cell r="C7159" t="str">
            <v/>
          </cell>
          <cell r="D7159" t="str">
            <v>CC</v>
          </cell>
          <cell r="E7159" t="str">
            <v>ABEGAL</v>
          </cell>
          <cell r="F7159" t="str">
            <v>ISABARE CAIZAMO</v>
          </cell>
          <cell r="G7159" t="str">
            <v>ISABARE CAIZAMO ABEGAL</v>
          </cell>
          <cell r="H7159" t="str">
            <v>RESI</v>
          </cell>
          <cell r="I7159" t="str">
            <v>REGIMEN SIMPLIFICADO</v>
          </cell>
          <cell r="J7159" t="str">
            <v>ALTO BAUDO</v>
          </cell>
          <cell r="K7159" t="str">
            <v>27025</v>
          </cell>
          <cell r="L7159" t="str">
            <v>ALTO BAUDO</v>
          </cell>
          <cell r="M7159" t="str">
            <v>XXX</v>
          </cell>
        </row>
        <row r="7160">
          <cell r="A7160">
            <v>1133605082</v>
          </cell>
          <cell r="B7160" t="str">
            <v/>
          </cell>
          <cell r="C7160" t="str">
            <v/>
          </cell>
          <cell r="D7160" t="str">
            <v>CC</v>
          </cell>
          <cell r="E7160" t="str">
            <v>PORNICARPIO</v>
          </cell>
          <cell r="F7160" t="str">
            <v>ISARAMA CAIZAMO</v>
          </cell>
          <cell r="G7160" t="str">
            <v>ISARAMA CAIZAMO PORNICARPIO</v>
          </cell>
          <cell r="H7160" t="str">
            <v>RESI</v>
          </cell>
          <cell r="I7160" t="str">
            <v>REGIMEN SIMPLIFICADO</v>
          </cell>
          <cell r="J7160" t="str">
            <v>ALTO BAUDO</v>
          </cell>
          <cell r="K7160" t="str">
            <v>27025</v>
          </cell>
          <cell r="L7160" t="str">
            <v>ALTO BAUDO</v>
          </cell>
          <cell r="M7160" t="str">
            <v>XXX</v>
          </cell>
        </row>
        <row r="7161">
          <cell r="A7161">
            <v>1133605168</v>
          </cell>
          <cell r="B7161" t="str">
            <v/>
          </cell>
          <cell r="C7161" t="str">
            <v/>
          </cell>
          <cell r="D7161" t="str">
            <v>CC</v>
          </cell>
          <cell r="E7161" t="str">
            <v>EMILIO</v>
          </cell>
          <cell r="F7161" t="str">
            <v>CHAMORRRO CEREZO</v>
          </cell>
          <cell r="G7161" t="str">
            <v>CHAMORRRO CEREZO EMILIO</v>
          </cell>
          <cell r="H7161" t="str">
            <v>RESI</v>
          </cell>
          <cell r="I7161" t="str">
            <v>REGIMEN SIMPLIFICADO</v>
          </cell>
          <cell r="J7161" t="str">
            <v>ALTO BAUDO</v>
          </cell>
          <cell r="K7161" t="str">
            <v>27025</v>
          </cell>
          <cell r="L7161" t="str">
            <v>ALTO BAUDO</v>
          </cell>
          <cell r="M7161" t="str">
            <v>XXX</v>
          </cell>
        </row>
        <row r="7162">
          <cell r="A7162">
            <v>1133606311</v>
          </cell>
          <cell r="B7162" t="str">
            <v/>
          </cell>
          <cell r="C7162" t="str">
            <v/>
          </cell>
          <cell r="D7162" t="str">
            <v>CC</v>
          </cell>
          <cell r="E7162" t="str">
            <v>MILTON</v>
          </cell>
          <cell r="F7162" t="str">
            <v>MACHUCA TAPI</v>
          </cell>
          <cell r="G7162" t="str">
            <v>MACHUCA TAPI MILTON</v>
          </cell>
          <cell r="H7162" t="str">
            <v>RESI</v>
          </cell>
          <cell r="I7162" t="str">
            <v>REGIMEN SIMPLIFICADO</v>
          </cell>
          <cell r="J7162" t="str">
            <v>ALTO BAUDO</v>
          </cell>
          <cell r="K7162" t="str">
            <v>27025</v>
          </cell>
          <cell r="L7162" t="str">
            <v>ALTO BAUDO</v>
          </cell>
          <cell r="M7162" t="str">
            <v>XXX</v>
          </cell>
        </row>
        <row r="7163">
          <cell r="A7163">
            <v>1136884376</v>
          </cell>
          <cell r="B7163" t="str">
            <v>1</v>
          </cell>
          <cell r="C7163" t="str">
            <v/>
          </cell>
          <cell r="D7163" t="str">
            <v>NP</v>
          </cell>
          <cell r="E7163" t="str">
            <v>ELIANA VERONICA</v>
          </cell>
          <cell r="F7163" t="str">
            <v>NEUTA ORJUELA</v>
          </cell>
          <cell r="G7163" t="str">
            <v>NEUTA ORJUELA ELIANA VERONICA</v>
          </cell>
          <cell r="H7163" t="str">
            <v>NORE</v>
          </cell>
          <cell r="I7163" t="str">
            <v>NO RESPONSABLE DE IVA</v>
          </cell>
          <cell r="J7163" t="str">
            <v>CL 149 45 58 IN 1 AP 203</v>
          </cell>
          <cell r="K7163" t="str">
            <v>11001</v>
          </cell>
          <cell r="L7163" t="str">
            <v>BOGOTA DC</v>
          </cell>
          <cell r="M7163" t="str">
            <v>3057501224</v>
          </cell>
        </row>
        <row r="7164">
          <cell r="A7164">
            <v>1143128578</v>
          </cell>
          <cell r="B7164" t="str">
            <v>6</v>
          </cell>
          <cell r="C7164" t="str">
            <v/>
          </cell>
          <cell r="D7164" t="str">
            <v>NP</v>
          </cell>
          <cell r="E7164" t="str">
            <v>ANDRES FELIPE</v>
          </cell>
          <cell r="F7164" t="str">
            <v>ARAUJO COLINA</v>
          </cell>
          <cell r="G7164" t="str">
            <v>ARAUJO COLINA ANDRES FELIPE</v>
          </cell>
          <cell r="H7164" t="str">
            <v>NORE</v>
          </cell>
          <cell r="I7164" t="str">
            <v>NO RESPONSABLE DE IVA</v>
          </cell>
          <cell r="J7164" t="str">
            <v xml:space="preserve"> AC 44 17 36</v>
          </cell>
          <cell r="K7164" t="str">
            <v>02</v>
          </cell>
          <cell r="L7164" t="str">
            <v>BARRANQUILLA</v>
          </cell>
          <cell r="M7164" t="str">
            <v>3024316222</v>
          </cell>
        </row>
        <row r="7165">
          <cell r="A7165">
            <v>1143850260</v>
          </cell>
          <cell r="B7165" t="str">
            <v/>
          </cell>
          <cell r="C7165" t="str">
            <v/>
          </cell>
          <cell r="D7165" t="str">
            <v>CC</v>
          </cell>
          <cell r="E7165" t="str">
            <v>DIOMEDES</v>
          </cell>
          <cell r="F7165" t="str">
            <v>DIAZ MURILLO</v>
          </cell>
          <cell r="G7165" t="str">
            <v>DIAZ MURILLO DIOMEDES</v>
          </cell>
          <cell r="H7165" t="str">
            <v>FUNC</v>
          </cell>
          <cell r="I7165" t="str">
            <v>FUNCIONARIO</v>
          </cell>
          <cell r="J7165" t="str">
            <v>BRR CHITIE</v>
          </cell>
          <cell r="K7165" t="str">
            <v>27075</v>
          </cell>
          <cell r="L7165" t="str">
            <v>BAHÍA SOLANO</v>
          </cell>
          <cell r="M7165" t="str">
            <v>6827865</v>
          </cell>
        </row>
        <row r="7166">
          <cell r="A7166">
            <v>1144145538</v>
          </cell>
          <cell r="B7166" t="str">
            <v/>
          </cell>
          <cell r="C7166" t="str">
            <v/>
          </cell>
          <cell r="D7166" t="str">
            <v>CC</v>
          </cell>
          <cell r="E7166" t="str">
            <v>HUGO MAXIMO</v>
          </cell>
          <cell r="F7166" t="str">
            <v>OBREGON SAAC</v>
          </cell>
          <cell r="G7166" t="str">
            <v>OBREGON SAAC HUGO MAXIMO</v>
          </cell>
          <cell r="H7166" t="str">
            <v>FUNC</v>
          </cell>
          <cell r="I7166" t="str">
            <v>FUNCIONARIO</v>
          </cell>
          <cell r="J7166" t="str">
            <v>CR 40 A 39 40</v>
          </cell>
          <cell r="K7166" t="str">
            <v>19318</v>
          </cell>
          <cell r="L7166" t="str">
            <v>GUAPI</v>
          </cell>
          <cell r="M7166" t="str">
            <v>3218470696</v>
          </cell>
        </row>
        <row r="7167">
          <cell r="A7167">
            <v>1148194238</v>
          </cell>
          <cell r="B7167" t="str">
            <v>6</v>
          </cell>
          <cell r="C7167" t="str">
            <v/>
          </cell>
          <cell r="D7167" t="str">
            <v>NP</v>
          </cell>
          <cell r="E7167" t="str">
            <v>LINA CARMENZA</v>
          </cell>
          <cell r="F7167" t="str">
            <v>LEMUS GUSMAN</v>
          </cell>
          <cell r="G7167" t="str">
            <v>LEMUS GUSMAN LINA CARMENZA</v>
          </cell>
          <cell r="H7167" t="str">
            <v>NORE</v>
          </cell>
          <cell r="I7167" t="str">
            <v>NO RESPONSABLE DE IVA</v>
          </cell>
          <cell r="J7167" t="str">
            <v>CORR EL VALLE</v>
          </cell>
          <cell r="K7167" t="str">
            <v>17001</v>
          </cell>
          <cell r="L7167" t="str">
            <v>MANIZALES</v>
          </cell>
          <cell r="M7167" t="str">
            <v>3234191790</v>
          </cell>
        </row>
        <row r="7168">
          <cell r="A7168">
            <v>1148194297</v>
          </cell>
          <cell r="B7168" t="str">
            <v/>
          </cell>
          <cell r="C7168" t="str">
            <v/>
          </cell>
          <cell r="D7168" t="str">
            <v>CC</v>
          </cell>
          <cell r="E7168" t="str">
            <v>JHON DEIVI</v>
          </cell>
          <cell r="F7168" t="str">
            <v>MURILLO LONGA</v>
          </cell>
          <cell r="G7168" t="str">
            <v>MURILLO LONGA JHON DEIVI</v>
          </cell>
          <cell r="H7168" t="str">
            <v>FUNC</v>
          </cell>
          <cell r="I7168" t="str">
            <v>FUNCIONARIO</v>
          </cell>
          <cell r="J7168" t="str">
            <v>BRR EL POBLADO</v>
          </cell>
          <cell r="K7168" t="str">
            <v>27075</v>
          </cell>
          <cell r="L7168" t="str">
            <v>BAHÍA SOLANO</v>
          </cell>
          <cell r="M7168" t="str">
            <v>3137672993</v>
          </cell>
        </row>
        <row r="7169">
          <cell r="A7169">
            <v>1148452628</v>
          </cell>
          <cell r="B7169" t="str">
            <v/>
          </cell>
          <cell r="C7169" t="str">
            <v/>
          </cell>
          <cell r="D7169" t="str">
            <v>CC</v>
          </cell>
          <cell r="E7169" t="str">
            <v>MARY LILIANA</v>
          </cell>
          <cell r="F7169" t="str">
            <v>MOSQUERA PEREZ</v>
          </cell>
          <cell r="G7169" t="str">
            <v>MOSQUERA PEREZ MARY LILIANA</v>
          </cell>
          <cell r="H7169" t="str">
            <v>FUNC</v>
          </cell>
          <cell r="I7169" t="str">
            <v>FUNCIONARIO</v>
          </cell>
          <cell r="J7169" t="str">
            <v>BRR LAS MARIAS</v>
          </cell>
          <cell r="K7169" t="str">
            <v>27075</v>
          </cell>
          <cell r="L7169" t="str">
            <v>BAHÍA SOLANO</v>
          </cell>
          <cell r="M7169" t="str">
            <v>3207590578</v>
          </cell>
        </row>
        <row r="7170">
          <cell r="A7170">
            <v>1149443372</v>
          </cell>
          <cell r="B7170" t="str">
            <v/>
          </cell>
          <cell r="C7170" t="str">
            <v/>
          </cell>
          <cell r="D7170" t="str">
            <v>CC</v>
          </cell>
          <cell r="E7170" t="str">
            <v>FREDY</v>
          </cell>
          <cell r="F7170" t="str">
            <v>FORASTERO CAIZAMO</v>
          </cell>
          <cell r="G7170" t="str">
            <v>FORASTERO CAIZAMO FREDY</v>
          </cell>
          <cell r="H7170" t="str">
            <v>RESI</v>
          </cell>
          <cell r="I7170" t="str">
            <v>REGIMEN SIMPLIFICADO</v>
          </cell>
          <cell r="J7170" t="str">
            <v>BAJO BAUDO</v>
          </cell>
          <cell r="K7170" t="str">
            <v>27077</v>
          </cell>
          <cell r="L7170" t="str">
            <v>BAJO BAUDÓ</v>
          </cell>
          <cell r="M7170" t="str">
            <v>XXX</v>
          </cell>
        </row>
        <row r="7171">
          <cell r="A7171">
            <v>1151434811</v>
          </cell>
          <cell r="B7171" t="str">
            <v/>
          </cell>
          <cell r="C7171" t="str">
            <v/>
          </cell>
          <cell r="D7171" t="str">
            <v>CC</v>
          </cell>
          <cell r="E7171" t="str">
            <v>JUAN DAVID</v>
          </cell>
          <cell r="F7171" t="str">
            <v>HURTADO</v>
          </cell>
          <cell r="G7171" t="str">
            <v>HURTADO JUAN DAVID</v>
          </cell>
          <cell r="H7171" t="str">
            <v>RESI</v>
          </cell>
          <cell r="I7171" t="str">
            <v>REGIMEN SIMPLIFICADO</v>
          </cell>
          <cell r="J7171" t="str">
            <v>XXX</v>
          </cell>
          <cell r="K7171" t="str">
            <v>17001</v>
          </cell>
          <cell r="L7171" t="str">
            <v>MANIZALES</v>
          </cell>
          <cell r="M7171" t="str">
            <v>XXX</v>
          </cell>
        </row>
        <row r="7172">
          <cell r="A7172">
            <v>1151937036</v>
          </cell>
          <cell r="B7172" t="str">
            <v>6</v>
          </cell>
          <cell r="C7172" t="str">
            <v/>
          </cell>
          <cell r="D7172" t="str">
            <v>NP</v>
          </cell>
          <cell r="E7172" t="str">
            <v>STEPHANI</v>
          </cell>
          <cell r="F7172" t="str">
            <v>SALAZAR SAUCEDO</v>
          </cell>
          <cell r="G7172" t="str">
            <v>SALAZAR SAUCEDO STEPHANI</v>
          </cell>
          <cell r="H7172" t="str">
            <v>REOR</v>
          </cell>
          <cell r="I7172" t="str">
            <v>RENTA REGIMEN ORDINARIO</v>
          </cell>
          <cell r="J7172" t="str">
            <v>BRR FILLO CASTRO</v>
          </cell>
          <cell r="K7172" t="str">
            <v>27075</v>
          </cell>
          <cell r="L7172" t="str">
            <v>BAHÍA SOLANO</v>
          </cell>
          <cell r="M7172" t="str">
            <v>3218003021</v>
          </cell>
        </row>
        <row r="7173">
          <cell r="A7173">
            <v>1152204154</v>
          </cell>
          <cell r="B7173" t="str">
            <v/>
          </cell>
          <cell r="C7173" t="str">
            <v/>
          </cell>
          <cell r="D7173" t="str">
            <v>CC</v>
          </cell>
          <cell r="E7173" t="str">
            <v>GUSTAVO</v>
          </cell>
          <cell r="F7173" t="str">
            <v>MOSQUERA</v>
          </cell>
          <cell r="G7173" t="str">
            <v>MOSQUERA GUSTAVO</v>
          </cell>
          <cell r="H7173" t="str">
            <v>FUNC</v>
          </cell>
          <cell r="I7173" t="str">
            <v>FUNCIONARIO</v>
          </cell>
          <cell r="J7173" t="str">
            <v>Tayazu</v>
          </cell>
          <cell r="K7173" t="str">
            <v>17001</v>
          </cell>
          <cell r="L7173" t="str">
            <v>MANIZALES</v>
          </cell>
          <cell r="M7173" t="str">
            <v>3134369417</v>
          </cell>
        </row>
        <row r="7174">
          <cell r="A7174">
            <v>1152214327</v>
          </cell>
          <cell r="B7174" t="str">
            <v/>
          </cell>
          <cell r="C7174" t="str">
            <v/>
          </cell>
          <cell r="D7174" t="str">
            <v>CC</v>
          </cell>
          <cell r="E7174" t="str">
            <v>ANA CRISTINA</v>
          </cell>
          <cell r="F7174" t="str">
            <v>BECERRA OSORIO</v>
          </cell>
          <cell r="G7174" t="str">
            <v>BECERRA OSORIO ANA CRISTINA</v>
          </cell>
          <cell r="H7174" t="str">
            <v>FUNC</v>
          </cell>
          <cell r="I7174" t="str">
            <v>FUNCIONARIO</v>
          </cell>
          <cell r="J7174" t="str">
            <v>CHOCOLATAL</v>
          </cell>
          <cell r="K7174" t="str">
            <v>27075</v>
          </cell>
          <cell r="L7174" t="str">
            <v>BAHÍA SOLANO</v>
          </cell>
          <cell r="M7174" t="str">
            <v>3104230615</v>
          </cell>
        </row>
        <row r="7175">
          <cell r="A7175">
            <v>1152214427</v>
          </cell>
          <cell r="B7175" t="str">
            <v/>
          </cell>
          <cell r="C7175" t="str">
            <v/>
          </cell>
          <cell r="D7175" t="str">
            <v>CC</v>
          </cell>
          <cell r="E7175" t="str">
            <v>ANA CRISTINA</v>
          </cell>
          <cell r="F7175" t="str">
            <v>BECERRA OSORIO</v>
          </cell>
          <cell r="G7175" t="str">
            <v>BECERRA OSORIO ANA CRISTINA</v>
          </cell>
          <cell r="H7175" t="str">
            <v>FUNC</v>
          </cell>
          <cell r="I7175" t="str">
            <v>FUNCIONARIO</v>
          </cell>
          <cell r="J7175" t="str">
            <v>barrio Chocolatal</v>
          </cell>
          <cell r="K7175" t="str">
            <v>17001</v>
          </cell>
          <cell r="L7175" t="str">
            <v>MANIZALES</v>
          </cell>
          <cell r="M7175" t="str">
            <v>3104230615</v>
          </cell>
        </row>
        <row r="7176">
          <cell r="A7176">
            <v>1192780529</v>
          </cell>
          <cell r="B7176" t="str">
            <v/>
          </cell>
          <cell r="C7176" t="str">
            <v/>
          </cell>
          <cell r="D7176" t="str">
            <v>CC</v>
          </cell>
          <cell r="E7176" t="str">
            <v>ALEJANDRA</v>
          </cell>
          <cell r="F7176" t="str">
            <v>MEJIA GIL</v>
          </cell>
          <cell r="G7176" t="str">
            <v>MEJIA GIL ALEJANDRA</v>
          </cell>
          <cell r="H7176" t="str">
            <v>FUNC</v>
          </cell>
          <cell r="I7176" t="str">
            <v>FUNCIONARIO</v>
          </cell>
          <cell r="J7176" t="str">
            <v>CL 18 A   9-97</v>
          </cell>
          <cell r="K7176" t="str">
            <v>17001</v>
          </cell>
          <cell r="L7176" t="str">
            <v>MANIZALES</v>
          </cell>
          <cell r="M7176" t="str">
            <v>3156440421</v>
          </cell>
        </row>
        <row r="7177">
          <cell r="A7177">
            <v>1192801807</v>
          </cell>
          <cell r="B7177" t="str">
            <v/>
          </cell>
          <cell r="C7177" t="str">
            <v/>
          </cell>
          <cell r="D7177" t="str">
            <v>CC</v>
          </cell>
          <cell r="E7177" t="str">
            <v>ALEJANDRO</v>
          </cell>
          <cell r="F7177" t="str">
            <v>HENAO TORO</v>
          </cell>
          <cell r="G7177" t="str">
            <v>HENAO TORO ALEJANDRO</v>
          </cell>
          <cell r="H7177" t="str">
            <v>FUNC</v>
          </cell>
          <cell r="I7177" t="str">
            <v>FUNCIONARIO</v>
          </cell>
          <cell r="J7177" t="str">
            <v>CL 100 32 B 22</v>
          </cell>
          <cell r="K7177" t="str">
            <v>17001</v>
          </cell>
          <cell r="L7177" t="str">
            <v>MANIZALES</v>
          </cell>
          <cell r="M7177" t="str">
            <v>3217437690</v>
          </cell>
        </row>
        <row r="7178">
          <cell r="A7178">
            <v>1192815215</v>
          </cell>
          <cell r="B7178" t="str">
            <v>3</v>
          </cell>
          <cell r="C7178" t="str">
            <v/>
          </cell>
          <cell r="D7178" t="str">
            <v>NP</v>
          </cell>
          <cell r="E7178" t="str">
            <v>HASBLEIDY MAYERLY</v>
          </cell>
          <cell r="F7178" t="str">
            <v>CAMPO VEGA</v>
          </cell>
          <cell r="G7178" t="str">
            <v>CAMPO VEGA HASBLEIDY MAYERLY</v>
          </cell>
          <cell r="H7178" t="str">
            <v>NORE</v>
          </cell>
          <cell r="I7178" t="str">
            <v>NO RESPONSABLE DE IVA</v>
          </cell>
          <cell r="J7178" t="str">
            <v>CL 17 13 86 BRR LIBERTADORES</v>
          </cell>
          <cell r="K7178" t="str">
            <v>94001</v>
          </cell>
          <cell r="L7178" t="str">
            <v>INÍRIDA</v>
          </cell>
          <cell r="M7178" t="str">
            <v>3155687945</v>
          </cell>
        </row>
        <row r="7179">
          <cell r="A7179">
            <v>1193091602</v>
          </cell>
          <cell r="B7179" t="str">
            <v/>
          </cell>
          <cell r="C7179" t="str">
            <v/>
          </cell>
          <cell r="D7179" t="str">
            <v>CC</v>
          </cell>
          <cell r="E7179" t="str">
            <v>LAURA TATIANA</v>
          </cell>
          <cell r="F7179" t="str">
            <v>PEDRAZA AVENDAÑO</v>
          </cell>
          <cell r="G7179" t="str">
            <v>PEDRAZA AVENDAÑO LAURA TATIANA</v>
          </cell>
          <cell r="H7179" t="str">
            <v>FUNC</v>
          </cell>
          <cell r="I7179" t="str">
            <v>FUNCIONARIO</v>
          </cell>
          <cell r="J7179" t="str">
            <v>VDA MONGUERA</v>
          </cell>
          <cell r="K7179" t="str">
            <v>15759</v>
          </cell>
          <cell r="L7179" t="str">
            <v>SOGAMOSO</v>
          </cell>
          <cell r="M7179" t="str">
            <v>3146331121</v>
          </cell>
        </row>
        <row r="7180">
          <cell r="A7180">
            <v>1193107212</v>
          </cell>
          <cell r="B7180" t="str">
            <v/>
          </cell>
          <cell r="C7180" t="str">
            <v/>
          </cell>
          <cell r="D7180" t="str">
            <v>CC</v>
          </cell>
          <cell r="E7180" t="str">
            <v>EIMER ANTONIO</v>
          </cell>
          <cell r="F7180" t="str">
            <v>TELLO LOZANO</v>
          </cell>
          <cell r="G7180" t="str">
            <v>TELLO LOZANO EIMER ANTONIO</v>
          </cell>
          <cell r="H7180" t="str">
            <v>FUNC</v>
          </cell>
          <cell r="I7180" t="str">
            <v>FUNCIONARIO</v>
          </cell>
          <cell r="J7180" t="str">
            <v>CORREGIMIENTO DE CUPICA</v>
          </cell>
          <cell r="K7180" t="str">
            <v>27075</v>
          </cell>
          <cell r="L7180" t="str">
            <v>BAHÍA SOLANO</v>
          </cell>
          <cell r="M7180" t="str">
            <v>3114451365</v>
          </cell>
        </row>
        <row r="7181">
          <cell r="A7181">
            <v>1193146322</v>
          </cell>
          <cell r="B7181" t="str">
            <v>6</v>
          </cell>
          <cell r="C7181" t="str">
            <v/>
          </cell>
          <cell r="D7181" t="str">
            <v>NP</v>
          </cell>
          <cell r="E7181" t="str">
            <v>JHON JANNER</v>
          </cell>
          <cell r="F7181" t="str">
            <v>GUALDRON GUTIERREZ</v>
          </cell>
          <cell r="G7181" t="str">
            <v>GUALDRON GUTIERREZ JHON JANNER</v>
          </cell>
          <cell r="H7181" t="str">
            <v>RESI</v>
          </cell>
          <cell r="I7181" t="str">
            <v>REGIMEN SIMPLIFICADO</v>
          </cell>
          <cell r="J7181" t="str">
            <v>CR 20 9 54 BRR PUEBLO NUEVO</v>
          </cell>
          <cell r="K7181" t="str">
            <v>99624</v>
          </cell>
          <cell r="L7181" t="str">
            <v>SANTA ROSALÍA</v>
          </cell>
          <cell r="M7181" t="str">
            <v>3125840478</v>
          </cell>
        </row>
        <row r="7182">
          <cell r="A7182">
            <v>1193274079</v>
          </cell>
          <cell r="B7182" t="str">
            <v/>
          </cell>
          <cell r="C7182" t="str">
            <v/>
          </cell>
          <cell r="D7182" t="str">
            <v>CC</v>
          </cell>
          <cell r="E7182" t="str">
            <v>ELIECER</v>
          </cell>
          <cell r="F7182" t="str">
            <v>CASTILLO RENTERÍA</v>
          </cell>
          <cell r="G7182" t="str">
            <v>CASTILLO RENTERÍA ELIECER</v>
          </cell>
          <cell r="H7182" t="str">
            <v>FUNC</v>
          </cell>
          <cell r="I7182" t="str">
            <v>FUNCIONARIO</v>
          </cell>
          <cell r="J7182" t="str">
            <v>CORREGIMIENTO CUPICA</v>
          </cell>
          <cell r="K7182" t="str">
            <v>27075</v>
          </cell>
          <cell r="L7182" t="str">
            <v>BAHÍA SOLANO</v>
          </cell>
          <cell r="M7182" t="str">
            <v>3113108772</v>
          </cell>
        </row>
        <row r="7183">
          <cell r="A7183">
            <v>1193527950</v>
          </cell>
          <cell r="B7183" t="str">
            <v/>
          </cell>
          <cell r="C7183" t="str">
            <v/>
          </cell>
          <cell r="D7183" t="str">
            <v>CC</v>
          </cell>
          <cell r="E7183" t="str">
            <v>ANDRES RODOLFO</v>
          </cell>
          <cell r="F7183" t="str">
            <v>CABALLERO COY</v>
          </cell>
          <cell r="G7183" t="str">
            <v>CABALLERO COY ANDRES RODOLFO</v>
          </cell>
          <cell r="H7183" t="str">
            <v>FUNC</v>
          </cell>
          <cell r="I7183" t="str">
            <v>FUNCIONARIO</v>
          </cell>
          <cell r="J7183" t="str">
            <v>CL 4 17 44</v>
          </cell>
          <cell r="K7183" t="str">
            <v>15238</v>
          </cell>
          <cell r="L7183" t="str">
            <v>DUITAMA</v>
          </cell>
          <cell r="M7183" t="str">
            <v>3133462763</v>
          </cell>
        </row>
        <row r="7184">
          <cell r="A7184">
            <v>1193564069</v>
          </cell>
          <cell r="B7184" t="str">
            <v>1</v>
          </cell>
          <cell r="C7184" t="str">
            <v/>
          </cell>
          <cell r="D7184" t="str">
            <v>NP</v>
          </cell>
          <cell r="E7184" t="str">
            <v>LARRY ALBERTO</v>
          </cell>
          <cell r="F7184" t="str">
            <v>CORREDOR OSSA</v>
          </cell>
          <cell r="G7184" t="str">
            <v>CORREDOR OSSA LARRY ALBERTO</v>
          </cell>
          <cell r="H7184" t="str">
            <v>IMVE</v>
          </cell>
          <cell r="I7184" t="str">
            <v>IMPUESTO SOBRE LAS VENTAS</v>
          </cell>
          <cell r="J7184" t="str">
            <v xml:space="preserve"> CR 38 4 11 BRR 14 DE JULIO</v>
          </cell>
          <cell r="K7184" t="str">
            <v>76109</v>
          </cell>
          <cell r="L7184" t="str">
            <v>BUENAVENTURA</v>
          </cell>
          <cell r="M7184" t="str">
            <v>2429716</v>
          </cell>
        </row>
        <row r="7185">
          <cell r="A7185">
            <v>1193570761</v>
          </cell>
          <cell r="B7185" t="str">
            <v/>
          </cell>
          <cell r="C7185" t="str">
            <v/>
          </cell>
          <cell r="D7185" t="str">
            <v>CC</v>
          </cell>
          <cell r="E7185" t="str">
            <v>JHONATAN DAVID</v>
          </cell>
          <cell r="F7185" t="str">
            <v>CAMARGO HUERTAS</v>
          </cell>
          <cell r="G7185" t="str">
            <v>CAMARGO HUERTAS JHONATAN DAVID</v>
          </cell>
          <cell r="H7185" t="str">
            <v>EXFU</v>
          </cell>
          <cell r="I7185" t="str">
            <v>EX-FUNCIONARIOS</v>
          </cell>
          <cell r="J7185" t="str">
            <v>CL 16 19 23</v>
          </cell>
          <cell r="K7185" t="str">
            <v>15516</v>
          </cell>
          <cell r="L7185" t="str">
            <v>PAIPA</v>
          </cell>
          <cell r="M7185" t="str">
            <v>3104416226</v>
          </cell>
        </row>
        <row r="7186">
          <cell r="A7186">
            <v>1666078685</v>
          </cell>
          <cell r="B7186" t="str">
            <v/>
          </cell>
          <cell r="C7186" t="str">
            <v/>
          </cell>
          <cell r="D7186" t="str">
            <v>CC</v>
          </cell>
          <cell r="E7186" t="str">
            <v>ANDRES FELIPE</v>
          </cell>
          <cell r="F7186" t="str">
            <v>ARBELAEZ OSPINA</v>
          </cell>
          <cell r="G7186" t="str">
            <v>ARBELAEZ OSPINA ANDRES FELIPE</v>
          </cell>
          <cell r="H7186" t="str">
            <v>FUNC</v>
          </cell>
          <cell r="I7186" t="str">
            <v>FUNCIONARIO</v>
          </cell>
          <cell r="J7186" t="str">
            <v>CR SIERRA VERDE C 17</v>
          </cell>
          <cell r="K7186" t="str">
            <v>17001</v>
          </cell>
          <cell r="L7186" t="str">
            <v>MANIZALES</v>
          </cell>
          <cell r="M7186" t="str">
            <v>3122310809</v>
          </cell>
        </row>
        <row r="7187">
          <cell r="A7187">
            <v>2175753100</v>
          </cell>
          <cell r="B7187" t="str">
            <v/>
          </cell>
          <cell r="C7187" t="str">
            <v/>
          </cell>
          <cell r="D7187" t="str">
            <v>NE</v>
          </cell>
          <cell r="E7187" t="str">
            <v/>
          </cell>
          <cell r="F7187" t="str">
            <v/>
          </cell>
          <cell r="G7187" t="str">
            <v>GENERATION SOLUTIONS SA</v>
          </cell>
          <cell r="H7187" t="str">
            <v>EXTR</v>
          </cell>
          <cell r="I7187" t="str">
            <v>EXTRANJERO</v>
          </cell>
          <cell r="J7187" t="str">
            <v xml:space="preserve"> AC LUIS ALBERTO DE HERRERA 1248</v>
          </cell>
          <cell r="K7187" t="str">
            <v>002</v>
          </cell>
          <cell r="L7187" t="str">
            <v>MONTEVIDEO</v>
          </cell>
          <cell r="M7187" t="str">
            <v>0059822081443</v>
          </cell>
        </row>
        <row r="7188">
          <cell r="A7188">
            <v>7508046600</v>
          </cell>
          <cell r="B7188" t="str">
            <v/>
          </cell>
          <cell r="C7188" t="str">
            <v/>
          </cell>
          <cell r="D7188" t="str">
            <v>CC</v>
          </cell>
          <cell r="E7188" t="str">
            <v>LUIS GONZANLO</v>
          </cell>
          <cell r="F7188" t="str">
            <v>OROZCO MONTOYA</v>
          </cell>
          <cell r="G7188" t="str">
            <v>OROZCO MONTOYA LUIS GONZANLO</v>
          </cell>
          <cell r="H7188" t="str">
            <v>FUNC</v>
          </cell>
          <cell r="I7188" t="str">
            <v>FUNCIONARIO</v>
          </cell>
          <cell r="J7188" t="str">
            <v>CR 19   72   49</v>
          </cell>
          <cell r="K7188" t="str">
            <v>17001</v>
          </cell>
          <cell r="L7188" t="str">
            <v>MANIZALES</v>
          </cell>
          <cell r="M7188" t="str">
            <v>3143918563</v>
          </cell>
        </row>
        <row r="7189">
          <cell r="A7189">
            <v>8010401057</v>
          </cell>
          <cell r="B7189" t="str">
            <v/>
          </cell>
          <cell r="C7189" t="str">
            <v/>
          </cell>
          <cell r="D7189" t="str">
            <v>NE</v>
          </cell>
          <cell r="E7189" t="str">
            <v/>
          </cell>
          <cell r="F7189" t="str">
            <v/>
          </cell>
          <cell r="G7189" t="str">
            <v>MITSUI &amp; CO.,PLANT SYSTEMS LTD.</v>
          </cell>
          <cell r="H7189" t="str">
            <v>EXTR</v>
          </cell>
          <cell r="I7189" t="str">
            <v>EXTRANJERO</v>
          </cell>
          <cell r="J7189" t="str">
            <v xml:space="preserve"> CL 1-9-2 HIGASHI SHIMBASHI MINATO -KU TOKIO</v>
          </cell>
          <cell r="K7189" t="str">
            <v>17001</v>
          </cell>
          <cell r="L7189" t="str">
            <v>MANIZALES</v>
          </cell>
          <cell r="M7189" t="str">
            <v>3107884441</v>
          </cell>
        </row>
        <row r="7190">
          <cell r="A7190">
            <v>10001008771</v>
          </cell>
          <cell r="B7190" t="str">
            <v/>
          </cell>
          <cell r="C7190" t="str">
            <v/>
          </cell>
          <cell r="D7190" t="str">
            <v>NE</v>
          </cell>
          <cell r="E7190" t="str">
            <v/>
          </cell>
          <cell r="F7190" t="str">
            <v/>
          </cell>
          <cell r="G7190" t="str">
            <v>MITSUBISHI CORPORATION</v>
          </cell>
          <cell r="H7190" t="str">
            <v>EXTR</v>
          </cell>
          <cell r="I7190" t="str">
            <v>EXTRANJERO</v>
          </cell>
          <cell r="J7190" t="str">
            <v>CL  72  10  07 P 14</v>
          </cell>
          <cell r="K7190" t="str">
            <v>11001</v>
          </cell>
          <cell r="L7190" t="str">
            <v>BOGOTA DC</v>
          </cell>
          <cell r="M7190" t="str">
            <v>3137409</v>
          </cell>
        </row>
        <row r="7191">
          <cell r="A7191">
            <v>10401057580</v>
          </cell>
          <cell r="B7191" t="str">
            <v/>
          </cell>
          <cell r="C7191" t="str">
            <v/>
          </cell>
          <cell r="D7191" t="str">
            <v>NE</v>
          </cell>
          <cell r="E7191" t="str">
            <v/>
          </cell>
          <cell r="F7191" t="str">
            <v/>
          </cell>
          <cell r="G7191" t="str">
            <v>MITSUI &amp; CO.,PLANT SYSTEMS LTD.</v>
          </cell>
          <cell r="H7191" t="str">
            <v>EXTR</v>
          </cell>
          <cell r="I7191" t="str">
            <v>EXTRANJERO</v>
          </cell>
          <cell r="J7191" t="str">
            <v xml:space="preserve"> CL 1-9-2 HIGASHI SHIMBASHI MINATO -KU TOKIO</v>
          </cell>
          <cell r="K7191" t="str">
            <v>17001</v>
          </cell>
          <cell r="L7191" t="str">
            <v>MANIZALES</v>
          </cell>
          <cell r="M7191" t="str">
            <v>819080191615</v>
          </cell>
        </row>
        <row r="7192">
          <cell r="A7192">
            <v>10504415550</v>
          </cell>
          <cell r="B7192" t="str">
            <v/>
          </cell>
          <cell r="C7192" t="str">
            <v/>
          </cell>
          <cell r="D7192" t="str">
            <v>CC</v>
          </cell>
          <cell r="E7192" t="str">
            <v>MSAMOMOON</v>
          </cell>
          <cell r="F7192" t="str">
            <v>NOHOHOL</v>
          </cell>
          <cell r="G7192" t="str">
            <v>NOHOHOL MSAMOMOON</v>
          </cell>
          <cell r="H7192" t="str">
            <v>FUNC</v>
          </cell>
          <cell r="I7192" t="str">
            <v>FUNCIONARIO</v>
          </cell>
          <cell r="J7192" t="str">
            <v>CL 01 A   45   50</v>
          </cell>
          <cell r="K7192" t="str">
            <v>17001</v>
          </cell>
          <cell r="L7192" t="str">
            <v>MANIZALES</v>
          </cell>
          <cell r="M7192" t="str">
            <v>3004548952</v>
          </cell>
        </row>
        <row r="7193">
          <cell r="A7193">
            <v>10533022018</v>
          </cell>
          <cell r="B7193" t="str">
            <v/>
          </cell>
          <cell r="C7193" t="str">
            <v/>
          </cell>
          <cell r="D7193" t="str">
            <v>CC</v>
          </cell>
          <cell r="E7193" t="str">
            <v>JUAN CARLOS</v>
          </cell>
          <cell r="F7193" t="str">
            <v>ALFONSO ROJAS</v>
          </cell>
          <cell r="G7193" t="str">
            <v>ALFONSO ROJAS JUAN CARLOS</v>
          </cell>
          <cell r="H7193" t="str">
            <v>FUNC</v>
          </cell>
          <cell r="I7193" t="str">
            <v>FUNCIONARIO</v>
          </cell>
          <cell r="J7193" t="str">
            <v>CALLE 20 A No 20-49 INT 4</v>
          </cell>
          <cell r="K7193" t="str">
            <v>15516</v>
          </cell>
          <cell r="L7193" t="str">
            <v>PAIPA</v>
          </cell>
          <cell r="M7193" t="str">
            <v>3114626905</v>
          </cell>
        </row>
        <row r="7194">
          <cell r="A7194">
            <v>10573056902</v>
          </cell>
          <cell r="B7194" t="str">
            <v/>
          </cell>
          <cell r="C7194" t="str">
            <v/>
          </cell>
          <cell r="D7194" t="str">
            <v>CC</v>
          </cell>
          <cell r="E7194" t="str">
            <v>LINA MARIA</v>
          </cell>
          <cell r="F7194" t="str">
            <v>VILLEGAS MONTES</v>
          </cell>
          <cell r="G7194" t="str">
            <v>VILLEGAS MONTES LINA MARIA</v>
          </cell>
          <cell r="H7194" t="str">
            <v>FUNC</v>
          </cell>
          <cell r="I7194" t="str">
            <v>FUNCIONARIO</v>
          </cell>
          <cell r="J7194" t="str">
            <v>CL 53 B   26   32</v>
          </cell>
          <cell r="K7194" t="str">
            <v>17001</v>
          </cell>
          <cell r="L7194" t="str">
            <v>MANIZALES</v>
          </cell>
          <cell r="M7194" t="str">
            <v>3117768108</v>
          </cell>
        </row>
        <row r="7195">
          <cell r="A7195">
            <v>11254751764</v>
          </cell>
          <cell r="B7195" t="str">
            <v/>
          </cell>
          <cell r="C7195" t="str">
            <v/>
          </cell>
          <cell r="D7195" t="str">
            <v>CC</v>
          </cell>
          <cell r="E7195" t="str">
            <v>LEIDI BIBIANA</v>
          </cell>
          <cell r="F7195" t="str">
            <v>SILVA BERNAL</v>
          </cell>
          <cell r="G7195" t="str">
            <v>SILVA BERNAL LEIDI BIBIANA</v>
          </cell>
          <cell r="H7195" t="str">
            <v>FUNC</v>
          </cell>
          <cell r="I7195" t="str">
            <v>FUNCIONARIO</v>
          </cell>
          <cell r="J7195" t="str">
            <v>CL 20   5-28</v>
          </cell>
          <cell r="K7195" t="str">
            <v>97001</v>
          </cell>
          <cell r="L7195" t="str">
            <v>MITÚ</v>
          </cell>
          <cell r="M7195" t="str">
            <v>3104934937</v>
          </cell>
        </row>
        <row r="7196">
          <cell r="A7196">
            <v>20202020202</v>
          </cell>
          <cell r="B7196" t="str">
            <v/>
          </cell>
          <cell r="C7196" t="str">
            <v/>
          </cell>
          <cell r="D7196" t="str">
            <v>CC</v>
          </cell>
          <cell r="E7196" t="str">
            <v>SALDO EN ROJO</v>
          </cell>
          <cell r="F7196" t="str">
            <v>SALDO EN ROJO</v>
          </cell>
          <cell r="G7196" t="str">
            <v>SALDO EN ROJO SALDO EN ROJO</v>
          </cell>
          <cell r="H7196" t="str">
            <v>FUNC</v>
          </cell>
          <cell r="I7196" t="str">
            <v>FUNCIONARIO</v>
          </cell>
          <cell r="J7196" t="str">
            <v>NO REGISTRA</v>
          </cell>
          <cell r="K7196" t="str">
            <v>17001</v>
          </cell>
          <cell r="L7196" t="str">
            <v>MANIZALES</v>
          </cell>
          <cell r="M7196" t="str">
            <v>NO REGISTRA</v>
          </cell>
        </row>
        <row r="7197">
          <cell r="A7197">
            <v>21757531001</v>
          </cell>
          <cell r="B7197" t="str">
            <v/>
          </cell>
          <cell r="C7197" t="str">
            <v/>
          </cell>
          <cell r="D7197" t="str">
            <v>NE</v>
          </cell>
          <cell r="E7197" t="str">
            <v/>
          </cell>
          <cell r="F7197" t="str">
            <v/>
          </cell>
          <cell r="G7197" t="str">
            <v>GENERATION SOLUTIONS SA</v>
          </cell>
          <cell r="H7197" t="str">
            <v>EXTR</v>
          </cell>
          <cell r="I7197" t="str">
            <v>EXTRANJERO</v>
          </cell>
          <cell r="J7197" t="str">
            <v xml:space="preserve"> AC LUIS ALBERTO DE HERRERA 1248</v>
          </cell>
          <cell r="K7197" t="str">
            <v>001</v>
          </cell>
          <cell r="L7197" t="str">
            <v>MONTEVIDEO</v>
          </cell>
          <cell r="M7197" t="str">
            <v>5555555</v>
          </cell>
        </row>
        <row r="7198">
          <cell r="A7198">
            <v>75507666895</v>
          </cell>
          <cell r="B7198" t="str">
            <v/>
          </cell>
          <cell r="C7198" t="str">
            <v/>
          </cell>
          <cell r="D7198" t="str">
            <v>CC</v>
          </cell>
          <cell r="E7198" t="str">
            <v>FABIO ANDRES</v>
          </cell>
          <cell r="F7198" t="str">
            <v>GARCÍA BEDOYA</v>
          </cell>
          <cell r="G7198" t="str">
            <v>GARCÍA BEDOYA FABIO ANDRES</v>
          </cell>
          <cell r="H7198" t="str">
            <v>FUNC</v>
          </cell>
          <cell r="I7198" t="str">
            <v>FUNCIONARIO</v>
          </cell>
          <cell r="J7198" t="str">
            <v>CL 50 20 64</v>
          </cell>
          <cell r="K7198" t="str">
            <v>17001</v>
          </cell>
          <cell r="L7198" t="str">
            <v>MANIZALES</v>
          </cell>
          <cell r="M7198" t="str">
            <v>3108264020</v>
          </cell>
        </row>
        <row r="7199">
          <cell r="A7199">
            <v>95110518987</v>
          </cell>
          <cell r="B7199" t="str">
            <v/>
          </cell>
          <cell r="C7199" t="str">
            <v/>
          </cell>
          <cell r="D7199" t="str">
            <v>CC</v>
          </cell>
          <cell r="E7199" t="str">
            <v>ARLEY STEVEN</v>
          </cell>
          <cell r="F7199" t="str">
            <v>CAMELO ROJAS</v>
          </cell>
          <cell r="G7199" t="str">
            <v>CAMELO ROJAS ARLEY STEVEN</v>
          </cell>
          <cell r="H7199" t="str">
            <v>FUNC</v>
          </cell>
          <cell r="I7199" t="str">
            <v>FUNCIONARIO</v>
          </cell>
          <cell r="J7199" t="str">
            <v>Manzana F Casa 8 Barrio Alamos</v>
          </cell>
          <cell r="K7199" t="str">
            <v>17001</v>
          </cell>
          <cell r="L7199" t="str">
            <v>MANIZALES</v>
          </cell>
          <cell r="M7199" t="str">
            <v>7628396</v>
          </cell>
        </row>
        <row r="7200">
          <cell r="A7200">
            <v>98022351818</v>
          </cell>
          <cell r="B7200" t="str">
            <v/>
          </cell>
          <cell r="C7200" t="str">
            <v/>
          </cell>
          <cell r="D7200" t="str">
            <v>CC</v>
          </cell>
          <cell r="E7200" t="str">
            <v>PAULA ANDREA</v>
          </cell>
          <cell r="F7200" t="str">
            <v>CHAPARRO VARGAS</v>
          </cell>
          <cell r="G7200" t="str">
            <v>CHAPARRO VARGAS PAULA ANDREA</v>
          </cell>
          <cell r="H7200" t="str">
            <v>FUNC</v>
          </cell>
          <cell r="I7200" t="str">
            <v>FUNCIONARIO</v>
          </cell>
          <cell r="J7200" t="str">
            <v>VRD EL VOLVAN PAIPA</v>
          </cell>
          <cell r="K7200" t="str">
            <v>15516</v>
          </cell>
          <cell r="L7200" t="str">
            <v>PAIPA</v>
          </cell>
          <cell r="M7200" t="str">
            <v>8756262</v>
          </cell>
        </row>
        <row r="7201">
          <cell r="A7201">
            <v>98091013118</v>
          </cell>
          <cell r="B7201" t="str">
            <v/>
          </cell>
          <cell r="C7201" t="str">
            <v/>
          </cell>
          <cell r="D7201" t="str">
            <v>CC</v>
          </cell>
          <cell r="E7201" t="str">
            <v>JULIANA</v>
          </cell>
          <cell r="F7201" t="str">
            <v>CAMELO SANCHEZ</v>
          </cell>
          <cell r="G7201" t="str">
            <v>CAMELO SANCHEZ JULIANA</v>
          </cell>
          <cell r="H7201" t="str">
            <v>FUNC</v>
          </cell>
          <cell r="I7201" t="str">
            <v>FUNCIONARIO</v>
          </cell>
          <cell r="J7201" t="str">
            <v>VRD CUCHILLA DEL SALADO</v>
          </cell>
          <cell r="K7201" t="str">
            <v>17001</v>
          </cell>
          <cell r="L7201" t="str">
            <v>MANIZALES</v>
          </cell>
          <cell r="M7201" t="str">
            <v>3216553240</v>
          </cell>
        </row>
        <row r="7202">
          <cell r="A7202">
            <v>660013121001</v>
          </cell>
          <cell r="B7202" t="str">
            <v/>
          </cell>
          <cell r="C7202" t="str">
            <v/>
          </cell>
          <cell r="D7202" t="str">
            <v>TI</v>
          </cell>
          <cell r="E7202" t="str">
            <v>JUZGADO 001 CIVIL DEL CIRCUITO E</v>
          </cell>
          <cell r="F7202" t="str">
            <v>001 CIVIL DEL CIRCUITO E</v>
          </cell>
          <cell r="G7202" t="str">
            <v>JUZGADO 001 CIVIL DEL CIRCUITO ESPECIALIZADO  EN RESTITUCIÓN DE</v>
          </cell>
          <cell r="H7202" t="str">
            <v>IMVE</v>
          </cell>
          <cell r="I7202" t="str">
            <v>IMPUESTO SOBRE LAS VENTAS</v>
          </cell>
          <cell r="J7202" t="str">
            <v>Calle 30#6-42 - Piso 3</v>
          </cell>
          <cell r="K7202" t="str">
            <v>17001</v>
          </cell>
          <cell r="L7202" t="str">
            <v>MANIZALES</v>
          </cell>
          <cell r="M7202" t="str">
            <v>3265274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97"/>
  <sheetViews>
    <sheetView tabSelected="1" zoomScale="85" zoomScaleNormal="85" workbookViewId="0">
      <pane ySplit="6" topLeftCell="A49" activePane="bottomLeft" state="frozen"/>
      <selection pane="bottomLeft" activeCell="K63" sqref="K6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 t="s">
        <v>2248</v>
      </c>
      <c r="B7" s="9">
        <v>6</v>
      </c>
      <c r="C7" s="24" t="s">
        <v>2249</v>
      </c>
      <c r="D7" s="25" t="s">
        <v>2250</v>
      </c>
      <c r="E7" s="26">
        <v>3133452459</v>
      </c>
      <c r="F7" s="27" t="s">
        <v>2251</v>
      </c>
      <c r="G7" s="28">
        <v>15759</v>
      </c>
      <c r="H7" s="28">
        <v>301</v>
      </c>
      <c r="I7" s="29">
        <v>629512599</v>
      </c>
      <c r="J7" s="29">
        <v>4406591</v>
      </c>
    </row>
    <row r="8" spans="1:11" x14ac:dyDescent="0.25">
      <c r="A8" s="24" t="s">
        <v>2252</v>
      </c>
      <c r="B8" s="9">
        <v>8</v>
      </c>
      <c r="C8" s="24" t="s">
        <v>2253</v>
      </c>
      <c r="D8" s="25" t="s">
        <v>2254</v>
      </c>
      <c r="E8" s="28">
        <v>7438828</v>
      </c>
      <c r="F8" s="27" t="s">
        <v>2255</v>
      </c>
      <c r="G8" s="28">
        <v>11001</v>
      </c>
      <c r="H8" s="28">
        <v>329</v>
      </c>
      <c r="I8" s="29">
        <v>2606225318</v>
      </c>
      <c r="J8" s="29">
        <v>20849803</v>
      </c>
    </row>
    <row r="9" spans="1:11" x14ac:dyDescent="0.25">
      <c r="A9" s="24" t="s">
        <v>2256</v>
      </c>
      <c r="B9" s="9">
        <v>4</v>
      </c>
      <c r="C9" s="24" t="s">
        <v>2257</v>
      </c>
      <c r="D9" s="25" t="s">
        <v>2258</v>
      </c>
      <c r="E9" s="28">
        <v>3102342625</v>
      </c>
      <c r="F9" s="27" t="s">
        <v>2259</v>
      </c>
      <c r="G9" s="28">
        <v>25214</v>
      </c>
      <c r="H9" s="28">
        <v>334</v>
      </c>
      <c r="I9" s="29">
        <f>3810000+14657000+762000+13895000+160500000+33655000+18507000</f>
        <v>245786000</v>
      </c>
      <c r="J9" s="29">
        <f>38100+146570+7620+138950+1605000+336550+185070</f>
        <v>2457860</v>
      </c>
    </row>
    <row r="10" spans="1:11" x14ac:dyDescent="0.25">
      <c r="A10" s="24" t="s">
        <v>2260</v>
      </c>
      <c r="B10" s="9">
        <v>9</v>
      </c>
      <c r="C10" s="24" t="s">
        <v>2261</v>
      </c>
      <c r="D10" s="25" t="s">
        <v>2262</v>
      </c>
      <c r="E10" s="28">
        <v>3108222763</v>
      </c>
      <c r="F10" s="27" t="s">
        <v>2263</v>
      </c>
      <c r="G10" s="28">
        <v>17001</v>
      </c>
      <c r="H10" s="28">
        <v>334</v>
      </c>
      <c r="I10" s="29">
        <v>56509755</v>
      </c>
      <c r="J10" s="29">
        <v>565098</v>
      </c>
    </row>
    <row r="11" spans="1:11" x14ac:dyDescent="0.25">
      <c r="A11" s="24" t="s">
        <v>2264</v>
      </c>
      <c r="B11" s="9">
        <v>1</v>
      </c>
      <c r="C11" s="24" t="s">
        <v>2265</v>
      </c>
      <c r="D11" s="25" t="s">
        <v>2266</v>
      </c>
      <c r="E11" s="28">
        <v>3104593430</v>
      </c>
      <c r="F11" s="27" t="s">
        <v>2267</v>
      </c>
      <c r="G11" s="28">
        <v>17001</v>
      </c>
      <c r="H11" s="28">
        <v>334</v>
      </c>
      <c r="I11" s="29">
        <v>239880173</v>
      </c>
      <c r="J11" s="29">
        <v>2398802</v>
      </c>
    </row>
    <row r="12" spans="1:11" x14ac:dyDescent="0.25">
      <c r="A12" s="24" t="s">
        <v>2264</v>
      </c>
      <c r="B12" s="9">
        <v>1</v>
      </c>
      <c r="C12" s="24" t="s">
        <v>2265</v>
      </c>
      <c r="D12" s="25" t="s">
        <v>2266</v>
      </c>
      <c r="E12" s="28">
        <v>3104593430</v>
      </c>
      <c r="F12" s="27" t="s">
        <v>2267</v>
      </c>
      <c r="G12" s="28">
        <v>17001</v>
      </c>
      <c r="H12" s="28">
        <v>334</v>
      </c>
      <c r="I12" s="29">
        <v>239880173</v>
      </c>
      <c r="J12" s="29">
        <v>1919040</v>
      </c>
    </row>
    <row r="13" spans="1:11" x14ac:dyDescent="0.25">
      <c r="A13" s="24" t="s">
        <v>2268</v>
      </c>
      <c r="B13" s="9">
        <v>5</v>
      </c>
      <c r="C13" s="24" t="s">
        <v>2269</v>
      </c>
      <c r="D13" s="25" t="s">
        <v>2270</v>
      </c>
      <c r="E13" s="28">
        <v>3135458784</v>
      </c>
      <c r="F13" s="27" t="s">
        <v>2271</v>
      </c>
      <c r="G13" s="28">
        <v>15238</v>
      </c>
      <c r="H13" s="28">
        <v>334</v>
      </c>
      <c r="I13" s="29">
        <v>2952000</v>
      </c>
      <c r="J13" s="29">
        <v>29520</v>
      </c>
    </row>
    <row r="14" spans="1:11" x14ac:dyDescent="0.25">
      <c r="A14" s="30" t="s">
        <v>2272</v>
      </c>
      <c r="B14" s="9">
        <v>9</v>
      </c>
      <c r="C14" s="24" t="s">
        <v>2273</v>
      </c>
      <c r="D14" s="9" t="s">
        <v>2274</v>
      </c>
      <c r="E14" s="26">
        <v>3123896009</v>
      </c>
      <c r="F14" s="27" t="s">
        <v>2275</v>
      </c>
      <c r="G14" s="28">
        <v>85001</v>
      </c>
      <c r="H14" s="28">
        <v>302</v>
      </c>
      <c r="I14" s="29">
        <v>1342874630</v>
      </c>
      <c r="J14" s="29">
        <v>9400124</v>
      </c>
    </row>
    <row r="15" spans="1:11" x14ac:dyDescent="0.25">
      <c r="A15" s="30" t="s">
        <v>2276</v>
      </c>
      <c r="B15" s="9">
        <v>4</v>
      </c>
      <c r="C15" s="24" t="s">
        <v>2277</v>
      </c>
      <c r="D15" s="9" t="s">
        <v>2278</v>
      </c>
      <c r="E15" s="26">
        <v>7605434</v>
      </c>
      <c r="F15" s="27" t="s">
        <v>2279</v>
      </c>
      <c r="G15" s="28">
        <v>15806</v>
      </c>
      <c r="H15" s="28">
        <v>301</v>
      </c>
      <c r="I15" s="29">
        <v>727730798</v>
      </c>
      <c r="J15" s="29">
        <v>5094115</v>
      </c>
    </row>
    <row r="16" spans="1:11" x14ac:dyDescent="0.25">
      <c r="A16" s="30" t="s">
        <v>2280</v>
      </c>
      <c r="B16" s="9">
        <v>3</v>
      </c>
      <c r="C16" s="24" t="s">
        <v>2281</v>
      </c>
      <c r="D16" s="9" t="s">
        <v>2282</v>
      </c>
      <c r="E16" s="26">
        <v>8792926</v>
      </c>
      <c r="F16" s="27" t="s">
        <v>2283</v>
      </c>
      <c r="G16" s="28">
        <v>17001</v>
      </c>
      <c r="H16" s="28">
        <v>310</v>
      </c>
      <c r="I16" s="29">
        <v>71226601</v>
      </c>
      <c r="J16" s="29">
        <v>569813</v>
      </c>
    </row>
    <row r="17" spans="1:10" x14ac:dyDescent="0.25">
      <c r="A17" s="30" t="s">
        <v>2284</v>
      </c>
      <c r="B17" s="9">
        <v>8</v>
      </c>
      <c r="C17" s="24" t="s">
        <v>2285</v>
      </c>
      <c r="D17" s="9" t="s">
        <v>2286</v>
      </c>
      <c r="E17" s="26">
        <v>3112336727</v>
      </c>
      <c r="F17" s="27" t="s">
        <v>2287</v>
      </c>
      <c r="G17" s="28">
        <v>11001</v>
      </c>
      <c r="H17" s="28">
        <v>311</v>
      </c>
      <c r="I17" s="29">
        <v>76298231</v>
      </c>
      <c r="J17" s="29">
        <v>610385</v>
      </c>
    </row>
    <row r="18" spans="1:10" x14ac:dyDescent="0.25">
      <c r="A18" s="30" t="s">
        <v>2288</v>
      </c>
      <c r="B18" s="9">
        <v>6</v>
      </c>
      <c r="C18" s="24" t="s">
        <v>2289</v>
      </c>
      <c r="D18" s="9" t="s">
        <v>2290</v>
      </c>
      <c r="E18" s="28">
        <v>3175173652</v>
      </c>
      <c r="F18" s="31" t="s">
        <v>2291</v>
      </c>
      <c r="G18" s="32" t="s">
        <v>342</v>
      </c>
      <c r="H18" s="28">
        <v>334</v>
      </c>
      <c r="I18" s="29">
        <v>11511369</v>
      </c>
      <c r="J18" s="29">
        <v>115114</v>
      </c>
    </row>
    <row r="19" spans="1:10" x14ac:dyDescent="0.25">
      <c r="A19" s="30" t="s">
        <v>2292</v>
      </c>
      <c r="B19" s="9">
        <v>9</v>
      </c>
      <c r="C19" s="24" t="s">
        <v>2293</v>
      </c>
      <c r="D19" s="9" t="s">
        <v>2294</v>
      </c>
      <c r="E19" s="26">
        <v>3252270</v>
      </c>
      <c r="F19" s="27" t="s">
        <v>2295</v>
      </c>
      <c r="G19" s="32" t="s">
        <v>342</v>
      </c>
      <c r="H19" s="28">
        <v>325</v>
      </c>
      <c r="I19" s="29">
        <v>76584000</v>
      </c>
      <c r="J19" s="29">
        <v>765840</v>
      </c>
    </row>
    <row r="20" spans="1:10" x14ac:dyDescent="0.25">
      <c r="A20" s="30" t="s">
        <v>2296</v>
      </c>
      <c r="B20" s="9">
        <v>2</v>
      </c>
      <c r="C20" s="24" t="s">
        <v>2297</v>
      </c>
      <c r="D20" s="9" t="s">
        <v>2298</v>
      </c>
      <c r="E20" s="33">
        <v>3904800</v>
      </c>
      <c r="F20" s="34" t="s">
        <v>2299</v>
      </c>
      <c r="G20" s="28">
        <v>11001</v>
      </c>
      <c r="H20" s="28">
        <v>318</v>
      </c>
      <c r="I20" s="29">
        <f>19251000+76631892</f>
        <v>95882892</v>
      </c>
      <c r="J20" s="29">
        <f>192510+766319</f>
        <v>958829</v>
      </c>
    </row>
    <row r="21" spans="1:10" x14ac:dyDescent="0.25">
      <c r="A21" s="24" t="s">
        <v>2300</v>
      </c>
      <c r="B21" s="9">
        <v>5</v>
      </c>
      <c r="C21" s="24" t="s">
        <v>2301</v>
      </c>
      <c r="D21" s="25" t="s">
        <v>2302</v>
      </c>
      <c r="E21" s="28">
        <v>7850131</v>
      </c>
      <c r="F21" s="27" t="s">
        <v>2303</v>
      </c>
      <c r="G21" s="28">
        <v>15516</v>
      </c>
      <c r="H21" s="28">
        <v>310</v>
      </c>
      <c r="I21" s="29">
        <v>5538500</v>
      </c>
      <c r="J21" s="29">
        <v>55388</v>
      </c>
    </row>
    <row r="22" spans="1:10" x14ac:dyDescent="0.25">
      <c r="A22" s="30" t="s">
        <v>2304</v>
      </c>
      <c r="B22" s="9">
        <v>0</v>
      </c>
      <c r="C22" s="24" t="s">
        <v>2305</v>
      </c>
      <c r="D22" s="9" t="s">
        <v>2306</v>
      </c>
      <c r="E22" s="28">
        <v>3174283813</v>
      </c>
      <c r="F22" s="31" t="s">
        <v>2307</v>
      </c>
      <c r="G22" s="28">
        <v>15238</v>
      </c>
      <c r="H22" s="28">
        <v>334</v>
      </c>
      <c r="I22" s="29">
        <v>-31677210</v>
      </c>
      <c r="J22" s="29">
        <v>-316773</v>
      </c>
    </row>
    <row r="23" spans="1:10" x14ac:dyDescent="0.25">
      <c r="A23" s="30" t="s">
        <v>2308</v>
      </c>
      <c r="B23" s="9">
        <v>6</v>
      </c>
      <c r="C23" s="24" t="s">
        <v>2309</v>
      </c>
      <c r="D23" s="9" t="s">
        <v>2310</v>
      </c>
      <c r="E23" s="26">
        <v>2612949</v>
      </c>
      <c r="F23" s="27" t="s">
        <v>2311</v>
      </c>
      <c r="G23" s="28">
        <v>11001</v>
      </c>
      <c r="H23" s="28">
        <v>334</v>
      </c>
      <c r="I23" s="29">
        <v>1444665090</v>
      </c>
      <c r="J23" s="29">
        <v>14446652</v>
      </c>
    </row>
    <row r="24" spans="1:10" x14ac:dyDescent="0.25">
      <c r="A24" s="30" t="s">
        <v>2312</v>
      </c>
      <c r="B24" s="9">
        <v>6</v>
      </c>
      <c r="C24" s="24" t="s">
        <v>2313</v>
      </c>
      <c r="D24" s="9" t="s">
        <v>2314</v>
      </c>
      <c r="E24" s="28">
        <v>3143003200</v>
      </c>
      <c r="F24" s="31" t="s">
        <v>2315</v>
      </c>
      <c r="G24" s="28">
        <v>11001</v>
      </c>
      <c r="H24" s="28">
        <v>334</v>
      </c>
      <c r="I24" s="29">
        <v>8760500</v>
      </c>
      <c r="J24" s="29">
        <v>87605</v>
      </c>
    </row>
    <row r="25" spans="1:10" x14ac:dyDescent="0.25">
      <c r="A25" s="30" t="s">
        <v>2316</v>
      </c>
      <c r="B25" s="9">
        <v>3</v>
      </c>
      <c r="C25" s="24" t="s">
        <v>2317</v>
      </c>
      <c r="D25" s="9" t="s">
        <v>2318</v>
      </c>
      <c r="E25" s="26">
        <v>3176416974</v>
      </c>
      <c r="F25" s="27" t="s">
        <v>2319</v>
      </c>
      <c r="G25" s="28">
        <v>17001</v>
      </c>
      <c r="H25" s="28">
        <v>334</v>
      </c>
      <c r="I25" s="29">
        <v>14450755</v>
      </c>
      <c r="J25" s="29">
        <v>144507</v>
      </c>
    </row>
    <row r="26" spans="1:10" x14ac:dyDescent="0.25">
      <c r="A26" s="30" t="s">
        <v>2320</v>
      </c>
      <c r="B26" s="9">
        <v>6</v>
      </c>
      <c r="C26" s="24" t="s">
        <v>2321</v>
      </c>
      <c r="D26" s="9" t="s">
        <v>2322</v>
      </c>
      <c r="E26" s="26">
        <v>6160284</v>
      </c>
      <c r="F26" s="27" t="s">
        <v>2323</v>
      </c>
      <c r="G26" s="28">
        <v>11001</v>
      </c>
      <c r="H26" s="28">
        <v>310</v>
      </c>
      <c r="I26" s="29">
        <v>261094369</v>
      </c>
      <c r="J26" s="29">
        <v>2088751</v>
      </c>
    </row>
    <row r="27" spans="1:10" x14ac:dyDescent="0.25">
      <c r="A27" s="30" t="s">
        <v>2324</v>
      </c>
      <c r="B27" s="9">
        <v>5</v>
      </c>
      <c r="C27" s="24" t="s">
        <v>2325</v>
      </c>
      <c r="D27" s="9" t="s">
        <v>2326</v>
      </c>
      <c r="E27" s="35">
        <v>3114405929</v>
      </c>
      <c r="F27" s="27" t="s">
        <v>2327</v>
      </c>
      <c r="G27" s="28">
        <v>15516</v>
      </c>
      <c r="H27" s="28">
        <v>318</v>
      </c>
      <c r="I27" s="29">
        <f>13530705+8584219+7634951+24376169</f>
        <v>54126044</v>
      </c>
      <c r="J27" s="29">
        <f>135307+85842+76350+243762</f>
        <v>541261</v>
      </c>
    </row>
    <row r="28" spans="1:10" x14ac:dyDescent="0.25">
      <c r="A28" s="30" t="s">
        <v>2328</v>
      </c>
      <c r="B28" s="9">
        <v>5</v>
      </c>
      <c r="C28" s="24" t="s">
        <v>2329</v>
      </c>
      <c r="D28" s="9" t="s">
        <v>2330</v>
      </c>
      <c r="E28" s="28">
        <v>3004649</v>
      </c>
      <c r="F28" s="36" t="s">
        <v>2331</v>
      </c>
      <c r="G28" s="28">
        <v>11001</v>
      </c>
      <c r="H28" s="28">
        <v>329</v>
      </c>
      <c r="I28" s="37">
        <v>3</v>
      </c>
      <c r="J28" s="37">
        <v>1</v>
      </c>
    </row>
    <row r="29" spans="1:10" x14ac:dyDescent="0.25">
      <c r="A29" s="30" t="s">
        <v>2332</v>
      </c>
      <c r="B29" s="9">
        <v>4</v>
      </c>
      <c r="C29" s="24" t="s">
        <v>2333</v>
      </c>
      <c r="D29" s="9" t="s">
        <v>2334</v>
      </c>
      <c r="E29" s="38">
        <v>3108024870</v>
      </c>
      <c r="F29" s="31" t="s">
        <v>2335</v>
      </c>
      <c r="G29" s="28">
        <v>15759</v>
      </c>
      <c r="H29" s="28">
        <v>334</v>
      </c>
      <c r="I29" s="37">
        <f>1440000+2670000+2640000</f>
        <v>6750000</v>
      </c>
      <c r="J29" s="37">
        <f>14400+26700+26400</f>
        <v>67500</v>
      </c>
    </row>
    <row r="30" spans="1:10" x14ac:dyDescent="0.25">
      <c r="A30" s="30" t="s">
        <v>2336</v>
      </c>
      <c r="B30" s="9">
        <v>8</v>
      </c>
      <c r="C30" s="24" t="s">
        <v>2337</v>
      </c>
      <c r="D30" s="9" t="s">
        <v>2338</v>
      </c>
      <c r="E30" s="26">
        <v>7728954</v>
      </c>
      <c r="F30" s="27" t="s">
        <v>2339</v>
      </c>
      <c r="G30" s="28">
        <v>15759</v>
      </c>
      <c r="H30" s="28">
        <v>334</v>
      </c>
      <c r="I30" s="37">
        <f>110485756+108330000+61210776</f>
        <v>280026532</v>
      </c>
      <c r="J30" s="37">
        <f>1104858+1083300+612108</f>
        <v>2800266</v>
      </c>
    </row>
    <row r="31" spans="1:10" x14ac:dyDescent="0.25">
      <c r="A31" s="30" t="s">
        <v>2340</v>
      </c>
      <c r="B31" s="9">
        <v>1</v>
      </c>
      <c r="C31" s="24" t="s">
        <v>2341</v>
      </c>
      <c r="D31" s="9" t="s">
        <v>2342</v>
      </c>
      <c r="E31" s="26">
        <v>3133767148</v>
      </c>
      <c r="F31" s="27" t="s">
        <v>2343</v>
      </c>
      <c r="G31" s="28">
        <v>11001</v>
      </c>
      <c r="H31" s="28">
        <v>318</v>
      </c>
      <c r="I31" s="37">
        <v>27435880</v>
      </c>
      <c r="J31" s="37">
        <v>274360</v>
      </c>
    </row>
    <row r="32" spans="1:10" x14ac:dyDescent="0.25">
      <c r="A32" s="30" t="s">
        <v>2344</v>
      </c>
      <c r="B32" s="9">
        <v>9</v>
      </c>
      <c r="C32" s="24" t="s">
        <v>2345</v>
      </c>
      <c r="D32" s="9" t="s">
        <v>2346</v>
      </c>
      <c r="E32" s="28">
        <v>3117199856</v>
      </c>
      <c r="F32" s="36" t="s">
        <v>2347</v>
      </c>
      <c r="G32" s="28">
        <v>17001</v>
      </c>
      <c r="H32" s="28">
        <v>334</v>
      </c>
      <c r="I32" s="37">
        <v>9500000</v>
      </c>
      <c r="J32" s="37">
        <v>95000</v>
      </c>
    </row>
    <row r="33" spans="1:10" x14ac:dyDescent="0.25">
      <c r="A33" s="30" t="s">
        <v>2348</v>
      </c>
      <c r="B33" s="9">
        <v>4</v>
      </c>
      <c r="C33" s="24" t="s">
        <v>2349</v>
      </c>
      <c r="D33" s="9" t="s">
        <v>2350</v>
      </c>
      <c r="E33" s="26">
        <v>3117061653</v>
      </c>
      <c r="F33" s="27" t="s">
        <v>2351</v>
      </c>
      <c r="G33" s="28">
        <v>15516</v>
      </c>
      <c r="H33" s="28">
        <v>334</v>
      </c>
      <c r="I33" s="37">
        <v>2625000</v>
      </c>
      <c r="J33" s="37">
        <v>26250</v>
      </c>
    </row>
    <row r="34" spans="1:10" x14ac:dyDescent="0.25">
      <c r="A34" s="30" t="s">
        <v>2352</v>
      </c>
      <c r="B34" s="9">
        <v>1</v>
      </c>
      <c r="C34" s="24" t="s">
        <v>2353</v>
      </c>
      <c r="D34" s="9" t="s">
        <v>2354</v>
      </c>
      <c r="E34" s="28">
        <v>3188009573</v>
      </c>
      <c r="F34" s="27" t="s">
        <v>2355</v>
      </c>
      <c r="G34" s="28">
        <v>11001</v>
      </c>
      <c r="H34" s="28">
        <v>334</v>
      </c>
      <c r="I34" s="37">
        <v>225113444</v>
      </c>
      <c r="J34" s="37">
        <v>2251135</v>
      </c>
    </row>
    <row r="35" spans="1:10" x14ac:dyDescent="0.25">
      <c r="A35" s="30" t="s">
        <v>2356</v>
      </c>
      <c r="B35" s="9">
        <v>3</v>
      </c>
      <c r="C35" s="24" t="s">
        <v>2357</v>
      </c>
      <c r="D35" s="9" t="s">
        <v>2358</v>
      </c>
      <c r="E35" s="28">
        <v>3123041277</v>
      </c>
      <c r="F35" s="36" t="s">
        <v>2359</v>
      </c>
      <c r="G35" s="28">
        <v>11001</v>
      </c>
      <c r="H35" s="28">
        <v>318</v>
      </c>
      <c r="I35" s="37">
        <v>21000000</v>
      </c>
      <c r="J35" s="37">
        <v>210000</v>
      </c>
    </row>
    <row r="36" spans="1:10" x14ac:dyDescent="0.25">
      <c r="A36" s="30" t="s">
        <v>2360</v>
      </c>
      <c r="B36" s="9">
        <v>1</v>
      </c>
      <c r="C36" s="24" t="s">
        <v>2361</v>
      </c>
      <c r="D36" s="9" t="s">
        <v>2362</v>
      </c>
      <c r="E36" s="28">
        <v>3214695245</v>
      </c>
      <c r="F36" s="36" t="s">
        <v>2363</v>
      </c>
      <c r="G36" s="28">
        <v>11001</v>
      </c>
      <c r="H36" s="28">
        <v>334</v>
      </c>
      <c r="I36" s="37">
        <v>32634250</v>
      </c>
      <c r="J36" s="37">
        <v>326343</v>
      </c>
    </row>
    <row r="37" spans="1:10" x14ac:dyDescent="0.25">
      <c r="A37" s="30" t="s">
        <v>2364</v>
      </c>
      <c r="B37" s="9">
        <v>0</v>
      </c>
      <c r="C37" s="24" t="s">
        <v>2365</v>
      </c>
      <c r="D37" s="9" t="s">
        <v>2366</v>
      </c>
      <c r="E37" s="26">
        <v>3132070392</v>
      </c>
      <c r="F37" s="27" t="s">
        <v>2367</v>
      </c>
      <c r="G37" s="28">
        <v>15516</v>
      </c>
      <c r="H37" s="28">
        <v>334</v>
      </c>
      <c r="I37" s="37">
        <f>910000+910000+910000</f>
        <v>2730000</v>
      </c>
      <c r="J37" s="37">
        <v>27300</v>
      </c>
    </row>
    <row r="38" spans="1:10" x14ac:dyDescent="0.25">
      <c r="A38" s="30" t="s">
        <v>2368</v>
      </c>
      <c r="B38" s="9">
        <v>2</v>
      </c>
      <c r="C38" s="24" t="s">
        <v>2369</v>
      </c>
      <c r="D38" s="9" t="s">
        <v>2370</v>
      </c>
      <c r="E38" s="33">
        <v>3125221487</v>
      </c>
      <c r="F38" s="34" t="s">
        <v>2371</v>
      </c>
      <c r="G38" s="28">
        <v>15516</v>
      </c>
      <c r="H38" s="28">
        <v>219</v>
      </c>
      <c r="I38" s="37">
        <f>6472500+14400000+10400000</f>
        <v>31272500</v>
      </c>
      <c r="J38" s="37">
        <f>64725+144000+104000</f>
        <v>312725</v>
      </c>
    </row>
    <row r="39" spans="1:10" x14ac:dyDescent="0.25">
      <c r="A39" s="39">
        <v>800067307</v>
      </c>
      <c r="B39" s="9">
        <v>6</v>
      </c>
      <c r="C39" s="24" t="s">
        <v>2372</v>
      </c>
      <c r="D39" s="9" t="s">
        <v>2373</v>
      </c>
      <c r="E39" s="40">
        <v>3115571410</v>
      </c>
      <c r="F39" s="27" t="s">
        <v>2374</v>
      </c>
      <c r="G39" s="28">
        <v>15238</v>
      </c>
      <c r="H39" s="28">
        <v>318</v>
      </c>
      <c r="I39" s="29">
        <f>48000000+24000000+36428400</f>
        <v>108428400</v>
      </c>
      <c r="J39" s="29">
        <v>1084284</v>
      </c>
    </row>
    <row r="40" spans="1:10" x14ac:dyDescent="0.25">
      <c r="A40" s="39">
        <v>800149871</v>
      </c>
      <c r="B40" s="9">
        <v>1</v>
      </c>
      <c r="C40" s="24" t="s">
        <v>2375</v>
      </c>
      <c r="D40" s="9" t="s">
        <v>2376</v>
      </c>
      <c r="E40" s="40">
        <v>3158780082</v>
      </c>
      <c r="F40" s="27" t="s">
        <v>2377</v>
      </c>
      <c r="G40" s="28">
        <v>15238</v>
      </c>
      <c r="H40" s="28">
        <v>318</v>
      </c>
      <c r="I40" s="29">
        <f>9698400+9870000+9870000+69771262</f>
        <v>99209662</v>
      </c>
      <c r="J40" s="29">
        <v>992097</v>
      </c>
    </row>
    <row r="41" spans="1:10" x14ac:dyDescent="0.25">
      <c r="A41" s="39">
        <v>900106111</v>
      </c>
      <c r="B41" s="9">
        <v>0</v>
      </c>
      <c r="C41" s="24" t="s">
        <v>2378</v>
      </c>
      <c r="D41" s="9" t="s">
        <v>2379</v>
      </c>
      <c r="E41" s="40">
        <v>3112573577</v>
      </c>
      <c r="F41" s="27" t="s">
        <v>2380</v>
      </c>
      <c r="G41" s="28">
        <v>11001</v>
      </c>
      <c r="H41" s="28">
        <v>318</v>
      </c>
      <c r="I41" s="29">
        <v>63500000</v>
      </c>
      <c r="J41" s="29">
        <v>635000</v>
      </c>
    </row>
    <row r="42" spans="1:10" x14ac:dyDescent="0.25">
      <c r="A42" s="39">
        <v>900404715</v>
      </c>
      <c r="B42" s="9">
        <v>7</v>
      </c>
      <c r="C42" s="24" t="s">
        <v>2381</v>
      </c>
      <c r="D42" s="9" t="s">
        <v>2382</v>
      </c>
      <c r="E42" s="40">
        <v>3144713499</v>
      </c>
      <c r="F42" s="27" t="s">
        <v>2383</v>
      </c>
      <c r="G42" s="28">
        <v>11001</v>
      </c>
      <c r="H42" s="28">
        <v>334</v>
      </c>
      <c r="I42" s="29">
        <v>21899712</v>
      </c>
      <c r="J42" s="29">
        <v>218997</v>
      </c>
    </row>
    <row r="43" spans="1:10" x14ac:dyDescent="0.25">
      <c r="A43" s="39">
        <v>901544737</v>
      </c>
      <c r="B43" s="9">
        <v>2</v>
      </c>
      <c r="C43" s="24" t="s">
        <v>2384</v>
      </c>
      <c r="D43" s="9" t="s">
        <v>2385</v>
      </c>
      <c r="E43" s="40">
        <v>3156124428</v>
      </c>
      <c r="F43" s="27" t="s">
        <v>2386</v>
      </c>
      <c r="G43" s="28">
        <v>15104</v>
      </c>
      <c r="H43" s="28">
        <v>326</v>
      </c>
      <c r="I43" s="29">
        <f>245165022+524774716</f>
        <v>769939738</v>
      </c>
      <c r="J43" s="29">
        <f>2451650+5247747</f>
        <v>7699397</v>
      </c>
    </row>
    <row r="44" spans="1:10" x14ac:dyDescent="0.25">
      <c r="A44" s="39">
        <v>900186025</v>
      </c>
      <c r="B44" s="9">
        <v>7</v>
      </c>
      <c r="C44" s="24" t="s">
        <v>2387</v>
      </c>
      <c r="D44" s="9" t="s">
        <v>2388</v>
      </c>
      <c r="E44" s="40">
        <v>3148892718</v>
      </c>
      <c r="F44" s="27" t="s">
        <v>2389</v>
      </c>
      <c r="G44" s="28">
        <v>17001</v>
      </c>
      <c r="H44" s="28">
        <v>219</v>
      </c>
      <c r="I44" s="29">
        <f>75759000+15759000-70230400</f>
        <v>21287600</v>
      </c>
      <c r="J44" s="29">
        <f>757590+157590-702304</f>
        <v>212876</v>
      </c>
    </row>
    <row r="45" spans="1:10" x14ac:dyDescent="0.25">
      <c r="A45" s="30" t="s">
        <v>2390</v>
      </c>
      <c r="B45" s="9">
        <v>3</v>
      </c>
      <c r="C45" s="24" t="s">
        <v>2391</v>
      </c>
      <c r="D45" s="9" t="s">
        <v>2392</v>
      </c>
      <c r="E45" s="38">
        <v>3133774590</v>
      </c>
      <c r="F45" s="31" t="s">
        <v>2393</v>
      </c>
      <c r="G45" s="28">
        <v>68001</v>
      </c>
      <c r="H45" s="28">
        <v>334</v>
      </c>
      <c r="I45" s="29">
        <f>158517177+205431279</f>
        <v>363948456</v>
      </c>
      <c r="J45" s="29">
        <f>1585172+2054313</f>
        <v>3639485</v>
      </c>
    </row>
    <row r="46" spans="1:10" x14ac:dyDescent="0.25">
      <c r="A46" s="30" t="s">
        <v>2394</v>
      </c>
      <c r="B46" s="9">
        <v>0</v>
      </c>
      <c r="C46" s="24" t="s">
        <v>2395</v>
      </c>
      <c r="D46" s="9" t="s">
        <v>2396</v>
      </c>
      <c r="E46" s="41" t="s">
        <v>2397</v>
      </c>
      <c r="F46" s="42" t="s">
        <v>2398</v>
      </c>
      <c r="G46" s="28">
        <v>11001</v>
      </c>
      <c r="H46" s="28">
        <v>318</v>
      </c>
      <c r="I46" s="29">
        <f>7845000+3892000+5606500</f>
        <v>17343500</v>
      </c>
      <c r="J46" s="29">
        <f>78450+38920+56065</f>
        <v>173435</v>
      </c>
    </row>
    <row r="47" spans="1:10" x14ac:dyDescent="0.25">
      <c r="A47" s="30" t="s">
        <v>2399</v>
      </c>
      <c r="B47" s="9">
        <v>7</v>
      </c>
      <c r="C47" s="24" t="s">
        <v>2400</v>
      </c>
      <c r="D47" s="9" t="s">
        <v>2401</v>
      </c>
      <c r="E47" s="28">
        <v>3808530</v>
      </c>
      <c r="F47" s="31" t="s">
        <v>2402</v>
      </c>
      <c r="G47" s="28">
        <v>11001</v>
      </c>
      <c r="H47" s="28">
        <v>318</v>
      </c>
      <c r="I47" s="29">
        <v>9255719</v>
      </c>
      <c r="J47" s="29">
        <v>92557</v>
      </c>
    </row>
    <row r="48" spans="1:10" x14ac:dyDescent="0.25">
      <c r="A48" s="30" t="s">
        <v>2403</v>
      </c>
      <c r="B48" s="9">
        <v>1</v>
      </c>
      <c r="C48" s="24" t="s">
        <v>2404</v>
      </c>
      <c r="D48" s="9" t="s">
        <v>2405</v>
      </c>
      <c r="E48" s="28">
        <v>3144020906</v>
      </c>
      <c r="F48" s="31" t="s">
        <v>2406</v>
      </c>
      <c r="G48" s="28">
        <v>25214</v>
      </c>
      <c r="H48" s="28">
        <v>334</v>
      </c>
      <c r="I48" s="29">
        <v>6964000</v>
      </c>
      <c r="J48" s="29">
        <v>69640</v>
      </c>
    </row>
    <row r="49" spans="1:10" x14ac:dyDescent="0.25">
      <c r="A49" s="30" t="s">
        <v>2407</v>
      </c>
      <c r="B49" s="9">
        <v>4</v>
      </c>
      <c r="C49" s="24" t="s">
        <v>2408</v>
      </c>
      <c r="D49" s="9" t="s">
        <v>2409</v>
      </c>
      <c r="E49" s="28">
        <v>3108780146</v>
      </c>
      <c r="F49" s="27" t="s">
        <v>2410</v>
      </c>
      <c r="G49" s="28">
        <v>11001</v>
      </c>
      <c r="H49" s="28">
        <v>334</v>
      </c>
      <c r="I49" s="29">
        <v>26400000</v>
      </c>
      <c r="J49" s="29">
        <v>264000</v>
      </c>
    </row>
    <row r="50" spans="1:10" x14ac:dyDescent="0.25">
      <c r="A50" s="24" t="s">
        <v>2300</v>
      </c>
      <c r="B50" s="9">
        <v>5</v>
      </c>
      <c r="C50" s="24" t="s">
        <v>2301</v>
      </c>
      <c r="D50" s="25" t="s">
        <v>2302</v>
      </c>
      <c r="E50" s="28">
        <v>7850131</v>
      </c>
      <c r="F50" s="27" t="s">
        <v>2303</v>
      </c>
      <c r="G50" s="28">
        <v>15516</v>
      </c>
      <c r="H50" s="28">
        <v>310</v>
      </c>
      <c r="I50" s="29">
        <v>5806800</v>
      </c>
      <c r="J50" s="29">
        <v>46455</v>
      </c>
    </row>
    <row r="51" spans="1:10" x14ac:dyDescent="0.25">
      <c r="A51" s="43">
        <v>900844069</v>
      </c>
      <c r="B51" s="9">
        <v>4</v>
      </c>
      <c r="C51" s="24" t="s">
        <v>2349</v>
      </c>
      <c r="D51" s="9" t="s">
        <v>2350</v>
      </c>
      <c r="E51" s="26">
        <v>3117061653</v>
      </c>
      <c r="F51" s="27" t="s">
        <v>2351</v>
      </c>
      <c r="G51" s="28">
        <v>15516</v>
      </c>
      <c r="H51" s="28">
        <v>313</v>
      </c>
      <c r="I51" s="29">
        <v>6225000</v>
      </c>
      <c r="J51" s="29">
        <v>49800</v>
      </c>
    </row>
    <row r="52" spans="1:10" x14ac:dyDescent="0.25">
      <c r="A52" s="43">
        <v>1053608085</v>
      </c>
      <c r="B52" s="9">
        <v>0</v>
      </c>
      <c r="C52" s="24" t="s">
        <v>2365</v>
      </c>
      <c r="D52" s="9" t="s">
        <v>2366</v>
      </c>
      <c r="E52" s="41" t="str">
        <f>VLOOKUP(A52,'[1]TERCEROS 2023'!$A$1:$M$65536,13,0)</f>
        <v>3132070392</v>
      </c>
      <c r="F52" s="42" t="s">
        <v>2367</v>
      </c>
      <c r="G52" s="28">
        <v>15516</v>
      </c>
      <c r="H52" s="28">
        <v>313</v>
      </c>
      <c r="I52" s="29">
        <v>6370000</v>
      </c>
      <c r="J52" s="29">
        <v>50960</v>
      </c>
    </row>
    <row r="53" spans="1:10" x14ac:dyDescent="0.25">
      <c r="A53" s="43">
        <v>804009857</v>
      </c>
      <c r="B53" s="9">
        <v>2</v>
      </c>
      <c r="C53" s="24" t="s">
        <v>2411</v>
      </c>
      <c r="D53" s="9" t="s">
        <v>2412</v>
      </c>
      <c r="E53" s="28" t="s">
        <v>2413</v>
      </c>
      <c r="F53" s="27" t="s">
        <v>2414</v>
      </c>
      <c r="G53" s="28">
        <v>68307</v>
      </c>
      <c r="H53" s="28">
        <v>318</v>
      </c>
      <c r="I53" s="29">
        <v>29164000</v>
      </c>
      <c r="J53" s="29">
        <v>291640</v>
      </c>
    </row>
    <row r="54" spans="1:10" x14ac:dyDescent="0.25">
      <c r="A54" s="43">
        <v>804011804</v>
      </c>
      <c r="B54" s="9">
        <v>9</v>
      </c>
      <c r="C54" s="24" t="s">
        <v>2415</v>
      </c>
      <c r="D54" s="9" t="s">
        <v>2416</v>
      </c>
      <c r="E54" s="28" t="s">
        <v>2417</v>
      </c>
      <c r="F54" s="27" t="s">
        <v>2418</v>
      </c>
      <c r="G54" s="28">
        <v>68001</v>
      </c>
      <c r="H54" s="28">
        <v>334</v>
      </c>
      <c r="I54" s="29">
        <f>10032000+1277243697</f>
        <v>1287275697</v>
      </c>
      <c r="J54" s="29">
        <f>100320+12772437</f>
        <v>12872757</v>
      </c>
    </row>
    <row r="55" spans="1:10" x14ac:dyDescent="0.25">
      <c r="A55" s="43">
        <v>830118667</v>
      </c>
      <c r="B55" s="9">
        <v>1</v>
      </c>
      <c r="C55" s="24" t="s">
        <v>2419</v>
      </c>
      <c r="D55" s="9" t="s">
        <v>2420</v>
      </c>
      <c r="E55" s="28" t="s">
        <v>2421</v>
      </c>
      <c r="F55" s="27" t="s">
        <v>2422</v>
      </c>
      <c r="G55" s="28">
        <v>15238</v>
      </c>
      <c r="H55" s="28">
        <v>318</v>
      </c>
      <c r="I55" s="29">
        <v>19424000</v>
      </c>
      <c r="J55" s="29">
        <v>194240</v>
      </c>
    </row>
    <row r="56" spans="1:10" x14ac:dyDescent="0.25">
      <c r="A56" s="43">
        <v>830512563</v>
      </c>
      <c r="B56" s="9">
        <v>3</v>
      </c>
      <c r="C56" s="24" t="s">
        <v>2423</v>
      </c>
      <c r="D56" s="9" t="s">
        <v>2424</v>
      </c>
      <c r="E56" s="28" t="s">
        <v>2425</v>
      </c>
      <c r="F56" s="27" t="s">
        <v>2426</v>
      </c>
      <c r="G56" s="28">
        <v>11001</v>
      </c>
      <c r="H56" s="28">
        <v>318</v>
      </c>
      <c r="I56" s="29">
        <f>12400000+6200000+3000000</f>
        <v>21600000</v>
      </c>
      <c r="J56" s="29">
        <f>124000+62000+30000</f>
        <v>216000</v>
      </c>
    </row>
    <row r="57" spans="1:10" x14ac:dyDescent="0.25">
      <c r="A57" s="43">
        <v>900094529</v>
      </c>
      <c r="B57" s="9">
        <v>1</v>
      </c>
      <c r="C57" s="24" t="s">
        <v>2427</v>
      </c>
      <c r="D57" s="9" t="s">
        <v>2428</v>
      </c>
      <c r="E57" s="28" t="s">
        <v>2429</v>
      </c>
      <c r="F57" s="27" t="s">
        <v>2430</v>
      </c>
      <c r="G57" s="28">
        <v>15516</v>
      </c>
      <c r="H57" s="28">
        <v>334</v>
      </c>
      <c r="I57" s="29">
        <v>154157225</v>
      </c>
      <c r="J57" s="29">
        <v>1541570</v>
      </c>
    </row>
    <row r="58" spans="1:10" x14ac:dyDescent="0.25">
      <c r="A58" s="43">
        <v>900408686</v>
      </c>
      <c r="B58" s="9">
        <v>1</v>
      </c>
      <c r="C58" s="24" t="s">
        <v>2431</v>
      </c>
      <c r="D58" s="9" t="s">
        <v>2432</v>
      </c>
      <c r="E58" s="28" t="s">
        <v>2433</v>
      </c>
      <c r="F58" s="27" t="s">
        <v>2434</v>
      </c>
      <c r="G58" s="28">
        <v>11001</v>
      </c>
      <c r="H58" s="28">
        <v>329</v>
      </c>
      <c r="I58" s="29">
        <v>35616260</v>
      </c>
      <c r="J58" s="29">
        <v>356163</v>
      </c>
    </row>
    <row r="59" spans="1:10" x14ac:dyDescent="0.25">
      <c r="A59" s="43">
        <v>901401644</v>
      </c>
      <c r="B59" s="9">
        <v>2</v>
      </c>
      <c r="C59" s="24" t="s">
        <v>2435</v>
      </c>
      <c r="D59" s="9" t="s">
        <v>2436</v>
      </c>
      <c r="E59" s="28" t="s">
        <v>2437</v>
      </c>
      <c r="F59" s="27" t="s">
        <v>2438</v>
      </c>
      <c r="G59" s="28">
        <v>15759</v>
      </c>
      <c r="H59" s="28">
        <v>318</v>
      </c>
      <c r="I59" s="29">
        <v>16500000</v>
      </c>
      <c r="J59" s="29">
        <v>165000</v>
      </c>
    </row>
    <row r="60" spans="1:10" x14ac:dyDescent="0.25">
      <c r="A60" s="30" t="s">
        <v>2439</v>
      </c>
      <c r="B60" s="9">
        <v>7</v>
      </c>
      <c r="C60" s="24" t="s">
        <v>2440</v>
      </c>
      <c r="D60" s="9" t="s">
        <v>2441</v>
      </c>
      <c r="E60" s="28">
        <v>3108805794</v>
      </c>
      <c r="F60" s="27" t="s">
        <v>2442</v>
      </c>
      <c r="G60" s="28">
        <v>11001</v>
      </c>
      <c r="H60" s="28">
        <v>334</v>
      </c>
      <c r="I60" s="29">
        <v>27980000</v>
      </c>
      <c r="J60" s="29">
        <v>279800</v>
      </c>
    </row>
    <row r="61" spans="1:10" x14ac:dyDescent="0.25">
      <c r="A61" s="30" t="s">
        <v>2443</v>
      </c>
      <c r="B61" s="9">
        <v>4</v>
      </c>
      <c r="C61" s="24" t="s">
        <v>2444</v>
      </c>
      <c r="D61" s="9" t="s">
        <v>2445</v>
      </c>
      <c r="E61" s="28">
        <v>3143500080</v>
      </c>
      <c r="F61" s="27" t="s">
        <v>2446</v>
      </c>
      <c r="G61" s="28">
        <v>11001</v>
      </c>
      <c r="H61" s="28">
        <v>334</v>
      </c>
      <c r="I61" s="29">
        <f>89500000+4500000</f>
        <v>94000000</v>
      </c>
      <c r="J61" s="29">
        <f>895000+45000</f>
        <v>940000</v>
      </c>
    </row>
    <row r="62" spans="1:10" x14ac:dyDescent="0.25">
      <c r="A62" s="30" t="s">
        <v>2447</v>
      </c>
      <c r="B62" s="9">
        <v>5</v>
      </c>
      <c r="C62" s="24" t="s">
        <v>2448</v>
      </c>
      <c r="D62" s="9" t="s">
        <v>2449</v>
      </c>
      <c r="E62" s="28">
        <v>3183696612</v>
      </c>
      <c r="F62" s="27" t="s">
        <v>2450</v>
      </c>
      <c r="G62" s="28">
        <v>11001</v>
      </c>
      <c r="H62" s="28">
        <v>329</v>
      </c>
      <c r="I62" s="29">
        <v>214196625</v>
      </c>
      <c r="J62" s="29">
        <v>1713573</v>
      </c>
    </row>
    <row r="63" spans="1:10" x14ac:dyDescent="0.25">
      <c r="A63" s="30" t="s">
        <v>2451</v>
      </c>
      <c r="B63" s="9">
        <v>2</v>
      </c>
      <c r="C63" s="24" t="s">
        <v>2452</v>
      </c>
      <c r="D63" s="9" t="s">
        <v>2453</v>
      </c>
      <c r="E63" s="28">
        <v>4137755</v>
      </c>
      <c r="F63" s="27" t="s">
        <v>2454</v>
      </c>
      <c r="G63" s="28">
        <v>11001</v>
      </c>
      <c r="H63" s="28">
        <v>318</v>
      </c>
      <c r="I63" s="29">
        <v>6793000</v>
      </c>
      <c r="J63" s="29">
        <v>67930</v>
      </c>
    </row>
    <row r="64" spans="1:10" x14ac:dyDescent="0.25">
      <c r="A64" s="30" t="s">
        <v>2455</v>
      </c>
      <c r="B64" s="9">
        <v>1</v>
      </c>
      <c r="C64" s="24" t="s">
        <v>2456</v>
      </c>
      <c r="D64" s="9" t="s">
        <v>2457</v>
      </c>
      <c r="E64" s="28">
        <v>3134792768</v>
      </c>
      <c r="F64" s="27" t="s">
        <v>2458</v>
      </c>
      <c r="G64" s="28">
        <v>15516</v>
      </c>
      <c r="H64" s="28">
        <v>302</v>
      </c>
      <c r="I64" s="29">
        <v>2973518</v>
      </c>
      <c r="J64" s="29">
        <v>20815</v>
      </c>
    </row>
    <row r="65" spans="1:10" x14ac:dyDescent="0.25">
      <c r="A65" s="30" t="s">
        <v>2459</v>
      </c>
      <c r="B65" s="9">
        <v>7</v>
      </c>
      <c r="C65" s="24" t="s">
        <v>2460</v>
      </c>
      <c r="D65" s="9" t="s">
        <v>2461</v>
      </c>
      <c r="E65" s="28">
        <v>3128420698</v>
      </c>
      <c r="F65" s="27" t="s">
        <v>2462</v>
      </c>
      <c r="G65" s="28">
        <v>11001</v>
      </c>
      <c r="H65" s="28">
        <v>318</v>
      </c>
      <c r="I65" s="29">
        <v>5458000</v>
      </c>
      <c r="J65" s="29">
        <v>54580</v>
      </c>
    </row>
    <row r="66" spans="1:10" x14ac:dyDescent="0.25">
      <c r="A66" s="30" t="s">
        <v>2463</v>
      </c>
      <c r="B66" s="9">
        <v>7</v>
      </c>
      <c r="C66" s="24" t="s">
        <v>2464</v>
      </c>
      <c r="D66" s="9" t="s">
        <v>2465</v>
      </c>
      <c r="E66" s="28">
        <v>3152167473</v>
      </c>
      <c r="F66" s="27" t="s">
        <v>2466</v>
      </c>
      <c r="G66" s="28">
        <v>15516</v>
      </c>
      <c r="H66" s="28">
        <v>219</v>
      </c>
      <c r="I66" s="29">
        <v>-5528571</v>
      </c>
      <c r="J66" s="29">
        <v>-55286</v>
      </c>
    </row>
    <row r="67" spans="1:10" x14ac:dyDescent="0.25">
      <c r="A67" s="30" t="s">
        <v>2463</v>
      </c>
      <c r="B67" s="9">
        <v>7</v>
      </c>
      <c r="C67" s="24" t="s">
        <v>2464</v>
      </c>
      <c r="D67" s="9" t="s">
        <v>2465</v>
      </c>
      <c r="E67" s="28">
        <v>3152167473</v>
      </c>
      <c r="F67" s="27" t="s">
        <v>2466</v>
      </c>
      <c r="G67" s="28">
        <v>15516</v>
      </c>
      <c r="H67" s="28">
        <v>219</v>
      </c>
      <c r="I67" s="29">
        <v>5528571</v>
      </c>
      <c r="J67" s="29">
        <v>55286</v>
      </c>
    </row>
    <row r="68" spans="1:10" x14ac:dyDescent="0.25">
      <c r="A68" s="30" t="s">
        <v>2467</v>
      </c>
      <c r="B68" s="9">
        <v>7</v>
      </c>
      <c r="C68" s="24" t="s">
        <v>2468</v>
      </c>
      <c r="D68" s="9" t="s">
        <v>2469</v>
      </c>
      <c r="E68" s="28">
        <v>3182204157</v>
      </c>
      <c r="F68" s="27" t="s">
        <v>2470</v>
      </c>
      <c r="G68" s="28">
        <v>15238</v>
      </c>
      <c r="H68" s="28">
        <v>334</v>
      </c>
      <c r="I68" s="29">
        <v>5182000</v>
      </c>
      <c r="J68" s="29">
        <v>51820</v>
      </c>
    </row>
    <row r="69" spans="1:10" x14ac:dyDescent="0.25">
      <c r="A69" s="30" t="s">
        <v>2471</v>
      </c>
      <c r="B69" s="9">
        <v>1</v>
      </c>
      <c r="C69" s="24" t="s">
        <v>2472</v>
      </c>
      <c r="D69" s="9" t="s">
        <v>2473</v>
      </c>
      <c r="E69" s="28">
        <v>3163968432</v>
      </c>
      <c r="F69" s="27" t="s">
        <v>2474</v>
      </c>
      <c r="G69" s="28">
        <v>15516</v>
      </c>
      <c r="H69" s="28">
        <v>219</v>
      </c>
      <c r="I69" s="29">
        <f>171020000+24920000+362094901+75009675+604644000</f>
        <v>1237688576</v>
      </c>
      <c r="J69" s="29">
        <f>1710200+249200+3620949+750097+6046440</f>
        <v>12376886</v>
      </c>
    </row>
    <row r="70" spans="1:10" x14ac:dyDescent="0.25">
      <c r="A70" s="30" t="s">
        <v>2475</v>
      </c>
      <c r="B70" s="9">
        <v>8</v>
      </c>
      <c r="C70" s="24" t="s">
        <v>2476</v>
      </c>
      <c r="D70" s="9" t="s">
        <v>2477</v>
      </c>
      <c r="E70" s="28">
        <v>3175320042</v>
      </c>
      <c r="F70" s="27" t="s">
        <v>2478</v>
      </c>
      <c r="G70" s="28">
        <v>11001</v>
      </c>
      <c r="H70" s="28">
        <v>219</v>
      </c>
      <c r="I70" s="29">
        <f>6878989+8245725</f>
        <v>15124714</v>
      </c>
      <c r="J70" s="29">
        <f>68790+82457</f>
        <v>151247</v>
      </c>
    </row>
    <row r="71" spans="1:10" x14ac:dyDescent="0.25">
      <c r="A71" s="44" t="s">
        <v>2479</v>
      </c>
      <c r="B71" s="9">
        <v>6</v>
      </c>
      <c r="C71" s="24" t="s">
        <v>2480</v>
      </c>
      <c r="D71" s="9" t="s">
        <v>2481</v>
      </c>
      <c r="E71" s="28">
        <v>7611977</v>
      </c>
      <c r="F71" s="27" t="s">
        <v>2482</v>
      </c>
      <c r="G71" s="28">
        <v>11001</v>
      </c>
      <c r="H71" s="28">
        <v>318</v>
      </c>
      <c r="I71" s="29">
        <f>70015437+123340563</f>
        <v>193356000</v>
      </c>
      <c r="J71" s="29">
        <f>700154+1233406</f>
        <v>1933560</v>
      </c>
    </row>
    <row r="72" spans="1:10" x14ac:dyDescent="0.25">
      <c r="A72" s="44" t="s">
        <v>2483</v>
      </c>
      <c r="B72" s="9">
        <v>1</v>
      </c>
      <c r="C72" s="24" t="s">
        <v>2484</v>
      </c>
      <c r="D72" s="9" t="s">
        <v>2485</v>
      </c>
      <c r="E72" s="28">
        <v>6046040987</v>
      </c>
      <c r="F72" s="27" t="s">
        <v>2486</v>
      </c>
      <c r="G72" s="32" t="s">
        <v>342</v>
      </c>
      <c r="H72" s="28">
        <v>331</v>
      </c>
      <c r="I72" s="29">
        <v>1200000</v>
      </c>
      <c r="J72" s="29">
        <v>12000</v>
      </c>
    </row>
    <row r="73" spans="1:10" x14ac:dyDescent="0.25">
      <c r="A73" s="44" t="s">
        <v>2487</v>
      </c>
      <c r="B73" s="9">
        <v>1</v>
      </c>
      <c r="C73" s="24" t="s">
        <v>2488</v>
      </c>
      <c r="D73" s="9" t="s">
        <v>2489</v>
      </c>
      <c r="E73" s="28">
        <v>3123142964</v>
      </c>
      <c r="F73" s="27" t="s">
        <v>2490</v>
      </c>
      <c r="G73" s="28">
        <v>15759</v>
      </c>
      <c r="H73" s="28">
        <v>334</v>
      </c>
      <c r="I73" s="29">
        <v>18243600</v>
      </c>
      <c r="J73" s="29">
        <v>182436</v>
      </c>
    </row>
    <row r="74" spans="1:10" x14ac:dyDescent="0.25">
      <c r="A74" s="45" t="s">
        <v>2491</v>
      </c>
      <c r="B74" s="9">
        <v>3</v>
      </c>
      <c r="C74" s="46" t="s">
        <v>2492</v>
      </c>
      <c r="D74" s="9" t="s">
        <v>2493</v>
      </c>
      <c r="E74" s="33">
        <v>7616583</v>
      </c>
      <c r="F74" s="34" t="s">
        <v>2494</v>
      </c>
      <c r="G74" s="28">
        <v>15516</v>
      </c>
      <c r="H74" s="28">
        <v>318</v>
      </c>
      <c r="I74" s="47">
        <v>38340000</v>
      </c>
      <c r="J74" s="47">
        <v>383400</v>
      </c>
    </row>
    <row r="75" spans="1:10" x14ac:dyDescent="0.25">
      <c r="A75" s="45" t="s">
        <v>2495</v>
      </c>
      <c r="B75" s="9">
        <v>9</v>
      </c>
      <c r="C75" s="46" t="s">
        <v>2496</v>
      </c>
      <c r="D75" s="9" t="s">
        <v>2497</v>
      </c>
      <c r="E75" s="33">
        <v>3164015569</v>
      </c>
      <c r="F75" s="34" t="s">
        <v>2498</v>
      </c>
      <c r="G75" s="28">
        <v>85001</v>
      </c>
      <c r="H75" s="28">
        <v>334</v>
      </c>
      <c r="I75" s="47">
        <v>22813639</v>
      </c>
      <c r="J75" s="47">
        <v>228136</v>
      </c>
    </row>
    <row r="76" spans="1:10" x14ac:dyDescent="0.25">
      <c r="A76" s="45" t="s">
        <v>2499</v>
      </c>
      <c r="B76" s="9">
        <v>2</v>
      </c>
      <c r="C76" s="46" t="s">
        <v>2500</v>
      </c>
      <c r="D76" s="9" t="s">
        <v>2501</v>
      </c>
      <c r="E76" s="33">
        <v>3212541085</v>
      </c>
      <c r="F76" s="34" t="s">
        <v>2502</v>
      </c>
      <c r="G76" s="28">
        <v>15238</v>
      </c>
      <c r="H76" s="28">
        <v>331</v>
      </c>
      <c r="I76" s="47">
        <f>70960363+80085303</f>
        <v>151045666</v>
      </c>
      <c r="J76" s="47">
        <f>709604+800853</f>
        <v>1510457</v>
      </c>
    </row>
    <row r="77" spans="1:10" x14ac:dyDescent="0.25">
      <c r="A77" s="45" t="s">
        <v>2503</v>
      </c>
      <c r="B77" s="9">
        <v>9</v>
      </c>
      <c r="C77" s="46" t="s">
        <v>2504</v>
      </c>
      <c r="D77" s="9" t="s">
        <v>2505</v>
      </c>
      <c r="E77" s="33">
        <v>3132443593</v>
      </c>
      <c r="F77" s="34" t="s">
        <v>2506</v>
      </c>
      <c r="G77" s="28">
        <v>15759</v>
      </c>
      <c r="H77" s="28">
        <v>334</v>
      </c>
      <c r="I77" s="47">
        <f>40528666+43727166+94462307</f>
        <v>178718139</v>
      </c>
      <c r="J77" s="47">
        <f>405287+437272+944623</f>
        <v>1787182</v>
      </c>
    </row>
    <row r="78" spans="1:10" x14ac:dyDescent="0.25">
      <c r="A78" s="45" t="s">
        <v>2507</v>
      </c>
      <c r="B78" s="9">
        <v>6</v>
      </c>
      <c r="C78" s="46" t="s">
        <v>2508</v>
      </c>
      <c r="D78" s="9" t="s">
        <v>2509</v>
      </c>
      <c r="E78" s="33">
        <v>3204933656</v>
      </c>
      <c r="F78" s="34" t="s">
        <v>2510</v>
      </c>
      <c r="G78" s="28">
        <v>15759</v>
      </c>
      <c r="H78" s="28">
        <v>318</v>
      </c>
      <c r="I78" s="47">
        <v>78706673</v>
      </c>
      <c r="J78" s="47">
        <v>787067</v>
      </c>
    </row>
    <row r="79" spans="1:10" x14ac:dyDescent="0.25">
      <c r="A79" s="45" t="s">
        <v>2511</v>
      </c>
      <c r="B79" s="9">
        <v>1</v>
      </c>
      <c r="C79" s="46" t="s">
        <v>2512</v>
      </c>
      <c r="D79" s="9" t="s">
        <v>2513</v>
      </c>
      <c r="E79" s="33">
        <v>3124352502</v>
      </c>
      <c r="F79" s="34" t="s">
        <v>2514</v>
      </c>
      <c r="G79" s="28">
        <v>15759</v>
      </c>
      <c r="H79" s="28">
        <v>315</v>
      </c>
      <c r="I79" s="47">
        <v>2468000</v>
      </c>
      <c r="J79" s="47">
        <v>24680</v>
      </c>
    </row>
    <row r="80" spans="1:10" x14ac:dyDescent="0.25">
      <c r="A80" s="45" t="s">
        <v>2515</v>
      </c>
      <c r="B80" s="9">
        <v>1</v>
      </c>
      <c r="C80" s="46" t="s">
        <v>2516</v>
      </c>
      <c r="D80" s="9" t="s">
        <v>2517</v>
      </c>
      <c r="E80" s="33">
        <v>3134222981</v>
      </c>
      <c r="F80" s="34" t="s">
        <v>2518</v>
      </c>
      <c r="G80" s="32" t="s">
        <v>364</v>
      </c>
      <c r="H80" s="28">
        <v>334</v>
      </c>
      <c r="I80" s="47">
        <f>3725353681+5433333</f>
        <v>3730787014</v>
      </c>
      <c r="J80" s="47">
        <f>37253537+54333</f>
        <v>37307870</v>
      </c>
    </row>
    <row r="81" spans="1:10" x14ac:dyDescent="0.25">
      <c r="A81" s="30" t="s">
        <v>2519</v>
      </c>
      <c r="B81" s="9">
        <v>7</v>
      </c>
      <c r="C81" s="24" t="s">
        <v>2520</v>
      </c>
      <c r="D81" s="9" t="s">
        <v>2521</v>
      </c>
      <c r="E81" s="28">
        <v>3102127049</v>
      </c>
      <c r="F81" s="31" t="s">
        <v>2522</v>
      </c>
      <c r="G81" s="28">
        <v>11001</v>
      </c>
      <c r="H81" s="28">
        <v>334</v>
      </c>
      <c r="I81" s="29">
        <f>348565015+184376725</f>
        <v>532941740</v>
      </c>
      <c r="J81" s="29">
        <f>3485650+1843767</f>
        <v>5329417</v>
      </c>
    </row>
    <row r="82" spans="1:10" x14ac:dyDescent="0.25">
      <c r="A82" s="30" t="s">
        <v>2523</v>
      </c>
      <c r="B82" s="9">
        <v>7</v>
      </c>
      <c r="C82" s="24" t="s">
        <v>2524</v>
      </c>
      <c r="D82" s="9" t="s">
        <v>2525</v>
      </c>
      <c r="E82" s="28">
        <v>3206779844</v>
      </c>
      <c r="F82" s="31" t="s">
        <v>2526</v>
      </c>
      <c r="G82" s="28">
        <v>76001</v>
      </c>
      <c r="H82" s="28">
        <v>318</v>
      </c>
      <c r="I82" s="29">
        <v>139907563</v>
      </c>
      <c r="J82" s="29">
        <v>1399076</v>
      </c>
    </row>
    <row r="83" spans="1:10" x14ac:dyDescent="0.25">
      <c r="A83" s="30" t="s">
        <v>2527</v>
      </c>
      <c r="B83" s="9">
        <v>1</v>
      </c>
      <c r="C83" s="24" t="s">
        <v>2528</v>
      </c>
      <c r="D83" s="9" t="s">
        <v>2529</v>
      </c>
      <c r="E83" s="28">
        <v>6042321280</v>
      </c>
      <c r="F83" s="31" t="s">
        <v>2530</v>
      </c>
      <c r="G83" s="32" t="s">
        <v>342</v>
      </c>
      <c r="H83" s="28">
        <v>219</v>
      </c>
      <c r="I83" s="29">
        <v>3689560</v>
      </c>
      <c r="J83" s="29">
        <v>36896</v>
      </c>
    </row>
    <row r="84" spans="1:10" x14ac:dyDescent="0.25">
      <c r="A84" s="30" t="s">
        <v>2531</v>
      </c>
      <c r="B84" s="9">
        <v>8</v>
      </c>
      <c r="C84" s="24" t="s">
        <v>2532</v>
      </c>
      <c r="D84" s="9" t="s">
        <v>2533</v>
      </c>
      <c r="E84" s="28">
        <v>3204944887</v>
      </c>
      <c r="F84" s="31" t="s">
        <v>2534</v>
      </c>
      <c r="G84" s="28">
        <v>15759</v>
      </c>
      <c r="H84" s="28">
        <v>334</v>
      </c>
      <c r="I84" s="29">
        <f>5750848+1782688</f>
        <v>7533536</v>
      </c>
      <c r="J84" s="29">
        <f>57508+17827</f>
        <v>75335</v>
      </c>
    </row>
    <row r="85" spans="1:10" x14ac:dyDescent="0.25">
      <c r="A85" s="30" t="s">
        <v>2535</v>
      </c>
      <c r="B85" s="9">
        <v>9</v>
      </c>
      <c r="C85" s="24" t="s">
        <v>2536</v>
      </c>
      <c r="D85" s="9" t="s">
        <v>2537</v>
      </c>
      <c r="E85" s="28">
        <v>3187082920</v>
      </c>
      <c r="F85" s="31" t="s">
        <v>2538</v>
      </c>
      <c r="G85" s="28">
        <v>11001</v>
      </c>
      <c r="H85" s="28">
        <v>326</v>
      </c>
      <c r="I85" s="29">
        <v>2400000</v>
      </c>
      <c r="J85" s="29">
        <v>24000</v>
      </c>
    </row>
    <row r="86" spans="1:10" x14ac:dyDescent="0.25">
      <c r="A86" s="30" t="s">
        <v>2539</v>
      </c>
      <c r="B86" s="9">
        <v>6</v>
      </c>
      <c r="C86" s="24" t="s">
        <v>2540</v>
      </c>
      <c r="D86" s="9" t="s">
        <v>2541</v>
      </c>
      <c r="E86" s="28">
        <v>3173852916</v>
      </c>
      <c r="F86" s="31" t="s">
        <v>2542</v>
      </c>
      <c r="G86" s="28">
        <v>76001</v>
      </c>
      <c r="H86" s="28">
        <v>334</v>
      </c>
      <c r="I86" s="29">
        <v>14350000</v>
      </c>
      <c r="J86" s="29">
        <v>143500</v>
      </c>
    </row>
    <row r="87" spans="1:10" x14ac:dyDescent="0.25">
      <c r="A87" s="30" t="s">
        <v>2543</v>
      </c>
      <c r="B87" s="9">
        <v>7</v>
      </c>
      <c r="C87" s="24" t="s">
        <v>2544</v>
      </c>
      <c r="D87" s="9" t="s">
        <v>2545</v>
      </c>
      <c r="E87" s="28">
        <v>3212003577</v>
      </c>
      <c r="F87" s="31" t="s">
        <v>2546</v>
      </c>
      <c r="G87" s="28">
        <v>15516</v>
      </c>
      <c r="H87" s="28">
        <v>219</v>
      </c>
      <c r="I87" s="29">
        <v>4512500</v>
      </c>
      <c r="J87" s="29">
        <v>45125</v>
      </c>
    </row>
    <row r="88" spans="1:10" x14ac:dyDescent="0.25">
      <c r="A88" s="30" t="s">
        <v>2547</v>
      </c>
      <c r="B88" s="9">
        <v>6</v>
      </c>
      <c r="C88" s="24" t="s">
        <v>2548</v>
      </c>
      <c r="D88" s="9" t="s">
        <v>2549</v>
      </c>
      <c r="E88" s="28">
        <v>6087853730</v>
      </c>
      <c r="F88" s="31" t="s">
        <v>2550</v>
      </c>
      <c r="G88" s="28">
        <v>15516</v>
      </c>
      <c r="H88" s="28">
        <v>219</v>
      </c>
      <c r="I88" s="29">
        <v>2458276</v>
      </c>
      <c r="J88" s="29">
        <v>24583</v>
      </c>
    </row>
    <row r="89" spans="1:10" x14ac:dyDescent="0.25">
      <c r="A89" s="30" t="s">
        <v>2551</v>
      </c>
      <c r="B89" s="9">
        <v>8</v>
      </c>
      <c r="C89" s="24" t="s">
        <v>2552</v>
      </c>
      <c r="D89" s="9" t="s">
        <v>2553</v>
      </c>
      <c r="E89" s="38">
        <v>3152180582</v>
      </c>
      <c r="F89" s="31" t="s">
        <v>2554</v>
      </c>
      <c r="G89" s="28">
        <v>15001</v>
      </c>
      <c r="H89" s="28">
        <v>329</v>
      </c>
      <c r="I89" s="29">
        <v>392550124</v>
      </c>
      <c r="J89" s="29">
        <v>3140401</v>
      </c>
    </row>
    <row r="90" spans="1:10" x14ac:dyDescent="0.25">
      <c r="A90" s="30" t="s">
        <v>2555</v>
      </c>
      <c r="B90" s="9">
        <v>1</v>
      </c>
      <c r="C90" s="24" t="s">
        <v>2556</v>
      </c>
      <c r="D90" s="9" t="s">
        <v>2557</v>
      </c>
      <c r="E90" s="38">
        <v>3014415891</v>
      </c>
      <c r="F90" s="31" t="s">
        <v>2558</v>
      </c>
      <c r="G90" s="28">
        <v>68276</v>
      </c>
      <c r="H90" s="28">
        <v>334</v>
      </c>
      <c r="I90" s="29">
        <v>28497000</v>
      </c>
      <c r="J90" s="29">
        <v>284970</v>
      </c>
    </row>
    <row r="91" spans="1:10" x14ac:dyDescent="0.25">
      <c r="A91" s="30" t="s">
        <v>2559</v>
      </c>
      <c r="B91" s="9">
        <v>7</v>
      </c>
      <c r="C91" s="24" t="s">
        <v>2560</v>
      </c>
      <c r="D91" s="9" t="s">
        <v>2561</v>
      </c>
      <c r="E91" s="38">
        <v>2566189</v>
      </c>
      <c r="F91" s="31" t="s">
        <v>2562</v>
      </c>
      <c r="G91" s="28">
        <v>11001</v>
      </c>
      <c r="H91" s="28">
        <v>219</v>
      </c>
      <c r="I91" s="29">
        <v>56660000</v>
      </c>
      <c r="J91" s="29">
        <v>566600</v>
      </c>
    </row>
    <row r="92" spans="1:10" x14ac:dyDescent="0.25">
      <c r="A92" s="30" t="s">
        <v>2563</v>
      </c>
      <c r="B92" s="9">
        <v>8</v>
      </c>
      <c r="C92" s="24" t="s">
        <v>2564</v>
      </c>
      <c r="D92" s="9" t="s">
        <v>2565</v>
      </c>
      <c r="E92" s="38">
        <v>6017435517</v>
      </c>
      <c r="F92" s="31" t="s">
        <v>2566</v>
      </c>
      <c r="G92" s="28">
        <v>11001</v>
      </c>
      <c r="H92" s="28">
        <v>318</v>
      </c>
      <c r="I92" s="29">
        <v>67447618</v>
      </c>
      <c r="J92" s="29">
        <v>674476</v>
      </c>
    </row>
    <row r="93" spans="1:10" x14ac:dyDescent="0.25">
      <c r="A93" s="30" t="s">
        <v>2567</v>
      </c>
      <c r="B93" s="9">
        <v>9</v>
      </c>
      <c r="C93" s="24" t="s">
        <v>2568</v>
      </c>
      <c r="D93" s="9" t="s">
        <v>2569</v>
      </c>
      <c r="E93" s="38">
        <v>6261622</v>
      </c>
      <c r="F93" s="31" t="s">
        <v>2570</v>
      </c>
      <c r="G93" s="28">
        <v>11001</v>
      </c>
      <c r="H93" s="28">
        <v>328</v>
      </c>
      <c r="I93" s="29">
        <v>66404100</v>
      </c>
      <c r="J93" s="29">
        <v>664041</v>
      </c>
    </row>
    <row r="94" spans="1:10" x14ac:dyDescent="0.25">
      <c r="A94" s="30" t="s">
        <v>2571</v>
      </c>
      <c r="B94" s="9">
        <v>1</v>
      </c>
      <c r="C94" s="24" t="s">
        <v>2572</v>
      </c>
      <c r="D94" s="9" t="s">
        <v>2573</v>
      </c>
      <c r="E94" s="38">
        <v>3134960543</v>
      </c>
      <c r="F94" s="31" t="s">
        <v>2574</v>
      </c>
      <c r="G94" s="28">
        <v>15759</v>
      </c>
      <c r="H94" s="28">
        <v>331</v>
      </c>
      <c r="I94" s="29">
        <v>9431000</v>
      </c>
      <c r="J94" s="29">
        <v>94310</v>
      </c>
    </row>
    <row r="95" spans="1:10" x14ac:dyDescent="0.25">
      <c r="A95" s="30" t="s">
        <v>2575</v>
      </c>
      <c r="B95" s="9">
        <v>9</v>
      </c>
      <c r="C95" s="24" t="s">
        <v>2576</v>
      </c>
      <c r="D95" s="9" t="s">
        <v>2577</v>
      </c>
      <c r="E95" s="38">
        <v>3023767656</v>
      </c>
      <c r="F95" s="31" t="s">
        <v>2578</v>
      </c>
      <c r="G95" s="28">
        <v>15759</v>
      </c>
      <c r="H95" s="28">
        <v>318</v>
      </c>
      <c r="I95" s="29">
        <v>131428571</v>
      </c>
      <c r="J95" s="29">
        <v>1314286</v>
      </c>
    </row>
    <row r="96" spans="1:10" x14ac:dyDescent="0.25">
      <c r="A96" s="30" t="s">
        <v>2579</v>
      </c>
      <c r="B96" s="9">
        <v>1</v>
      </c>
      <c r="C96" s="24" t="s">
        <v>2580</v>
      </c>
      <c r="D96" s="9" t="s">
        <v>2581</v>
      </c>
      <c r="E96" s="38">
        <v>3116516756</v>
      </c>
      <c r="F96" s="31" t="s">
        <v>2582</v>
      </c>
      <c r="G96" s="28">
        <v>25754</v>
      </c>
      <c r="H96" s="28">
        <v>334</v>
      </c>
      <c r="I96" s="29">
        <v>6400000</v>
      </c>
      <c r="J96" s="29">
        <v>64000</v>
      </c>
    </row>
    <row r="97" spans="1:10" x14ac:dyDescent="0.25">
      <c r="A97" s="30" t="s">
        <v>2583</v>
      </c>
      <c r="B97" s="9">
        <v>5</v>
      </c>
      <c r="C97" s="24" t="s">
        <v>2584</v>
      </c>
      <c r="D97" s="9" t="s">
        <v>2585</v>
      </c>
      <c r="E97" s="38">
        <v>3157655443</v>
      </c>
      <c r="F97" s="31" t="s">
        <v>2586</v>
      </c>
      <c r="G97" s="28">
        <v>17614</v>
      </c>
      <c r="H97" s="28">
        <v>334</v>
      </c>
      <c r="I97" s="29">
        <v>49101339</v>
      </c>
      <c r="J97" s="29">
        <v>491013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Juliana Velasquez Londoño</cp:lastModifiedBy>
  <dcterms:created xsi:type="dcterms:W3CDTF">2015-06-05T18:19:34Z</dcterms:created>
  <dcterms:modified xsi:type="dcterms:W3CDTF">2025-08-25T12:58:55Z</dcterms:modified>
</cp:coreProperties>
</file>