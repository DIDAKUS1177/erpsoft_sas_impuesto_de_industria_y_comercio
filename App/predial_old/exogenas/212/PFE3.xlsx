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mvelasquez\Downloads\"/>
    </mc:Choice>
  </mc:AlternateContent>
  <xr:revisionPtr revIDLastSave="0" documentId="13_ncr:1_{0A8911C1-F9BF-4724-A773-1C10D754733E}" xr6:coauthVersionLast="36" xr6:coauthVersionMax="47" xr10:uidLastSave="{00000000-0000-0000-0000-000000000000}"/>
  <bookViews>
    <workbookView xWindow="0" yWindow="0" windowWidth="28800" windowHeight="12105" xr2:uid="{00000000-000D-0000-FFFF-FFFF00000000}"/>
  </bookViews>
  <sheets>
    <sheet name="PFE3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5" i="1" l="1"/>
  <c r="J40" i="1"/>
  <c r="J25" i="1"/>
  <c r="J17" i="1"/>
  <c r="J13" i="1"/>
</calcChain>
</file>

<file path=xl/sharedStrings.xml><?xml version="1.0" encoding="utf-8"?>
<sst xmlns="http://schemas.openxmlformats.org/spreadsheetml/2006/main" count="2583" uniqueCount="2419">
  <si>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</si>
  <si>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</si>
  <si>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</si>
  <si>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</si>
  <si>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</si>
  <si>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</si>
  <si>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</si>
  <si>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</si>
  <si>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</si>
  <si>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</si>
  <si>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</si>
  <si>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</si>
  <si>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</si>
  <si>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</si>
  <si>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</si>
  <si>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</si>
  <si>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</si>
  <si>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</si>
  <si>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</si>
  <si>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</si>
  <si>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</si>
  <si>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</si>
  <si>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</si>
  <si>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</si>
  <si>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</si>
  <si>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</si>
  <si>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</si>
  <si>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</si>
  <si>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</si>
  <si>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</si>
  <si>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</si>
  <si>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</si>
  <si>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</si>
  <si>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</si>
  <si>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</si>
  <si>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</si>
  <si>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</si>
  <si>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</si>
  <si>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</si>
  <si>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</si>
  <si>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</si>
  <si>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</si>
  <si>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</si>
  <si>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</si>
  <si>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</si>
  <si>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</si>
  <si>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</si>
  <si>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</si>
  <si>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</si>
  <si>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</si>
  <si>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</si>
  <si>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</si>
  <si>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</si>
  <si>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</si>
  <si>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</si>
  <si>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</si>
  <si>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</si>
  <si>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</si>
  <si>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</si>
  <si>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</si>
  <si>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</si>
  <si>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</si>
  <si>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</si>
  <si>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</si>
  <si>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</si>
  <si>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</si>
  <si>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</si>
  <si>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</si>
  <si>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</si>
  <si>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</si>
  <si>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</si>
  <si>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</si>
  <si>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</si>
  <si>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</si>
  <si>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</si>
  <si>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</si>
  <si>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</si>
  <si>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</si>
  <si>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</si>
  <si>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</si>
  <si>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</si>
  <si>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</si>
  <si>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</si>
  <si>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</si>
  <si>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</si>
  <si>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</si>
  <si>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</si>
  <si>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</si>
  <si>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</si>
  <si>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</si>
  <si>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</si>
  <si>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</si>
  <si>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</si>
  <si>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</si>
  <si>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</si>
  <si>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</si>
  <si>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</si>
  <si>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</si>
  <si>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</si>
  <si>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</si>
  <si>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</si>
  <si>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</si>
  <si>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</si>
  <si>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</si>
  <si>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</si>
  <si>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</si>
  <si>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</si>
  <si>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</si>
  <si>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</si>
  <si>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</si>
  <si>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</si>
  <si>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</si>
  <si>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</si>
  <si>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</si>
  <si>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</si>
  <si>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</si>
  <si>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</si>
  <si>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</si>
  <si>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</si>
  <si>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</si>
  <si>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</si>
  <si>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</si>
  <si>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</si>
  <si>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</si>
  <si>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</si>
  <si>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</si>
  <si>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</si>
  <si>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</si>
  <si>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</si>
  <si>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</si>
  <si>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</si>
  <si>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</si>
  <si>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</si>
  <si>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</si>
  <si>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</si>
  <si>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</si>
  <si>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</si>
  <si>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</si>
  <si>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</si>
  <si>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</si>
  <si>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</si>
  <si>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</si>
  <si>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</si>
  <si>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</si>
  <si>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</si>
  <si>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</si>
  <si>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</si>
  <si>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</si>
  <si>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</si>
  <si>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</si>
  <si>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</si>
  <si>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</si>
  <si>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</si>
  <si>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</si>
  <si>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</si>
  <si>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</si>
  <si>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</si>
  <si>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</si>
  <si>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</si>
  <si>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</si>
  <si>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</si>
  <si>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</si>
  <si>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</si>
  <si>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</si>
  <si>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</si>
  <si>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</si>
  <si>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</si>
  <si>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</si>
  <si>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</si>
  <si>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</si>
  <si>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</si>
  <si>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</si>
  <si>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</si>
  <si>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</si>
  <si>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</si>
  <si>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</si>
  <si>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</si>
  <si>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</si>
  <si>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</si>
  <si>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</si>
  <si>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</si>
  <si>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</si>
  <si>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</si>
  <si>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</si>
  <si>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</si>
  <si>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</si>
  <si>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</si>
  <si>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</si>
  <si>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</si>
  <si>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</si>
  <si>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</si>
  <si>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</si>
  <si>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</si>
  <si>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</si>
  <si>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</si>
  <si>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</si>
  <si>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</si>
  <si>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</si>
  <si>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</si>
  <si>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</si>
  <si>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</si>
  <si>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</si>
  <si>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</si>
  <si>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</si>
  <si>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</si>
  <si>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</si>
  <si>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</si>
  <si>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</si>
  <si>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</si>
  <si>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</si>
  <si>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</si>
  <si>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</si>
  <si>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</si>
  <si>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</si>
  <si>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</si>
  <si>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</si>
  <si>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</si>
  <si>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</si>
  <si>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</si>
  <si>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</si>
  <si>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</si>
  <si>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</si>
  <si>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</si>
  <si>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</si>
  <si>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</si>
  <si>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</si>
  <si>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</si>
  <si>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</si>
  <si>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</si>
  <si>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</si>
  <si>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</si>
  <si>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</si>
  <si>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</si>
  <si>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</si>
  <si>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</si>
  <si>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</si>
  <si>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</si>
  <si>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</si>
  <si>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</si>
  <si>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</si>
  <si>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</si>
  <si>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</si>
  <si>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</si>
  <si>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</si>
  <si>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</si>
  <si>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</si>
  <si>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</si>
  <si>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</si>
  <si>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</si>
  <si>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</si>
  <si>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</si>
  <si>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</si>
  <si>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</si>
  <si>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</si>
  <si>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</si>
  <si>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</si>
  <si>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</si>
  <si>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</si>
  <si>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</si>
  <si>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</si>
  <si>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</si>
  <si>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</si>
  <si>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</si>
  <si>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</si>
  <si>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</si>
  <si>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</si>
  <si>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</si>
  <si>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</si>
  <si>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</si>
  <si>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</si>
  <si>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</si>
  <si>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</si>
  <si>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</si>
  <si>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</si>
  <si>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</si>
  <si>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</si>
  <si>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</si>
  <si>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</si>
  <si>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</si>
  <si>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</si>
  <si>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</si>
  <si>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</si>
  <si>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</si>
  <si>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</si>
  <si>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</si>
  <si>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</si>
  <si>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</si>
  <si>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</si>
  <si>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</si>
  <si>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</si>
  <si>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</si>
  <si>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</si>
  <si>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</si>
  <si>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</si>
  <si>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</si>
  <si>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</si>
  <si>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</si>
  <si>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</si>
  <si>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</si>
  <si>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</si>
  <si>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</si>
  <si>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</si>
  <si>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</si>
  <si>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</si>
  <si>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</si>
  <si>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</si>
  <si>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</si>
  <si>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</si>
  <si>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</si>
  <si>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</si>
  <si>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</si>
  <si>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</si>
  <si>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</si>
  <si>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</si>
  <si>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</si>
  <si>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</si>
  <si>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</si>
  <si>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</si>
  <si>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</si>
  <si>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</si>
  <si>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</si>
  <si>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</si>
  <si>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</si>
  <si>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</si>
  <si>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</si>
  <si>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</si>
  <si>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</si>
  <si>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</si>
  <si>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</si>
  <si>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</si>
  <si>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</si>
  <si>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</si>
  <si>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</si>
  <si>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</si>
  <si>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</si>
  <si>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</si>
  <si>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</si>
  <si>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</si>
  <si>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</si>
  <si>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</si>
  <si>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</si>
  <si>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</si>
  <si>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</si>
  <si>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</si>
  <si>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</si>
  <si>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</si>
  <si>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</si>
  <si>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</si>
  <si>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</si>
  <si>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</si>
  <si>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</si>
  <si>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</si>
  <si>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</si>
  <si>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</si>
  <si>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</si>
  <si>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</si>
  <si>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</si>
  <si>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</si>
  <si>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</si>
  <si>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</si>
  <si>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</si>
  <si>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</si>
  <si>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</si>
  <si>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</si>
  <si>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</si>
  <si>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</si>
  <si>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</si>
  <si>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</si>
  <si>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</si>
  <si>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</si>
  <si>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</si>
  <si>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</si>
  <si>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</si>
  <si>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</si>
  <si>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</si>
  <si>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</si>
  <si>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</si>
  <si>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</si>
  <si>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</si>
  <si>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</si>
  <si>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</si>
  <si>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</si>
  <si>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</si>
  <si>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</si>
  <si>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</si>
  <si>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</si>
  <si>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</si>
  <si>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</si>
  <si>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</si>
  <si>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</si>
  <si>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</si>
  <si>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</si>
  <si>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</si>
  <si>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</si>
  <si>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</si>
  <si>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</si>
  <si>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</si>
  <si>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</si>
  <si>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</si>
  <si>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</si>
  <si>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</si>
  <si>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</si>
  <si>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</si>
  <si>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</si>
  <si>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</si>
  <si>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</si>
  <si>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</si>
  <si>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</si>
  <si>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</si>
  <si>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</si>
  <si>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</si>
  <si>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</si>
  <si>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</si>
  <si>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</si>
  <si>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</si>
  <si>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</si>
  <si>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</si>
  <si>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</si>
  <si>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</si>
  <si>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</si>
  <si>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</si>
  <si>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</si>
  <si>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</si>
  <si>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</si>
  <si>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</si>
  <si>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</si>
  <si>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</si>
  <si>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</si>
  <si>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</si>
  <si>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</si>
  <si>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</si>
  <si>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</si>
  <si>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</si>
  <si>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</si>
  <si>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</si>
  <si>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</si>
  <si>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</si>
  <si>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</si>
  <si>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</si>
  <si>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</si>
  <si>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</si>
  <si>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</si>
  <si>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</si>
  <si>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</si>
  <si>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</si>
  <si>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</si>
  <si>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</si>
  <si>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</si>
  <si>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</si>
  <si>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</si>
  <si>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</si>
  <si>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</si>
  <si>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</si>
  <si>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</si>
  <si>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</si>
  <si>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</si>
  <si>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</si>
  <si>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</si>
  <si>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</si>
  <si>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</si>
  <si>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</si>
  <si>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</si>
  <si>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</si>
  <si>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</si>
  <si>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</si>
  <si>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</si>
  <si>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</si>
  <si>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</si>
  <si>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</si>
  <si>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</si>
  <si>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</si>
  <si>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</si>
  <si>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</si>
  <si>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</si>
  <si>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</si>
  <si>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</si>
  <si>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</si>
  <si>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</si>
  <si>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</si>
  <si>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</si>
  <si>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</si>
  <si>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</si>
  <si>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</si>
  <si>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</si>
  <si>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</si>
  <si>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</si>
  <si>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</si>
  <si>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</si>
  <si>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</si>
  <si>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</si>
  <si>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</si>
  <si>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</si>
  <si>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</si>
  <si>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</si>
  <si>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</si>
  <si>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</si>
  <si>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</si>
  <si>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</si>
  <si>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</si>
  <si>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</si>
  <si>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</si>
  <si>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</si>
  <si>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</si>
  <si>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</si>
  <si>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</si>
  <si>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</si>
  <si>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</si>
  <si>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</si>
  <si>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</si>
  <si>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</si>
  <si>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</si>
  <si>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</si>
  <si>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</si>
  <si>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</si>
  <si>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</si>
  <si>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</si>
  <si>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</si>
  <si>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</si>
  <si>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</si>
  <si>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</si>
  <si>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</si>
  <si>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</si>
  <si>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</si>
  <si>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</si>
  <si>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</si>
  <si>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</si>
  <si>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</si>
  <si>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</si>
  <si>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</si>
  <si>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</si>
  <si>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</si>
  <si>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</si>
  <si>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</si>
  <si>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</si>
  <si>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</si>
  <si>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</si>
  <si>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</si>
  <si>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</si>
  <si>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</si>
  <si>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</si>
  <si>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</si>
  <si>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</si>
  <si>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</si>
  <si>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</si>
  <si>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</si>
  <si>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</si>
  <si>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</si>
  <si>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</si>
  <si>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</si>
  <si>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</si>
  <si>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</si>
  <si>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</si>
  <si>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</si>
  <si>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</si>
  <si>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</si>
  <si>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</si>
  <si>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</si>
  <si>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</si>
  <si>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</si>
  <si>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</si>
  <si>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</si>
  <si>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</si>
  <si>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</si>
  <si>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</si>
  <si>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</si>
  <si>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</si>
  <si>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</si>
  <si>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</si>
  <si>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</si>
  <si>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</si>
  <si>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</si>
  <si>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</si>
  <si>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</si>
  <si>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</si>
  <si>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</si>
  <si>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</si>
  <si>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</si>
  <si>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</si>
  <si>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</si>
  <si>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</si>
  <si>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</si>
  <si>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</si>
  <si>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</si>
  <si>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</si>
  <si>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</si>
  <si>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</si>
  <si>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</si>
  <si>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</si>
  <si>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</si>
  <si>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</si>
  <si>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</si>
  <si>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</si>
  <si>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</si>
  <si>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</si>
  <si>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</si>
  <si>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</si>
  <si>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</si>
  <si>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</si>
  <si>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</si>
  <si>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</si>
  <si>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</si>
  <si>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</si>
  <si>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</si>
  <si>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</si>
  <si>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</si>
  <si>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</si>
  <si>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</si>
  <si>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</si>
  <si>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</si>
  <si>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</si>
  <si>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</si>
  <si>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</si>
  <si>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</si>
  <si>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</si>
  <si>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</si>
  <si>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</si>
  <si>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</si>
  <si>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</si>
  <si>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</si>
  <si>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</si>
  <si>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</si>
  <si>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</si>
  <si>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</si>
  <si>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</si>
  <si>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</si>
  <si>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</si>
  <si>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</si>
  <si>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</si>
  <si>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</si>
  <si>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</si>
  <si>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</si>
  <si>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</si>
  <si>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</si>
  <si>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</si>
  <si>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</si>
  <si>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</si>
  <si>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</si>
  <si>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</si>
  <si>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</si>
  <si>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</si>
  <si>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</si>
  <si>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</si>
  <si>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</si>
  <si>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</si>
  <si>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</si>
  <si>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</si>
  <si>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</si>
  <si>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</si>
  <si>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</si>
  <si>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</si>
  <si>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</si>
  <si>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</si>
  <si>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</si>
  <si>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</si>
  <si>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</si>
  <si>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</si>
  <si>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</si>
  <si>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</si>
  <si>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</si>
  <si>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</si>
  <si>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</si>
  <si>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</si>
  <si>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</si>
  <si>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</si>
  <si>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</si>
  <si>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</si>
  <si>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</si>
  <si>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</si>
  <si>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</si>
  <si>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</si>
  <si>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</si>
  <si>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</si>
  <si>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</si>
  <si>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</si>
  <si>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</si>
  <si>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</si>
  <si>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</si>
  <si>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</si>
  <si>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</si>
  <si>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</si>
  <si>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</si>
  <si>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</si>
  <si>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</si>
  <si>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</si>
  <si>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</si>
  <si>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</si>
  <si>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</si>
  <si>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</si>
  <si>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</si>
  <si>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</si>
  <si>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</si>
  <si>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</si>
  <si>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</si>
  <si>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</si>
  <si>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</si>
  <si>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</si>
  <si>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</si>
  <si>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</si>
  <si>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</si>
  <si>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</si>
  <si>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</si>
  <si>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</si>
  <si>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</si>
  <si>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</si>
  <si>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</si>
  <si>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</si>
  <si>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</si>
  <si>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</si>
  <si>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</si>
  <si>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</si>
  <si>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</si>
  <si>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</si>
  <si>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</si>
  <si>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</si>
  <si>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</si>
  <si>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</si>
  <si>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</si>
  <si>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</si>
  <si>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</si>
  <si>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</si>
  <si>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</si>
  <si>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</si>
  <si>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</si>
  <si>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</si>
  <si>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</si>
  <si>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</si>
  <si>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</si>
  <si>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</si>
  <si>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</si>
  <si>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</si>
  <si>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</si>
  <si>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</si>
  <si>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</si>
  <si>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</si>
  <si>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</si>
  <si>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</si>
  <si>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</si>
  <si>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</si>
  <si>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</si>
  <si>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</si>
  <si>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</si>
  <si>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</si>
  <si>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</si>
  <si>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</si>
  <si>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</si>
  <si>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</si>
  <si>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</si>
  <si>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</si>
  <si>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</si>
  <si>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</si>
  <si>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</si>
  <si>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</si>
  <si>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</si>
  <si>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</si>
  <si>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</si>
  <si>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</si>
  <si>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</si>
  <si>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</si>
  <si>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</si>
  <si>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</si>
  <si>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</si>
  <si>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</si>
  <si>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</si>
  <si>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</si>
  <si>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</si>
  <si>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</si>
  <si>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</si>
  <si>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</si>
  <si>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</si>
  <si>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</si>
  <si>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</si>
  <si>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</si>
  <si>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</si>
  <si>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</si>
  <si>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</si>
  <si>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</si>
  <si>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</si>
  <si>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</si>
  <si>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</si>
  <si>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</si>
  <si>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</si>
  <si>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</si>
  <si>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</si>
  <si>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</si>
  <si>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</si>
  <si>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</si>
  <si>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</si>
  <si>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</si>
  <si>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</si>
  <si>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</si>
  <si>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</si>
  <si>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</si>
  <si>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</si>
  <si>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</si>
  <si>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</si>
  <si>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</si>
  <si>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</si>
  <si>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</si>
  <si>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</si>
  <si>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</si>
  <si>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</si>
  <si>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</si>
  <si>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</si>
  <si>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</si>
  <si>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</si>
  <si>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</si>
  <si>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</si>
  <si>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</si>
  <si>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</si>
  <si>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</si>
  <si>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</si>
  <si>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</si>
  <si>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</si>
  <si>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</si>
  <si>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</si>
  <si>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</si>
  <si>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</si>
  <si>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</si>
  <si>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</si>
  <si>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</si>
  <si>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</si>
  <si>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</si>
  <si>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</si>
  <si>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</si>
  <si>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</si>
  <si>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</si>
  <si>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</si>
  <si>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</si>
  <si>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</si>
  <si>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</si>
  <si>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</si>
  <si>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</si>
  <si>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</si>
  <si>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</si>
  <si>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</si>
  <si>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</si>
  <si>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</si>
  <si>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</si>
  <si>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</si>
  <si>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</si>
  <si>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</si>
  <si>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</si>
  <si>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</si>
  <si>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</si>
  <si>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</si>
  <si>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</si>
  <si>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</si>
  <si>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</si>
  <si>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</si>
  <si>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</si>
  <si>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</si>
  <si>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</si>
  <si>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</si>
  <si>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</si>
  <si>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</si>
  <si>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</si>
  <si>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</si>
  <si>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</si>
  <si>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</si>
  <si>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</si>
  <si>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</si>
  <si>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</si>
  <si>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</si>
  <si>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</si>
  <si>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</si>
  <si>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</si>
  <si>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</si>
  <si>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</si>
  <si>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</si>
  <si>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</si>
  <si>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</si>
  <si>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</si>
  <si>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</si>
  <si>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</si>
  <si>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</si>
  <si>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</si>
  <si>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</si>
  <si>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</si>
  <si>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</si>
  <si>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</si>
  <si>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</si>
  <si>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</si>
  <si>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</si>
  <si>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</si>
  <si>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</si>
  <si>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</si>
  <si>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</si>
  <si>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</si>
  <si>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</si>
  <si>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</si>
  <si>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</si>
  <si>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</si>
  <si>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</si>
  <si>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</si>
  <si>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</si>
  <si>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</si>
  <si>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</si>
  <si>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</si>
  <si>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</si>
  <si>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</si>
  <si>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</si>
  <si>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</si>
  <si>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</si>
  <si>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</si>
  <si>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</si>
  <si>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</si>
  <si>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</si>
  <si>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</si>
  <si>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</si>
  <si>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</si>
  <si>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</si>
  <si>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</si>
  <si>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</si>
  <si>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</si>
  <si>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</si>
  <si>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</si>
  <si>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</si>
  <si>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</si>
  <si>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</si>
  <si>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</si>
  <si>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</si>
  <si>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</si>
  <si>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</si>
  <si>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</si>
  <si>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</si>
  <si>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</si>
  <si>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</si>
  <si>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</si>
  <si>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</si>
  <si>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</si>
  <si>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</si>
  <si>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</si>
  <si>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</si>
  <si>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</si>
  <si>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</si>
  <si>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</si>
  <si>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</si>
  <si>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</si>
  <si>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</si>
  <si>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</si>
  <si>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</si>
  <si>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</si>
  <si>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</si>
  <si>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</si>
  <si>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</si>
  <si>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</si>
  <si>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</si>
  <si>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</si>
  <si>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</si>
  <si>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</si>
  <si>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</si>
  <si>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</si>
  <si>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</si>
  <si>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</si>
  <si>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</si>
  <si>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</si>
  <si>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</si>
  <si>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</si>
  <si>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</si>
  <si>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</si>
  <si>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</si>
  <si>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</si>
  <si>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</si>
  <si>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</si>
  <si>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</si>
  <si>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</si>
  <si>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</si>
  <si>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</si>
  <si>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</si>
  <si>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</si>
  <si>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</si>
  <si>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</si>
  <si>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</si>
  <si>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</si>
  <si>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</si>
  <si>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</si>
  <si>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</si>
  <si>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</si>
  <si>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</si>
  <si>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</si>
  <si>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</si>
  <si>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</si>
  <si>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</si>
  <si>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</si>
  <si>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</si>
  <si>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</si>
  <si>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</si>
  <si>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</si>
  <si>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</si>
  <si>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</si>
  <si>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</si>
  <si>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</si>
  <si>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</si>
  <si>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</si>
  <si>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</si>
  <si>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</si>
  <si>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</si>
  <si>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</si>
  <si>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</si>
  <si>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</si>
  <si>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</si>
  <si>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</si>
  <si>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</si>
  <si>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</si>
  <si>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</si>
  <si>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</si>
  <si>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</si>
  <si>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</si>
  <si>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</si>
  <si>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</si>
  <si>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</si>
  <si>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</si>
  <si>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</si>
  <si>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</si>
  <si>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</si>
  <si>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</si>
  <si>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</si>
  <si>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</si>
  <si>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</si>
  <si>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</si>
  <si>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</si>
  <si>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</si>
  <si>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</si>
  <si>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</si>
  <si>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</si>
  <si>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</si>
  <si>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</si>
  <si>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</si>
  <si>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</si>
  <si>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</si>
  <si>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</si>
  <si>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</si>
  <si>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</si>
  <si>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</si>
  <si>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</si>
  <si>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</si>
  <si>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</si>
  <si>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</si>
  <si>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</si>
  <si>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</si>
  <si>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</si>
  <si>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</si>
  <si>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</si>
  <si>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</si>
  <si>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</si>
  <si>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</si>
  <si>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</si>
  <si>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</si>
  <si>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</si>
  <si>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</si>
  <si>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</si>
  <si>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</si>
  <si>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</si>
  <si>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</si>
  <si>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</si>
  <si>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</si>
  <si>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</si>
  <si>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</si>
  <si>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</si>
  <si>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</si>
  <si>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</si>
  <si>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</si>
  <si>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</si>
  <si>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</si>
  <si>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</si>
  <si>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</si>
  <si>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</si>
  <si>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</si>
  <si>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</si>
  <si>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</si>
  <si>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</si>
  <si>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</si>
  <si>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</si>
  <si>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</si>
  <si>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</si>
  <si>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</si>
  <si>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</si>
  <si>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</si>
  <si>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</si>
  <si>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</si>
  <si>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</si>
  <si>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</si>
  <si>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</si>
  <si>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</si>
  <si>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</si>
  <si>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</si>
  <si>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</si>
  <si>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</si>
  <si>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</si>
  <si>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</si>
  <si>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</si>
  <si>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</si>
  <si>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</si>
  <si>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</si>
  <si>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</si>
  <si>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</si>
  <si>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</si>
  <si>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</si>
  <si>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</si>
  <si>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</si>
  <si>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</si>
  <si>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</si>
  <si>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</si>
  <si>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</si>
  <si>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</si>
  <si>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</si>
  <si>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</si>
  <si>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</si>
  <si>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</si>
  <si>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</si>
  <si>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</si>
  <si>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</si>
  <si>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</si>
  <si>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</si>
  <si>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</si>
  <si>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</si>
  <si>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</si>
  <si>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</si>
  <si>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</si>
  <si>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</si>
  <si>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</si>
  <si>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</si>
  <si>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</si>
  <si>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</si>
  <si>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</si>
  <si>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</si>
  <si>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</si>
  <si>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</si>
  <si>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</si>
  <si>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</si>
  <si>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</si>
  <si>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</si>
  <si>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</si>
  <si>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</si>
  <si>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</si>
  <si>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</si>
  <si>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</si>
  <si>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</si>
  <si>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</si>
  <si>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</si>
  <si>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</si>
  <si>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</si>
  <si>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</si>
  <si>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</si>
  <si>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</si>
  <si>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</si>
  <si>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</si>
  <si>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</si>
  <si>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</si>
  <si>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</si>
  <si>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</si>
  <si>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</si>
  <si>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</si>
  <si>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</si>
  <si>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</si>
  <si>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</si>
  <si>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</si>
  <si>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</si>
  <si>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</si>
  <si>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</si>
  <si>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</si>
  <si>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</si>
  <si>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</si>
  <si>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</si>
  <si>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</si>
  <si>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</si>
  <si>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</si>
  <si>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</si>
  <si>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</si>
  <si>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</si>
  <si>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</si>
  <si>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</si>
  <si>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</si>
  <si>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</si>
  <si>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</si>
  <si>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</si>
  <si>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</si>
  <si>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</si>
  <si>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</si>
  <si>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</si>
  <si>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</si>
  <si>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</si>
  <si>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</si>
  <si>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</si>
  <si>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</si>
  <si>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</si>
  <si>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</si>
  <si>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</si>
  <si>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</si>
  <si>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</si>
  <si>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</si>
  <si>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</si>
  <si>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</si>
  <si>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</si>
  <si>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</si>
  <si>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</si>
  <si>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</si>
  <si>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</si>
  <si>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</si>
  <si>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</si>
  <si>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</si>
  <si>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</si>
  <si>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</si>
  <si>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</si>
  <si>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</si>
  <si>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</si>
  <si>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</si>
  <si>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</si>
  <si>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</si>
  <si>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</si>
  <si>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</si>
  <si>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</si>
  <si>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</si>
  <si>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</si>
  <si>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</si>
  <si>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</si>
  <si>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</si>
  <si>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</si>
  <si>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</si>
  <si>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</si>
  <si>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</si>
  <si>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</si>
  <si>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</si>
  <si>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</si>
  <si>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</si>
  <si>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</si>
  <si>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</si>
  <si>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</si>
  <si>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</si>
  <si>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</si>
  <si>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</si>
  <si>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</si>
  <si>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</si>
  <si>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</si>
  <si>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</si>
  <si>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</si>
  <si>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</si>
  <si>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</si>
  <si>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</si>
  <si>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</si>
  <si>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</si>
  <si>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</si>
  <si>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</si>
  <si>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</si>
  <si>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</si>
  <si>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</si>
  <si>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</si>
  <si>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</si>
  <si>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</si>
  <si>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</si>
  <si>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</si>
  <si>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</si>
  <si>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</si>
  <si>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</si>
  <si>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</si>
  <si>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</si>
  <si>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</si>
  <si>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</si>
  <si>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</si>
  <si>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</si>
  <si>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</si>
  <si>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</si>
  <si>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</si>
  <si>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</si>
  <si>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</si>
  <si>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</si>
  <si>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</si>
  <si>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</si>
  <si>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</si>
  <si>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</si>
  <si>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</si>
  <si>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</si>
  <si>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</si>
  <si>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</si>
  <si>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</si>
  <si>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</si>
  <si>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</si>
  <si>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</si>
  <si>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</si>
  <si>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</si>
  <si>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</si>
  <si>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</si>
  <si>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</si>
  <si>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</si>
  <si>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</si>
  <si>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</si>
  <si>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</si>
  <si>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</si>
  <si>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</si>
  <si>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</si>
  <si>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</si>
  <si>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</si>
  <si>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</si>
  <si>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</si>
  <si>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</si>
  <si>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</si>
  <si>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</si>
  <si>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</si>
  <si>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</si>
  <si>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</si>
  <si>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</si>
  <si>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</si>
  <si>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</si>
  <si>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</si>
  <si>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</si>
  <si>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</si>
  <si>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</si>
  <si>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</si>
  <si>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</si>
  <si>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</si>
  <si>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</si>
  <si>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</si>
  <si>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</si>
  <si>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</si>
  <si>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</si>
  <si>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</si>
  <si>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</si>
  <si>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</si>
  <si>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</si>
  <si>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</si>
  <si>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</si>
  <si>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</si>
  <si>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</si>
  <si>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</si>
  <si>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</si>
  <si>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</si>
  <si>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</si>
  <si>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</si>
  <si>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</si>
  <si>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</si>
  <si>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</si>
  <si>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</si>
  <si>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</si>
  <si>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</si>
  <si>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</si>
  <si>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</si>
  <si>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</si>
  <si>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</si>
  <si>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</si>
  <si>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</si>
  <si>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</si>
  <si>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</si>
  <si>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</si>
  <si>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</si>
  <si>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</si>
  <si>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</si>
  <si>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</si>
  <si>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</si>
  <si>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</si>
  <si>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</si>
  <si>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</si>
  <si>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</si>
  <si>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</si>
  <si>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</si>
  <si>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</si>
  <si>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</si>
  <si>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</si>
  <si>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</si>
  <si>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</si>
  <si>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</si>
  <si>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</si>
  <si>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</si>
  <si>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</si>
  <si>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</si>
  <si>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</si>
  <si>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</si>
  <si>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</si>
  <si>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</si>
  <si>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</si>
  <si>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</si>
  <si>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</si>
  <si>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</si>
  <si>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</si>
  <si>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</si>
  <si>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</si>
  <si>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</si>
  <si>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</si>
  <si>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</si>
  <si>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</si>
  <si>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</si>
  <si>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</si>
  <si>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</si>
  <si>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</si>
  <si>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</si>
  <si>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</si>
  <si>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</si>
  <si>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</si>
  <si>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</si>
  <si>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</si>
  <si>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</si>
  <si>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</si>
  <si>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</si>
  <si>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</si>
  <si>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</si>
  <si>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</si>
  <si>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</si>
  <si>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</si>
  <si>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</si>
  <si>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</si>
  <si>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</si>
  <si>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</si>
  <si>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</si>
  <si>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</si>
  <si>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</si>
  <si>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</si>
  <si>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</si>
  <si>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</si>
  <si>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</si>
  <si>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</si>
  <si>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</si>
  <si>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</si>
  <si>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</si>
  <si>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</si>
  <si>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</si>
  <si>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</si>
  <si>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</si>
  <si>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</si>
  <si>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</si>
  <si>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</si>
  <si>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</si>
  <si>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</si>
  <si>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</si>
  <si>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</si>
  <si>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</si>
  <si>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</si>
  <si>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</si>
  <si>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</si>
  <si>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</si>
  <si>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</si>
  <si>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</si>
  <si>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</si>
  <si>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</si>
  <si>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</si>
  <si>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</si>
  <si>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</si>
  <si>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</si>
  <si>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</si>
  <si>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</si>
  <si>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</si>
  <si>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</si>
  <si>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</si>
  <si>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</si>
  <si>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</si>
  <si>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</si>
  <si>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</si>
  <si>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</si>
  <si>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</si>
  <si>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</si>
  <si>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</si>
  <si>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</si>
  <si>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</si>
  <si>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</si>
  <si>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</si>
  <si>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</si>
  <si>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</si>
  <si>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</si>
  <si>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</si>
  <si>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</si>
  <si>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</si>
  <si>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</si>
  <si>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</si>
  <si>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</si>
  <si>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</si>
  <si>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</si>
  <si>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</si>
  <si>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</si>
  <si>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</si>
  <si>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</si>
  <si>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</si>
  <si>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</si>
  <si>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</si>
  <si>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</si>
  <si>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</si>
  <si>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</si>
  <si>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</si>
  <si>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</si>
  <si>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</si>
  <si>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</si>
  <si>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</si>
  <si>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</si>
  <si>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</si>
  <si>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</si>
  <si>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</si>
  <si>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</si>
  <si>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</si>
  <si>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</si>
  <si>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</si>
  <si>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</si>
  <si>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</si>
  <si>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</si>
  <si>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</si>
  <si>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</si>
  <si>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</si>
  <si>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</si>
  <si>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</si>
  <si>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</si>
  <si>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</si>
  <si>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</si>
  <si>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</si>
  <si>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</si>
  <si>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</si>
  <si>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</si>
  <si>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</si>
  <si>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</si>
  <si>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</si>
  <si>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</si>
  <si>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</si>
  <si>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</si>
  <si>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</si>
  <si>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</si>
  <si>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</si>
  <si>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</si>
  <si>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</si>
  <si>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</si>
  <si>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</si>
  <si>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</si>
  <si>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</si>
  <si>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</si>
  <si>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</si>
  <si>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</si>
  <si>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</si>
  <si>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</si>
  <si>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</si>
  <si>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</si>
  <si>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</si>
  <si>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</si>
  <si>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</si>
  <si>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</si>
  <si>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</si>
  <si>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</si>
  <si>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</si>
  <si>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</si>
  <si>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</si>
  <si>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</si>
  <si>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</si>
  <si>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</si>
  <si>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</si>
  <si>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</si>
  <si>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</si>
  <si>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</si>
  <si>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</si>
  <si>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</si>
  <si>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</si>
  <si>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</si>
  <si>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</si>
  <si>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</si>
  <si>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</si>
  <si>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</si>
  <si>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</si>
  <si>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</si>
  <si>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</si>
  <si>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</si>
  <si>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</si>
  <si>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</si>
  <si>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</si>
  <si>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</si>
  <si>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</si>
  <si>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</si>
  <si>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</si>
  <si>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</si>
  <si>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</si>
  <si>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</si>
  <si>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</si>
  <si>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</si>
  <si>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</si>
  <si>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</si>
  <si>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</si>
  <si>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</si>
  <si>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</si>
  <si>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</si>
  <si>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</si>
  <si>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</si>
  <si>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</si>
  <si>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</si>
  <si>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</si>
  <si>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</si>
  <si>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</si>
  <si>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</si>
  <si>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</si>
  <si>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</si>
  <si>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</si>
  <si>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</si>
  <si>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</si>
  <si>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</si>
  <si>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</si>
  <si>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</si>
  <si>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</si>
  <si>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</si>
  <si>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</si>
  <si>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</si>
  <si>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</si>
  <si>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</si>
  <si>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</si>
  <si>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</si>
  <si>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</si>
  <si>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</si>
  <si>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</si>
  <si>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</si>
  <si>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</si>
  <si>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</si>
  <si>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</si>
  <si>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</si>
  <si>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</si>
  <si>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</si>
  <si>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</si>
  <si>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</si>
  <si>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</si>
  <si>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</si>
  <si>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</si>
  <si>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</si>
  <si>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</si>
  <si>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</si>
  <si>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</si>
  <si>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</si>
  <si>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</si>
  <si>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</si>
  <si>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</si>
  <si>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</si>
  <si>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</si>
  <si>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</si>
  <si>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</si>
  <si>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</si>
  <si>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</si>
  <si>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</si>
  <si>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</si>
  <si>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</si>
  <si>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</si>
  <si>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</si>
  <si>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</si>
  <si>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</si>
  <si>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</si>
  <si>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</si>
  <si>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</si>
  <si>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</si>
  <si>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</si>
  <si>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</si>
  <si>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</si>
  <si>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</si>
  <si>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</si>
  <si>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</si>
  <si>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</si>
  <si>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</si>
  <si>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</si>
  <si>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</si>
  <si>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</si>
  <si>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</si>
  <si>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</si>
  <si>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</si>
  <si>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</si>
  <si>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</si>
  <si>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</si>
  <si>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</si>
  <si>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</si>
  <si>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</si>
  <si>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</si>
  <si>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</si>
  <si>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</si>
  <si>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</si>
  <si>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</si>
  <si>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</si>
  <si>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</si>
  <si>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</si>
  <si>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</si>
  <si>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</si>
  <si>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</si>
  <si>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</si>
  <si>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</si>
  <si>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</si>
  <si>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</si>
  <si>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</si>
  <si>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</si>
  <si>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</si>
  <si>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</si>
  <si>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</si>
  <si>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</si>
  <si>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</si>
  <si>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</si>
  <si>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</si>
  <si>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</si>
  <si>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</si>
  <si>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</si>
  <si>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</si>
  <si>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</si>
  <si>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</si>
  <si>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</si>
  <si>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</si>
  <si>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</si>
  <si>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</si>
  <si>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</si>
  <si>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</si>
  <si>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</si>
  <si>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</si>
  <si>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</si>
  <si>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</si>
  <si>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</si>
  <si>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</si>
  <si>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</si>
  <si>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</si>
  <si>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</si>
  <si>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</si>
  <si>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</si>
  <si>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</si>
  <si>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</si>
  <si>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</si>
  <si>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</si>
  <si>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</si>
  <si>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</si>
  <si>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</si>
  <si>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</si>
  <si>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</si>
  <si>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</si>
  <si>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</si>
  <si>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</si>
  <si>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</si>
  <si>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</si>
  <si>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</si>
  <si>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</si>
  <si>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</si>
  <si>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</si>
  <si>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</si>
  <si>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</si>
  <si>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</si>
  <si>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</si>
  <si>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</si>
  <si>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</si>
  <si>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</si>
  <si>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</si>
  <si>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</si>
  <si>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</si>
  <si>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</si>
  <si>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</si>
  <si>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</si>
  <si>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</si>
  <si>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</si>
  <si>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</si>
  <si>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</si>
  <si>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</si>
  <si>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</si>
  <si>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</si>
  <si>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</si>
  <si>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</si>
  <si>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</si>
  <si>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</si>
  <si>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</si>
  <si>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</si>
  <si>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</si>
  <si>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</si>
  <si>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</si>
  <si>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</si>
  <si>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</si>
  <si>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</si>
  <si>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</si>
  <si>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</si>
  <si>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</si>
  <si>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</si>
  <si>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</si>
  <si>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</si>
  <si>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</si>
  <si>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</si>
  <si>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</si>
  <si>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</si>
  <si>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</si>
  <si>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</si>
  <si>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</si>
  <si>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</si>
  <si>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</si>
  <si>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</si>
  <si>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</si>
  <si>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</si>
  <si>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</si>
  <si>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</si>
  <si>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</si>
  <si>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</si>
  <si>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</si>
  <si>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</si>
  <si>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</si>
  <si>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</si>
  <si>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</si>
  <si>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</si>
  <si>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</si>
  <si>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</si>
  <si>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</si>
  <si>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</si>
  <si>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</si>
  <si>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</si>
  <si>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</si>
  <si>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</si>
  <si>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</si>
  <si>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</si>
  <si>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</si>
  <si>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</si>
  <si>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</si>
  <si>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</si>
  <si>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</si>
  <si>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</si>
  <si>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</si>
  <si>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</si>
  <si>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</si>
  <si>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</si>
  <si>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</si>
  <si>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</si>
  <si>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</si>
  <si>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</si>
  <si>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</si>
  <si>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</si>
  <si>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</si>
  <si>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</si>
  <si>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</si>
  <si>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</si>
  <si>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</si>
  <si>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</si>
  <si>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</si>
  <si>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</si>
  <si>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</si>
  <si>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</si>
  <si>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</si>
  <si>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</si>
  <si>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</si>
  <si>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</si>
  <si>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</si>
  <si>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</si>
  <si>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</si>
  <si>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</si>
  <si>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</si>
  <si>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</si>
  <si>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</si>
  <si>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</si>
  <si>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</si>
  <si>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</si>
  <si>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</si>
  <si>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</si>
  <si>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</si>
  <si>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</si>
  <si>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</si>
  <si>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</si>
  <si>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</si>
  <si>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</si>
  <si>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</si>
  <si>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</si>
  <si>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</si>
  <si>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</si>
  <si>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</si>
  <si>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</si>
  <si>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</si>
  <si>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</si>
  <si>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</si>
  <si>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</si>
  <si>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</si>
  <si>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</si>
  <si>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</si>
  <si>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</si>
  <si>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</si>
  <si>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</si>
  <si>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</si>
  <si>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</si>
  <si>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</si>
  <si>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</si>
  <si>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</si>
  <si>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</si>
  <si>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</si>
  <si>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</si>
  <si>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</si>
  <si>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</si>
  <si>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</si>
  <si>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</si>
  <si>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</si>
  <si>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</si>
  <si>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</si>
  <si>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</si>
  <si>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</si>
  <si>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</si>
  <si>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</si>
  <si>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</si>
  <si>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</si>
  <si>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</si>
  <si>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</si>
  <si>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</si>
  <si>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</si>
  <si>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</si>
  <si>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</si>
  <si>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</si>
  <si>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</si>
  <si>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</si>
  <si>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</si>
  <si>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</si>
  <si>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</si>
  <si>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</si>
  <si>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</si>
  <si>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</si>
  <si>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</si>
  <si>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</si>
  <si>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</si>
  <si>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</si>
  <si>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</si>
  <si>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</si>
  <si>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</si>
  <si>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</si>
  <si>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</si>
  <si>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</si>
  <si>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</si>
  <si>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</si>
  <si>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</si>
  <si>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</si>
  <si>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</si>
  <si>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</si>
  <si>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</si>
  <si>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</si>
  <si>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</si>
  <si>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</si>
  <si>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</si>
  <si>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</si>
  <si>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</si>
  <si>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</si>
  <si>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</si>
  <si>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</si>
  <si>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</si>
  <si>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</si>
  <si>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</si>
  <si>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</si>
  <si>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</si>
  <si>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</si>
  <si>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</si>
  <si>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</si>
  <si>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</si>
  <si>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</si>
  <si>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</si>
  <si>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</si>
  <si>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</si>
  <si>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</si>
  <si>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</si>
  <si>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</si>
  <si>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</si>
  <si>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</si>
  <si>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</si>
  <si>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</si>
  <si>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</si>
  <si>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</si>
  <si>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</si>
  <si>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</si>
  <si>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</si>
  <si>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</si>
  <si>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</si>
  <si>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</si>
  <si>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</si>
  <si>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</si>
  <si>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</si>
  <si>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</si>
  <si>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</si>
  <si>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</si>
  <si>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</si>
  <si>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</si>
  <si>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</si>
  <si>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</si>
  <si>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</si>
  <si>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</si>
  <si>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</si>
  <si>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</si>
  <si>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</si>
  <si>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</si>
  <si>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</si>
  <si>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</si>
  <si>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</si>
  <si>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</si>
  <si>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</si>
  <si>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</si>
  <si>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</si>
  <si>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</si>
  <si>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</si>
  <si>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</si>
  <si>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</si>
  <si>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</si>
  <si>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</si>
  <si>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</si>
  <si>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</si>
  <si>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</si>
  <si>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</si>
  <si>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</si>
  <si>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</si>
  <si>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</si>
  <si>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</si>
  <si>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</si>
  <si>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</si>
  <si>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</si>
  <si>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</si>
  <si>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</si>
  <si>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</si>
  <si>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</si>
  <si>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</si>
  <si>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</si>
  <si>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</si>
  <si>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</si>
  <si>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</si>
  <si>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</si>
  <si>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</si>
  <si>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</si>
  <si>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</si>
  <si>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</si>
  <si>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</si>
  <si>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</si>
  <si>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</si>
  <si>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</si>
  <si>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</si>
  <si>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</si>
  <si>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</si>
  <si>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</si>
  <si>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</si>
  <si>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</si>
  <si>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</si>
  <si>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</si>
  <si>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</si>
  <si>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</si>
  <si>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</si>
  <si>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</si>
  <si>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</si>
  <si>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</si>
  <si>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</si>
  <si>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</si>
  <si>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</si>
  <si>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</si>
  <si>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</si>
  <si>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</si>
  <si>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</si>
  <si>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</si>
  <si>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</si>
  <si>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</si>
  <si>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</si>
  <si>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</si>
  <si>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</si>
  <si>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</si>
  <si>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</si>
  <si>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</si>
  <si>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</si>
  <si>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</si>
  <si>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</si>
  <si>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</si>
  <si>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</si>
  <si>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</si>
  <si>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</si>
  <si>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</si>
  <si>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</si>
  <si>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</si>
  <si>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</si>
  <si>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</si>
  <si>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</si>
  <si>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</si>
  <si>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</si>
  <si>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</si>
  <si>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</si>
  <si>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</si>
  <si>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</si>
  <si>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</si>
  <si>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</si>
  <si>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</si>
  <si>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</si>
  <si>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</si>
  <si>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</si>
  <si>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</si>
  <si>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</si>
  <si>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</si>
  <si>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</si>
  <si>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</si>
  <si>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</si>
  <si>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</si>
  <si>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</si>
  <si>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</si>
  <si>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</si>
  <si>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</si>
  <si>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</si>
  <si>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</si>
  <si>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</si>
  <si>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</si>
  <si>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</si>
  <si>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</si>
  <si>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</si>
  <si>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</si>
  <si>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</si>
  <si>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</si>
  <si>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</si>
  <si>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</si>
  <si>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</si>
  <si>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</si>
  <si>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</si>
  <si>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</si>
  <si>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</si>
  <si>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</si>
  <si>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</si>
  <si>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</si>
  <si>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</si>
  <si>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</si>
  <si>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</si>
  <si>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</si>
  <si>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</si>
  <si>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</si>
  <si>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</si>
  <si>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</si>
  <si>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</si>
  <si>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</si>
  <si>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</si>
  <si>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</si>
  <si>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</si>
  <si>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</si>
  <si>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</si>
  <si>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</si>
  <si>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</si>
  <si>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</si>
  <si>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</si>
  <si>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</si>
  <si>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</si>
  <si>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</si>
  <si>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</si>
  <si>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</si>
  <si>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</si>
  <si>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</si>
  <si>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</si>
  <si>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</si>
  <si>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</si>
  <si>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</si>
  <si>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</si>
  <si>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</si>
  <si>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</si>
  <si>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</si>
  <si>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</si>
  <si>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</si>
  <si>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</si>
  <si>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</si>
  <si>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</si>
  <si>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</si>
  <si>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</si>
  <si>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</si>
  <si>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</si>
  <si>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</si>
  <si>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</si>
  <si>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</si>
  <si>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</si>
  <si>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</si>
  <si>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</si>
  <si>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</si>
  <si>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</si>
  <si>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</si>
  <si>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</si>
  <si>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</si>
  <si>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</si>
  <si>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</si>
  <si>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</si>
  <si>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</si>
  <si>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</si>
  <si>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</si>
  <si>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</si>
  <si>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</si>
  <si>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</si>
  <si>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</si>
  <si>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</si>
  <si>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</si>
  <si>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</si>
  <si>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</si>
  <si>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</si>
  <si>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</si>
  <si>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</si>
  <si>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</si>
  <si>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</si>
  <si>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</si>
  <si>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</si>
  <si>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</si>
  <si>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</si>
  <si>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</si>
  <si>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</si>
  <si>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</si>
  <si>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</si>
  <si>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</si>
  <si>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</si>
  <si>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</si>
  <si>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</si>
  <si>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</si>
  <si>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</si>
  <si>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</si>
  <si>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</si>
  <si>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</si>
  <si>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</si>
  <si>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</si>
  <si>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</si>
  <si>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</si>
  <si>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</si>
  <si>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</si>
  <si>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</si>
  <si>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</si>
  <si>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</si>
  <si>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</si>
  <si>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</si>
  <si>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</si>
  <si>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</si>
  <si>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</si>
  <si>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</si>
  <si>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</si>
  <si>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</si>
  <si>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</si>
  <si>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</si>
  <si>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</si>
  <si>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</si>
  <si>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</si>
  <si>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</si>
  <si>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</si>
  <si>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</si>
  <si>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</si>
  <si>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</si>
  <si>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</si>
  <si>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</si>
  <si>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</si>
  <si>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</si>
  <si>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</si>
  <si>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</si>
  <si>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</si>
  <si>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</si>
  <si>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</si>
  <si>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</si>
  <si>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</si>
  <si>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</si>
  <si>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</si>
  <si>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</si>
  <si>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</si>
  <si>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</si>
  <si>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</si>
  <si>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</si>
  <si>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</si>
  <si>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</si>
  <si>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</si>
  <si>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</si>
  <si>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</si>
  <si>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</si>
  <si>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</si>
  <si>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</si>
  <si>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</si>
  <si>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</si>
  <si>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</si>
  <si>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</si>
  <si>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</si>
  <si>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</si>
  <si>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</si>
  <si>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</si>
  <si>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NIT / CC DEL CLIENTE</t>
  </si>
  <si>
    <t xml:space="preserve">NOMBRE O RAZON SOCIAL </t>
  </si>
  <si>
    <t>CORREO ELECTRÓNICO</t>
  </si>
  <si>
    <t xml:space="preserve">DIRECCIÓN DOMICILIO FISCAL </t>
  </si>
  <si>
    <t>CÓDIGO DE LA ACTIVIDAD</t>
  </si>
  <si>
    <t>Generación de energía eléctrica</t>
  </si>
  <si>
    <t>CÓDIGO
 MUNICIPIO</t>
  </si>
  <si>
    <t>CAPACIDAD INSTALADA EN KW</t>
  </si>
  <si>
    <t xml:space="preserve">VALOR CONSOLIDADO VENTAS POR ACTIVIDAD </t>
  </si>
  <si>
    <t>DEVOLUCIONES, REBAJAS Y DESCUENTOS</t>
  </si>
  <si>
    <t>AUTORRETENCIÓN PRACTICADA</t>
  </si>
  <si>
    <t>RETENCIÓN QUE LE PRACTICARON</t>
  </si>
  <si>
    <t>NIT O CÉDULA DEL  INFORMANTE</t>
  </si>
  <si>
    <t>RAZÓN SOCIAL O NOMBRE DEL INFORMANTE</t>
  </si>
  <si>
    <t>VIGENCIA A REPORTAR</t>
  </si>
  <si>
    <t>FECHA DE ENVÍO</t>
  </si>
  <si>
    <t>4</t>
  </si>
  <si>
    <t>CONCRETOS ARGOS SAS</t>
  </si>
  <si>
    <t>6069400</t>
  </si>
  <si>
    <t>proveedorconcretosargos@argos.com.co</t>
  </si>
  <si>
    <t>CL 24 A 59 42 TO 3 ST 1</t>
  </si>
  <si>
    <t>CALES Y TERMICOS BOYACA SAS</t>
  </si>
  <si>
    <t>3114628169</t>
  </si>
  <si>
    <t/>
  </si>
  <si>
    <t xml:space="preserve"> CR 3 1 116 VRD CHAMEZA MAYOR</t>
  </si>
  <si>
    <t>6</t>
  </si>
  <si>
    <t>PROYECTOS Y SOLUCIONES AMBIENTALES JV S</t>
  </si>
  <si>
    <t>3017598550</t>
  </si>
  <si>
    <t>proyectosambientalesjv@gmail.com</t>
  </si>
  <si>
    <t>CR 17 154 93 TO 2 AP 706 CONJ EL COUNTRY MASAI</t>
  </si>
  <si>
    <t>3</t>
  </si>
  <si>
    <t>GARCIA LOPEZ WILFREDY</t>
  </si>
  <si>
    <t>3118143330</t>
  </si>
  <si>
    <t>chatarreriachikigarcia@gmail.com</t>
  </si>
  <si>
    <t>SEC SIDERURGICA VIA TUNJA-PAIPA</t>
  </si>
  <si>
    <t>8</t>
  </si>
  <si>
    <t>RUITOQUE SA ESP</t>
  </si>
  <si>
    <t>6076185871</t>
  </si>
  <si>
    <t>escribanos@ruitoqueesp.com</t>
  </si>
  <si>
    <t>KM 3 AUT PIEDECUESTA FLORIDABLANCA COND RUITOQUE ED TUITOQUE ESP</t>
  </si>
  <si>
    <t>Ley 56 de 1981</t>
  </si>
  <si>
    <t>7</t>
  </si>
  <si>
    <t xml:space="preserve">ENERGETICOS SAS ESP </t>
  </si>
  <si>
    <t>3157796845</t>
  </si>
  <si>
    <t>facturacion@energeticossaesp.com.co</t>
  </si>
  <si>
    <t>CR 100 5 169 OF 716 A</t>
  </si>
  <si>
    <t>9</t>
  </si>
  <si>
    <t>GENERARCO SAS ESP</t>
  </si>
  <si>
    <t>3214692300</t>
  </si>
  <si>
    <t>info@generarco.com</t>
  </si>
  <si>
    <t>CL 2  4 17</t>
  </si>
  <si>
    <t>ENEL COLOMBIA SA ESP</t>
  </si>
  <si>
    <t>3186811970</t>
  </si>
  <si>
    <t>facturaelectronica.colombia@enel.com</t>
  </si>
  <si>
    <t>CL 93 N° 13-45 P 1</t>
  </si>
  <si>
    <t>CENTRAL HIDROELECTRICA  DE CALDAS S A E</t>
  </si>
  <si>
    <t>6068899000</t>
  </si>
  <si>
    <t>facturaelectronicachec@grupo-epm.co</t>
  </si>
  <si>
    <t>KM 2 SALIDA CHINCHINA ESTACION URIBE</t>
  </si>
  <si>
    <t>1</t>
  </si>
  <si>
    <t>EMPRESAS PUBLICAS DE MEDELLIN ESP</t>
  </si>
  <si>
    <t>3805963</t>
  </si>
  <si>
    <t>facturaelectronicaepm@grupo-epm.com</t>
  </si>
  <si>
    <t>CR 58 N 42 125</t>
  </si>
  <si>
    <t>COENERSA SAS  ESP</t>
  </si>
  <si>
    <t>3142142370</t>
  </si>
  <si>
    <t>info@coenersa.com</t>
  </si>
  <si>
    <t>DG 6 3 90</t>
  </si>
  <si>
    <t>ENERMAS SAS ESP</t>
  </si>
  <si>
    <t>3004675049</t>
  </si>
  <si>
    <t>info@enermas.com.co</t>
  </si>
  <si>
    <t>CL 31 A  26 15 OF 501</t>
  </si>
  <si>
    <t>2</t>
  </si>
  <si>
    <t>ESPACIO PRODUCTIVO SAS ESP</t>
  </si>
  <si>
    <t>6043627550</t>
  </si>
  <si>
    <t>financiera@esprod.co</t>
  </si>
  <si>
    <t>CR 43 A 1 SUR 188 OF 806</t>
  </si>
  <si>
    <t>AGENTE EXPERTO EN SERVICIOS PUBLICOS SA</t>
  </si>
  <si>
    <t>6076837920</t>
  </si>
  <si>
    <t>info@aesp.com.co</t>
  </si>
  <si>
    <t>CR 27 37 33 ED. CENTRO EMPRESARIAL GREEN GOLD OF. 1007</t>
  </si>
  <si>
    <t>IA ENERGIA Y GESTIÓN SAS ESP</t>
  </si>
  <si>
    <t>3043361001</t>
  </si>
  <si>
    <t>andrea.izquierdo@iaenergy.com.co</t>
  </si>
  <si>
    <t>CL 5   3  58</t>
  </si>
  <si>
    <t>COMPAÑIA ENERGETICA DE OCCIDENTE</t>
  </si>
  <si>
    <t>8301000</t>
  </si>
  <si>
    <t>cia.energetica@ceoesp.com</t>
  </si>
  <si>
    <t>CR 7 1 N 28 ED NEGRET P 4 BRR CENTRO</t>
  </si>
  <si>
    <t>NITRO ENERGY COLOMBIA SAS ESP</t>
  </si>
  <si>
    <t>6043581677</t>
  </si>
  <si>
    <t>info@nitrogc.com</t>
  </si>
  <si>
    <t>CR 42  3 SUR-81 TO 2 OF 712</t>
  </si>
  <si>
    <t>DEPI ENERGY SAS ESP</t>
  </si>
  <si>
    <t>6023899626</t>
  </si>
  <si>
    <t>recepcionfacturas@depienergy.com</t>
  </si>
  <si>
    <t xml:space="preserve"> CR  101 15 08</t>
  </si>
  <si>
    <t>COMPAÑIA DE EXPERTOS EN MERCADOS SA ES</t>
  </si>
  <si>
    <t>3172244</t>
  </si>
  <si>
    <t>info@xm.com.co</t>
  </si>
  <si>
    <t>CL 12 SUR   18 168</t>
  </si>
  <si>
    <t>LEON CARVAJAL  LUIS GABRIEL</t>
  </si>
  <si>
    <t>3138529568</t>
  </si>
  <si>
    <t>claraleon52@yahoo.com</t>
  </si>
  <si>
    <t>VRD EL PEDREGAL CEN</t>
  </si>
  <si>
    <t>GOMEZ CELY JOSE ALDEMAR</t>
  </si>
  <si>
    <t>3203444467</t>
  </si>
  <si>
    <t>jaldemargomez@gmail.com</t>
  </si>
  <si>
    <t>CL 6  5  44</t>
  </si>
  <si>
    <t>GRIJALBA RODRIGUEZ ORLANDO</t>
  </si>
  <si>
    <t>3183118560</t>
  </si>
  <si>
    <t>carbonesgrijalbasas@gmail.com</t>
  </si>
  <si>
    <t>VRD MORAL NORTE</t>
  </si>
  <si>
    <t>CUSBA TIBADUIZA JOSE EDIBERTO</t>
  </si>
  <si>
    <t>3144115651</t>
  </si>
  <si>
    <t>conycely8@yahoo.com</t>
  </si>
  <si>
    <t xml:space="preserve"> CR 11 24 15 AP 303 B ED PINARES DEL PARQUE</t>
  </si>
  <si>
    <t xml:space="preserve">	    7163653</t>
  </si>
  <si>
    <t>CASTRO ESPINOSA JUAN MANUEL</t>
  </si>
  <si>
    <t>juanmace300@gmail.com</t>
  </si>
  <si>
    <t>TV 29 13 A 27 AP 201</t>
  </si>
  <si>
    <t>SOCIEDAD DE MINAS MORALES LTDA</t>
  </si>
  <si>
    <t>7850241</t>
  </si>
  <si>
    <t>socieminasltda@gmail.com</t>
  </si>
  <si>
    <t>CL 21  23  28</t>
  </si>
  <si>
    <t>LA PREVISORA SA COMPAÑIA DE SEGUROS</t>
  </si>
  <si>
    <t>3485757</t>
  </si>
  <si>
    <t>tributaria@previsora.gov.co</t>
  </si>
  <si>
    <t>CL 57 9 07</t>
  </si>
  <si>
    <t>COOPERATIVA INTEGRAL CARBONIFERA BOYACENSE</t>
  </si>
  <si>
    <t>6087736590</t>
  </si>
  <si>
    <t>coincarboyltda@gmail.com</t>
  </si>
  <si>
    <t>DG 59  5 18</t>
  </si>
  <si>
    <t>5</t>
  </si>
  <si>
    <t>GOLDEN COMPANY SAS</t>
  </si>
  <si>
    <t>7853216</t>
  </si>
  <si>
    <t>cruzbaronasociados@yahoo.es</t>
  </si>
  <si>
    <t>AV LIBERTADORES  22 01 BRR SAUSALITO</t>
  </si>
  <si>
    <t>MINERALES SANTAMARIA SAS</t>
  </si>
  <si>
    <t>7732732</t>
  </si>
  <si>
    <t>contamsm57@gmail.com</t>
  </si>
  <si>
    <t>CR 11 B 58 B 16</t>
  </si>
  <si>
    <t>COMPAÑIA DE CARBONES Y TRANSPORTES SAS</t>
  </si>
  <si>
    <t>3124115343</t>
  </si>
  <si>
    <t>carbotranslopez@hotmail.com</t>
  </si>
  <si>
    <t>CR 12 14 105 OF 301 ED LIMANARS</t>
  </si>
  <si>
    <t>CARBONERA RINCON SAS</t>
  </si>
  <si>
    <t>3107745780</t>
  </si>
  <si>
    <t>carbonerarinconsas@gmail.com</t>
  </si>
  <si>
    <t>KM 4 VIA PAIPA - TUNJA VDA EL VOLCAN</t>
  </si>
  <si>
    <t>CARBOPAIPA SAS</t>
  </si>
  <si>
    <t>3102179207</t>
  </si>
  <si>
    <t>carbopaipa01@hotmail.com</t>
  </si>
  <si>
    <t>CL 30 # 29 - 63 BRR PABLO SOLANO</t>
  </si>
  <si>
    <t>BANCO BILBAO VIZCAYA ARGENTARIA COLOMBIA</t>
  </si>
  <si>
    <t>8722215</t>
  </si>
  <si>
    <t>sergio.gualdron@bbva.com.co</t>
  </si>
  <si>
    <t>CR 22 21 05 P 2</t>
  </si>
  <si>
    <t>BANCO DAVIVIENDA SA</t>
  </si>
  <si>
    <t>opmartineza@davivienda.com</t>
  </si>
  <si>
    <t>CR 23   26 20 P 2</t>
  </si>
  <si>
    <t>BANCO DE OCCIDENTE</t>
  </si>
  <si>
    <t>8845509</t>
  </si>
  <si>
    <t>gtmanizales01@bancodeoccidente.com.co</t>
  </si>
  <si>
    <t>CR 22   21 02</t>
  </si>
  <si>
    <t>BANCOLOMBIA SA</t>
  </si>
  <si>
    <t>8918741</t>
  </si>
  <si>
    <t>fjaramillo@bancolombia.com.co</t>
  </si>
  <si>
    <t>CL 33   20 04 CC FUNDADORES</t>
  </si>
  <si>
    <t>FIDUCIARIA DAVIVIENDA SA</t>
  </si>
  <si>
    <t>harodriguez@daviviendacom</t>
  </si>
  <si>
    <t>AV EL DORADO   68 B 85 P 2</t>
  </si>
  <si>
    <t>LYDCO INGENIERIA SAS</t>
  </si>
  <si>
    <t>3004649</t>
  </si>
  <si>
    <t>direccioncontable@lydcoingenieria.com</t>
  </si>
  <si>
    <t>CR 49 A 94 76</t>
  </si>
  <si>
    <t>GESTION ENERGETICA SA ESP</t>
  </si>
  <si>
    <t>8756262</t>
  </si>
  <si>
    <t>presidencia@gensa.com.co</t>
  </si>
  <si>
    <t>CR 23 64 B 33 BRR LAURELES</t>
  </si>
  <si>
    <t>56-57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</si>
</sst>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3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" fontId="3" fillId="0" borderId="1" xfId="1" applyNumberFormat="1" applyFont="1" applyFill="1" applyBorder="1" applyProtection="1">
      <protection locked="0"/>
    </xf>
    <xf numFmtId="41" fontId="3" fillId="0" borderId="1" xfId="1" applyFont="1" applyFill="1" applyBorder="1" applyAlignment="1" applyProtection="1">
      <alignment vertical="top"/>
      <protection locked="0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 applyAlignment="1" applyProtection="1">
      <alignment horizontal="left"/>
      <protection locked="0"/>
    </xf>
    <xf numFmtId="1" fontId="3" fillId="0" borderId="1" xfId="0" applyNumberFormat="1" applyFont="1" applyFill="1" applyBorder="1" applyProtection="1">
      <protection locked="0"/>
    </xf>
    <xf numFmtId="1" fontId="4" fillId="0" borderId="1" xfId="1" applyNumberFormat="1" applyFont="1" applyFill="1" applyBorder="1" applyProtection="1">
      <protection locked="0"/>
    </xf>
    <xf numFmtId="41" fontId="4" fillId="0" borderId="1" xfId="1" applyFont="1" applyFill="1" applyBorder="1" applyAlignment="1" applyProtection="1">
      <alignment vertical="top"/>
      <protection locked="0"/>
    </xf>
    <xf numFmtId="0" fontId="4" fillId="0" borderId="1" xfId="0" applyFont="1" applyFill="1" applyBorder="1" applyProtection="1">
      <protection locked="0"/>
    </xf>
    <xf numFmtId="0" fontId="4" fillId="0" borderId="1" xfId="0" applyFont="1" applyFill="1" applyBorder="1" applyAlignment="1" applyProtection="1">
      <alignment horizontal="left"/>
      <protection locked="0"/>
    </xf>
    <xf numFmtId="0" fontId="5" fillId="0" borderId="6" xfId="0" applyNumberFormat="1" applyFont="1" applyFill="1" applyBorder="1" applyAlignment="1" applyProtection="1">
      <alignment horizontal="left" vertical="top" wrapText="1"/>
      <protection locked="0"/>
    </xf>
    <xf numFmtId="1" fontId="3" fillId="0" borderId="0" xfId="1" applyNumberFormat="1" applyFont="1" applyFill="1" applyProtection="1">
      <protection locked="0"/>
    </xf>
    <xf numFmtId="0" fontId="3" fillId="0" borderId="1" xfId="0" applyFont="1" applyFill="1" applyBorder="1" applyAlignment="1" applyProtection="1">
      <alignment horizontal="right"/>
      <protection locked="0"/>
    </xf>
    <xf numFmtId="1" fontId="3" fillId="0" borderId="0" xfId="0" applyNumberFormat="1" applyFont="1" applyFill="1" applyProtection="1">
      <protection locked="0"/>
    </xf>
    <xf numFmtId="1" fontId="3" fillId="0" borderId="1" xfId="1" applyNumberFormat="1" applyFont="1" applyFill="1" applyBorder="1" applyAlignment="1" applyProtection="1">
      <alignment horizontal="center" vertical="center"/>
      <protection locked="0"/>
    </xf>
    <xf numFmtId="1" fontId="3" fillId="0" borderId="1" xfId="1" applyNumberFormat="1" applyFont="1" applyFill="1" applyBorder="1" applyAlignment="1" applyProtection="1">
      <alignment horizontal="right" vertical="center"/>
      <protection locked="0"/>
    </xf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1288676</xdr:colOff>
      <xdr:row>0</xdr:row>
      <xdr:rowOff>2253128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89FDAD3-E359-AAFA-689B-861616454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898470" cy="22531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46"/>
  <sheetViews>
    <sheetView tabSelected="1" zoomScale="73" zoomScaleNormal="73" workbookViewId="0">
      <pane ySplit="6" topLeftCell="A7" activePane="bottomLeft" state="frozen"/>
      <selection pane="bottomLeft" activeCell="H22" sqref="H22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7.5703125" style="9" customWidth="1"/>
    <col min="9" max="9" width="21.42578125" style="9" customWidth="1"/>
    <col min="10" max="10" width="22.28515625" style="9" customWidth="1"/>
    <col min="11" max="11" width="20.42578125" style="9" customWidth="1"/>
    <col min="12" max="12" width="19.28515625" style="9" customWidth="1"/>
    <col min="13" max="13" width="19.42578125" style="9" customWidth="1"/>
    <col min="14" max="146" width="8.85546875" style="8"/>
    <col min="147" max="16384" width="8.85546875" style="9"/>
  </cols>
  <sheetData>
    <row r="1" spans="1:13" ht="184.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 x14ac:dyDescent="0.25">
      <c r="A2" s="10" t="s">
        <v>2250</v>
      </c>
      <c r="B2" s="10"/>
      <c r="C2" s="10"/>
      <c r="D2" s="20"/>
      <c r="E2" s="21"/>
      <c r="F2" s="21"/>
      <c r="G2" s="8"/>
      <c r="H2" s="8"/>
      <c r="I2" s="8"/>
      <c r="J2" s="8"/>
      <c r="K2" s="8"/>
      <c r="L2" s="8"/>
      <c r="M2" s="8"/>
    </row>
    <row r="3" spans="1:13" x14ac:dyDescent="0.25">
      <c r="A3" s="11" t="s">
        <v>2251</v>
      </c>
      <c r="B3" s="11"/>
      <c r="C3" s="11"/>
      <c r="D3" s="22"/>
      <c r="E3" s="23"/>
      <c r="F3" s="23"/>
      <c r="G3" s="8"/>
      <c r="H3" s="8"/>
      <c r="I3" s="8"/>
      <c r="J3" s="8"/>
      <c r="K3" s="8"/>
      <c r="L3" s="8"/>
      <c r="M3" s="8"/>
    </row>
    <row r="4" spans="1:13" x14ac:dyDescent="0.25">
      <c r="A4" s="10" t="s">
        <v>2252</v>
      </c>
      <c r="B4" s="10"/>
      <c r="C4" s="10"/>
      <c r="D4" s="20"/>
      <c r="E4" s="21"/>
      <c r="F4" s="21"/>
      <c r="G4" s="8"/>
      <c r="H4" s="8"/>
      <c r="I4" s="8"/>
      <c r="J4" s="8"/>
      <c r="K4" s="8"/>
      <c r="L4" s="8"/>
      <c r="M4" s="8"/>
    </row>
    <row r="5" spans="1:13" x14ac:dyDescent="0.25">
      <c r="A5" s="12" t="s">
        <v>2253</v>
      </c>
      <c r="B5" s="12"/>
      <c r="C5" s="12"/>
      <c r="D5" s="17"/>
      <c r="E5" s="18"/>
      <c r="F5" s="18"/>
      <c r="G5" s="8"/>
      <c r="H5" s="8"/>
      <c r="I5" s="8"/>
      <c r="J5" s="8"/>
      <c r="K5" s="8"/>
      <c r="L5" s="8"/>
      <c r="M5" s="8"/>
    </row>
    <row r="6" spans="1:13" ht="45" x14ac:dyDescent="0.25">
      <c r="A6" s="13" t="s">
        <v>2238</v>
      </c>
      <c r="B6" s="14" t="s">
        <v>0</v>
      </c>
      <c r="C6" s="15" t="s">
        <v>2239</v>
      </c>
      <c r="D6" s="16" t="s">
        <v>1</v>
      </c>
      <c r="E6" s="14" t="s">
        <v>2240</v>
      </c>
      <c r="F6" s="15" t="s">
        <v>2241</v>
      </c>
      <c r="G6" s="13" t="s">
        <v>2244</v>
      </c>
      <c r="H6" s="13" t="s">
        <v>2242</v>
      </c>
      <c r="I6" s="13" t="s">
        <v>2245</v>
      </c>
      <c r="J6" s="13" t="s">
        <v>2246</v>
      </c>
      <c r="K6" s="13" t="s">
        <v>2247</v>
      </c>
      <c r="L6" s="13" t="s">
        <v>2248</v>
      </c>
      <c r="M6" s="13" t="s">
        <v>2249</v>
      </c>
    </row>
    <row r="7" spans="1:13" x14ac:dyDescent="0.25">
      <c r="A7" s="24">
        <v>860350697</v>
      </c>
      <c r="B7" s="25" t="s">
        <v>2254</v>
      </c>
      <c r="C7" s="26" t="s">
        <v>2255</v>
      </c>
      <c r="D7" s="27" t="s">
        <v>2256</v>
      </c>
      <c r="E7" s="26" t="s">
        <v>2257</v>
      </c>
      <c r="F7" s="26" t="s">
        <v>2258</v>
      </c>
      <c r="G7" s="26" t="s">
        <v>413</v>
      </c>
      <c r="H7" s="27">
        <v>219</v>
      </c>
      <c r="I7" s="26"/>
      <c r="J7" s="24">
        <v>2732905367</v>
      </c>
      <c r="K7" s="24"/>
      <c r="L7" s="24">
        <v>27329054</v>
      </c>
      <c r="M7" s="28"/>
    </row>
    <row r="8" spans="1:13" x14ac:dyDescent="0.25">
      <c r="A8" s="24">
        <v>900872050</v>
      </c>
      <c r="B8" s="25" t="s">
        <v>2254</v>
      </c>
      <c r="C8" s="26" t="s">
        <v>2259</v>
      </c>
      <c r="D8" s="27" t="s">
        <v>2260</v>
      </c>
      <c r="E8" s="26" t="s">
        <v>2261</v>
      </c>
      <c r="F8" s="26" t="s">
        <v>2262</v>
      </c>
      <c r="G8" s="26" t="s">
        <v>704</v>
      </c>
      <c r="H8" s="27">
        <v>219</v>
      </c>
      <c r="I8" s="26"/>
      <c r="J8" s="24">
        <v>19342380</v>
      </c>
      <c r="K8" s="24"/>
      <c r="L8" s="24">
        <v>193424</v>
      </c>
      <c r="M8" s="28"/>
    </row>
    <row r="9" spans="1:13" x14ac:dyDescent="0.25">
      <c r="A9" s="24">
        <v>901061425</v>
      </c>
      <c r="B9" s="25" t="s">
        <v>2263</v>
      </c>
      <c r="C9" s="26" t="s">
        <v>2264</v>
      </c>
      <c r="D9" s="27" t="s">
        <v>2265</v>
      </c>
      <c r="E9" s="26" t="s">
        <v>2266</v>
      </c>
      <c r="F9" s="26" t="s">
        <v>2267</v>
      </c>
      <c r="G9" s="26" t="s">
        <v>1947</v>
      </c>
      <c r="H9" s="27">
        <v>219</v>
      </c>
      <c r="I9" s="26"/>
      <c r="J9" s="24">
        <v>79672670</v>
      </c>
      <c r="K9" s="24"/>
      <c r="L9" s="24">
        <v>796727</v>
      </c>
      <c r="M9" s="28"/>
    </row>
    <row r="10" spans="1:13" x14ac:dyDescent="0.25">
      <c r="A10" s="24">
        <v>74360282</v>
      </c>
      <c r="B10" s="25" t="s">
        <v>2268</v>
      </c>
      <c r="C10" s="26" t="s">
        <v>2269</v>
      </c>
      <c r="D10" s="27" t="s">
        <v>2270</v>
      </c>
      <c r="E10" s="26" t="s">
        <v>2271</v>
      </c>
      <c r="F10" s="26" t="s">
        <v>2272</v>
      </c>
      <c r="G10" s="26" t="s">
        <v>728</v>
      </c>
      <c r="H10" s="27">
        <v>219</v>
      </c>
      <c r="I10" s="26"/>
      <c r="J10" s="24">
        <v>256125600</v>
      </c>
      <c r="K10" s="24"/>
      <c r="L10" s="38">
        <v>153553000</v>
      </c>
      <c r="M10" s="28"/>
    </row>
    <row r="11" spans="1:13" x14ac:dyDescent="0.25">
      <c r="A11" s="29">
        <v>804001062</v>
      </c>
      <c r="B11" s="30" t="s">
        <v>2273</v>
      </c>
      <c r="C11" s="31" t="s">
        <v>2274</v>
      </c>
      <c r="D11" s="32" t="s">
        <v>2275</v>
      </c>
      <c r="E11" s="31" t="s">
        <v>2276</v>
      </c>
      <c r="F11" s="31" t="s">
        <v>2277</v>
      </c>
      <c r="G11" s="31" t="s">
        <v>1947</v>
      </c>
      <c r="H11" s="32" t="s">
        <v>2278</v>
      </c>
      <c r="I11" s="31">
        <v>191000</v>
      </c>
      <c r="J11" s="29">
        <v>7232763120</v>
      </c>
      <c r="K11" s="29"/>
      <c r="L11" s="37"/>
      <c r="M11" s="28"/>
    </row>
    <row r="12" spans="1:13" x14ac:dyDescent="0.25">
      <c r="A12" s="29">
        <v>830092965</v>
      </c>
      <c r="B12" s="30" t="s">
        <v>2279</v>
      </c>
      <c r="C12" s="31" t="s">
        <v>2280</v>
      </c>
      <c r="D12" s="32" t="s">
        <v>2281</v>
      </c>
      <c r="E12" s="31" t="s">
        <v>2282</v>
      </c>
      <c r="F12" s="31" t="s">
        <v>2283</v>
      </c>
      <c r="G12" s="31" t="s">
        <v>2199</v>
      </c>
      <c r="H12" s="32" t="s">
        <v>2278</v>
      </c>
      <c r="I12" s="31">
        <v>191000</v>
      </c>
      <c r="J12" s="29">
        <v>36316501200</v>
      </c>
      <c r="K12" s="29"/>
      <c r="L12" s="37"/>
      <c r="M12" s="28"/>
    </row>
    <row r="13" spans="1:13" x14ac:dyDescent="0.25">
      <c r="A13" s="29">
        <v>830107528</v>
      </c>
      <c r="B13" s="30" t="s">
        <v>2284</v>
      </c>
      <c r="C13" s="31" t="s">
        <v>2285</v>
      </c>
      <c r="D13" s="32" t="s">
        <v>2286</v>
      </c>
      <c r="E13" s="31" t="s">
        <v>2287</v>
      </c>
      <c r="F13" s="31" t="s">
        <v>2288</v>
      </c>
      <c r="G13" s="31" t="s">
        <v>1124</v>
      </c>
      <c r="H13" s="32" t="s">
        <v>2278</v>
      </c>
      <c r="I13" s="31">
        <v>191000</v>
      </c>
      <c r="J13" s="29">
        <f>7473375440</f>
        <v>7473375440</v>
      </c>
      <c r="K13" s="29">
        <v>5367488</v>
      </c>
      <c r="L13" s="37"/>
      <c r="M13" s="28"/>
    </row>
    <row r="14" spans="1:13" x14ac:dyDescent="0.25">
      <c r="A14" s="29">
        <v>860063875</v>
      </c>
      <c r="B14" s="30" t="s">
        <v>2273</v>
      </c>
      <c r="C14" s="31" t="s">
        <v>2289</v>
      </c>
      <c r="D14" s="32" t="s">
        <v>2290</v>
      </c>
      <c r="E14" s="31" t="s">
        <v>2291</v>
      </c>
      <c r="F14" s="31" t="s">
        <v>2292</v>
      </c>
      <c r="G14" s="31" t="s">
        <v>413</v>
      </c>
      <c r="H14" s="32" t="s">
        <v>2278</v>
      </c>
      <c r="I14" s="31">
        <v>191000</v>
      </c>
      <c r="J14" s="29">
        <v>25027488000</v>
      </c>
      <c r="K14" s="29"/>
      <c r="L14" s="37"/>
      <c r="M14" s="28"/>
    </row>
    <row r="15" spans="1:13" x14ac:dyDescent="0.25">
      <c r="A15" s="29">
        <v>890800128</v>
      </c>
      <c r="B15" s="30" t="s">
        <v>2263</v>
      </c>
      <c r="C15" s="31" t="s">
        <v>2293</v>
      </c>
      <c r="D15" s="32" t="s">
        <v>2294</v>
      </c>
      <c r="E15" s="31" t="s">
        <v>2295</v>
      </c>
      <c r="F15" s="31" t="s">
        <v>2296</v>
      </c>
      <c r="G15" s="31" t="s">
        <v>777</v>
      </c>
      <c r="H15" s="32" t="s">
        <v>2278</v>
      </c>
      <c r="I15" s="31">
        <v>191000</v>
      </c>
      <c r="J15" s="29">
        <v>10790684544</v>
      </c>
      <c r="K15" s="29"/>
      <c r="L15" s="37"/>
      <c r="M15" s="28"/>
    </row>
    <row r="16" spans="1:13" x14ac:dyDescent="0.25">
      <c r="A16" s="29">
        <v>890904996</v>
      </c>
      <c r="B16" s="30" t="s">
        <v>2297</v>
      </c>
      <c r="C16" s="31" t="s">
        <v>2298</v>
      </c>
      <c r="D16" s="32" t="s">
        <v>2299</v>
      </c>
      <c r="E16" s="31" t="s">
        <v>2300</v>
      </c>
      <c r="F16" s="31" t="s">
        <v>2301</v>
      </c>
      <c r="G16" s="31" t="s">
        <v>346</v>
      </c>
      <c r="H16" s="32" t="s">
        <v>2278</v>
      </c>
      <c r="I16" s="31">
        <v>191000</v>
      </c>
      <c r="J16" s="29">
        <v>43571452446</v>
      </c>
      <c r="K16" s="29"/>
      <c r="L16" s="37"/>
      <c r="M16" s="28"/>
    </row>
    <row r="17" spans="1:13" x14ac:dyDescent="0.25">
      <c r="A17" s="29">
        <v>900076284</v>
      </c>
      <c r="B17" s="30" t="s">
        <v>2263</v>
      </c>
      <c r="C17" s="31" t="s">
        <v>2302</v>
      </c>
      <c r="D17" s="32" t="s">
        <v>2303</v>
      </c>
      <c r="E17" s="31" t="s">
        <v>2304</v>
      </c>
      <c r="F17" s="31" t="s">
        <v>2305</v>
      </c>
      <c r="G17" s="31" t="s">
        <v>1124</v>
      </c>
      <c r="H17" s="32" t="s">
        <v>2278</v>
      </c>
      <c r="I17" s="31">
        <v>191000</v>
      </c>
      <c r="J17" s="29">
        <f>35502888750</f>
        <v>35502888750</v>
      </c>
      <c r="K17" s="29">
        <v>11082693</v>
      </c>
      <c r="L17" s="37"/>
      <c r="M17" s="28"/>
    </row>
    <row r="18" spans="1:13" x14ac:dyDescent="0.25">
      <c r="A18" s="29">
        <v>900148768</v>
      </c>
      <c r="B18" s="30" t="s">
        <v>2284</v>
      </c>
      <c r="C18" s="31" t="s">
        <v>2306</v>
      </c>
      <c r="D18" s="32" t="s">
        <v>2307</v>
      </c>
      <c r="E18" s="31" t="s">
        <v>2308</v>
      </c>
      <c r="F18" s="31" t="s">
        <v>2309</v>
      </c>
      <c r="G18" s="31" t="s">
        <v>1947</v>
      </c>
      <c r="H18" s="32" t="s">
        <v>2278</v>
      </c>
      <c r="I18" s="31">
        <v>191000</v>
      </c>
      <c r="J18" s="29">
        <v>36352122133</v>
      </c>
      <c r="K18" s="29"/>
      <c r="L18" s="37"/>
      <c r="M18" s="28"/>
    </row>
    <row r="19" spans="1:13" x14ac:dyDescent="0.25">
      <c r="A19" s="29">
        <v>900214588</v>
      </c>
      <c r="B19" s="30" t="s">
        <v>2310</v>
      </c>
      <c r="C19" s="31" t="s">
        <v>2311</v>
      </c>
      <c r="D19" s="32" t="s">
        <v>2312</v>
      </c>
      <c r="E19" s="31" t="s">
        <v>2313</v>
      </c>
      <c r="F19" s="31" t="s">
        <v>2314</v>
      </c>
      <c r="G19" s="31" t="s">
        <v>346</v>
      </c>
      <c r="H19" s="32" t="s">
        <v>2278</v>
      </c>
      <c r="I19" s="31">
        <v>191000</v>
      </c>
      <c r="J19" s="29">
        <v>43403068800</v>
      </c>
      <c r="K19" s="29"/>
      <c r="L19" s="37"/>
      <c r="M19" s="28"/>
    </row>
    <row r="20" spans="1:13" x14ac:dyDescent="0.25">
      <c r="A20" s="29">
        <v>900325920</v>
      </c>
      <c r="B20" s="30" t="s">
        <v>2297</v>
      </c>
      <c r="C20" s="31" t="s">
        <v>2315</v>
      </c>
      <c r="D20" s="32" t="s">
        <v>2316</v>
      </c>
      <c r="E20" s="31" t="s">
        <v>2317</v>
      </c>
      <c r="F20" s="31" t="s">
        <v>2318</v>
      </c>
      <c r="G20" s="31" t="s">
        <v>1939</v>
      </c>
      <c r="H20" s="32" t="s">
        <v>2278</v>
      </c>
      <c r="I20" s="31">
        <v>191000</v>
      </c>
      <c r="J20" s="29">
        <v>12511216800</v>
      </c>
      <c r="K20" s="29"/>
      <c r="L20" s="37"/>
      <c r="M20" s="28"/>
    </row>
    <row r="21" spans="1:13" x14ac:dyDescent="0.25">
      <c r="A21" s="29">
        <v>900344208</v>
      </c>
      <c r="B21" s="30" t="s">
        <v>2263</v>
      </c>
      <c r="C21" s="31" t="s">
        <v>2319</v>
      </c>
      <c r="D21" s="32" t="s">
        <v>2320</v>
      </c>
      <c r="E21" s="31" t="s">
        <v>2321</v>
      </c>
      <c r="F21" s="31" t="s">
        <v>2322</v>
      </c>
      <c r="G21" s="31" t="s">
        <v>1124</v>
      </c>
      <c r="H21" s="32" t="s">
        <v>2278</v>
      </c>
      <c r="I21" s="31">
        <v>191000</v>
      </c>
      <c r="J21" s="29">
        <v>12113259600</v>
      </c>
      <c r="K21" s="29"/>
      <c r="L21" s="37"/>
      <c r="M21" s="28"/>
    </row>
    <row r="22" spans="1:13" x14ac:dyDescent="0.25">
      <c r="A22" s="29">
        <v>900366010</v>
      </c>
      <c r="B22" s="30" t="s">
        <v>2297</v>
      </c>
      <c r="C22" s="31" t="s">
        <v>2323</v>
      </c>
      <c r="D22" s="32" t="s">
        <v>2324</v>
      </c>
      <c r="E22" s="31" t="s">
        <v>2325</v>
      </c>
      <c r="F22" s="31" t="s">
        <v>2326</v>
      </c>
      <c r="G22" s="31" t="s">
        <v>877</v>
      </c>
      <c r="H22" s="32" t="s">
        <v>2278</v>
      </c>
      <c r="I22" s="31">
        <v>191000</v>
      </c>
      <c r="J22" s="29">
        <v>26284488000</v>
      </c>
      <c r="K22" s="29"/>
      <c r="L22" s="37"/>
      <c r="M22" s="28"/>
    </row>
    <row r="23" spans="1:13" x14ac:dyDescent="0.25">
      <c r="A23" s="29">
        <v>900691280</v>
      </c>
      <c r="B23" s="30" t="s">
        <v>2254</v>
      </c>
      <c r="C23" s="31" t="s">
        <v>2327</v>
      </c>
      <c r="D23" s="32" t="s">
        <v>2328</v>
      </c>
      <c r="E23" s="31" t="s">
        <v>2329</v>
      </c>
      <c r="F23" s="31" t="s">
        <v>2330</v>
      </c>
      <c r="G23" s="31" t="s">
        <v>214</v>
      </c>
      <c r="H23" s="32" t="s">
        <v>2278</v>
      </c>
      <c r="I23" s="31">
        <v>191000</v>
      </c>
      <c r="J23" s="29">
        <v>47538106125</v>
      </c>
      <c r="K23" s="29"/>
      <c r="L23" s="37"/>
      <c r="M23" s="28"/>
    </row>
    <row r="24" spans="1:13" x14ac:dyDescent="0.25">
      <c r="A24" s="29">
        <v>901288781</v>
      </c>
      <c r="B24" s="30" t="s">
        <v>2284</v>
      </c>
      <c r="C24" s="31" t="s">
        <v>2331</v>
      </c>
      <c r="D24" s="32" t="s">
        <v>2332</v>
      </c>
      <c r="E24" s="31" t="s">
        <v>2333</v>
      </c>
      <c r="F24" s="31" t="s">
        <v>2334</v>
      </c>
      <c r="G24" s="31" t="s">
        <v>2199</v>
      </c>
      <c r="H24" s="32" t="s">
        <v>2278</v>
      </c>
      <c r="I24" s="31">
        <v>191000</v>
      </c>
      <c r="J24" s="29">
        <v>14785557120</v>
      </c>
      <c r="K24" s="29"/>
      <c r="L24" s="37"/>
      <c r="M24" s="28"/>
    </row>
    <row r="25" spans="1:13" x14ac:dyDescent="0.25">
      <c r="A25" s="29">
        <v>900042857</v>
      </c>
      <c r="B25" s="30" t="s">
        <v>2297</v>
      </c>
      <c r="C25" s="31" t="s">
        <v>2335</v>
      </c>
      <c r="D25" s="32" t="s">
        <v>2336</v>
      </c>
      <c r="E25" s="31" t="s">
        <v>2337</v>
      </c>
      <c r="F25" s="31" t="s">
        <v>2338</v>
      </c>
      <c r="G25" s="31" t="s">
        <v>346</v>
      </c>
      <c r="H25" s="32" t="s">
        <v>2278</v>
      </c>
      <c r="I25" s="31">
        <v>191000</v>
      </c>
      <c r="J25" s="29">
        <f>70152955643-130563</f>
        <v>70152825080</v>
      </c>
      <c r="K25" s="29"/>
      <c r="L25" s="37"/>
      <c r="M25" s="28"/>
    </row>
    <row r="26" spans="1:13" x14ac:dyDescent="0.25">
      <c r="A26" s="24">
        <v>4271809</v>
      </c>
      <c r="B26" s="25" t="s">
        <v>2273</v>
      </c>
      <c r="C26" s="26" t="s">
        <v>2339</v>
      </c>
      <c r="D26" s="27" t="s">
        <v>2340</v>
      </c>
      <c r="E26" s="26" t="s">
        <v>2341</v>
      </c>
      <c r="F26" s="26" t="s">
        <v>2342</v>
      </c>
      <c r="G26" s="26" t="s">
        <v>745</v>
      </c>
      <c r="H26" s="27">
        <v>219</v>
      </c>
      <c r="I26" s="26"/>
      <c r="J26" s="24">
        <v>86811781</v>
      </c>
      <c r="K26" s="24"/>
      <c r="L26" s="24">
        <v>868118</v>
      </c>
      <c r="M26" s="28"/>
    </row>
    <row r="27" spans="1:13" x14ac:dyDescent="0.25">
      <c r="A27" s="24">
        <v>4272447</v>
      </c>
      <c r="B27" s="25" t="s">
        <v>2297</v>
      </c>
      <c r="C27" s="26" t="s">
        <v>2343</v>
      </c>
      <c r="D27" s="27" t="s">
        <v>2344</v>
      </c>
      <c r="E27" s="26" t="s">
        <v>2345</v>
      </c>
      <c r="F27" s="26" t="s">
        <v>2346</v>
      </c>
      <c r="G27" s="26" t="s">
        <v>745</v>
      </c>
      <c r="H27" s="27">
        <v>219</v>
      </c>
      <c r="I27" s="26"/>
      <c r="J27" s="24">
        <v>39249653</v>
      </c>
      <c r="K27" s="24"/>
      <c r="L27" s="24">
        <v>392497</v>
      </c>
      <c r="M27" s="28"/>
    </row>
    <row r="28" spans="1:13" x14ac:dyDescent="0.25">
      <c r="A28" s="24">
        <v>7168116</v>
      </c>
      <c r="B28" s="25" t="s">
        <v>2268</v>
      </c>
      <c r="C28" s="26" t="s">
        <v>2347</v>
      </c>
      <c r="D28" s="27" t="s">
        <v>2348</v>
      </c>
      <c r="E28" s="26" t="s">
        <v>2349</v>
      </c>
      <c r="F28" s="26" t="s">
        <v>2350</v>
      </c>
      <c r="G28" s="26" t="s">
        <v>507</v>
      </c>
      <c r="H28" s="27">
        <v>219</v>
      </c>
      <c r="I28" s="26"/>
      <c r="J28" s="24">
        <v>37339272</v>
      </c>
      <c r="K28" s="24"/>
      <c r="L28" s="24">
        <v>373393</v>
      </c>
      <c r="M28" s="28"/>
    </row>
    <row r="29" spans="1:13" x14ac:dyDescent="0.25">
      <c r="A29" s="24">
        <v>9399867</v>
      </c>
      <c r="B29" s="25" t="s">
        <v>2254</v>
      </c>
      <c r="C29" s="26" t="s">
        <v>2351</v>
      </c>
      <c r="D29" s="27" t="s">
        <v>2352</v>
      </c>
      <c r="E29" s="26" t="s">
        <v>2353</v>
      </c>
      <c r="F29" s="26" t="s">
        <v>2354</v>
      </c>
      <c r="G29" s="26" t="s">
        <v>708</v>
      </c>
      <c r="H29" s="27">
        <v>219</v>
      </c>
      <c r="I29" s="26"/>
      <c r="J29" s="24">
        <v>63910940</v>
      </c>
      <c r="K29" s="24"/>
      <c r="L29" s="24">
        <v>639109</v>
      </c>
      <c r="M29" s="28"/>
    </row>
    <row r="30" spans="1:13" ht="28.5" x14ac:dyDescent="0.25">
      <c r="A30" s="24" t="s">
        <v>2355</v>
      </c>
      <c r="B30" s="25"/>
      <c r="C30" s="26" t="s">
        <v>2356</v>
      </c>
      <c r="D30" s="27"/>
      <c r="E30" s="33" t="s">
        <v>2357</v>
      </c>
      <c r="F30" s="33" t="s">
        <v>2358</v>
      </c>
      <c r="G30" s="33" t="s">
        <v>724</v>
      </c>
      <c r="H30" s="27">
        <v>219</v>
      </c>
      <c r="I30" s="26"/>
      <c r="J30" s="24">
        <v>130563</v>
      </c>
      <c r="K30" s="34"/>
      <c r="L30" s="24">
        <v>1306</v>
      </c>
      <c r="M30" s="28"/>
    </row>
    <row r="31" spans="1:13" x14ac:dyDescent="0.25">
      <c r="A31" s="24">
        <v>826003110</v>
      </c>
      <c r="B31" s="25" t="s">
        <v>2310</v>
      </c>
      <c r="C31" s="26" t="s">
        <v>2359</v>
      </c>
      <c r="D31" s="27" t="s">
        <v>2360</v>
      </c>
      <c r="E31" s="26" t="s">
        <v>2361</v>
      </c>
      <c r="F31" s="26" t="s">
        <v>2362</v>
      </c>
      <c r="G31" s="26" t="s">
        <v>728</v>
      </c>
      <c r="H31" s="27">
        <v>219</v>
      </c>
      <c r="I31" s="26"/>
      <c r="J31" s="24">
        <v>90000000</v>
      </c>
      <c r="K31" s="24"/>
      <c r="L31" s="24">
        <v>900000</v>
      </c>
      <c r="M31" s="28"/>
    </row>
    <row r="32" spans="1:13" x14ac:dyDescent="0.25">
      <c r="A32" s="24">
        <v>860002400</v>
      </c>
      <c r="B32" s="25" t="s">
        <v>2310</v>
      </c>
      <c r="C32" s="26" t="s">
        <v>2363</v>
      </c>
      <c r="D32" s="27" t="s">
        <v>2364</v>
      </c>
      <c r="E32" s="26" t="s">
        <v>2365</v>
      </c>
      <c r="F32" s="26" t="s">
        <v>2366</v>
      </c>
      <c r="G32" s="26" t="s">
        <v>413</v>
      </c>
      <c r="H32" s="27">
        <v>219</v>
      </c>
      <c r="I32" s="26"/>
      <c r="J32" s="24">
        <v>5101754</v>
      </c>
      <c r="K32" s="24"/>
      <c r="L32" s="24">
        <v>51018</v>
      </c>
      <c r="M32" s="28"/>
    </row>
    <row r="33" spans="1:13" x14ac:dyDescent="0.25">
      <c r="A33" s="24">
        <v>891856289</v>
      </c>
      <c r="B33" s="25" t="s">
        <v>2273</v>
      </c>
      <c r="C33" s="26" t="s">
        <v>2367</v>
      </c>
      <c r="D33" s="27" t="s">
        <v>2368</v>
      </c>
      <c r="E33" s="26" t="s">
        <v>2369</v>
      </c>
      <c r="F33" s="26" t="s">
        <v>2370</v>
      </c>
      <c r="G33" s="26" t="s">
        <v>708</v>
      </c>
      <c r="H33" s="27">
        <v>219</v>
      </c>
      <c r="I33" s="26"/>
      <c r="J33" s="24">
        <v>504441407</v>
      </c>
      <c r="K33" s="24"/>
      <c r="L33" s="24">
        <v>5044414</v>
      </c>
      <c r="M33" s="28"/>
    </row>
    <row r="34" spans="1:13" x14ac:dyDescent="0.25">
      <c r="A34" s="24">
        <v>900589881</v>
      </c>
      <c r="B34" s="25" t="s">
        <v>2371</v>
      </c>
      <c r="C34" s="26" t="s">
        <v>2372</v>
      </c>
      <c r="D34" s="27" t="s">
        <v>2373</v>
      </c>
      <c r="E34" s="26" t="s">
        <v>2374</v>
      </c>
      <c r="F34" s="26" t="s">
        <v>2375</v>
      </c>
      <c r="G34" s="26" t="s">
        <v>728</v>
      </c>
      <c r="H34" s="27">
        <v>219</v>
      </c>
      <c r="I34" s="26"/>
      <c r="J34" s="24">
        <v>28597830</v>
      </c>
      <c r="K34" s="24"/>
      <c r="L34" s="24">
        <v>285978</v>
      </c>
      <c r="M34" s="28"/>
    </row>
    <row r="35" spans="1:13" x14ac:dyDescent="0.25">
      <c r="A35" s="24">
        <v>900788957</v>
      </c>
      <c r="B35" s="25" t="s">
        <v>2297</v>
      </c>
      <c r="C35" s="26" t="s">
        <v>2376</v>
      </c>
      <c r="D35" s="27" t="s">
        <v>2377</v>
      </c>
      <c r="E35" s="26" t="s">
        <v>2378</v>
      </c>
      <c r="F35" s="26" t="s">
        <v>2379</v>
      </c>
      <c r="G35" s="26" t="s">
        <v>708</v>
      </c>
      <c r="H35" s="27">
        <v>219</v>
      </c>
      <c r="I35" s="26"/>
      <c r="J35" s="24">
        <v>102639580</v>
      </c>
      <c r="K35" s="24"/>
      <c r="L35" s="24">
        <v>1026396</v>
      </c>
      <c r="M35" s="28"/>
    </row>
    <row r="36" spans="1:13" x14ac:dyDescent="0.25">
      <c r="A36" s="24">
        <v>901001451</v>
      </c>
      <c r="B36" s="25" t="s">
        <v>2297</v>
      </c>
      <c r="C36" s="26" t="s">
        <v>2380</v>
      </c>
      <c r="D36" s="27" t="s">
        <v>2381</v>
      </c>
      <c r="E36" s="26" t="s">
        <v>2382</v>
      </c>
      <c r="F36" s="26" t="s">
        <v>2383</v>
      </c>
      <c r="G36" s="26" t="s">
        <v>708</v>
      </c>
      <c r="H36" s="27">
        <v>219</v>
      </c>
      <c r="I36" s="26"/>
      <c r="J36" s="24">
        <v>55314223</v>
      </c>
      <c r="K36" s="24"/>
      <c r="L36" s="24">
        <v>553142</v>
      </c>
      <c r="M36" s="28"/>
    </row>
    <row r="37" spans="1:13" x14ac:dyDescent="0.25">
      <c r="A37" s="24">
        <v>901270067</v>
      </c>
      <c r="B37" s="25" t="s">
        <v>2284</v>
      </c>
      <c r="C37" s="26" t="s">
        <v>2384</v>
      </c>
      <c r="D37" s="27" t="s">
        <v>2385</v>
      </c>
      <c r="E37" s="26" t="s">
        <v>2386</v>
      </c>
      <c r="F37" s="26" t="s">
        <v>2387</v>
      </c>
      <c r="G37" s="26" t="s">
        <v>728</v>
      </c>
      <c r="H37" s="27">
        <v>219</v>
      </c>
      <c r="I37" s="26"/>
      <c r="J37" s="24">
        <v>66747567</v>
      </c>
      <c r="K37" s="24"/>
      <c r="L37" s="24">
        <v>667476</v>
      </c>
      <c r="M37" s="28"/>
    </row>
    <row r="38" spans="1:13" x14ac:dyDescent="0.25">
      <c r="A38" s="24">
        <v>901458165</v>
      </c>
      <c r="B38" s="25" t="s">
        <v>2297</v>
      </c>
      <c r="C38" s="26" t="s">
        <v>2388</v>
      </c>
      <c r="D38" s="27" t="s">
        <v>2389</v>
      </c>
      <c r="E38" s="26" t="s">
        <v>2390</v>
      </c>
      <c r="F38" s="26" t="s">
        <v>2391</v>
      </c>
      <c r="G38" s="26" t="s">
        <v>728</v>
      </c>
      <c r="H38" s="27">
        <v>219</v>
      </c>
      <c r="I38" s="26"/>
      <c r="J38" s="24">
        <v>36470917</v>
      </c>
      <c r="K38" s="24"/>
      <c r="L38" s="24">
        <v>364709</v>
      </c>
      <c r="M38" s="28"/>
    </row>
    <row r="39" spans="1:13" x14ac:dyDescent="0.25">
      <c r="A39" s="24">
        <v>860003020</v>
      </c>
      <c r="B39" s="25" t="s">
        <v>2297</v>
      </c>
      <c r="C39" s="26" t="s">
        <v>2392</v>
      </c>
      <c r="D39" s="27" t="s">
        <v>2393</v>
      </c>
      <c r="E39" s="26" t="s">
        <v>2394</v>
      </c>
      <c r="F39" s="26" t="s">
        <v>2395</v>
      </c>
      <c r="G39" s="26" t="s">
        <v>777</v>
      </c>
      <c r="H39" s="27">
        <v>219</v>
      </c>
      <c r="I39" s="26"/>
      <c r="J39" s="24">
        <v>22983444</v>
      </c>
      <c r="K39" s="24"/>
      <c r="L39" s="24">
        <v>229834</v>
      </c>
      <c r="M39" s="28"/>
    </row>
    <row r="40" spans="1:13" x14ac:dyDescent="0.25">
      <c r="A40" s="24">
        <v>860034313</v>
      </c>
      <c r="B40" s="25" t="s">
        <v>2279</v>
      </c>
      <c r="C40" s="26" t="s">
        <v>2396</v>
      </c>
      <c r="D40" s="27">
        <v>8879860</v>
      </c>
      <c r="E40" s="26" t="s">
        <v>2397</v>
      </c>
      <c r="F40" s="26" t="s">
        <v>2398</v>
      </c>
      <c r="G40" s="26" t="s">
        <v>777</v>
      </c>
      <c r="H40" s="27">
        <v>219</v>
      </c>
      <c r="I40" s="26"/>
      <c r="J40" s="24">
        <f>498218049+252264407+190989863.05</f>
        <v>941472319.04999995</v>
      </c>
      <c r="K40" s="24"/>
      <c r="L40" s="24">
        <v>9414723</v>
      </c>
      <c r="M40" s="28"/>
    </row>
    <row r="41" spans="1:13" x14ac:dyDescent="0.25">
      <c r="A41" s="24">
        <v>890300279</v>
      </c>
      <c r="B41" s="25" t="s">
        <v>2254</v>
      </c>
      <c r="C41" s="26" t="s">
        <v>2399</v>
      </c>
      <c r="D41" s="27" t="s">
        <v>2400</v>
      </c>
      <c r="E41" s="26" t="s">
        <v>2401</v>
      </c>
      <c r="F41" s="26" t="s">
        <v>2402</v>
      </c>
      <c r="G41" s="26" t="s">
        <v>777</v>
      </c>
      <c r="H41" s="27">
        <v>219</v>
      </c>
      <c r="I41" s="26"/>
      <c r="J41" s="24">
        <v>22617195.640000001</v>
      </c>
      <c r="K41" s="24"/>
      <c r="L41" s="24">
        <v>226172</v>
      </c>
      <c r="M41" s="28"/>
    </row>
    <row r="42" spans="1:13" x14ac:dyDescent="0.25">
      <c r="A42" s="24">
        <v>890903938</v>
      </c>
      <c r="B42" s="25" t="s">
        <v>2273</v>
      </c>
      <c r="C42" s="26" t="s">
        <v>2403</v>
      </c>
      <c r="D42" s="27" t="s">
        <v>2404</v>
      </c>
      <c r="E42" s="26" t="s">
        <v>2405</v>
      </c>
      <c r="F42" s="26" t="s">
        <v>2406</v>
      </c>
      <c r="G42" s="26" t="s">
        <v>777</v>
      </c>
      <c r="H42" s="27">
        <v>219</v>
      </c>
      <c r="I42" s="26"/>
      <c r="J42" s="24">
        <v>929037.49</v>
      </c>
      <c r="K42" s="24"/>
      <c r="L42" s="24">
        <v>9290</v>
      </c>
      <c r="M42" s="28"/>
    </row>
    <row r="43" spans="1:13" x14ac:dyDescent="0.25">
      <c r="A43" s="24">
        <v>800182281</v>
      </c>
      <c r="B43" s="25" t="s">
        <v>2371</v>
      </c>
      <c r="C43" s="26" t="s">
        <v>2407</v>
      </c>
      <c r="D43" s="27">
        <v>3300000</v>
      </c>
      <c r="E43" s="26" t="s">
        <v>2408</v>
      </c>
      <c r="F43" s="26" t="s">
        <v>2409</v>
      </c>
      <c r="G43" s="26" t="s">
        <v>413</v>
      </c>
      <c r="H43" s="27">
        <v>219</v>
      </c>
      <c r="I43" s="26"/>
      <c r="J43" s="24">
        <v>190989863.05000001</v>
      </c>
      <c r="K43" s="24"/>
      <c r="L43" s="24">
        <v>1909899</v>
      </c>
      <c r="M43" s="28"/>
    </row>
    <row r="44" spans="1:13" x14ac:dyDescent="0.25">
      <c r="A44" s="24">
        <v>900233698</v>
      </c>
      <c r="B44" s="25" t="s">
        <v>2371</v>
      </c>
      <c r="C44" s="26" t="s">
        <v>2410</v>
      </c>
      <c r="D44" s="27" t="s">
        <v>2411</v>
      </c>
      <c r="E44" s="26" t="s">
        <v>2412</v>
      </c>
      <c r="F44" s="26" t="s">
        <v>2413</v>
      </c>
      <c r="G44" s="26" t="s">
        <v>413</v>
      </c>
      <c r="H44" s="27">
        <v>219</v>
      </c>
      <c r="I44" s="26"/>
      <c r="J44" s="24">
        <v>27318661</v>
      </c>
      <c r="K44" s="24"/>
      <c r="L44" s="24">
        <v>273187</v>
      </c>
      <c r="M44" s="28"/>
    </row>
    <row r="45" spans="1:13" x14ac:dyDescent="0.25">
      <c r="A45" s="24">
        <v>800194208</v>
      </c>
      <c r="B45" s="25">
        <v>9</v>
      </c>
      <c r="C45" s="26" t="s">
        <v>2414</v>
      </c>
      <c r="D45" s="27" t="s">
        <v>2415</v>
      </c>
      <c r="E45" s="26" t="s">
        <v>2416</v>
      </c>
      <c r="F45" s="26" t="s">
        <v>2417</v>
      </c>
      <c r="G45" s="26" t="s">
        <v>777</v>
      </c>
      <c r="H45" s="27">
        <v>219</v>
      </c>
      <c r="I45" s="26"/>
      <c r="J45" s="24">
        <v>182643011</v>
      </c>
      <c r="K45" s="24"/>
      <c r="L45" s="24">
        <f>1826430+140704</f>
        <v>1967134</v>
      </c>
      <c r="M45" s="28"/>
    </row>
    <row r="46" spans="1:13" x14ac:dyDescent="0.25">
      <c r="A46" s="24">
        <v>800194208</v>
      </c>
      <c r="B46" s="25">
        <v>9</v>
      </c>
      <c r="C46" s="26" t="s">
        <v>2414</v>
      </c>
      <c r="D46" s="27" t="s">
        <v>2415</v>
      </c>
      <c r="E46" s="26" t="s">
        <v>2416</v>
      </c>
      <c r="F46" s="26" t="s">
        <v>2417</v>
      </c>
      <c r="G46" s="26" t="s">
        <v>777</v>
      </c>
      <c r="H46" s="27" t="s">
        <v>2418</v>
      </c>
      <c r="I46" s="35"/>
      <c r="J46" s="24">
        <v>1707942441.8800001</v>
      </c>
      <c r="K46" s="24"/>
      <c r="L46" s="24"/>
      <c r="M46" s="36"/>
    </row>
  </sheetData>
  <sheetProtection algorithmName="SHA-512" hashValue="FdjGN93hCh9XqK51dG+0ZJu/JgyDTCNbqwqYkFND8s2X4USl1RS+dkxTPV/0pOggTd13lRsWeufKNRxWNBmX1A==" saltValue="/0XBC5JofY8zPjPN7dGcZw==" spinCount="100000" sheet="1" objects="1" scenarios="1" formatCells="0" formatColumns="0" formatRows="0" sort="0"/>
  <mergeCells count="5">
    <mergeCell ref="D5:F5"/>
    <mergeCell ref="A1:M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49" zoomScale="85" zoomScaleNormal="85" workbookViewId="0">
      <selection activeCell="B65" sqref="B6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2243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PFE3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Maria Juliana Velasquez Londoño</cp:lastModifiedBy>
  <dcterms:created xsi:type="dcterms:W3CDTF">2015-06-05T18:19:34Z</dcterms:created>
  <dcterms:modified xsi:type="dcterms:W3CDTF">2025-08-25T12:55:11Z</dcterms:modified>
</cp:coreProperties>
</file>