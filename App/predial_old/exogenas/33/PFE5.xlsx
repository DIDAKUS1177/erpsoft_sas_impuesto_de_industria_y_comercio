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Leidy\Downloads\"/>
    </mc:Choice>
  </mc:AlternateContent>
  <xr:revisionPtr revIDLastSave="0" documentId="13_ncr:1_{303A9F2D-7D25-43DA-9FC2-810E6AFF8A10}" xr6:coauthVersionLast="47" xr6:coauthVersionMax="47" xr10:uidLastSave="{00000000-0000-0000-0000-000000000000}"/>
  <bookViews>
    <workbookView xWindow="-108" yWindow="-108" windowWidth="23256" windowHeight="12456" tabRatio="601" xr2:uid="{00000000-000D-0000-FFFF-FFFF00000000}"/>
  </bookViews>
  <sheets>
    <sheet name="PFE5" sheetId="1" r:id="rId1"/>
    <sheet name="Actividades" sheetId="2" r:id="rId2"/>
    <sheet name="Municipios" sheetId="3" r:id="rId3"/>
  </sheets>
  <definedNames>
    <definedName name="MiLista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50" i="1" l="1"/>
  <c r="J49" i="1"/>
  <c r="J48" i="1"/>
  <c r="J46" i="1"/>
  <c r="J45" i="1"/>
  <c r="J44" i="1"/>
  <c r="J41" i="1"/>
  <c r="J40" i="1"/>
  <c r="J39" i="1"/>
  <c r="J38" i="1"/>
  <c r="J37" i="1"/>
  <c r="J34" i="1"/>
  <c r="J32" i="1"/>
  <c r="J28" i="1"/>
  <c r="J23" i="1"/>
  <c r="J21" i="1"/>
  <c r="J15" i="1"/>
  <c r="J12" i="1"/>
  <c r="J7" i="1"/>
  <c r="J51" i="1" l="1"/>
  <c r="J51" i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<sst xmlns="http://schemas.openxmlformats.org/spreadsheetml/2006/main" count="2527" uniqueCount="2389">
  <si>
    <t>DV</t>
  </si>
  <si>
    <t xml:space="preserve">CORREO ELECTRÓNICO 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</si>
  <si>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</si>
  <si>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</si>
  <si>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</si>
  <si>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</si>
  <si>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</si>
  <si>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</si>
  <si>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</si>
  <si>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</si>
  <si>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</si>
  <si>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</si>
  <si>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</si>
  <si>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</si>
  <si>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</si>
  <si>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</si>
  <si>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</si>
  <si>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</si>
  <si>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</si>
  <si>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</si>
  <si>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</si>
  <si>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</si>
  <si>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</si>
  <si>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</si>
  <si>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</si>
  <si>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</si>
  <si>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</si>
  <si>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</si>
  <si>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</si>
  <si>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</si>
  <si>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</si>
  <si>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</si>
  <si>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</si>
  <si>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</si>
  <si>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</si>
  <si>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</si>
  <si>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</si>
  <si>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</si>
  <si>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</si>
  <si>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</si>
  <si>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</si>
  <si>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</si>
  <si>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</si>
  <si>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</si>
  <si>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</si>
  <si>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</si>
  <si>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</si>
  <si>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</si>
  <si>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</si>
  <si>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</si>
  <si>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</si>
  <si>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</si>
  <si>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</si>
  <si>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</si>
  <si>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</si>
  <si>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</si>
  <si>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</si>
  <si>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</si>
  <si>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</si>
  <si>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</si>
  <si>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</si>
  <si>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</si>
  <si>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</si>
  <si>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</si>
  <si>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</si>
  <si>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</si>
  <si>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</si>
  <si>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</si>
  <si>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</si>
  <si>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</si>
  <si>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</si>
  <si>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</si>
  <si>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</si>
  <si>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</si>
  <si>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</si>
  <si>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</si>
  <si>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</si>
  <si>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</si>
  <si>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</si>
  <si>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</si>
  <si>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</si>
  <si>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</si>
  <si>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</si>
  <si>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</si>
  <si>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</si>
  <si>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</si>
  <si>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</si>
  <si>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</si>
  <si>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</si>
  <si>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</si>
  <si>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</si>
  <si>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</si>
  <si>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</si>
  <si>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</si>
  <si>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</si>
  <si>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</si>
  <si>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</si>
  <si>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</si>
  <si>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</si>
  <si>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</si>
  <si>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</si>
  <si>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</si>
  <si>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</si>
  <si>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</si>
  <si>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</si>
  <si>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</si>
  <si>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</si>
  <si>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</si>
  <si>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</si>
  <si>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</si>
  <si>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</si>
  <si>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</si>
  <si>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</si>
  <si>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</si>
  <si>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</si>
  <si>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</si>
  <si>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</si>
  <si>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</si>
  <si>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</si>
  <si>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</si>
  <si>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</si>
  <si>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</si>
  <si>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</si>
  <si>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</si>
  <si>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</si>
  <si>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</si>
  <si>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</si>
  <si>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</si>
  <si>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</si>
  <si>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</si>
  <si>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</si>
  <si>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</si>
  <si>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</si>
  <si>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</si>
  <si>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</si>
  <si>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</si>
  <si>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</si>
  <si>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</si>
  <si>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</si>
  <si>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</si>
  <si>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</si>
  <si>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</si>
  <si>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</si>
  <si>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</si>
  <si>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</si>
  <si>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</si>
  <si>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</si>
  <si>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</si>
  <si>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</si>
  <si>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</si>
  <si>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</si>
  <si>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</si>
  <si>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</si>
  <si>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</si>
  <si>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</si>
  <si>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</si>
  <si>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</si>
  <si>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</si>
  <si>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</si>
  <si>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</si>
  <si>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</si>
  <si>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</si>
  <si>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</si>
  <si>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</si>
  <si>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</si>
  <si>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</si>
  <si>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</si>
  <si>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</si>
  <si>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</si>
  <si>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</si>
  <si>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</si>
  <si>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</si>
  <si>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</si>
  <si>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</si>
  <si>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</si>
  <si>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</si>
  <si>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</si>
  <si>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</si>
  <si>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</si>
  <si>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</si>
  <si>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</si>
  <si>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</si>
  <si>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</si>
  <si>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</si>
  <si>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</si>
  <si>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</si>
  <si>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</si>
  <si>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</si>
  <si>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</si>
  <si>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</si>
  <si>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</si>
  <si>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</si>
  <si>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</si>
  <si>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</si>
  <si>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</si>
  <si>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</si>
  <si>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</si>
  <si>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</si>
  <si>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</si>
  <si>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</si>
  <si>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</si>
  <si>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</si>
  <si>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</si>
  <si>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</si>
  <si>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</si>
  <si>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</si>
  <si>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</si>
  <si>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</si>
  <si>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</si>
  <si>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</si>
  <si>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</si>
  <si>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</si>
  <si>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</si>
  <si>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</si>
  <si>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</si>
  <si>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</si>
  <si>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</si>
  <si>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</si>
  <si>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</si>
  <si>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</si>
  <si>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</si>
  <si>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</si>
  <si>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</si>
  <si>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</si>
  <si>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</si>
  <si>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</si>
  <si>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</si>
  <si>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</si>
  <si>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</si>
  <si>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</si>
  <si>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</si>
  <si>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</si>
  <si>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</si>
  <si>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</si>
  <si>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</si>
  <si>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</si>
  <si>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</si>
  <si>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</si>
  <si>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</si>
  <si>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</si>
  <si>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</si>
  <si>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</si>
  <si>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</si>
  <si>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</si>
  <si>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</si>
  <si>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</si>
  <si>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</si>
  <si>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</si>
  <si>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</si>
  <si>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</si>
  <si>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</si>
  <si>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</si>
  <si>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</si>
  <si>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</si>
  <si>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</si>
  <si>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</si>
  <si>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</si>
  <si>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</si>
  <si>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</si>
  <si>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</si>
  <si>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</si>
  <si>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</si>
  <si>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</si>
  <si>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</si>
  <si>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</si>
  <si>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</si>
  <si>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</si>
  <si>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</si>
  <si>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</si>
  <si>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</si>
  <si>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</si>
  <si>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</si>
  <si>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</si>
  <si>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</si>
  <si>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</si>
  <si>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</si>
  <si>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</si>
  <si>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</si>
  <si>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</si>
  <si>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</si>
  <si>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</si>
  <si>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</si>
  <si>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</si>
  <si>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</si>
  <si>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</si>
  <si>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</si>
  <si>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</si>
  <si>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</si>
  <si>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</si>
  <si>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</si>
  <si>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</si>
  <si>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</si>
  <si>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</si>
  <si>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</si>
  <si>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</si>
  <si>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</si>
  <si>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</si>
  <si>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</si>
  <si>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</si>
  <si>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</si>
  <si>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</si>
  <si>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</si>
  <si>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</si>
  <si>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</si>
  <si>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</si>
  <si>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</si>
  <si>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</si>
  <si>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</si>
  <si>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</si>
  <si>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</si>
  <si>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</si>
  <si>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</si>
  <si>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</si>
  <si>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</si>
  <si>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</si>
  <si>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</si>
  <si>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</si>
  <si>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</si>
  <si>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</si>
  <si>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</si>
  <si>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</si>
  <si>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</si>
  <si>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</si>
  <si>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</si>
  <si>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</si>
  <si>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</si>
  <si>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</si>
  <si>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</si>
  <si>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</si>
  <si>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</si>
  <si>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</si>
  <si>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</si>
  <si>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</si>
  <si>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</si>
  <si>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</si>
  <si>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</si>
  <si>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</si>
  <si>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</si>
  <si>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</si>
  <si>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</si>
  <si>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</si>
  <si>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</si>
  <si>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</si>
  <si>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</si>
  <si>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</si>
  <si>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</si>
  <si>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</si>
  <si>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</si>
  <si>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</si>
  <si>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</si>
  <si>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</si>
  <si>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</si>
  <si>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</si>
  <si>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</si>
  <si>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</si>
  <si>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</si>
  <si>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</si>
  <si>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</si>
  <si>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</si>
  <si>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</si>
  <si>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</si>
  <si>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</si>
  <si>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</si>
  <si>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</si>
  <si>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</si>
  <si>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</si>
  <si>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</si>
  <si>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</si>
  <si>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</si>
  <si>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</si>
  <si>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</si>
  <si>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</si>
  <si>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</si>
  <si>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</si>
  <si>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</si>
  <si>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</si>
  <si>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</si>
  <si>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</si>
  <si>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</si>
  <si>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</si>
  <si>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</si>
  <si>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</si>
  <si>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</si>
  <si>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</si>
  <si>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</si>
  <si>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</si>
  <si>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</si>
  <si>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</si>
  <si>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</si>
  <si>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</si>
  <si>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</si>
  <si>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</si>
  <si>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</si>
  <si>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</si>
  <si>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</si>
  <si>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</si>
  <si>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</si>
  <si>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</si>
  <si>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</si>
  <si>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</si>
  <si>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</si>
  <si>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</si>
  <si>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</si>
  <si>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</si>
  <si>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</si>
  <si>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</si>
  <si>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</si>
  <si>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</si>
  <si>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</si>
  <si>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</si>
  <si>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</si>
  <si>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</si>
  <si>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</si>
  <si>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</si>
  <si>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</si>
  <si>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</si>
  <si>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</si>
  <si>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</si>
  <si>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</si>
  <si>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</si>
  <si>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</si>
  <si>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</si>
  <si>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</si>
  <si>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</si>
  <si>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</si>
  <si>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</si>
  <si>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</si>
  <si>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</si>
  <si>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</si>
  <si>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</si>
  <si>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</si>
  <si>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</si>
  <si>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</si>
  <si>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</si>
  <si>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</si>
  <si>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</si>
  <si>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</si>
  <si>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</si>
  <si>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</si>
  <si>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</si>
  <si>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</si>
  <si>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</si>
  <si>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</si>
  <si>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</si>
  <si>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</si>
  <si>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</si>
  <si>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</si>
  <si>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</si>
  <si>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</si>
  <si>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</si>
  <si>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</si>
  <si>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</si>
  <si>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</si>
  <si>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</si>
  <si>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</si>
  <si>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</si>
  <si>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</si>
  <si>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</si>
  <si>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</si>
  <si>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</si>
  <si>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</si>
  <si>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</si>
  <si>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</si>
  <si>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</si>
  <si>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</si>
  <si>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</si>
  <si>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</si>
  <si>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</si>
  <si>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</si>
  <si>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</si>
  <si>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</si>
  <si>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</si>
  <si>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</si>
  <si>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</si>
  <si>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</si>
  <si>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</si>
  <si>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</si>
  <si>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</si>
  <si>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</si>
  <si>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</si>
  <si>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</si>
  <si>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</si>
  <si>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</si>
  <si>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</si>
  <si>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</si>
  <si>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</si>
  <si>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</si>
  <si>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</si>
  <si>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</si>
  <si>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</si>
  <si>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</si>
  <si>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</si>
  <si>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</si>
  <si>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</si>
  <si>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</si>
  <si>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</si>
  <si>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</si>
  <si>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</si>
  <si>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</si>
  <si>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</si>
  <si>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</si>
  <si>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</si>
  <si>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</si>
  <si>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</si>
  <si>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</si>
  <si>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</si>
  <si>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</si>
  <si>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</si>
  <si>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</si>
  <si>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</si>
  <si>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</si>
  <si>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</si>
  <si>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</si>
  <si>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</si>
  <si>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</si>
  <si>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</si>
  <si>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</si>
  <si>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</si>
  <si>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</si>
  <si>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</si>
  <si>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</si>
  <si>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</si>
  <si>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</si>
  <si>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</si>
  <si>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</si>
  <si>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</si>
  <si>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</si>
  <si>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</si>
  <si>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</si>
  <si>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</si>
  <si>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</si>
  <si>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</si>
  <si>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</si>
  <si>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</si>
  <si>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</si>
  <si>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</si>
  <si>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</si>
  <si>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</si>
  <si>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</si>
  <si>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</si>
  <si>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</si>
  <si>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</si>
  <si>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</si>
  <si>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</si>
  <si>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</si>
  <si>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</si>
  <si>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</si>
  <si>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</si>
  <si>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</si>
  <si>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</si>
  <si>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</si>
  <si>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</si>
  <si>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</si>
  <si>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</si>
  <si>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</si>
  <si>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</si>
  <si>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</si>
  <si>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</si>
  <si>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</si>
  <si>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</si>
  <si>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</si>
  <si>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</si>
  <si>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</si>
  <si>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</si>
  <si>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</si>
  <si>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</si>
  <si>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</si>
  <si>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</si>
  <si>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</si>
  <si>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</si>
  <si>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</si>
  <si>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</si>
  <si>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</si>
  <si>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</si>
  <si>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</si>
  <si>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</si>
  <si>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</si>
  <si>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</si>
  <si>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</si>
  <si>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</si>
  <si>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</si>
  <si>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</si>
  <si>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</si>
  <si>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</si>
  <si>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</si>
  <si>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</si>
  <si>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</si>
  <si>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</si>
  <si>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</si>
  <si>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</si>
  <si>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</si>
  <si>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</si>
  <si>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</si>
  <si>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</si>
  <si>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</si>
  <si>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</si>
  <si>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</si>
  <si>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</si>
  <si>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</si>
  <si>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</si>
  <si>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</si>
  <si>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</si>
  <si>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</si>
  <si>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</si>
  <si>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</si>
  <si>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</si>
  <si>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</si>
  <si>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</si>
  <si>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</si>
  <si>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</si>
  <si>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</si>
  <si>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</si>
  <si>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</si>
  <si>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</si>
  <si>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</si>
  <si>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</si>
  <si>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</si>
  <si>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</si>
  <si>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</si>
  <si>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</si>
  <si>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</si>
  <si>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</si>
  <si>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</si>
  <si>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</si>
  <si>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</si>
  <si>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</si>
  <si>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</si>
  <si>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</si>
  <si>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</si>
  <si>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</si>
  <si>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</si>
  <si>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</si>
  <si>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</si>
  <si>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</si>
  <si>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</si>
  <si>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</si>
  <si>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</si>
  <si>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</si>
  <si>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</si>
  <si>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</si>
  <si>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</si>
  <si>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</si>
  <si>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</si>
  <si>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</si>
  <si>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</si>
  <si>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</si>
  <si>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</si>
  <si>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</si>
  <si>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</si>
  <si>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</si>
  <si>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</si>
  <si>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</si>
  <si>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</si>
  <si>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</si>
  <si>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</si>
  <si>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</si>
  <si>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</si>
  <si>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</si>
  <si>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</si>
  <si>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</si>
  <si>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</si>
  <si>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</si>
  <si>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</si>
  <si>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</si>
  <si>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</si>
  <si>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</si>
  <si>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</si>
  <si>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</si>
  <si>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</si>
  <si>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</si>
  <si>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</si>
  <si>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</si>
  <si>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</si>
  <si>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</si>
  <si>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</si>
  <si>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</si>
  <si>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</si>
  <si>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</si>
  <si>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</si>
  <si>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</si>
  <si>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</si>
  <si>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</si>
  <si>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</si>
  <si>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</si>
  <si>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</si>
  <si>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</si>
  <si>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</si>
  <si>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</si>
  <si>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</si>
  <si>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</si>
  <si>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</si>
  <si>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</si>
  <si>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</si>
  <si>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</si>
  <si>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</si>
  <si>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</si>
  <si>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</si>
  <si>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</si>
  <si>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</si>
  <si>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</si>
  <si>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</si>
  <si>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</si>
  <si>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</si>
  <si>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</si>
  <si>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</si>
  <si>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</si>
  <si>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</si>
  <si>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</si>
  <si>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</si>
  <si>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</si>
  <si>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</si>
  <si>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</si>
  <si>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</si>
  <si>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</si>
  <si>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</si>
  <si>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</si>
  <si>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</si>
  <si>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</si>
  <si>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</si>
  <si>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</si>
  <si>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</si>
  <si>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</si>
  <si>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</si>
  <si>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</si>
  <si>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</si>
  <si>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</si>
  <si>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</si>
  <si>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</si>
  <si>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</si>
  <si>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</si>
  <si>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</si>
  <si>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</si>
  <si>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</si>
  <si>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</si>
  <si>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</si>
  <si>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</si>
  <si>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</si>
  <si>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</si>
  <si>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</si>
  <si>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</si>
  <si>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</si>
  <si>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</si>
  <si>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</si>
  <si>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</si>
  <si>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</si>
  <si>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</si>
  <si>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</si>
  <si>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</si>
  <si>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</si>
  <si>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</si>
  <si>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</si>
  <si>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</si>
  <si>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</si>
  <si>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</si>
  <si>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</si>
  <si>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</si>
  <si>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</si>
  <si>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</si>
  <si>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</si>
  <si>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</si>
  <si>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</si>
  <si>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</si>
  <si>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</si>
  <si>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</si>
  <si>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</si>
  <si>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</si>
  <si>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</si>
  <si>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</si>
  <si>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</si>
  <si>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</si>
  <si>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</si>
  <si>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</si>
  <si>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</si>
  <si>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</si>
  <si>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</si>
  <si>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</si>
  <si>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</si>
  <si>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</si>
  <si>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</si>
  <si>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</si>
  <si>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</si>
  <si>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</si>
  <si>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</si>
  <si>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</si>
  <si>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</si>
  <si>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</si>
  <si>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</si>
  <si>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</si>
  <si>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</si>
  <si>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</si>
  <si>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</si>
  <si>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</si>
  <si>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</si>
  <si>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</si>
  <si>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</si>
  <si>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</si>
  <si>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</si>
  <si>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</si>
  <si>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</si>
  <si>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</si>
  <si>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</si>
  <si>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</si>
  <si>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</si>
  <si>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</si>
  <si>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</si>
  <si>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</si>
  <si>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</si>
  <si>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</si>
  <si>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</si>
  <si>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</si>
  <si>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</si>
  <si>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</si>
  <si>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</si>
  <si>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</si>
  <si>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</si>
  <si>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</si>
  <si>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</si>
  <si>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</si>
  <si>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</si>
  <si>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</si>
  <si>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</si>
  <si>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</si>
  <si>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</si>
  <si>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</si>
  <si>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</si>
  <si>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</si>
  <si>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</si>
  <si>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</si>
  <si>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</si>
  <si>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</si>
  <si>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</si>
  <si>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</si>
  <si>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</si>
  <si>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</si>
  <si>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</si>
  <si>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</si>
  <si>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</si>
  <si>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</si>
  <si>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</si>
  <si>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</si>
  <si>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</si>
  <si>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</si>
  <si>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</si>
  <si>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</si>
  <si>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</si>
  <si>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</si>
  <si>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</si>
  <si>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</si>
  <si>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</si>
  <si>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</si>
  <si>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</si>
  <si>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</si>
  <si>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</si>
  <si>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</si>
  <si>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</si>
  <si>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</si>
  <si>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</si>
  <si>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</si>
  <si>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</si>
  <si>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</si>
  <si>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</si>
  <si>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</si>
  <si>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</si>
  <si>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</si>
  <si>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</si>
  <si>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</si>
  <si>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</si>
  <si>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</si>
  <si>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</si>
  <si>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</si>
  <si>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</si>
  <si>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</si>
  <si>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</si>
  <si>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</si>
  <si>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</si>
  <si>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</si>
  <si>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</si>
  <si>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</si>
  <si>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</si>
  <si>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</si>
  <si>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</si>
  <si>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</si>
  <si>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</si>
  <si>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</si>
  <si>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</si>
  <si>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</si>
  <si>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</si>
  <si>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</si>
  <si>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</si>
  <si>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</si>
  <si>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</si>
  <si>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</si>
  <si>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</si>
  <si>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</si>
  <si>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</si>
  <si>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</si>
  <si>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</si>
  <si>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</si>
  <si>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</si>
  <si>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</si>
  <si>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</si>
  <si>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</si>
  <si>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</si>
  <si>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</si>
  <si>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</si>
  <si>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</si>
  <si>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</si>
  <si>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</si>
  <si>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</si>
  <si>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</si>
  <si>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</si>
  <si>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</si>
  <si>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</si>
  <si>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</si>
  <si>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</si>
  <si>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</si>
  <si>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</si>
  <si>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</si>
  <si>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</si>
  <si>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</si>
  <si>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</si>
  <si>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</si>
  <si>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</si>
  <si>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</si>
  <si>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</si>
  <si>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</si>
  <si>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</si>
  <si>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</si>
  <si>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</si>
  <si>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</si>
  <si>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</si>
  <si>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</si>
  <si>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</si>
  <si>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</si>
  <si>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</si>
  <si>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</si>
  <si>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</si>
  <si>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</si>
  <si>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</si>
  <si>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</si>
  <si>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</si>
  <si>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</si>
  <si>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</si>
  <si>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</si>
  <si>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</si>
  <si>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</si>
  <si>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</si>
  <si>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</si>
  <si>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</si>
  <si>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</si>
  <si>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</si>
  <si>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</si>
  <si>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</si>
  <si>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</si>
  <si>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</si>
  <si>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</si>
  <si>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</si>
  <si>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</si>
  <si>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</si>
  <si>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</si>
  <si>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</si>
  <si>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</si>
  <si>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</si>
  <si>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</si>
  <si>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</si>
  <si>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</si>
  <si>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</si>
  <si>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</si>
  <si>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</si>
  <si>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</si>
  <si>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</si>
  <si>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</si>
  <si>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</si>
  <si>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</si>
  <si>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</si>
  <si>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</si>
  <si>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</si>
  <si>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</si>
  <si>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</si>
  <si>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</si>
  <si>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</si>
  <si>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</si>
  <si>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</si>
  <si>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</si>
  <si>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</si>
  <si>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</si>
  <si>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</si>
  <si>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</si>
  <si>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</si>
  <si>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</si>
  <si>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</si>
  <si>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</si>
  <si>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</si>
  <si>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</si>
  <si>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</si>
  <si>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</si>
  <si>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</si>
  <si>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</si>
  <si>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</si>
  <si>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</si>
  <si>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</si>
  <si>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</si>
  <si>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</si>
  <si>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</si>
  <si>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</si>
  <si>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</si>
  <si>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</si>
  <si>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</si>
  <si>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</si>
  <si>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</si>
  <si>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</si>
  <si>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</si>
  <si>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</si>
  <si>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</si>
  <si>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</si>
  <si>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</si>
  <si>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</si>
  <si>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</si>
  <si>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</si>
  <si>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</si>
  <si>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</si>
  <si>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</si>
  <si>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</si>
  <si>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</si>
  <si>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</si>
  <si>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</si>
  <si>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</si>
  <si>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</si>
  <si>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</si>
  <si>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</si>
  <si>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</si>
  <si>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</si>
  <si>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</si>
  <si>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</si>
  <si>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</si>
  <si>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</si>
  <si>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</si>
  <si>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</si>
  <si>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</si>
  <si>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</si>
  <si>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</si>
  <si>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</si>
  <si>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</si>
  <si>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</si>
  <si>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</si>
  <si>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</si>
  <si>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</si>
  <si>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</si>
  <si>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</si>
  <si>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</si>
  <si>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</si>
  <si>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</si>
  <si>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</si>
  <si>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</si>
  <si>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</si>
  <si>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</si>
  <si>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</si>
  <si>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</si>
  <si>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</si>
  <si>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</si>
  <si>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</si>
  <si>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</si>
  <si>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</si>
  <si>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</si>
  <si>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</si>
  <si>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</si>
  <si>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</si>
  <si>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</si>
  <si>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</si>
  <si>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</si>
  <si>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</si>
  <si>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</si>
  <si>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</si>
  <si>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</si>
  <si>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</si>
  <si>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</si>
  <si>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</si>
  <si>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</si>
  <si>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</si>
  <si>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</si>
  <si>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</si>
  <si>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</si>
  <si>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</si>
  <si>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</si>
  <si>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</si>
  <si>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</si>
  <si>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</si>
  <si>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</si>
  <si>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</si>
  <si>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</si>
  <si>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</si>
  <si>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</si>
  <si>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</si>
  <si>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</si>
  <si>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</si>
  <si>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</si>
  <si>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</si>
  <si>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</si>
  <si>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</si>
  <si>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</si>
  <si>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</si>
  <si>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</si>
  <si>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</si>
  <si>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</si>
  <si>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</si>
  <si>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</si>
  <si>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</si>
  <si>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</si>
  <si>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</si>
  <si>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</si>
  <si>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</si>
  <si>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</si>
  <si>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</si>
  <si>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</si>
  <si>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</si>
  <si>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</si>
  <si>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</si>
  <si>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</si>
  <si>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</si>
  <si>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</si>
  <si>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</si>
  <si>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</si>
  <si>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</si>
  <si>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</si>
  <si>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</si>
  <si>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</si>
  <si>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</si>
  <si>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</si>
  <si>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</si>
  <si>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</si>
  <si>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</si>
  <si>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</si>
  <si>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</si>
  <si>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</si>
  <si>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</si>
  <si>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</si>
  <si>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</si>
  <si>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</si>
  <si>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</si>
  <si>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</si>
  <si>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</si>
  <si>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</si>
  <si>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</si>
  <si>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</si>
  <si>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</si>
  <si>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</si>
  <si>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</si>
  <si>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</si>
  <si>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</si>
  <si>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</si>
  <si>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</si>
  <si>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</si>
  <si>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</si>
  <si>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</si>
  <si>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</si>
  <si>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</si>
  <si>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</si>
  <si>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</si>
  <si>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</si>
  <si>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</si>
  <si>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</si>
  <si>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</si>
  <si>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</si>
  <si>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</si>
  <si>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</si>
  <si>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</si>
  <si>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</si>
  <si>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</si>
  <si>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</si>
  <si>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</si>
  <si>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</si>
  <si>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</si>
  <si>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</si>
  <si>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</si>
  <si>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</si>
  <si>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</si>
  <si>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</si>
  <si>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</si>
  <si>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</si>
  <si>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</si>
  <si>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</si>
  <si>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</si>
  <si>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</si>
  <si>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</si>
  <si>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</si>
  <si>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</si>
  <si>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</si>
  <si>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</si>
  <si>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</si>
  <si>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</si>
  <si>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</si>
  <si>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</si>
  <si>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</si>
  <si>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</si>
  <si>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</si>
  <si>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</si>
  <si>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</si>
  <si>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</si>
  <si>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</si>
  <si>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</si>
  <si>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</si>
  <si>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</si>
  <si>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</si>
  <si>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</si>
  <si>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</si>
  <si>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</si>
  <si>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</si>
  <si>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</si>
  <si>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</si>
  <si>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</si>
  <si>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</si>
  <si>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</si>
  <si>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</si>
  <si>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</si>
  <si>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</si>
  <si>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</si>
  <si>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</si>
  <si>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</si>
  <si>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</si>
  <si>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</si>
  <si>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</si>
  <si>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</si>
  <si>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</si>
  <si>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</si>
  <si>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</si>
  <si>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</si>
  <si>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</si>
  <si>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</si>
  <si>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</si>
  <si>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</si>
  <si>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</si>
  <si>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</si>
  <si>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</si>
  <si>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</si>
  <si>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</si>
  <si>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</si>
  <si>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</si>
  <si>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</si>
  <si>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</si>
  <si>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</si>
  <si>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</si>
  <si>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</si>
  <si>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</si>
  <si>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</si>
  <si>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</si>
  <si>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</si>
  <si>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</si>
  <si>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</si>
  <si>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</si>
  <si>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</si>
  <si>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</si>
  <si>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</si>
  <si>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</si>
  <si>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</si>
  <si>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</si>
  <si>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</si>
  <si>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</si>
  <si>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</si>
  <si>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</si>
  <si>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</si>
  <si>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</si>
  <si>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</si>
  <si>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</si>
  <si>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</si>
  <si>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</si>
  <si>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</si>
  <si>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</si>
  <si>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</si>
  <si>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</si>
  <si>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</si>
  <si>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</si>
  <si>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</si>
  <si>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</si>
  <si>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</si>
  <si>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</si>
  <si>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</si>
  <si>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</si>
  <si>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</si>
  <si>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</si>
  <si>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</si>
  <si>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</si>
  <si>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</si>
  <si>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</si>
  <si>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</si>
  <si>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</si>
  <si>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</si>
  <si>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</si>
  <si>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</si>
  <si>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</si>
  <si>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</si>
  <si>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</si>
  <si>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</si>
  <si>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</si>
  <si>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</si>
  <si>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</si>
  <si>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</si>
  <si>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</si>
  <si>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</si>
  <si>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</si>
  <si>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</si>
  <si>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</si>
  <si>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</si>
  <si>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</si>
  <si>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</si>
  <si>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</si>
  <si>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</si>
  <si>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</si>
  <si>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</si>
  <si>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</si>
  <si>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</si>
  <si>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</si>
  <si>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</si>
  <si>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</si>
  <si>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</si>
  <si>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</si>
  <si>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</si>
  <si>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</si>
  <si>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</si>
  <si>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</si>
  <si>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</si>
  <si>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</si>
  <si>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</si>
  <si>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</si>
  <si>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</si>
  <si>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</si>
  <si>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</si>
  <si>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</si>
  <si>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</si>
  <si>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</si>
  <si>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</si>
  <si>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</si>
  <si>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</si>
  <si>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</si>
  <si>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</si>
  <si>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</si>
  <si>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</si>
  <si>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</si>
  <si>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</si>
  <si>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</si>
  <si>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</si>
  <si>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</si>
  <si>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</si>
  <si>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</si>
  <si>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</si>
  <si>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</si>
  <si>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</si>
  <si>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</si>
  <si>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</si>
  <si>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</si>
  <si>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</si>
  <si>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</si>
  <si>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</si>
  <si>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</si>
  <si>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</si>
  <si>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</si>
  <si>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</si>
  <si>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</si>
  <si>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</si>
  <si>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</si>
  <si>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</si>
  <si>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</si>
  <si>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</si>
  <si>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</si>
  <si>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</si>
  <si>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</si>
  <si>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</si>
  <si>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</si>
  <si>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</si>
  <si>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</si>
  <si>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</si>
  <si>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</si>
  <si>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</si>
  <si>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</si>
  <si>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</si>
  <si>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</si>
  <si>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</si>
  <si>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</si>
  <si>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</si>
  <si>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</si>
  <si>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</si>
  <si>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</si>
  <si>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</si>
  <si>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</si>
  <si>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</si>
  <si>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</si>
  <si>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</si>
  <si>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</si>
  <si>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</si>
  <si>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</si>
  <si>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</si>
  <si>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</si>
  <si>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</si>
  <si>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</si>
  <si>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</si>
  <si>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</si>
  <si>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</si>
  <si>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</si>
  <si>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</si>
  <si>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</si>
  <si>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</si>
  <si>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</si>
  <si>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</si>
  <si>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</si>
  <si>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</si>
  <si>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</si>
  <si>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</si>
  <si>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</si>
  <si>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</si>
  <si>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</si>
  <si>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</si>
  <si>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</si>
  <si>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</si>
  <si>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</si>
  <si>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</si>
  <si>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</si>
  <si>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</si>
  <si>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</si>
  <si>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</si>
  <si>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</si>
  <si>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</si>
  <si>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</si>
  <si>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</si>
  <si>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</si>
  <si>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</si>
  <si>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</si>
  <si>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</si>
  <si>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</si>
  <si>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</si>
  <si>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</si>
  <si>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</si>
  <si>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</si>
  <si>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</si>
  <si>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</si>
  <si>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</si>
  <si>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</si>
  <si>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</si>
  <si>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</si>
  <si>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</si>
  <si>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</si>
  <si>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</si>
  <si>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</si>
  <si>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</si>
  <si>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</si>
  <si>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</si>
  <si>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</si>
  <si>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</si>
  <si>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</si>
  <si>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</si>
  <si>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</si>
  <si>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</si>
  <si>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</si>
  <si>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</si>
  <si>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</si>
  <si>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</si>
  <si>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</si>
  <si>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</si>
  <si>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</si>
  <si>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</si>
  <si>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</si>
  <si>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</si>
  <si>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</si>
  <si>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</si>
  <si>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</si>
  <si>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</si>
  <si>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</si>
  <si>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</si>
  <si>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</si>
  <si>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</si>
  <si>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</si>
  <si>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</si>
  <si>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</si>
  <si>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</si>
  <si>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</si>
  <si>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</si>
  <si>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</si>
  <si>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</si>
  <si>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</si>
  <si>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</si>
  <si>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</si>
  <si>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</si>
  <si>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</si>
  <si>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</si>
  <si>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</si>
  <si>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</si>
  <si>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</si>
  <si>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</si>
  <si>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</si>
  <si>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</si>
  <si>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</si>
  <si>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</si>
  <si>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</si>
  <si>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</si>
  <si>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</si>
  <si>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</si>
  <si>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</si>
  <si>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</si>
  <si>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</si>
  <si>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</si>
  <si>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</si>
  <si>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</si>
  <si>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</si>
  <si>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</si>
  <si>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</si>
  <si>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</si>
  <si>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</si>
  <si>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</si>
  <si>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</si>
  <si>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</si>
  <si>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</si>
  <si>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</si>
  <si>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</si>
  <si>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</si>
  <si>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</si>
  <si>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</si>
  <si>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</si>
  <si>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</si>
  <si>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</si>
  <si>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</si>
  <si>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</si>
  <si>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</si>
  <si>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</si>
  <si>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</si>
  <si>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</si>
  <si>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</si>
  <si>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</si>
  <si>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</si>
  <si>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</si>
  <si>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</si>
  <si>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</si>
  <si>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</si>
  <si>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</si>
  <si>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</si>
  <si>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</si>
  <si>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</si>
  <si>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</si>
  <si>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</si>
  <si>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</si>
  <si>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</si>
  <si>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</si>
  <si>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</si>
  <si>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</si>
  <si>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</si>
  <si>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</si>
  <si>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</si>
  <si>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</si>
  <si>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</si>
  <si>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</si>
  <si>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</si>
  <si>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</si>
  <si>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</si>
  <si>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</si>
  <si>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</si>
  <si>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</si>
  <si>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</si>
  <si>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</si>
  <si>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</si>
  <si>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</si>
  <si>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</si>
  <si>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</si>
  <si>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</si>
  <si>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</si>
  <si>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</si>
  <si>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</si>
  <si>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</si>
  <si>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</si>
  <si>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</si>
  <si>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</si>
  <si>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</si>
  <si>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</si>
  <si>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</si>
  <si>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</si>
  <si>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</si>
  <si>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</si>
  <si>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</si>
  <si>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</si>
  <si>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</si>
  <si>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</si>
  <si>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</si>
  <si>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</si>
  <si>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</si>
  <si>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</si>
  <si>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</si>
  <si>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</si>
  <si>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</si>
  <si>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</si>
  <si>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</si>
  <si>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</si>
  <si>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</si>
  <si>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</si>
  <si>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</si>
  <si>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</si>
  <si>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</si>
  <si>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</si>
  <si>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</si>
  <si>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</si>
  <si>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</si>
  <si>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</si>
  <si>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</si>
  <si>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</si>
  <si>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</si>
  <si>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</si>
  <si>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</si>
  <si>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</si>
  <si>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</si>
  <si>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</si>
  <si>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</si>
  <si>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</si>
  <si>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</si>
  <si>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</si>
  <si>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</si>
  <si>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</si>
  <si>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</si>
  <si>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</si>
  <si>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</si>
  <si>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</si>
  <si>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</si>
  <si>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</si>
  <si>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</si>
  <si>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</si>
  <si>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</si>
  <si>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</si>
  <si>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</si>
  <si>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</si>
  <si>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</si>
  <si>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</si>
  <si>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</si>
  <si>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</si>
  <si>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</si>
  <si>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</si>
  <si>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</si>
  <si>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</si>
  <si>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</si>
  <si>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</si>
  <si>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</si>
  <si>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</si>
  <si>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</si>
  <si>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</si>
  <si>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</si>
  <si>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</si>
  <si>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</si>
  <si>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</si>
  <si>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</si>
  <si>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</si>
  <si>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</si>
  <si>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</si>
  <si>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</si>
  <si>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</si>
  <si>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</si>
  <si>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</si>
  <si>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</si>
  <si>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</si>
  <si>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</si>
  <si>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</si>
  <si>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</si>
  <si>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</si>
  <si>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</si>
  <si>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</si>
  <si>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</si>
  <si>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</si>
  <si>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</si>
  <si>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</si>
  <si>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</si>
  <si>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</si>
  <si>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</si>
  <si>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</si>
  <si>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</si>
  <si>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</si>
  <si>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</si>
  <si>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</si>
  <si>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</si>
  <si>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</si>
  <si>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</si>
  <si>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</si>
  <si>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</si>
  <si>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</si>
  <si>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</si>
  <si>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</si>
  <si>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</si>
  <si>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</si>
  <si>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</si>
  <si>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</si>
  <si>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</si>
  <si>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</si>
  <si>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</si>
  <si>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</si>
  <si>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</si>
  <si>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</si>
  <si>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</si>
  <si>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</si>
  <si>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</si>
  <si>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</si>
  <si>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</si>
  <si>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</si>
  <si>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</si>
  <si>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</si>
  <si>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</si>
  <si>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</si>
  <si>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</si>
  <si>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</si>
  <si>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</si>
  <si>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</si>
  <si>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</si>
  <si>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</si>
  <si>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</si>
  <si>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</si>
  <si>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</si>
  <si>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</si>
  <si>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</si>
  <si>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</si>
  <si>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</si>
  <si>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</si>
  <si>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</si>
  <si>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</si>
  <si>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</si>
  <si>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</si>
  <si>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</si>
  <si>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</si>
  <si>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</si>
  <si>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</si>
  <si>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</si>
  <si>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</si>
  <si>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</si>
  <si>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</si>
  <si>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</si>
  <si>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</si>
  <si>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</si>
  <si>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</si>
  <si>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</si>
  <si>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</si>
  <si>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</si>
  <si>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</si>
  <si>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</si>
  <si>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</si>
  <si>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</si>
  <si>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</si>
  <si>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</si>
  <si>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</si>
  <si>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</si>
  <si>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</si>
  <si>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</si>
  <si>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</si>
  <si>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</si>
  <si>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</si>
  <si>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</si>
  <si>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</si>
  <si>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</si>
  <si>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</si>
  <si>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</si>
  <si>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</si>
  <si>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</si>
  <si>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</si>
  <si>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</si>
  <si>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</si>
  <si>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</si>
  <si>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</si>
  <si>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</si>
  <si>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</si>
  <si>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</si>
  <si>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</si>
  <si>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</si>
  <si>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</si>
  <si>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</si>
  <si>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</si>
  <si>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</si>
  <si>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</si>
  <si>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</si>
  <si>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</si>
  <si>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</si>
  <si>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</si>
  <si>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</si>
  <si>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</si>
  <si>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</si>
  <si>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</si>
  <si>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</si>
  <si>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</si>
  <si>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</si>
  <si>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</si>
  <si>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</si>
  <si>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</si>
  <si>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</si>
  <si>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</si>
  <si>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</si>
  <si>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</si>
  <si>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</si>
  <si>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</si>
  <si>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</si>
  <si>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</si>
  <si>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</si>
  <si>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</si>
  <si>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</si>
  <si>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</si>
  <si>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</si>
  <si>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</si>
  <si>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</si>
  <si>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</si>
  <si>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</si>
  <si>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</si>
  <si>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</si>
  <si>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</si>
  <si>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</si>
  <si>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</si>
  <si>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</si>
  <si>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</si>
  <si>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</si>
  <si>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</si>
  <si>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</si>
  <si>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</si>
  <si>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</si>
  <si>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</si>
  <si>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</si>
  <si>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</si>
  <si>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</si>
  <si>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</si>
  <si>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</si>
  <si>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</si>
  <si>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</si>
  <si>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</si>
  <si>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</si>
  <si>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</si>
  <si>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</si>
  <si>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</si>
  <si>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</si>
  <si>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</si>
  <si>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</si>
  <si>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</si>
  <si>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</si>
  <si>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</si>
  <si>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</si>
  <si>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</si>
  <si>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</si>
  <si>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</si>
  <si>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</si>
  <si>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</si>
  <si>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</si>
  <si>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</si>
  <si>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</si>
  <si>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</si>
  <si>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</si>
  <si>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</si>
  <si>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</si>
  <si>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</si>
  <si>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</si>
  <si>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</si>
  <si>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</si>
  <si>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</si>
  <si>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</si>
  <si>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</si>
  <si>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</si>
  <si>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</si>
  <si>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</si>
  <si>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</si>
  <si>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</si>
  <si>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</si>
  <si>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</si>
  <si>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</si>
  <si>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</si>
  <si>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</si>
  <si>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</si>
  <si>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</si>
  <si>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</si>
  <si>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</si>
  <si>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</si>
  <si>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</si>
  <si>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</si>
  <si>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</si>
  <si>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</si>
  <si>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</si>
  <si>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</si>
  <si>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</si>
  <si>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</si>
  <si>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</si>
  <si>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</si>
  <si>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</si>
  <si>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</si>
  <si>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</si>
  <si>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</si>
  <si>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</si>
  <si>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</si>
  <si>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</si>
  <si>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</si>
  <si>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</si>
  <si>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</si>
  <si>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</si>
  <si>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</si>
  <si>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</si>
  <si>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</si>
  <si>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</si>
  <si>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</si>
  <si>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</si>
  <si>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</si>
  <si>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</si>
  <si>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</si>
  <si>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</si>
  <si>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</si>
  <si>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</si>
  <si>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</si>
  <si>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</si>
  <si>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</si>
  <si>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</si>
  <si>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</si>
  <si>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</si>
  <si>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</si>
  <si>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</si>
  <si>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</si>
  <si>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</si>
  <si>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</si>
  <si>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</si>
  <si>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</si>
  <si>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</si>
  <si>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</si>
  <si>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</si>
  <si>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</si>
  <si>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</si>
  <si>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</si>
  <si>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</si>
  <si>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</si>
  <si>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</si>
  <si>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</si>
  <si>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</si>
  <si>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</si>
  <si>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</si>
  <si>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</si>
  <si>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</si>
  <si>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</si>
  <si>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</si>
  <si>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</si>
  <si>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</si>
  <si>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</si>
  <si>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</si>
  <si>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</si>
  <si>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</si>
  <si>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</si>
  <si>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</si>
  <si>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</si>
  <si>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</si>
  <si>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</si>
  <si>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</si>
  <si>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</si>
  <si>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</si>
  <si>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</si>
  <si>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</si>
  <si>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</si>
  <si>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</si>
  <si>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</si>
  <si>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</si>
  <si>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</si>
  <si>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</si>
  <si>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</si>
  <si>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</si>
  <si>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</si>
  <si>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</si>
  <si>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</si>
  <si>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</si>
  <si>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</si>
  <si>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</si>
  <si>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</si>
  <si>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</si>
  <si>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</si>
  <si>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</si>
  <si>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</si>
  <si>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</si>
  <si>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</si>
  <si>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</si>
  <si>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</si>
  <si>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</si>
  <si>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</si>
  <si>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</si>
  <si>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</si>
  <si>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</si>
  <si>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</si>
  <si>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</si>
  <si>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</si>
  <si>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</si>
  <si>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</si>
  <si>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</si>
  <si>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</si>
  <si>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</si>
  <si>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</si>
  <si>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</si>
  <si>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</si>
  <si>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</si>
  <si>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</si>
  <si>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</si>
  <si>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</si>
  <si>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</si>
  <si>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</si>
  <si>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</si>
  <si>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</si>
  <si>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</si>
  <si>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</si>
  <si>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</si>
  <si>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</si>
  <si>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</si>
  <si>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</si>
  <si>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</si>
  <si>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</si>
  <si>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</si>
  <si>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</si>
  <si>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</si>
  <si>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</si>
  <si>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</si>
  <si>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</si>
  <si>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</si>
  <si>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</si>
  <si>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</si>
  <si>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</si>
  <si>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</si>
  <si>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</si>
  <si>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</si>
  <si>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</si>
  <si>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</si>
  <si>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</si>
  <si>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</si>
  <si>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</si>
  <si>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</si>
  <si>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</si>
  <si>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</si>
  <si>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</si>
  <si>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</si>
  <si>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</si>
  <si>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</si>
  <si>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</si>
  <si>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</si>
  <si>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</si>
  <si>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</si>
  <si>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</si>
  <si>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</si>
  <si>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</si>
  <si>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</si>
  <si>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</si>
  <si>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</si>
  <si>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</si>
  <si>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</si>
  <si>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</si>
  <si>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</si>
  <si>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</si>
  <si>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</si>
  <si>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</si>
  <si>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</si>
  <si>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</si>
  <si>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</si>
  <si>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</si>
  <si>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</si>
  <si>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</si>
  <si>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</si>
  <si>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</si>
  <si>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</si>
  <si>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</si>
  <si>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</si>
  <si>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</si>
  <si>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</si>
  <si>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</si>
  <si>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</si>
  <si>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</si>
  <si>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</si>
  <si>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</si>
  <si>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</si>
  <si>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</si>
  <si>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</si>
  <si>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</si>
  <si>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</si>
  <si>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</si>
  <si>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</si>
  <si>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</si>
  <si>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</si>
  <si>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</si>
  <si>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</si>
  <si>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</si>
  <si>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</si>
  <si>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</si>
  <si>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</si>
  <si>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</si>
  <si>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</si>
  <si>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</si>
  <si>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</si>
  <si>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</si>
  <si>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</si>
  <si>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</si>
  <si>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</si>
  <si>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</si>
  <si>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</si>
  <si>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</si>
  <si>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</si>
  <si>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</si>
  <si>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</si>
  <si>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</si>
  <si>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</si>
  <si>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</si>
  <si>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</si>
  <si>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</si>
  <si>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</si>
  <si>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</si>
  <si>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</si>
  <si>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</si>
  <si>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</si>
  <si>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</si>
  <si>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</si>
  <si>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</si>
  <si>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</si>
  <si>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</si>
  <si>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</si>
  <si>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</si>
  <si>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</si>
  <si>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</si>
  <si>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</si>
  <si>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</si>
  <si>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</si>
  <si>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</si>
  <si>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</si>
  <si>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</si>
  <si>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</si>
  <si>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</si>
  <si>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</si>
  <si>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</si>
  <si>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</si>
  <si>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</si>
  <si>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</si>
  <si>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</si>
  <si>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</si>
  <si>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</si>
  <si>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</si>
  <si>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</si>
  <si>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</si>
  <si>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</si>
  <si>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</si>
  <si>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</si>
  <si>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</si>
  <si>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</si>
  <si>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</si>
  <si>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</si>
  <si>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</si>
  <si>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</si>
  <si>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</si>
  <si>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</si>
  <si>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</si>
  <si>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</si>
  <si>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</si>
  <si>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</si>
  <si>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</si>
  <si>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</si>
  <si>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</si>
  <si>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</si>
  <si>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</si>
  <si>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</si>
  <si>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</si>
  <si>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</si>
  <si>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</si>
  <si>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</si>
  <si>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</si>
  <si>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</si>
  <si>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</si>
  <si>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</si>
  <si>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</si>
  <si>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</si>
  <si>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</si>
  <si>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</si>
  <si>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</si>
  <si>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</si>
  <si>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</si>
  <si>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</si>
  <si>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</si>
  <si>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</si>
  <si>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</si>
  <si>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</si>
  <si>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</si>
  <si>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</si>
  <si>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</si>
  <si>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</si>
  <si>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</si>
  <si>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</si>
  <si>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</si>
  <si>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</si>
  <si>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</si>
  <si>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</si>
  <si>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</si>
  <si>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</si>
  <si>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</si>
  <si>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</si>
  <si>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</si>
  <si>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</si>
  <si>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</si>
  <si>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</si>
  <si>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</si>
  <si>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</si>
  <si>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</si>
  <si>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</si>
  <si>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</si>
  <si>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</si>
  <si>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</si>
  <si>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</si>
  <si>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</si>
  <si>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</si>
  <si>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</si>
  <si>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</si>
  <si>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</si>
  <si>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</si>
  <si>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</si>
  <si>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</si>
  <si>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</si>
  <si>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</si>
  <si>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</si>
  <si>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</si>
  <si>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</si>
  <si>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</si>
  <si>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</si>
  <si>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</si>
  <si>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</si>
  <si>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</si>
  <si>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</si>
  <si>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</si>
  <si>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</si>
  <si>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</si>
  <si>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</si>
  <si>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</si>
  <si>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</si>
  <si>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</si>
  <si>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</si>
  <si>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</si>
  <si>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</si>
  <si>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</si>
  <si>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</si>
  <si>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</si>
  <si>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</si>
  <si>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</si>
  <si>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</si>
  <si>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</si>
  <si>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</si>
  <si>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</si>
  <si>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</si>
  <si>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</si>
  <si>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</si>
  <si>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</si>
  <si>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</si>
  <si>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</si>
  <si>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Comercialización de energía eléctrica</t>
  </si>
  <si>
    <t>NIT / CC DEL PROVEEDOR</t>
  </si>
  <si>
    <t xml:space="preserve">NOMBRE O RAZON SOCIAL DEL PROVEEDOR </t>
  </si>
  <si>
    <t xml:space="preserve">TELÉFONO </t>
  </si>
  <si>
    <t>DIRECCIÓN DOMICILIO FISCAL</t>
  </si>
  <si>
    <t>CÓDIGO DEL MUNICIPIO</t>
  </si>
  <si>
    <t>CÓDIGO ACTIVIDAD DEL BIEN O SERVICIO ADQUIRIDO</t>
  </si>
  <si>
    <t>RETENCIÓN PRACTICADA</t>
  </si>
  <si>
    <t>DEVOLUCIONES REBAJAS Y DESCUENTOS</t>
  </si>
  <si>
    <t xml:space="preserve">VALOR FACTURADO CONSOLIDADO POR ACTIVIDAD ECONÓMICA </t>
  </si>
  <si>
    <t>NIT O CÉDULA DEL  INFORMANTE</t>
  </si>
  <si>
    <t>RAZÓN SOCIAL O NOMBRE DEL INFORMANTE</t>
  </si>
  <si>
    <t>VIGENCIA A REPORTAR</t>
  </si>
  <si>
    <t>FECHA DE ENVÍO</t>
  </si>
  <si>
    <t xml:space="preserve">VARGAS LEGUIZAMO MARISOL   </t>
  </si>
  <si>
    <t>marisolvargasl@hotmail.com</t>
  </si>
  <si>
    <t>AV LIBERTADORES. 25 65</t>
  </si>
  <si>
    <t>COMPAÑIA COLOMBIANA DE CONCRETOS S.A</t>
  </si>
  <si>
    <t>facturacion.ventas@colconcretos.com</t>
  </si>
  <si>
    <t>Cl 19  26 90</t>
  </si>
  <si>
    <t>IDEARK OBRAS CIVILES</t>
  </si>
  <si>
    <t>idearkobrasciviles@gmail.com</t>
  </si>
  <si>
    <t>CL 24 25 39</t>
  </si>
  <si>
    <t>900463874</t>
  </si>
  <si>
    <t>IDEARK DISEÑO CONSULTORÍA Y CONSTRUCCIÓN S.A.S</t>
  </si>
  <si>
    <t>Ideark01ideark@gmail.com</t>
  </si>
  <si>
    <t>CL 27 A 25 39</t>
  </si>
  <si>
    <t>INDUICOPOR S.A.S.</t>
  </si>
  <si>
    <t>induicopors@gmail.com</t>
  </si>
  <si>
    <t>304 6355482</t>
  </si>
  <si>
    <t>VRD AL OTRO LADO</t>
  </si>
  <si>
    <t xml:space="preserve">QUIJANO ECHEVERRIA JOSE ALFREDO </t>
  </si>
  <si>
    <t>rquijanobarrera@gmail.com</t>
  </si>
  <si>
    <t>BRR CENTRO</t>
  </si>
  <si>
    <t>LADRILLOS EL ZIPA SAS</t>
  </si>
  <si>
    <t>comercial@ladrilloselzipa.com.co</t>
  </si>
  <si>
    <t>VRD SATIVA KM 1 VIA PAIPA TUNJA</t>
  </si>
  <si>
    <t>COVAL COMERCIAL S.A.S.</t>
  </si>
  <si>
    <t>info@coval.com.co</t>
  </si>
  <si>
    <t>Aut Medellin Km. 2.5</t>
  </si>
  <si>
    <t xml:space="preserve">ACOSTA  RUEDA NELSON JAVIER </t>
  </si>
  <si>
    <t>Nelsonjav@gmail.com</t>
  </si>
  <si>
    <t>TV 24 N°29-05 BARRIO LANCEROS</t>
  </si>
  <si>
    <t>H.R EQUIPOS PARA CONSTRUCCION SAS</t>
  </si>
  <si>
    <t>hrequipossas@gmail.com</t>
  </si>
  <si>
    <t>CL 9 28 169</t>
  </si>
  <si>
    <t>1053615512</t>
  </si>
  <si>
    <t xml:space="preserve">AVILA OCHOA NATHALIA  </t>
  </si>
  <si>
    <t>NO REPORTA</t>
  </si>
  <si>
    <t>No reporta</t>
  </si>
  <si>
    <t>CL 10 25 29</t>
  </si>
  <si>
    <t xml:space="preserve">MORALES ACEVEDO CARLOS JULIAN </t>
  </si>
  <si>
    <t>CARLOs78@gmail.com</t>
  </si>
  <si>
    <t>AV LIBERTADORES 22 20</t>
  </si>
  <si>
    <t>79666173</t>
  </si>
  <si>
    <t xml:space="preserve">NAVARRO VANEGAS JUAN CARLOS </t>
  </si>
  <si>
    <t>NO REPORT</t>
  </si>
  <si>
    <t>CL 2 7 38</t>
  </si>
  <si>
    <t>CONSTRUEQUIPOS EL PROVEEDOR S.A.S</t>
  </si>
  <si>
    <t>construequiposelproveedor@outlook.com</t>
  </si>
  <si>
    <t>CR  19 15  10</t>
  </si>
  <si>
    <t xml:space="preserve">MEDINA DE PACHECO DORA HILDA </t>
  </si>
  <si>
    <t>doraalamos61@gmail.com</t>
  </si>
  <si>
    <t>CR 21 20 07</t>
  </si>
  <si>
    <t>CENTRAL DE DOTACIONES S.A.S</t>
  </si>
  <si>
    <t>contabilidad@centraldedotaciones.com</t>
  </si>
  <si>
    <t>CR 69A 31 62 SUR BRR CARVAJAL</t>
  </si>
  <si>
    <t>901732642</t>
  </si>
  <si>
    <t>DISTRELEC PAIPA S.A.S</t>
  </si>
  <si>
    <t>distrelecsas@gmail.com</t>
  </si>
  <si>
    <t>COLOMBIANA DE COMERCIO S.A.</t>
  </si>
  <si>
    <t>facturacionelectronica@colcomercio.com.co</t>
  </si>
  <si>
    <t>CL 11 31 a 42</t>
  </si>
  <si>
    <t>EL FARO ELECTRICO S A S</t>
  </si>
  <si>
    <t>contabilidad@elfaroelectrico,com.co</t>
  </si>
  <si>
    <t>CR 16 11 77</t>
  </si>
  <si>
    <t>INGENIERIA Y GEOLOGIA S.A.S</t>
  </si>
  <si>
    <t>iygltda@gmail.com</t>
  </si>
  <si>
    <t>CR 11  25 23</t>
  </si>
  <si>
    <t xml:space="preserve">AVENDAÑO  JORGE JULIAN </t>
  </si>
  <si>
    <t>CR 16 7A 27</t>
  </si>
  <si>
    <t>CONSTRUEQUIPOS MS S.A.S.</t>
  </si>
  <si>
    <t>CONSTRUEQUIPOSMS@GMAIL.COM</t>
  </si>
  <si>
    <t>CL 27 21 21</t>
  </si>
  <si>
    <t>74322392</t>
  </si>
  <si>
    <t xml:space="preserve">SAAVEDRA NIÑO SALVADOR  </t>
  </si>
  <si>
    <t>salvadorsaavedra123@hotmail.com</t>
  </si>
  <si>
    <t>AV LIBERTADORES 20 22</t>
  </si>
  <si>
    <t xml:space="preserve">GUZMAN CARRIZOSA DIANA ROCIO </t>
  </si>
  <si>
    <t>DIANAROCIO@GMAIL.COM</t>
  </si>
  <si>
    <t>CL 25 19 51 LC 106</t>
  </si>
  <si>
    <t>CAMARA DE COMERCIO DE DUITAMA</t>
  </si>
  <si>
    <t>acontabilidad@ccduitama.org.co</t>
  </si>
  <si>
    <t xml:space="preserve"> TV 19  23 141</t>
  </si>
  <si>
    <t>INDUSTRIAS MABOS S A S</t>
  </si>
  <si>
    <t xml:space="preserve">mabos_33@yahoo.com
</t>
  </si>
  <si>
    <t>CR  19  17 37</t>
  </si>
  <si>
    <t xml:space="preserve">JOYA ALVARADO WILMER ASDRUVAL </t>
  </si>
  <si>
    <t>WASDRIVAL@GMAIL.COM</t>
  </si>
  <si>
    <t xml:space="preserve">LEGUIZAMO DIAZ GUILLERMO  </t>
  </si>
  <si>
    <t>GUILLERMOLEG@GMAIL.COM</t>
  </si>
  <si>
    <t xml:space="preserve">SUAREZ SUAREZ HECTOR DAVID </t>
  </si>
  <si>
    <t>DAVIDS@GMAIL.COM</t>
  </si>
  <si>
    <t>CR 16 17 57</t>
  </si>
  <si>
    <t>SODIMAC COLOMBIA SA</t>
  </si>
  <si>
    <t>FACTURACION@SODIMAC.COM.CO</t>
  </si>
  <si>
    <t>CR  68D   80   70</t>
  </si>
  <si>
    <t xml:space="preserve">GONZALEZ RODRIGUEZ RUBEN DARIO </t>
  </si>
  <si>
    <t>aguaaltagracia@gmail.com</t>
  </si>
  <si>
    <t>CR 14 15 24</t>
  </si>
  <si>
    <t xml:space="preserve">ARISTIZABAL DIAZ LISETH JOHANA </t>
  </si>
  <si>
    <t>LIZETHDIAZ@gmail.com</t>
  </si>
  <si>
    <t>CL 25 19 134 LC 2</t>
  </si>
  <si>
    <t>D1 S A S</t>
  </si>
  <si>
    <t>notificaciones.d1@d1.com.co. </t>
  </si>
  <si>
    <t xml:space="preserve">CR 19 22 71 </t>
  </si>
  <si>
    <t>AMERICANA DE TECNOLOGIA Y COMUNICACIONES SAS</t>
  </si>
  <si>
    <t>fmartinez@amtecsas.com</t>
  </si>
  <si>
    <t>CL 23 20 81</t>
  </si>
  <si>
    <t>S. M. ASOCIADOS S.A</t>
  </si>
  <si>
    <t>608 7850541</t>
  </si>
  <si>
    <t>AV LIBERTADORES 22 71</t>
  </si>
  <si>
    <t xml:space="preserve">MOTTA GARCIA JORGE DAVID </t>
  </si>
  <si>
    <t>HJORGEMOTTA214@GMAIL.COM</t>
  </si>
  <si>
    <t>CR 19 10 A 53</t>
  </si>
  <si>
    <t>SOPORTE PARA EL DESARROLLO INDUSTRIAL Y TECNOLÓGICO S.A.S. (SODEINTEC SAS)</t>
  </si>
  <si>
    <t>Facturacion@soidentec.com.co</t>
  </si>
  <si>
    <t>CL 13 71 D 39</t>
  </si>
  <si>
    <t>ECOMETALES S&amp;T S.A.S 01 00</t>
  </si>
  <si>
    <t>ecometalesst@gmail.com</t>
  </si>
  <si>
    <t>CL 12 22 35</t>
  </si>
  <si>
    <t xml:space="preserve">FONSECA SUESCA DIANA CAROLINA </t>
  </si>
  <si>
    <t>CarolinaF4581@gmail.com</t>
  </si>
  <si>
    <t>CL 27 17 21</t>
  </si>
  <si>
    <t xml:space="preserve">VALBUENA PAREDES WILSON RICARDO </t>
  </si>
  <si>
    <t>paredeswilson@outlook.com</t>
  </si>
  <si>
    <t>CRA 23   5 17 B</t>
  </si>
  <si>
    <t>SERVICIOS INTEGRALES PREMIUMPLUS SAS</t>
  </si>
  <si>
    <t>SERVICIOSINTEGRALESPREMIUMPLUS@GMAIL.COM</t>
  </si>
  <si>
    <t>CR 22 A 20 50</t>
  </si>
  <si>
    <t xml:space="preserve">BOLIVAR CRUZ EMILCE  </t>
  </si>
  <si>
    <t>servidigital07@gmail.com&gt;</t>
  </si>
  <si>
    <t>CL 25 22 49</t>
  </si>
  <si>
    <t xml:space="preserve">IBAÑEZ  FERNEY  </t>
  </si>
  <si>
    <t>IBAÑEZFER156@GMAIL.COM</t>
  </si>
  <si>
    <t xml:space="preserve">CAMACHO BAUTISTA NUBIA YANETH </t>
  </si>
  <si>
    <t>papeleria.prismacolor@hotmail.com</t>
  </si>
  <si>
    <t>CL 25 22 38</t>
  </si>
  <si>
    <t>CENCOSUD COLOMBIA SA</t>
  </si>
  <si>
    <t>notificaciones@cencosud.com.co:</t>
  </si>
  <si>
    <t>(601) 6579797</t>
  </si>
  <si>
    <t>AV 9 125 30</t>
  </si>
  <si>
    <t>CUANTIAS MENORES</t>
  </si>
  <si>
    <t>NA</t>
  </si>
  <si>
    <t>LEGUIZAMO IDEARK SAS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</si>
</sst>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u/>
      <sz val="11"/>
      <name val="Calibri"/>
      <family val="2"/>
      <scheme val="minor"/>
    </font>
    <font>
      <sz val="13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44" fontId="2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4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4" borderId="0" xfId="0" applyFill="1" applyProtection="1">
      <protection locked="0"/>
    </xf>
    <xf numFmtId="0" fontId="0" fillId="0" borderId="0" xfId="0" applyProtection="1">
      <protection locked="0"/>
    </xf>
    <xf numFmtId="0" fontId="1" fillId="2" borderId="0" xfId="0" applyFont="1" applyFill="1"/>
    <xf numFmtId="0" fontId="1" fillId="0" borderId="0" xfId="0" applyFont="1"/>
    <xf numFmtId="0" fontId="1" fillId="4" borderId="0" xfId="0" applyFont="1" applyFill="1"/>
    <xf numFmtId="1" fontId="0" fillId="6" borderId="1" xfId="0" applyNumberFormat="1" applyFill="1" applyBorder="1" applyAlignment="1" applyProtection="1">
      <alignment horizontal="right"/>
      <protection locked="0"/>
    </xf>
    <xf numFmtId="0" fontId="0" fillId="6" borderId="1" xfId="0" applyFill="1" applyBorder="1" applyProtection="1">
      <protection locked="0"/>
    </xf>
    <xf numFmtId="0" fontId="0" fillId="6" borderId="1" xfId="0" applyFill="1" applyBorder="1" applyAlignment="1" applyProtection="1">
      <alignment horizontal="left"/>
      <protection locked="0"/>
    </xf>
    <xf numFmtId="4" fontId="0" fillId="6" borderId="1" xfId="0" applyNumberFormat="1" applyFill="1" applyBorder="1" applyProtection="1">
      <protection locked="0"/>
    </xf>
    <xf numFmtId="0" fontId="4" fillId="0" borderId="1" xfId="0" applyFont="1" applyBorder="1" applyProtection="1">
      <protection locked="0"/>
    </xf>
    <xf numFmtId="1" fontId="5" fillId="3" borderId="1" xfId="0" applyNumberFormat="1" applyFont="1" applyFill="1" applyBorder="1" applyAlignment="1">
      <alignment horizontal="center" vertical="center" wrapText="1"/>
    </xf>
    <xf numFmtId="1" fontId="5" fillId="3" borderId="1" xfId="0" applyNumberFormat="1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/>
    </xf>
    <xf numFmtId="0" fontId="4" fillId="4" borderId="0" xfId="0" applyFont="1" applyFill="1" applyProtection="1">
      <protection locked="0"/>
    </xf>
    <xf numFmtId="0" fontId="4" fillId="0" borderId="0" xfId="0" applyFont="1" applyProtection="1">
      <protection locked="0"/>
    </xf>
    <xf numFmtId="1" fontId="4" fillId="4" borderId="1" xfId="0" applyNumberFormat="1" applyFont="1" applyFill="1" applyBorder="1" applyAlignment="1" applyProtection="1">
      <alignment horizontal="right"/>
      <protection locked="0"/>
    </xf>
    <xf numFmtId="0" fontId="4" fillId="5" borderId="6" xfId="0" applyFont="1" applyFill="1" applyBorder="1" applyProtection="1">
      <protection locked="0" hidden="1"/>
    </xf>
    <xf numFmtId="0" fontId="6" fillId="0" borderId="1" xfId="2" applyFont="1" applyBorder="1" applyProtection="1">
      <protection locked="0"/>
    </xf>
    <xf numFmtId="0" fontId="6" fillId="0" borderId="1" xfId="2" applyFont="1" applyBorder="1" applyAlignment="1" applyProtection="1">
      <alignment horizontal="left"/>
      <protection locked="0"/>
    </xf>
    <xf numFmtId="0" fontId="4" fillId="0" borderId="1" xfId="0" applyFont="1" applyBorder="1" applyAlignment="1" applyProtection="1">
      <alignment horizontal="center"/>
      <protection locked="0"/>
    </xf>
    <xf numFmtId="0" fontId="4" fillId="0" borderId="1" xfId="0" applyFont="1" applyBorder="1" applyAlignment="1" applyProtection="1">
      <alignment horizontal="center" vertical="center"/>
      <protection locked="0"/>
    </xf>
    <xf numFmtId="4" fontId="4" fillId="0" borderId="1" xfId="0" applyNumberFormat="1" applyFont="1" applyBorder="1" applyProtection="1">
      <protection locked="0"/>
    </xf>
    <xf numFmtId="164" fontId="4" fillId="4" borderId="1" xfId="1" applyNumberFormat="1" applyFont="1" applyFill="1" applyBorder="1" applyProtection="1">
      <protection locked="0"/>
    </xf>
    <xf numFmtId="0" fontId="4" fillId="5" borderId="0" xfId="0" applyFont="1" applyFill="1" applyProtection="1">
      <protection locked="0" hidden="1"/>
    </xf>
    <xf numFmtId="0" fontId="4" fillId="0" borderId="1" xfId="0" applyFont="1" applyBorder="1" applyAlignment="1" applyProtection="1">
      <alignment horizontal="right"/>
      <protection locked="0"/>
    </xf>
    <xf numFmtId="0" fontId="7" fillId="0" borderId="0" xfId="0" applyFont="1" applyProtection="1">
      <protection locked="0"/>
    </xf>
    <xf numFmtId="0" fontId="6" fillId="0" borderId="0" xfId="2" applyFont="1" applyBorder="1" applyProtection="1">
      <protection locked="0"/>
    </xf>
    <xf numFmtId="14" fontId="0" fillId="0" borderId="5" xfId="0" applyNumberFormat="1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0" fontId="0" fillId="0" borderId="0" xfId="0" applyAlignment="1">
      <alignment horizontal="center"/>
    </xf>
    <xf numFmtId="0" fontId="0" fillId="2" borderId="4" xfId="0" applyFill="1" applyBorder="1" applyAlignment="1" applyProtection="1">
      <alignment horizontal="center"/>
      <protection locked="0"/>
    </xf>
    <xf numFmtId="0" fontId="0" fillId="2" borderId="2" xfId="0" applyFill="1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</cellXfs>
  <cellStyles count="3">
    <cellStyle name="Hipervínculo" xfId="2" builtinId="8"/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22412</xdr:rowOff>
    </xdr:from>
    <xdr:to>
      <xdr:col>10</xdr:col>
      <xdr:colOff>896472</xdr:colOff>
      <xdr:row>0</xdr:row>
      <xdr:rowOff>1613647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7DA210B-B773-72B1-17AD-9E764DF57A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2412"/>
          <a:ext cx="11934266" cy="15912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P52"/>
  <sheetViews>
    <sheetView tabSelected="1" zoomScale="85" zoomScaleNormal="85" workbookViewId="0">
      <pane ySplit="6" topLeftCell="A11" activePane="bottomLeft" state="frozen"/>
      <selection pane="bottomLeft" activeCell="E15" sqref="E15"/>
    </sheetView>
  </sheetViews>
  <sheetFormatPr baseColWidth="10" defaultColWidth="8.88671875" defaultRowHeight="14.4" x14ac:dyDescent="0.3"/>
  <cols>
    <col min="1" max="1" width="13.6640625" style="9" customWidth="1"/>
    <col min="2" max="2" width="8.88671875" style="9"/>
    <col min="3" max="3" width="17" style="9" bestFit="1" customWidth="1"/>
    <col min="4" max="4" width="20.6640625" style="9" bestFit="1" customWidth="1"/>
    <col min="5" max="5" width="11.33203125" style="9" customWidth="1"/>
    <col min="6" max="6" width="19.44140625" style="9" customWidth="1"/>
    <col min="7" max="7" width="22.44140625" style="9" bestFit="1" customWidth="1"/>
    <col min="8" max="8" width="21.33203125" style="9" bestFit="1" customWidth="1"/>
    <col min="9" max="9" width="21.6640625" style="9" customWidth="1"/>
    <col min="10" max="10" width="11.88671875" style="9" bestFit="1" customWidth="1"/>
    <col min="11" max="11" width="14" style="9" customWidth="1"/>
    <col min="12" max="12" width="19.33203125" style="8" customWidth="1"/>
    <col min="13" max="13" width="19.5546875" style="8" customWidth="1"/>
    <col min="14" max="146" width="8.88671875" style="8"/>
    <col min="147" max="16384" width="8.88671875" style="9"/>
  </cols>
  <sheetData>
    <row r="1" spans="1:146" ht="137.25" customHeight="1" x14ac:dyDescent="0.3">
      <c r="A1" s="38"/>
      <c r="B1" s="38"/>
      <c r="C1" s="38"/>
      <c r="D1" s="38"/>
      <c r="E1" s="38"/>
      <c r="F1" s="38"/>
      <c r="G1" s="38"/>
      <c r="H1" s="38"/>
      <c r="I1" s="38"/>
      <c r="J1" s="38"/>
      <c r="K1" s="38"/>
    </row>
    <row r="2" spans="1:146" x14ac:dyDescent="0.3">
      <c r="A2" s="10" t="s">
        <v>2244</v>
      </c>
      <c r="B2" s="10"/>
      <c r="C2" s="10"/>
      <c r="D2" s="39">
        <v>901662589</v>
      </c>
      <c r="E2" s="40"/>
      <c r="F2" s="40"/>
      <c r="G2" s="8"/>
      <c r="H2" s="8"/>
      <c r="I2" s="8"/>
      <c r="J2" s="8"/>
      <c r="K2" s="8"/>
    </row>
    <row r="3" spans="1:146" x14ac:dyDescent="0.3">
      <c r="A3" s="11" t="s">
        <v>2245</v>
      </c>
      <c r="B3" s="11"/>
      <c r="C3" s="11"/>
      <c r="D3" s="41" t="s">
        <v>2388</v>
      </c>
      <c r="E3" s="42"/>
      <c r="F3" s="42"/>
      <c r="G3" s="8"/>
      <c r="H3" s="8"/>
      <c r="I3" s="8"/>
      <c r="J3" s="8"/>
      <c r="K3" s="8"/>
    </row>
    <row r="4" spans="1:146" x14ac:dyDescent="0.3">
      <c r="A4" s="10" t="s">
        <v>2246</v>
      </c>
      <c r="B4" s="10"/>
      <c r="C4" s="10"/>
      <c r="D4" s="39">
        <v>2024</v>
      </c>
      <c r="E4" s="40"/>
      <c r="F4" s="40"/>
      <c r="G4" s="8"/>
      <c r="H4" s="8"/>
      <c r="I4" s="8"/>
      <c r="J4" s="8"/>
      <c r="K4" s="8"/>
    </row>
    <row r="5" spans="1:146" x14ac:dyDescent="0.3">
      <c r="A5" s="12" t="s">
        <v>2247</v>
      </c>
      <c r="B5" s="12"/>
      <c r="C5" s="12"/>
      <c r="D5" s="36">
        <v>45897</v>
      </c>
      <c r="E5" s="37"/>
      <c r="F5" s="37"/>
      <c r="G5" s="8"/>
      <c r="H5" s="8"/>
      <c r="I5" s="8"/>
      <c r="J5" s="8"/>
      <c r="K5" s="8"/>
    </row>
    <row r="6" spans="1:146" s="23" customFormat="1" ht="57.6" x14ac:dyDescent="0.3">
      <c r="A6" s="18" t="s">
        <v>2235</v>
      </c>
      <c r="B6" s="19" t="s">
        <v>0</v>
      </c>
      <c r="C6" s="20" t="s">
        <v>2236</v>
      </c>
      <c r="D6" s="21" t="s">
        <v>1</v>
      </c>
      <c r="E6" s="19" t="s">
        <v>2237</v>
      </c>
      <c r="F6" s="20" t="s">
        <v>2238</v>
      </c>
      <c r="G6" s="19" t="s">
        <v>2239</v>
      </c>
      <c r="H6" s="18" t="s">
        <v>2240</v>
      </c>
      <c r="I6" s="18" t="s">
        <v>2243</v>
      </c>
      <c r="J6" s="18" t="s">
        <v>2241</v>
      </c>
      <c r="K6" s="18" t="s">
        <v>2242</v>
      </c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2"/>
      <c r="BK6" s="22"/>
      <c r="BL6" s="22"/>
      <c r="BM6" s="22"/>
      <c r="BN6" s="22"/>
      <c r="BO6" s="22"/>
      <c r="BP6" s="22"/>
      <c r="BQ6" s="22"/>
      <c r="BR6" s="22"/>
      <c r="BS6" s="22"/>
      <c r="BT6" s="22"/>
      <c r="BU6" s="22"/>
      <c r="BV6" s="22"/>
      <c r="BW6" s="22"/>
      <c r="BX6" s="22"/>
      <c r="BY6" s="22"/>
      <c r="BZ6" s="22"/>
      <c r="CA6" s="22"/>
      <c r="CB6" s="22"/>
      <c r="CC6" s="22"/>
      <c r="CD6" s="22"/>
      <c r="CE6" s="22"/>
      <c r="CF6" s="22"/>
      <c r="CG6" s="22"/>
      <c r="CH6" s="22"/>
      <c r="CI6" s="22"/>
      <c r="CJ6" s="22"/>
      <c r="CK6" s="22"/>
      <c r="CL6" s="22"/>
      <c r="CM6" s="22"/>
      <c r="CN6" s="22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2"/>
      <c r="DA6" s="22"/>
      <c r="DB6" s="22"/>
      <c r="DC6" s="22"/>
      <c r="DD6" s="22"/>
      <c r="DE6" s="22"/>
      <c r="DF6" s="22"/>
      <c r="DG6" s="22"/>
      <c r="DH6" s="22"/>
      <c r="DI6" s="22"/>
      <c r="DJ6" s="22"/>
      <c r="DK6" s="22"/>
      <c r="DL6" s="22"/>
      <c r="DM6" s="22"/>
      <c r="DN6" s="22"/>
      <c r="DO6" s="22"/>
      <c r="DP6" s="22"/>
      <c r="DQ6" s="22"/>
      <c r="DR6" s="22"/>
      <c r="DS6" s="22"/>
      <c r="DT6" s="22"/>
      <c r="DU6" s="22"/>
      <c r="DV6" s="22"/>
      <c r="DW6" s="22"/>
      <c r="DX6" s="22"/>
      <c r="DY6" s="22"/>
      <c r="DZ6" s="22"/>
      <c r="EA6" s="22"/>
      <c r="EB6" s="22"/>
      <c r="EC6" s="22"/>
      <c r="ED6" s="22"/>
      <c r="EE6" s="22"/>
      <c r="EF6" s="22"/>
      <c r="EG6" s="22"/>
      <c r="EH6" s="22"/>
      <c r="EI6" s="22"/>
      <c r="EJ6" s="22"/>
      <c r="EK6" s="22"/>
      <c r="EL6" s="22"/>
      <c r="EM6" s="22"/>
      <c r="EN6" s="22"/>
      <c r="EO6" s="22"/>
      <c r="EP6" s="22"/>
    </row>
    <row r="7" spans="1:146" s="23" customFormat="1" x14ac:dyDescent="0.3">
      <c r="A7" s="24">
        <v>23753596</v>
      </c>
      <c r="B7" s="25">
        <v>2</v>
      </c>
      <c r="C7" s="17" t="s">
        <v>2248</v>
      </c>
      <c r="D7" s="26" t="s">
        <v>2249</v>
      </c>
      <c r="E7" s="27">
        <v>60875478</v>
      </c>
      <c r="F7" s="17" t="s">
        <v>2250</v>
      </c>
      <c r="G7" s="28" t="s">
        <v>724</v>
      </c>
      <c r="H7" s="29">
        <v>211</v>
      </c>
      <c r="I7" s="30">
        <v>444895034</v>
      </c>
      <c r="J7" s="31">
        <f>+I7*0.008</f>
        <v>3559160.2719999999</v>
      </c>
      <c r="K7" s="17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  <c r="AU7" s="22"/>
      <c r="AV7" s="22"/>
      <c r="AW7" s="22"/>
      <c r="AX7" s="22"/>
      <c r="AY7" s="22"/>
      <c r="AZ7" s="22"/>
      <c r="BA7" s="22"/>
      <c r="BB7" s="22"/>
      <c r="BC7" s="22"/>
      <c r="BD7" s="22"/>
      <c r="BE7" s="22"/>
      <c r="BF7" s="22"/>
      <c r="BG7" s="22"/>
      <c r="BH7" s="22"/>
      <c r="BI7" s="22"/>
      <c r="BJ7" s="22"/>
      <c r="BK7" s="22"/>
      <c r="BL7" s="22"/>
      <c r="BM7" s="22"/>
      <c r="BN7" s="22"/>
      <c r="BO7" s="22"/>
      <c r="BP7" s="22"/>
      <c r="BQ7" s="22"/>
      <c r="BR7" s="22"/>
      <c r="BS7" s="22"/>
      <c r="BT7" s="22"/>
      <c r="BU7" s="22"/>
      <c r="BV7" s="22"/>
      <c r="BW7" s="22"/>
      <c r="BX7" s="22"/>
      <c r="BY7" s="22"/>
      <c r="BZ7" s="22"/>
      <c r="CA7" s="22"/>
      <c r="CB7" s="22"/>
      <c r="CC7" s="22"/>
      <c r="CD7" s="22"/>
      <c r="CE7" s="22"/>
      <c r="CF7" s="22"/>
      <c r="CG7" s="22"/>
      <c r="CH7" s="22"/>
      <c r="CI7" s="22"/>
      <c r="CJ7" s="22"/>
      <c r="CK7" s="22"/>
      <c r="CL7" s="22"/>
      <c r="CM7" s="22"/>
      <c r="CN7" s="22"/>
      <c r="CO7" s="22"/>
      <c r="CP7" s="22"/>
      <c r="CQ7" s="22"/>
      <c r="CR7" s="22"/>
      <c r="CS7" s="22"/>
      <c r="CT7" s="22"/>
      <c r="CU7" s="22"/>
      <c r="CV7" s="22"/>
      <c r="CW7" s="22"/>
      <c r="CX7" s="22"/>
      <c r="CY7" s="22"/>
      <c r="CZ7" s="22"/>
      <c r="DA7" s="22"/>
      <c r="DB7" s="22"/>
      <c r="DC7" s="22"/>
      <c r="DD7" s="22"/>
      <c r="DE7" s="22"/>
      <c r="DF7" s="22"/>
      <c r="DG7" s="22"/>
      <c r="DH7" s="22"/>
      <c r="DI7" s="22"/>
      <c r="DJ7" s="22"/>
      <c r="DK7" s="22"/>
      <c r="DL7" s="22"/>
      <c r="DM7" s="22"/>
      <c r="DN7" s="22"/>
      <c r="DO7" s="22"/>
      <c r="DP7" s="22"/>
      <c r="DQ7" s="22"/>
      <c r="DR7" s="22"/>
      <c r="DS7" s="22"/>
      <c r="DT7" s="22"/>
      <c r="DU7" s="22"/>
      <c r="DV7" s="22"/>
      <c r="DW7" s="22"/>
      <c r="DX7" s="22"/>
      <c r="DY7" s="22"/>
      <c r="DZ7" s="22"/>
      <c r="EA7" s="22"/>
      <c r="EB7" s="22"/>
      <c r="EC7" s="22"/>
      <c r="ED7" s="22"/>
      <c r="EE7" s="22"/>
      <c r="EF7" s="22"/>
      <c r="EG7" s="22"/>
      <c r="EH7" s="22"/>
      <c r="EI7" s="22"/>
      <c r="EJ7" s="22"/>
      <c r="EK7" s="22"/>
      <c r="EL7" s="22"/>
      <c r="EM7" s="22"/>
      <c r="EN7" s="22"/>
      <c r="EO7" s="22"/>
      <c r="EP7" s="22"/>
    </row>
    <row r="8" spans="1:146" s="23" customFormat="1" x14ac:dyDescent="0.3">
      <c r="A8" s="24">
        <v>826000089</v>
      </c>
      <c r="B8" s="32">
        <v>1</v>
      </c>
      <c r="C8" s="17" t="s">
        <v>2251</v>
      </c>
      <c r="D8" s="26" t="s">
        <v>2252</v>
      </c>
      <c r="E8" s="27">
        <v>608770675</v>
      </c>
      <c r="F8" s="17" t="s">
        <v>2253</v>
      </c>
      <c r="G8" s="28" t="s">
        <v>720</v>
      </c>
      <c r="H8" s="29">
        <v>211</v>
      </c>
      <c r="I8" s="30">
        <v>296935686</v>
      </c>
      <c r="J8" s="31">
        <v>0</v>
      </c>
      <c r="K8" s="17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22"/>
      <c r="AM8" s="22"/>
      <c r="AN8" s="22"/>
      <c r="AO8" s="22"/>
      <c r="AP8" s="22"/>
      <c r="AQ8" s="22"/>
      <c r="AR8" s="22"/>
      <c r="AS8" s="22"/>
      <c r="AT8" s="22"/>
      <c r="AU8" s="22"/>
      <c r="AV8" s="22"/>
      <c r="AW8" s="22"/>
      <c r="AX8" s="22"/>
      <c r="AY8" s="22"/>
      <c r="AZ8" s="22"/>
      <c r="BA8" s="22"/>
      <c r="BB8" s="22"/>
      <c r="BC8" s="22"/>
      <c r="BD8" s="22"/>
      <c r="BE8" s="22"/>
      <c r="BF8" s="22"/>
      <c r="BG8" s="22"/>
      <c r="BH8" s="22"/>
      <c r="BI8" s="22"/>
      <c r="BJ8" s="22"/>
      <c r="BK8" s="22"/>
      <c r="BL8" s="22"/>
      <c r="BM8" s="22"/>
      <c r="BN8" s="22"/>
      <c r="BO8" s="22"/>
      <c r="BP8" s="22"/>
      <c r="BQ8" s="22"/>
      <c r="BR8" s="22"/>
      <c r="BS8" s="22"/>
      <c r="BT8" s="22"/>
      <c r="BU8" s="22"/>
      <c r="BV8" s="22"/>
      <c r="BW8" s="22"/>
      <c r="BX8" s="22"/>
      <c r="BY8" s="22"/>
      <c r="BZ8" s="22"/>
      <c r="CA8" s="22"/>
      <c r="CB8" s="22"/>
      <c r="CC8" s="22"/>
      <c r="CD8" s="22"/>
      <c r="CE8" s="22"/>
      <c r="CF8" s="22"/>
      <c r="CG8" s="22"/>
      <c r="CH8" s="22"/>
      <c r="CI8" s="22"/>
      <c r="CJ8" s="22"/>
      <c r="CK8" s="22"/>
      <c r="CL8" s="22"/>
      <c r="CM8" s="22"/>
      <c r="CN8" s="22"/>
      <c r="CO8" s="22"/>
      <c r="CP8" s="22"/>
      <c r="CQ8" s="22"/>
      <c r="CR8" s="22"/>
      <c r="CS8" s="22"/>
      <c r="CT8" s="22"/>
      <c r="CU8" s="22"/>
      <c r="CV8" s="22"/>
      <c r="CW8" s="22"/>
      <c r="CX8" s="22"/>
      <c r="CY8" s="22"/>
      <c r="CZ8" s="22"/>
      <c r="DA8" s="22"/>
      <c r="DB8" s="22"/>
      <c r="DC8" s="22"/>
      <c r="DD8" s="22"/>
      <c r="DE8" s="22"/>
      <c r="DF8" s="22"/>
      <c r="DG8" s="22"/>
      <c r="DH8" s="22"/>
      <c r="DI8" s="22"/>
      <c r="DJ8" s="22"/>
      <c r="DK8" s="22"/>
      <c r="DL8" s="22"/>
      <c r="DM8" s="22"/>
      <c r="DN8" s="22"/>
      <c r="DO8" s="22"/>
      <c r="DP8" s="22"/>
      <c r="DQ8" s="22"/>
      <c r="DR8" s="22"/>
      <c r="DS8" s="22"/>
      <c r="DT8" s="22"/>
      <c r="DU8" s="22"/>
      <c r="DV8" s="22"/>
      <c r="DW8" s="22"/>
      <c r="DX8" s="22"/>
      <c r="DY8" s="22"/>
      <c r="DZ8" s="22"/>
      <c r="EA8" s="22"/>
      <c r="EB8" s="22"/>
      <c r="EC8" s="22"/>
      <c r="ED8" s="22"/>
      <c r="EE8" s="22"/>
      <c r="EF8" s="22"/>
      <c r="EG8" s="22"/>
      <c r="EH8" s="22"/>
      <c r="EI8" s="22"/>
      <c r="EJ8" s="22"/>
      <c r="EK8" s="22"/>
      <c r="EL8" s="22"/>
      <c r="EM8" s="22"/>
      <c r="EN8" s="22"/>
      <c r="EO8" s="22"/>
      <c r="EP8" s="22"/>
    </row>
    <row r="9" spans="1:146" s="23" customFormat="1" x14ac:dyDescent="0.3">
      <c r="A9" s="24">
        <v>901658117</v>
      </c>
      <c r="B9" s="32">
        <v>6</v>
      </c>
      <c r="C9" s="17" t="s">
        <v>2254</v>
      </c>
      <c r="D9" s="26" t="s">
        <v>2255</v>
      </c>
      <c r="E9" s="27">
        <v>3123411951</v>
      </c>
      <c r="F9" s="17" t="s">
        <v>2256</v>
      </c>
      <c r="G9" s="28" t="s">
        <v>724</v>
      </c>
      <c r="H9" s="29">
        <v>211</v>
      </c>
      <c r="I9" s="30">
        <v>57511682</v>
      </c>
      <c r="J9" s="31">
        <v>497674</v>
      </c>
      <c r="K9" s="17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22"/>
      <c r="AL9" s="22"/>
      <c r="AM9" s="22"/>
      <c r="AN9" s="22"/>
      <c r="AO9" s="22"/>
      <c r="AP9" s="22"/>
      <c r="AQ9" s="22"/>
      <c r="AR9" s="22"/>
      <c r="AS9" s="22"/>
      <c r="AT9" s="22"/>
      <c r="AU9" s="22"/>
      <c r="AV9" s="22"/>
      <c r="AW9" s="22"/>
      <c r="AX9" s="22"/>
      <c r="AY9" s="22"/>
      <c r="AZ9" s="22"/>
      <c r="BA9" s="22"/>
      <c r="BB9" s="22"/>
      <c r="BC9" s="22"/>
      <c r="BD9" s="22"/>
      <c r="BE9" s="22"/>
      <c r="BF9" s="22"/>
      <c r="BG9" s="22"/>
      <c r="BH9" s="22"/>
      <c r="BI9" s="22"/>
      <c r="BJ9" s="22"/>
      <c r="BK9" s="22"/>
      <c r="BL9" s="22"/>
      <c r="BM9" s="22"/>
      <c r="BN9" s="22"/>
      <c r="BO9" s="22"/>
      <c r="BP9" s="22"/>
      <c r="BQ9" s="22"/>
      <c r="BR9" s="22"/>
      <c r="BS9" s="22"/>
      <c r="BT9" s="22"/>
      <c r="BU9" s="22"/>
      <c r="BV9" s="22"/>
      <c r="BW9" s="22"/>
      <c r="BX9" s="22"/>
      <c r="BY9" s="22"/>
      <c r="BZ9" s="22"/>
      <c r="CA9" s="22"/>
      <c r="CB9" s="22"/>
      <c r="CC9" s="22"/>
      <c r="CD9" s="22"/>
      <c r="CE9" s="22"/>
      <c r="CF9" s="22"/>
      <c r="CG9" s="22"/>
      <c r="CH9" s="22"/>
      <c r="CI9" s="22"/>
      <c r="CJ9" s="22"/>
      <c r="CK9" s="22"/>
      <c r="CL9" s="22"/>
      <c r="CM9" s="22"/>
      <c r="CN9" s="22"/>
      <c r="CO9" s="22"/>
      <c r="CP9" s="22"/>
      <c r="CQ9" s="22"/>
      <c r="CR9" s="22"/>
      <c r="CS9" s="22"/>
      <c r="CT9" s="22"/>
      <c r="CU9" s="22"/>
      <c r="CV9" s="22"/>
      <c r="CW9" s="22"/>
      <c r="CX9" s="22"/>
      <c r="CY9" s="22"/>
      <c r="CZ9" s="22"/>
      <c r="DA9" s="22"/>
      <c r="DB9" s="22"/>
      <c r="DC9" s="22"/>
      <c r="DD9" s="22"/>
      <c r="DE9" s="22"/>
      <c r="DF9" s="22"/>
      <c r="DG9" s="22"/>
      <c r="DH9" s="22"/>
      <c r="DI9" s="22"/>
      <c r="DJ9" s="22"/>
      <c r="DK9" s="22"/>
      <c r="DL9" s="22"/>
      <c r="DM9" s="22"/>
      <c r="DN9" s="22"/>
      <c r="DO9" s="22"/>
      <c r="DP9" s="22"/>
      <c r="DQ9" s="22"/>
      <c r="DR9" s="22"/>
      <c r="DS9" s="22"/>
      <c r="DT9" s="22"/>
      <c r="DU9" s="22"/>
      <c r="DV9" s="22"/>
      <c r="DW9" s="22"/>
      <c r="DX9" s="22"/>
      <c r="DY9" s="22"/>
      <c r="DZ9" s="22"/>
      <c r="EA9" s="22"/>
      <c r="EB9" s="22"/>
      <c r="EC9" s="22"/>
      <c r="ED9" s="22"/>
      <c r="EE9" s="22"/>
      <c r="EF9" s="22"/>
      <c r="EG9" s="22"/>
      <c r="EH9" s="22"/>
      <c r="EI9" s="22"/>
      <c r="EJ9" s="22"/>
      <c r="EK9" s="22"/>
      <c r="EL9" s="22"/>
      <c r="EM9" s="22"/>
      <c r="EN9" s="22"/>
      <c r="EO9" s="22"/>
      <c r="EP9" s="22"/>
    </row>
    <row r="10" spans="1:146" s="23" customFormat="1" x14ac:dyDescent="0.3">
      <c r="A10" s="33" t="s">
        <v>2257</v>
      </c>
      <c r="B10" s="32">
        <v>1</v>
      </c>
      <c r="C10" s="17" t="s">
        <v>2258</v>
      </c>
      <c r="D10" s="26" t="s">
        <v>2259</v>
      </c>
      <c r="E10" s="27">
        <v>3123411951</v>
      </c>
      <c r="F10" s="17" t="s">
        <v>2260</v>
      </c>
      <c r="G10" s="28" t="s">
        <v>724</v>
      </c>
      <c r="H10" s="29">
        <v>301</v>
      </c>
      <c r="I10" s="30">
        <v>35061584</v>
      </c>
      <c r="J10" s="31">
        <v>271848</v>
      </c>
      <c r="K10" s="17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2"/>
      <c r="AJ10" s="22"/>
      <c r="AK10" s="22"/>
      <c r="AL10" s="22"/>
      <c r="AM10" s="22"/>
      <c r="AN10" s="22"/>
      <c r="AO10" s="22"/>
      <c r="AP10" s="22"/>
      <c r="AQ10" s="22"/>
      <c r="AR10" s="22"/>
      <c r="AS10" s="22"/>
      <c r="AT10" s="22"/>
      <c r="AU10" s="22"/>
      <c r="AV10" s="22"/>
      <c r="AW10" s="22"/>
      <c r="AX10" s="22"/>
      <c r="AY10" s="22"/>
      <c r="AZ10" s="22"/>
      <c r="BA10" s="22"/>
      <c r="BB10" s="22"/>
      <c r="BC10" s="22"/>
      <c r="BD10" s="22"/>
      <c r="BE10" s="22"/>
      <c r="BF10" s="22"/>
      <c r="BG10" s="22"/>
      <c r="BH10" s="22"/>
      <c r="BI10" s="22"/>
      <c r="BJ10" s="22"/>
      <c r="BK10" s="22"/>
      <c r="BL10" s="22"/>
      <c r="BM10" s="22"/>
      <c r="BN10" s="22"/>
      <c r="BO10" s="22"/>
      <c r="BP10" s="22"/>
      <c r="BQ10" s="22"/>
      <c r="BR10" s="22"/>
      <c r="BS10" s="22"/>
      <c r="BT10" s="22"/>
      <c r="BU10" s="22"/>
      <c r="BV10" s="22"/>
      <c r="BW10" s="22"/>
      <c r="BX10" s="22"/>
      <c r="BY10" s="22"/>
      <c r="BZ10" s="22"/>
      <c r="CA10" s="22"/>
      <c r="CB10" s="22"/>
      <c r="CC10" s="22"/>
      <c r="CD10" s="22"/>
      <c r="CE10" s="22"/>
      <c r="CF10" s="22"/>
      <c r="CG10" s="22"/>
      <c r="CH10" s="22"/>
      <c r="CI10" s="22"/>
      <c r="CJ10" s="22"/>
      <c r="CK10" s="22"/>
      <c r="CL10" s="22"/>
      <c r="CM10" s="22"/>
      <c r="CN10" s="22"/>
      <c r="CO10" s="22"/>
      <c r="CP10" s="22"/>
      <c r="CQ10" s="22"/>
      <c r="CR10" s="22"/>
      <c r="CS10" s="22"/>
      <c r="CT10" s="22"/>
      <c r="CU10" s="22"/>
      <c r="CV10" s="22"/>
      <c r="CW10" s="22"/>
      <c r="CX10" s="22"/>
      <c r="CY10" s="22"/>
      <c r="CZ10" s="22"/>
      <c r="DA10" s="22"/>
      <c r="DB10" s="22"/>
      <c r="DC10" s="22"/>
      <c r="DD10" s="22"/>
      <c r="DE10" s="22"/>
      <c r="DF10" s="22"/>
      <c r="DG10" s="22"/>
      <c r="DH10" s="22"/>
      <c r="DI10" s="22"/>
      <c r="DJ10" s="22"/>
      <c r="DK10" s="22"/>
      <c r="DL10" s="22"/>
      <c r="DM10" s="22"/>
      <c r="DN10" s="22"/>
      <c r="DO10" s="22"/>
      <c r="DP10" s="22"/>
      <c r="DQ10" s="22"/>
      <c r="DR10" s="22"/>
      <c r="DS10" s="22"/>
      <c r="DT10" s="22"/>
      <c r="DU10" s="22"/>
      <c r="DV10" s="22"/>
      <c r="DW10" s="22"/>
      <c r="DX10" s="22"/>
      <c r="DY10" s="22"/>
      <c r="DZ10" s="22"/>
      <c r="EA10" s="22"/>
      <c r="EB10" s="22"/>
      <c r="EC10" s="22"/>
      <c r="ED10" s="22"/>
      <c r="EE10" s="22"/>
      <c r="EF10" s="22"/>
      <c r="EG10" s="22"/>
      <c r="EH10" s="22"/>
      <c r="EI10" s="22"/>
      <c r="EJ10" s="22"/>
      <c r="EK10" s="22"/>
      <c r="EL10" s="22"/>
      <c r="EM10" s="22"/>
      <c r="EN10" s="22"/>
      <c r="EO10" s="22"/>
      <c r="EP10" s="22"/>
    </row>
    <row r="11" spans="1:146" s="23" customFormat="1" x14ac:dyDescent="0.3">
      <c r="A11" s="24">
        <v>900825521</v>
      </c>
      <c r="B11" s="32">
        <v>1</v>
      </c>
      <c r="C11" s="17" t="s">
        <v>2261</v>
      </c>
      <c r="D11" s="26" t="s">
        <v>2262</v>
      </c>
      <c r="E11" s="27" t="s">
        <v>2263</v>
      </c>
      <c r="F11" s="17" t="s">
        <v>2264</v>
      </c>
      <c r="G11" s="28" t="s">
        <v>519</v>
      </c>
      <c r="H11" s="29">
        <v>211</v>
      </c>
      <c r="I11" s="30">
        <v>25565073</v>
      </c>
      <c r="J11" s="31">
        <v>0</v>
      </c>
      <c r="K11" s="17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2"/>
      <c r="AL11" s="22"/>
      <c r="AM11" s="22"/>
      <c r="AN11" s="22"/>
      <c r="AO11" s="22"/>
      <c r="AP11" s="22"/>
      <c r="AQ11" s="22"/>
      <c r="AR11" s="22"/>
      <c r="AS11" s="22"/>
      <c r="AT11" s="22"/>
      <c r="AU11" s="22"/>
      <c r="AV11" s="22"/>
      <c r="AW11" s="22"/>
      <c r="AX11" s="22"/>
      <c r="AY11" s="22"/>
      <c r="AZ11" s="22"/>
      <c r="BA11" s="22"/>
      <c r="BB11" s="22"/>
      <c r="BC11" s="22"/>
      <c r="BD11" s="22"/>
      <c r="BE11" s="22"/>
      <c r="BF11" s="22"/>
      <c r="BG11" s="22"/>
      <c r="BH11" s="22"/>
      <c r="BI11" s="22"/>
      <c r="BJ11" s="22"/>
      <c r="BK11" s="22"/>
      <c r="BL11" s="22"/>
      <c r="BM11" s="22"/>
      <c r="BN11" s="22"/>
      <c r="BO11" s="22"/>
      <c r="BP11" s="22"/>
      <c r="BQ11" s="22"/>
      <c r="BR11" s="22"/>
      <c r="BS11" s="22"/>
      <c r="BT11" s="22"/>
      <c r="BU11" s="22"/>
      <c r="BV11" s="22"/>
      <c r="BW11" s="22"/>
      <c r="BX11" s="22"/>
      <c r="BY11" s="22"/>
      <c r="BZ11" s="22"/>
      <c r="CA11" s="22"/>
      <c r="CB11" s="22"/>
      <c r="CC11" s="22"/>
      <c r="CD11" s="22"/>
      <c r="CE11" s="22"/>
      <c r="CF11" s="22"/>
      <c r="CG11" s="22"/>
      <c r="CH11" s="22"/>
      <c r="CI11" s="22"/>
      <c r="CJ11" s="22"/>
      <c r="CK11" s="22"/>
      <c r="CL11" s="22"/>
      <c r="CM11" s="22"/>
      <c r="CN11" s="22"/>
      <c r="CO11" s="22"/>
      <c r="CP11" s="22"/>
      <c r="CQ11" s="22"/>
      <c r="CR11" s="22"/>
      <c r="CS11" s="22"/>
      <c r="CT11" s="22"/>
      <c r="CU11" s="22"/>
      <c r="CV11" s="22"/>
      <c r="CW11" s="22"/>
      <c r="CX11" s="22"/>
      <c r="CY11" s="22"/>
      <c r="CZ11" s="22"/>
      <c r="DA11" s="22"/>
      <c r="DB11" s="22"/>
      <c r="DC11" s="22"/>
      <c r="DD11" s="22"/>
      <c r="DE11" s="22"/>
      <c r="DF11" s="22"/>
      <c r="DG11" s="22"/>
      <c r="DH11" s="22"/>
      <c r="DI11" s="22"/>
      <c r="DJ11" s="22"/>
      <c r="DK11" s="22"/>
      <c r="DL11" s="22"/>
      <c r="DM11" s="22"/>
      <c r="DN11" s="22"/>
      <c r="DO11" s="22"/>
      <c r="DP11" s="22"/>
      <c r="DQ11" s="22"/>
      <c r="DR11" s="22"/>
      <c r="DS11" s="22"/>
      <c r="DT11" s="22"/>
      <c r="DU11" s="22"/>
      <c r="DV11" s="22"/>
      <c r="DW11" s="22"/>
      <c r="DX11" s="22"/>
      <c r="DY11" s="22"/>
      <c r="DZ11" s="22"/>
      <c r="EA11" s="22"/>
      <c r="EB11" s="22"/>
      <c r="EC11" s="22"/>
      <c r="ED11" s="22"/>
      <c r="EE11" s="22"/>
      <c r="EF11" s="22"/>
      <c r="EG11" s="22"/>
      <c r="EH11" s="22"/>
      <c r="EI11" s="22"/>
      <c r="EJ11" s="22"/>
      <c r="EK11" s="22"/>
      <c r="EL11" s="22"/>
      <c r="EM11" s="22"/>
      <c r="EN11" s="22"/>
      <c r="EO11" s="22"/>
      <c r="EP11" s="22"/>
    </row>
    <row r="12" spans="1:146" s="23" customFormat="1" x14ac:dyDescent="0.3">
      <c r="A12" s="24">
        <v>1053615496</v>
      </c>
      <c r="B12" s="32">
        <v>3</v>
      </c>
      <c r="C12" s="17" t="s">
        <v>2265</v>
      </c>
      <c r="D12" s="26" t="s">
        <v>2266</v>
      </c>
      <c r="E12" s="27">
        <v>3098547454</v>
      </c>
      <c r="F12" s="17" t="s">
        <v>2267</v>
      </c>
      <c r="G12" s="28" t="s">
        <v>724</v>
      </c>
      <c r="H12" s="29">
        <v>211</v>
      </c>
      <c r="I12" s="30">
        <v>20597000</v>
      </c>
      <c r="J12" s="31">
        <f>+I12*9/1000</f>
        <v>185373</v>
      </c>
      <c r="K12" s="17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2"/>
      <c r="AS12" s="22"/>
      <c r="AT12" s="22"/>
      <c r="AU12" s="22"/>
      <c r="AV12" s="22"/>
      <c r="AW12" s="22"/>
      <c r="AX12" s="22"/>
      <c r="AY12" s="22"/>
      <c r="AZ12" s="22"/>
      <c r="BA12" s="22"/>
      <c r="BB12" s="22"/>
      <c r="BC12" s="22"/>
      <c r="BD12" s="22"/>
      <c r="BE12" s="22"/>
      <c r="BF12" s="22"/>
      <c r="BG12" s="22"/>
      <c r="BH12" s="22"/>
      <c r="BI12" s="22"/>
      <c r="BJ12" s="22"/>
      <c r="BK12" s="22"/>
      <c r="BL12" s="22"/>
      <c r="BM12" s="22"/>
      <c r="BN12" s="22"/>
      <c r="BO12" s="22"/>
      <c r="BP12" s="22"/>
      <c r="BQ12" s="22"/>
      <c r="BR12" s="22"/>
      <c r="BS12" s="22"/>
      <c r="BT12" s="22"/>
      <c r="BU12" s="22"/>
      <c r="BV12" s="22"/>
      <c r="BW12" s="22"/>
      <c r="BX12" s="22"/>
      <c r="BY12" s="22"/>
      <c r="BZ12" s="22"/>
      <c r="CA12" s="22"/>
      <c r="CB12" s="22"/>
      <c r="CC12" s="22"/>
      <c r="CD12" s="22"/>
      <c r="CE12" s="22"/>
      <c r="CF12" s="22"/>
      <c r="CG12" s="22"/>
      <c r="CH12" s="22"/>
      <c r="CI12" s="22"/>
      <c r="CJ12" s="22"/>
      <c r="CK12" s="22"/>
      <c r="CL12" s="22"/>
      <c r="CM12" s="22"/>
      <c r="CN12" s="22"/>
      <c r="CO12" s="22"/>
      <c r="CP12" s="22"/>
      <c r="CQ12" s="22"/>
      <c r="CR12" s="22"/>
      <c r="CS12" s="22"/>
      <c r="CT12" s="22"/>
      <c r="CU12" s="22"/>
      <c r="CV12" s="22"/>
      <c r="CW12" s="22"/>
      <c r="CX12" s="22"/>
      <c r="CY12" s="22"/>
      <c r="CZ12" s="22"/>
      <c r="DA12" s="22"/>
      <c r="DB12" s="22"/>
      <c r="DC12" s="22"/>
      <c r="DD12" s="22"/>
      <c r="DE12" s="22"/>
      <c r="DF12" s="22"/>
      <c r="DG12" s="22"/>
      <c r="DH12" s="22"/>
      <c r="DI12" s="22"/>
      <c r="DJ12" s="22"/>
      <c r="DK12" s="22"/>
      <c r="DL12" s="22"/>
      <c r="DM12" s="22"/>
      <c r="DN12" s="22"/>
      <c r="DO12" s="22"/>
      <c r="DP12" s="22"/>
      <c r="DQ12" s="22"/>
      <c r="DR12" s="22"/>
      <c r="DS12" s="22"/>
      <c r="DT12" s="22"/>
      <c r="DU12" s="22"/>
      <c r="DV12" s="22"/>
      <c r="DW12" s="22"/>
      <c r="DX12" s="22"/>
      <c r="DY12" s="22"/>
      <c r="DZ12" s="22"/>
      <c r="EA12" s="22"/>
      <c r="EB12" s="22"/>
      <c r="EC12" s="22"/>
      <c r="ED12" s="22"/>
      <c r="EE12" s="22"/>
      <c r="EF12" s="22"/>
      <c r="EG12" s="22"/>
      <c r="EH12" s="22"/>
      <c r="EI12" s="22"/>
      <c r="EJ12" s="22"/>
      <c r="EK12" s="22"/>
      <c r="EL12" s="22"/>
      <c r="EM12" s="22"/>
      <c r="EN12" s="22"/>
      <c r="EO12" s="22"/>
      <c r="EP12" s="22"/>
    </row>
    <row r="13" spans="1:146" s="23" customFormat="1" x14ac:dyDescent="0.3">
      <c r="A13" s="24">
        <v>800185511</v>
      </c>
      <c r="B13" s="32">
        <v>8</v>
      </c>
      <c r="C13" s="17" t="s">
        <v>2268</v>
      </c>
      <c r="D13" s="26" t="s">
        <v>2269</v>
      </c>
      <c r="E13" s="27">
        <v>6087851186</v>
      </c>
      <c r="F13" s="17" t="s">
        <v>2270</v>
      </c>
      <c r="G13" s="28" t="s">
        <v>724</v>
      </c>
      <c r="H13" s="29">
        <v>211</v>
      </c>
      <c r="I13" s="30">
        <v>18450000</v>
      </c>
      <c r="J13" s="31">
        <v>0</v>
      </c>
      <c r="K13" s="17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  <c r="AS13" s="22"/>
      <c r="AT13" s="22"/>
      <c r="AU13" s="22"/>
      <c r="AV13" s="22"/>
      <c r="AW13" s="22"/>
      <c r="AX13" s="22"/>
      <c r="AY13" s="22"/>
      <c r="AZ13" s="22"/>
      <c r="BA13" s="22"/>
      <c r="BB13" s="22"/>
      <c r="BC13" s="22"/>
      <c r="BD13" s="22"/>
      <c r="BE13" s="22"/>
      <c r="BF13" s="22"/>
      <c r="BG13" s="22"/>
      <c r="BH13" s="22"/>
      <c r="BI13" s="22"/>
      <c r="BJ13" s="22"/>
      <c r="BK13" s="22"/>
      <c r="BL13" s="22"/>
      <c r="BM13" s="22"/>
      <c r="BN13" s="22"/>
      <c r="BO13" s="22"/>
      <c r="BP13" s="22"/>
      <c r="BQ13" s="22"/>
      <c r="BR13" s="22"/>
      <c r="BS13" s="22"/>
      <c r="BT13" s="22"/>
      <c r="BU13" s="22"/>
      <c r="BV13" s="22"/>
      <c r="BW13" s="22"/>
      <c r="BX13" s="22"/>
      <c r="BY13" s="22"/>
      <c r="BZ13" s="22"/>
      <c r="CA13" s="22"/>
      <c r="CB13" s="22"/>
      <c r="CC13" s="22"/>
      <c r="CD13" s="22"/>
      <c r="CE13" s="22"/>
      <c r="CF13" s="22"/>
      <c r="CG13" s="22"/>
      <c r="CH13" s="22"/>
      <c r="CI13" s="22"/>
      <c r="CJ13" s="22"/>
      <c r="CK13" s="22"/>
      <c r="CL13" s="22"/>
      <c r="CM13" s="22"/>
      <c r="CN13" s="22"/>
      <c r="CO13" s="22"/>
      <c r="CP13" s="22"/>
      <c r="CQ13" s="22"/>
      <c r="CR13" s="22"/>
      <c r="CS13" s="22"/>
      <c r="CT13" s="22"/>
      <c r="CU13" s="22"/>
      <c r="CV13" s="22"/>
      <c r="CW13" s="22"/>
      <c r="CX13" s="22"/>
      <c r="CY13" s="22"/>
      <c r="CZ13" s="22"/>
      <c r="DA13" s="22"/>
      <c r="DB13" s="22"/>
      <c r="DC13" s="22"/>
      <c r="DD13" s="22"/>
      <c r="DE13" s="22"/>
      <c r="DF13" s="22"/>
      <c r="DG13" s="22"/>
      <c r="DH13" s="22"/>
      <c r="DI13" s="22"/>
      <c r="DJ13" s="22"/>
      <c r="DK13" s="22"/>
      <c r="DL13" s="22"/>
      <c r="DM13" s="22"/>
      <c r="DN13" s="22"/>
      <c r="DO13" s="22"/>
      <c r="DP13" s="22"/>
      <c r="DQ13" s="22"/>
      <c r="DR13" s="22"/>
      <c r="DS13" s="22"/>
      <c r="DT13" s="22"/>
      <c r="DU13" s="22"/>
      <c r="DV13" s="22"/>
      <c r="DW13" s="22"/>
      <c r="DX13" s="22"/>
      <c r="DY13" s="22"/>
      <c r="DZ13" s="22"/>
      <c r="EA13" s="22"/>
      <c r="EB13" s="22"/>
      <c r="EC13" s="22"/>
      <c r="ED13" s="22"/>
      <c r="EE13" s="22"/>
      <c r="EF13" s="22"/>
      <c r="EG13" s="22"/>
      <c r="EH13" s="22"/>
      <c r="EI13" s="22"/>
      <c r="EJ13" s="22"/>
      <c r="EK13" s="22"/>
      <c r="EL13" s="22"/>
      <c r="EM13" s="22"/>
      <c r="EN13" s="22"/>
      <c r="EO13" s="22"/>
      <c r="EP13" s="22"/>
    </row>
    <row r="14" spans="1:146" s="23" customFormat="1" x14ac:dyDescent="0.3">
      <c r="A14" s="24">
        <v>830063800</v>
      </c>
      <c r="B14" s="32">
        <v>7</v>
      </c>
      <c r="C14" s="17" t="s">
        <v>2271</v>
      </c>
      <c r="D14" s="26" t="s">
        <v>2272</v>
      </c>
      <c r="E14" s="27">
        <v>6018418445</v>
      </c>
      <c r="F14" s="17" t="s">
        <v>2273</v>
      </c>
      <c r="G14" s="28" t="s">
        <v>724</v>
      </c>
      <c r="H14" s="29">
        <v>211</v>
      </c>
      <c r="I14" s="30">
        <v>18108364</v>
      </c>
      <c r="J14" s="31">
        <v>0</v>
      </c>
      <c r="K14" s="17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22"/>
      <c r="AK14" s="22"/>
      <c r="AL14" s="22"/>
      <c r="AM14" s="22"/>
      <c r="AN14" s="22"/>
      <c r="AO14" s="22"/>
      <c r="AP14" s="22"/>
      <c r="AQ14" s="22"/>
      <c r="AR14" s="22"/>
      <c r="AS14" s="22"/>
      <c r="AT14" s="22"/>
      <c r="AU14" s="22"/>
      <c r="AV14" s="22"/>
      <c r="AW14" s="22"/>
      <c r="AX14" s="22"/>
      <c r="AY14" s="22"/>
      <c r="AZ14" s="22"/>
      <c r="BA14" s="22"/>
      <c r="BB14" s="22"/>
      <c r="BC14" s="22"/>
      <c r="BD14" s="22"/>
      <c r="BE14" s="22"/>
      <c r="BF14" s="22"/>
      <c r="BG14" s="22"/>
      <c r="BH14" s="22"/>
      <c r="BI14" s="22"/>
      <c r="BJ14" s="22"/>
      <c r="BK14" s="22"/>
      <c r="BL14" s="22"/>
      <c r="BM14" s="22"/>
      <c r="BN14" s="22"/>
      <c r="BO14" s="22"/>
      <c r="BP14" s="22"/>
      <c r="BQ14" s="22"/>
      <c r="BR14" s="22"/>
      <c r="BS14" s="22"/>
      <c r="BT14" s="22"/>
      <c r="BU14" s="22"/>
      <c r="BV14" s="22"/>
      <c r="BW14" s="22"/>
      <c r="BX14" s="22"/>
      <c r="BY14" s="22"/>
      <c r="BZ14" s="22"/>
      <c r="CA14" s="22"/>
      <c r="CB14" s="22"/>
      <c r="CC14" s="22"/>
      <c r="CD14" s="22"/>
      <c r="CE14" s="22"/>
      <c r="CF14" s="22"/>
      <c r="CG14" s="22"/>
      <c r="CH14" s="22"/>
      <c r="CI14" s="22"/>
      <c r="CJ14" s="22"/>
      <c r="CK14" s="22"/>
      <c r="CL14" s="22"/>
      <c r="CM14" s="22"/>
      <c r="CN14" s="22"/>
      <c r="CO14" s="22"/>
      <c r="CP14" s="22"/>
      <c r="CQ14" s="22"/>
      <c r="CR14" s="22"/>
      <c r="CS14" s="22"/>
      <c r="CT14" s="22"/>
      <c r="CU14" s="22"/>
      <c r="CV14" s="22"/>
      <c r="CW14" s="22"/>
      <c r="CX14" s="22"/>
      <c r="CY14" s="22"/>
      <c r="CZ14" s="22"/>
      <c r="DA14" s="22"/>
      <c r="DB14" s="22"/>
      <c r="DC14" s="22"/>
      <c r="DD14" s="22"/>
      <c r="DE14" s="22"/>
      <c r="DF14" s="22"/>
      <c r="DG14" s="22"/>
      <c r="DH14" s="22"/>
      <c r="DI14" s="22"/>
      <c r="DJ14" s="22"/>
      <c r="DK14" s="22"/>
      <c r="DL14" s="22"/>
      <c r="DM14" s="22"/>
      <c r="DN14" s="22"/>
      <c r="DO14" s="22"/>
      <c r="DP14" s="22"/>
      <c r="DQ14" s="22"/>
      <c r="DR14" s="22"/>
      <c r="DS14" s="22"/>
      <c r="DT14" s="22"/>
      <c r="DU14" s="22"/>
      <c r="DV14" s="22"/>
      <c r="DW14" s="22"/>
      <c r="DX14" s="22"/>
      <c r="DY14" s="22"/>
      <c r="DZ14" s="22"/>
      <c r="EA14" s="22"/>
      <c r="EB14" s="22"/>
      <c r="EC14" s="22"/>
      <c r="ED14" s="22"/>
      <c r="EE14" s="22"/>
      <c r="EF14" s="22"/>
      <c r="EG14" s="22"/>
      <c r="EH14" s="22"/>
      <c r="EI14" s="22"/>
      <c r="EJ14" s="22"/>
      <c r="EK14" s="22"/>
      <c r="EL14" s="22"/>
      <c r="EM14" s="22"/>
      <c r="EN14" s="22"/>
      <c r="EO14" s="22"/>
      <c r="EP14" s="22"/>
    </row>
    <row r="15" spans="1:146" s="23" customFormat="1" x14ac:dyDescent="0.3">
      <c r="A15" s="24">
        <v>1055315334</v>
      </c>
      <c r="B15" s="32">
        <v>9</v>
      </c>
      <c r="C15" s="17" t="s">
        <v>2274</v>
      </c>
      <c r="D15" s="26" t="s">
        <v>2275</v>
      </c>
      <c r="E15" s="27">
        <v>3115899963</v>
      </c>
      <c r="F15" s="17" t="s">
        <v>2276</v>
      </c>
      <c r="G15" s="28" t="s">
        <v>724</v>
      </c>
      <c r="H15" s="29">
        <v>211</v>
      </c>
      <c r="I15" s="30">
        <v>16056000</v>
      </c>
      <c r="J15" s="31">
        <f>40043+112392</f>
        <v>152435</v>
      </c>
      <c r="K15" s="17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U15" s="22"/>
      <c r="AV15" s="22"/>
      <c r="AW15" s="22"/>
      <c r="AX15" s="22"/>
      <c r="AY15" s="22"/>
      <c r="AZ15" s="22"/>
      <c r="BA15" s="22"/>
      <c r="BB15" s="22"/>
      <c r="BC15" s="22"/>
      <c r="BD15" s="22"/>
      <c r="BE15" s="22"/>
      <c r="BF15" s="22"/>
      <c r="BG15" s="22"/>
      <c r="BH15" s="22"/>
      <c r="BI15" s="22"/>
      <c r="BJ15" s="22"/>
      <c r="BK15" s="22"/>
      <c r="BL15" s="22"/>
      <c r="BM15" s="22"/>
      <c r="BN15" s="22"/>
      <c r="BO15" s="22"/>
      <c r="BP15" s="22"/>
      <c r="BQ15" s="22"/>
      <c r="BR15" s="22"/>
      <c r="BS15" s="22"/>
      <c r="BT15" s="22"/>
      <c r="BU15" s="22"/>
      <c r="BV15" s="22"/>
      <c r="BW15" s="22"/>
      <c r="BX15" s="22"/>
      <c r="BY15" s="22"/>
      <c r="BZ15" s="22"/>
      <c r="CA15" s="22"/>
      <c r="CB15" s="22"/>
      <c r="CC15" s="22"/>
      <c r="CD15" s="22"/>
      <c r="CE15" s="22"/>
      <c r="CF15" s="22"/>
      <c r="CG15" s="22"/>
      <c r="CH15" s="22"/>
      <c r="CI15" s="22"/>
      <c r="CJ15" s="22"/>
      <c r="CK15" s="22"/>
      <c r="CL15" s="22"/>
      <c r="CM15" s="22"/>
      <c r="CN15" s="22"/>
      <c r="CO15" s="22"/>
      <c r="CP15" s="22"/>
      <c r="CQ15" s="22"/>
      <c r="CR15" s="22"/>
      <c r="CS15" s="22"/>
      <c r="CT15" s="22"/>
      <c r="CU15" s="22"/>
      <c r="CV15" s="22"/>
      <c r="CW15" s="22"/>
      <c r="CX15" s="22"/>
      <c r="CY15" s="22"/>
      <c r="CZ15" s="22"/>
      <c r="DA15" s="22"/>
      <c r="DB15" s="22"/>
      <c r="DC15" s="22"/>
      <c r="DD15" s="22"/>
      <c r="DE15" s="22"/>
      <c r="DF15" s="22"/>
      <c r="DG15" s="22"/>
      <c r="DH15" s="22"/>
      <c r="DI15" s="22"/>
      <c r="DJ15" s="22"/>
      <c r="DK15" s="22"/>
      <c r="DL15" s="22"/>
      <c r="DM15" s="22"/>
      <c r="DN15" s="22"/>
      <c r="DO15" s="22"/>
      <c r="DP15" s="22"/>
      <c r="DQ15" s="22"/>
      <c r="DR15" s="22"/>
      <c r="DS15" s="22"/>
      <c r="DT15" s="22"/>
      <c r="DU15" s="22"/>
      <c r="DV15" s="22"/>
      <c r="DW15" s="22"/>
      <c r="DX15" s="22"/>
      <c r="DY15" s="22"/>
      <c r="DZ15" s="22"/>
      <c r="EA15" s="22"/>
      <c r="EB15" s="22"/>
      <c r="EC15" s="22"/>
      <c r="ED15" s="22"/>
      <c r="EE15" s="22"/>
      <c r="EF15" s="22"/>
      <c r="EG15" s="22"/>
      <c r="EH15" s="22"/>
      <c r="EI15" s="22"/>
      <c r="EJ15" s="22"/>
      <c r="EK15" s="22"/>
      <c r="EL15" s="22"/>
      <c r="EM15" s="22"/>
      <c r="EN15" s="22"/>
      <c r="EO15" s="22"/>
      <c r="EP15" s="22"/>
    </row>
    <row r="16" spans="1:146" s="23" customFormat="1" x14ac:dyDescent="0.3">
      <c r="A16" s="24">
        <v>900701915</v>
      </c>
      <c r="B16" s="32">
        <v>7</v>
      </c>
      <c r="C16" s="17" t="s">
        <v>2277</v>
      </c>
      <c r="D16" s="26" t="s">
        <v>2278</v>
      </c>
      <c r="E16" s="27">
        <v>3166253538</v>
      </c>
      <c r="F16" s="17" t="s">
        <v>2279</v>
      </c>
      <c r="G16" s="28" t="s">
        <v>720</v>
      </c>
      <c r="H16" s="29">
        <v>211</v>
      </c>
      <c r="I16" s="30">
        <v>13504201</v>
      </c>
      <c r="J16" s="31">
        <v>0</v>
      </c>
      <c r="K16" s="17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22"/>
      <c r="AL16" s="22"/>
      <c r="AM16" s="22"/>
      <c r="AN16" s="22"/>
      <c r="AO16" s="22"/>
      <c r="AP16" s="22"/>
      <c r="AQ16" s="22"/>
      <c r="AR16" s="22"/>
      <c r="AS16" s="22"/>
      <c r="AT16" s="22"/>
      <c r="AU16" s="22"/>
      <c r="AV16" s="22"/>
      <c r="AW16" s="22"/>
      <c r="AX16" s="22"/>
      <c r="AY16" s="22"/>
      <c r="AZ16" s="22"/>
      <c r="BA16" s="22"/>
      <c r="BB16" s="22"/>
      <c r="BC16" s="22"/>
      <c r="BD16" s="22"/>
      <c r="BE16" s="22"/>
      <c r="BF16" s="22"/>
      <c r="BG16" s="22"/>
      <c r="BH16" s="22"/>
      <c r="BI16" s="22"/>
      <c r="BJ16" s="22"/>
      <c r="BK16" s="22"/>
      <c r="BL16" s="22"/>
      <c r="BM16" s="22"/>
      <c r="BN16" s="22"/>
      <c r="BO16" s="22"/>
      <c r="BP16" s="22"/>
      <c r="BQ16" s="22"/>
      <c r="BR16" s="22"/>
      <c r="BS16" s="22"/>
      <c r="BT16" s="22"/>
      <c r="BU16" s="22"/>
      <c r="BV16" s="22"/>
      <c r="BW16" s="22"/>
      <c r="BX16" s="22"/>
      <c r="BY16" s="22"/>
      <c r="BZ16" s="22"/>
      <c r="CA16" s="22"/>
      <c r="CB16" s="22"/>
      <c r="CC16" s="22"/>
      <c r="CD16" s="22"/>
      <c r="CE16" s="22"/>
      <c r="CF16" s="22"/>
      <c r="CG16" s="22"/>
      <c r="CH16" s="22"/>
      <c r="CI16" s="22"/>
      <c r="CJ16" s="22"/>
      <c r="CK16" s="22"/>
      <c r="CL16" s="22"/>
      <c r="CM16" s="22"/>
      <c r="CN16" s="22"/>
      <c r="CO16" s="22"/>
      <c r="CP16" s="22"/>
      <c r="CQ16" s="22"/>
      <c r="CR16" s="22"/>
      <c r="CS16" s="22"/>
      <c r="CT16" s="22"/>
      <c r="CU16" s="22"/>
      <c r="CV16" s="22"/>
      <c r="CW16" s="22"/>
      <c r="CX16" s="22"/>
      <c r="CY16" s="22"/>
      <c r="CZ16" s="22"/>
      <c r="DA16" s="22"/>
      <c r="DB16" s="22"/>
      <c r="DC16" s="22"/>
      <c r="DD16" s="22"/>
      <c r="DE16" s="22"/>
      <c r="DF16" s="22"/>
      <c r="DG16" s="22"/>
      <c r="DH16" s="22"/>
      <c r="DI16" s="22"/>
      <c r="DJ16" s="22"/>
      <c r="DK16" s="22"/>
      <c r="DL16" s="22"/>
      <c r="DM16" s="22"/>
      <c r="DN16" s="22"/>
      <c r="DO16" s="22"/>
      <c r="DP16" s="22"/>
      <c r="DQ16" s="22"/>
      <c r="DR16" s="22"/>
      <c r="DS16" s="22"/>
      <c r="DT16" s="22"/>
      <c r="DU16" s="22"/>
      <c r="DV16" s="22"/>
      <c r="DW16" s="22"/>
      <c r="DX16" s="22"/>
      <c r="DY16" s="22"/>
      <c r="DZ16" s="22"/>
      <c r="EA16" s="22"/>
      <c r="EB16" s="22"/>
      <c r="EC16" s="22"/>
      <c r="ED16" s="22"/>
      <c r="EE16" s="22"/>
      <c r="EF16" s="22"/>
      <c r="EG16" s="22"/>
      <c r="EH16" s="22"/>
      <c r="EI16" s="22"/>
      <c r="EJ16" s="22"/>
      <c r="EK16" s="22"/>
      <c r="EL16" s="22"/>
      <c r="EM16" s="22"/>
      <c r="EN16" s="22"/>
      <c r="EO16" s="22"/>
      <c r="EP16" s="22"/>
    </row>
    <row r="17" spans="1:146" s="23" customFormat="1" x14ac:dyDescent="0.3">
      <c r="A17" s="33" t="s">
        <v>2280</v>
      </c>
      <c r="B17" s="32">
        <v>3</v>
      </c>
      <c r="C17" s="17" t="s">
        <v>2281</v>
      </c>
      <c r="D17" s="26" t="s">
        <v>2282</v>
      </c>
      <c r="E17" s="27" t="s">
        <v>2283</v>
      </c>
      <c r="F17" s="17" t="s">
        <v>2284</v>
      </c>
      <c r="G17" s="28" t="s">
        <v>724</v>
      </c>
      <c r="H17" s="29">
        <v>211</v>
      </c>
      <c r="I17" s="30">
        <v>10606464</v>
      </c>
      <c r="J17" s="31">
        <v>63495</v>
      </c>
      <c r="K17" s="17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2"/>
      <c r="AS17" s="22"/>
      <c r="AT17" s="22"/>
      <c r="AU17" s="22"/>
      <c r="AV17" s="22"/>
      <c r="AW17" s="22"/>
      <c r="AX17" s="22"/>
      <c r="AY17" s="22"/>
      <c r="AZ17" s="22"/>
      <c r="BA17" s="22"/>
      <c r="BB17" s="22"/>
      <c r="BC17" s="22"/>
      <c r="BD17" s="22"/>
      <c r="BE17" s="22"/>
      <c r="BF17" s="22"/>
      <c r="BG17" s="22"/>
      <c r="BH17" s="22"/>
      <c r="BI17" s="22"/>
      <c r="BJ17" s="22"/>
      <c r="BK17" s="22"/>
      <c r="BL17" s="22"/>
      <c r="BM17" s="22"/>
      <c r="BN17" s="22"/>
      <c r="BO17" s="22"/>
      <c r="BP17" s="22"/>
      <c r="BQ17" s="22"/>
      <c r="BR17" s="22"/>
      <c r="BS17" s="22"/>
      <c r="BT17" s="22"/>
      <c r="BU17" s="22"/>
      <c r="BV17" s="22"/>
      <c r="BW17" s="22"/>
      <c r="BX17" s="22"/>
      <c r="BY17" s="22"/>
      <c r="BZ17" s="22"/>
      <c r="CA17" s="22"/>
      <c r="CB17" s="22"/>
      <c r="CC17" s="22"/>
      <c r="CD17" s="22"/>
      <c r="CE17" s="22"/>
      <c r="CF17" s="22"/>
      <c r="CG17" s="22"/>
      <c r="CH17" s="22"/>
      <c r="CI17" s="22"/>
      <c r="CJ17" s="22"/>
      <c r="CK17" s="22"/>
      <c r="CL17" s="22"/>
      <c r="CM17" s="22"/>
      <c r="CN17" s="22"/>
      <c r="CO17" s="22"/>
      <c r="CP17" s="22"/>
      <c r="CQ17" s="22"/>
      <c r="CR17" s="22"/>
      <c r="CS17" s="22"/>
      <c r="CT17" s="22"/>
      <c r="CU17" s="22"/>
      <c r="CV17" s="22"/>
      <c r="CW17" s="22"/>
      <c r="CX17" s="22"/>
      <c r="CY17" s="22"/>
      <c r="CZ17" s="22"/>
      <c r="DA17" s="22"/>
      <c r="DB17" s="22"/>
      <c r="DC17" s="22"/>
      <c r="DD17" s="22"/>
      <c r="DE17" s="22"/>
      <c r="DF17" s="22"/>
      <c r="DG17" s="22"/>
      <c r="DH17" s="22"/>
      <c r="DI17" s="22"/>
      <c r="DJ17" s="22"/>
      <c r="DK17" s="22"/>
      <c r="DL17" s="22"/>
      <c r="DM17" s="22"/>
      <c r="DN17" s="22"/>
      <c r="DO17" s="22"/>
      <c r="DP17" s="22"/>
      <c r="DQ17" s="22"/>
      <c r="DR17" s="22"/>
      <c r="DS17" s="22"/>
      <c r="DT17" s="22"/>
      <c r="DU17" s="22"/>
      <c r="DV17" s="22"/>
      <c r="DW17" s="22"/>
      <c r="DX17" s="22"/>
      <c r="DY17" s="22"/>
      <c r="DZ17" s="22"/>
      <c r="EA17" s="22"/>
      <c r="EB17" s="22"/>
      <c r="EC17" s="22"/>
      <c r="ED17" s="22"/>
      <c r="EE17" s="22"/>
      <c r="EF17" s="22"/>
      <c r="EG17" s="22"/>
      <c r="EH17" s="22"/>
      <c r="EI17" s="22"/>
      <c r="EJ17" s="22"/>
      <c r="EK17" s="22"/>
      <c r="EL17" s="22"/>
      <c r="EM17" s="22"/>
      <c r="EN17" s="22"/>
      <c r="EO17" s="22"/>
      <c r="EP17" s="22"/>
    </row>
    <row r="18" spans="1:146" s="23" customFormat="1" x14ac:dyDescent="0.3">
      <c r="A18" s="24">
        <v>1053607525</v>
      </c>
      <c r="B18" s="32">
        <v>5</v>
      </c>
      <c r="C18" s="17" t="s">
        <v>2285</v>
      </c>
      <c r="D18" s="26" t="s">
        <v>2286</v>
      </c>
      <c r="E18" s="27">
        <v>3125889650</v>
      </c>
      <c r="F18" s="17" t="s">
        <v>2287</v>
      </c>
      <c r="G18" s="28" t="s">
        <v>724</v>
      </c>
      <c r="H18" s="29">
        <v>211</v>
      </c>
      <c r="I18" s="30">
        <v>9848965</v>
      </c>
      <c r="J18" s="31">
        <v>51732</v>
      </c>
      <c r="K18" s="17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2"/>
      <c r="AS18" s="22"/>
      <c r="AT18" s="22"/>
      <c r="AU18" s="22"/>
      <c r="AV18" s="22"/>
      <c r="AW18" s="22"/>
      <c r="AX18" s="22"/>
      <c r="AY18" s="22"/>
      <c r="AZ18" s="22"/>
      <c r="BA18" s="22"/>
      <c r="BB18" s="22"/>
      <c r="BC18" s="22"/>
      <c r="BD18" s="22"/>
      <c r="BE18" s="22"/>
      <c r="BF18" s="22"/>
      <c r="BG18" s="22"/>
      <c r="BH18" s="22"/>
      <c r="BI18" s="22"/>
      <c r="BJ18" s="22"/>
      <c r="BK18" s="22"/>
      <c r="BL18" s="22"/>
      <c r="BM18" s="22"/>
      <c r="BN18" s="22"/>
      <c r="BO18" s="22"/>
      <c r="BP18" s="22"/>
      <c r="BQ18" s="22"/>
      <c r="BR18" s="22"/>
      <c r="BS18" s="22"/>
      <c r="BT18" s="22"/>
      <c r="BU18" s="22"/>
      <c r="BV18" s="22"/>
      <c r="BW18" s="22"/>
      <c r="BX18" s="22"/>
      <c r="BY18" s="22"/>
      <c r="BZ18" s="22"/>
      <c r="CA18" s="22"/>
      <c r="CB18" s="22"/>
      <c r="CC18" s="22"/>
      <c r="CD18" s="22"/>
      <c r="CE18" s="22"/>
      <c r="CF18" s="22"/>
      <c r="CG18" s="22"/>
      <c r="CH18" s="22"/>
      <c r="CI18" s="22"/>
      <c r="CJ18" s="22"/>
      <c r="CK18" s="22"/>
      <c r="CL18" s="22"/>
      <c r="CM18" s="22"/>
      <c r="CN18" s="22"/>
      <c r="CO18" s="22"/>
      <c r="CP18" s="22"/>
      <c r="CQ18" s="22"/>
      <c r="CR18" s="22"/>
      <c r="CS18" s="22"/>
      <c r="CT18" s="22"/>
      <c r="CU18" s="22"/>
      <c r="CV18" s="22"/>
      <c r="CW18" s="22"/>
      <c r="CX18" s="22"/>
      <c r="CY18" s="22"/>
      <c r="CZ18" s="22"/>
      <c r="DA18" s="22"/>
      <c r="DB18" s="22"/>
      <c r="DC18" s="22"/>
      <c r="DD18" s="22"/>
      <c r="DE18" s="22"/>
      <c r="DF18" s="22"/>
      <c r="DG18" s="22"/>
      <c r="DH18" s="22"/>
      <c r="DI18" s="22"/>
      <c r="DJ18" s="22"/>
      <c r="DK18" s="22"/>
      <c r="DL18" s="22"/>
      <c r="DM18" s="22"/>
      <c r="DN18" s="22"/>
      <c r="DO18" s="22"/>
      <c r="DP18" s="22"/>
      <c r="DQ18" s="22"/>
      <c r="DR18" s="22"/>
      <c r="DS18" s="22"/>
      <c r="DT18" s="22"/>
      <c r="DU18" s="22"/>
      <c r="DV18" s="22"/>
      <c r="DW18" s="22"/>
      <c r="DX18" s="22"/>
      <c r="DY18" s="22"/>
      <c r="DZ18" s="22"/>
      <c r="EA18" s="22"/>
      <c r="EB18" s="22"/>
      <c r="EC18" s="22"/>
      <c r="ED18" s="22"/>
      <c r="EE18" s="22"/>
      <c r="EF18" s="22"/>
      <c r="EG18" s="22"/>
      <c r="EH18" s="22"/>
      <c r="EI18" s="22"/>
      <c r="EJ18" s="22"/>
      <c r="EK18" s="22"/>
      <c r="EL18" s="22"/>
      <c r="EM18" s="22"/>
      <c r="EN18" s="22"/>
      <c r="EO18" s="22"/>
      <c r="EP18" s="22"/>
    </row>
    <row r="19" spans="1:146" s="23" customFormat="1" x14ac:dyDescent="0.3">
      <c r="A19" s="24" t="s">
        <v>2288</v>
      </c>
      <c r="B19" s="32">
        <v>1</v>
      </c>
      <c r="C19" s="17" t="s">
        <v>2289</v>
      </c>
      <c r="D19" s="26" t="s">
        <v>2290</v>
      </c>
      <c r="E19" s="27">
        <v>3178856254</v>
      </c>
      <c r="F19" s="17" t="s">
        <v>2291</v>
      </c>
      <c r="G19" s="28" t="s">
        <v>720</v>
      </c>
      <c r="H19" s="29">
        <v>211</v>
      </c>
      <c r="I19" s="30">
        <v>9300000</v>
      </c>
      <c r="J19" s="31">
        <v>0</v>
      </c>
      <c r="K19" s="17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22"/>
      <c r="AM19" s="22"/>
      <c r="AN19" s="22"/>
      <c r="AO19" s="22"/>
      <c r="AP19" s="22"/>
      <c r="AQ19" s="22"/>
      <c r="AR19" s="22"/>
      <c r="AS19" s="22"/>
      <c r="AT19" s="22"/>
      <c r="AU19" s="22"/>
      <c r="AV19" s="22"/>
      <c r="AW19" s="22"/>
      <c r="AX19" s="22"/>
      <c r="AY19" s="22"/>
      <c r="AZ19" s="22"/>
      <c r="BA19" s="22"/>
      <c r="BB19" s="22"/>
      <c r="BC19" s="22"/>
      <c r="BD19" s="22"/>
      <c r="BE19" s="22"/>
      <c r="BF19" s="22"/>
      <c r="BG19" s="22"/>
      <c r="BH19" s="22"/>
      <c r="BI19" s="22"/>
      <c r="BJ19" s="22"/>
      <c r="BK19" s="22"/>
      <c r="BL19" s="22"/>
      <c r="BM19" s="22"/>
      <c r="BN19" s="22"/>
      <c r="BO19" s="22"/>
      <c r="BP19" s="22"/>
      <c r="BQ19" s="22"/>
      <c r="BR19" s="22"/>
      <c r="BS19" s="22"/>
      <c r="BT19" s="22"/>
      <c r="BU19" s="22"/>
      <c r="BV19" s="22"/>
      <c r="BW19" s="22"/>
      <c r="BX19" s="22"/>
      <c r="BY19" s="22"/>
      <c r="BZ19" s="22"/>
      <c r="CA19" s="22"/>
      <c r="CB19" s="22"/>
      <c r="CC19" s="22"/>
      <c r="CD19" s="22"/>
      <c r="CE19" s="22"/>
      <c r="CF19" s="22"/>
      <c r="CG19" s="22"/>
      <c r="CH19" s="22"/>
      <c r="CI19" s="22"/>
      <c r="CJ19" s="22"/>
      <c r="CK19" s="22"/>
      <c r="CL19" s="22"/>
      <c r="CM19" s="22"/>
      <c r="CN19" s="22"/>
      <c r="CO19" s="22"/>
      <c r="CP19" s="22"/>
      <c r="CQ19" s="22"/>
      <c r="CR19" s="22"/>
      <c r="CS19" s="22"/>
      <c r="CT19" s="22"/>
      <c r="CU19" s="22"/>
      <c r="CV19" s="22"/>
      <c r="CW19" s="22"/>
      <c r="CX19" s="22"/>
      <c r="CY19" s="22"/>
      <c r="CZ19" s="22"/>
      <c r="DA19" s="22"/>
      <c r="DB19" s="22"/>
      <c r="DC19" s="22"/>
      <c r="DD19" s="22"/>
      <c r="DE19" s="22"/>
      <c r="DF19" s="22"/>
      <c r="DG19" s="22"/>
      <c r="DH19" s="22"/>
      <c r="DI19" s="22"/>
      <c r="DJ19" s="22"/>
      <c r="DK19" s="22"/>
      <c r="DL19" s="22"/>
      <c r="DM19" s="22"/>
      <c r="DN19" s="22"/>
      <c r="DO19" s="22"/>
      <c r="DP19" s="22"/>
      <c r="DQ19" s="22"/>
      <c r="DR19" s="22"/>
      <c r="DS19" s="22"/>
      <c r="DT19" s="22"/>
      <c r="DU19" s="22"/>
      <c r="DV19" s="22"/>
      <c r="DW19" s="22"/>
      <c r="DX19" s="22"/>
      <c r="DY19" s="22"/>
      <c r="DZ19" s="22"/>
      <c r="EA19" s="22"/>
      <c r="EB19" s="22"/>
      <c r="EC19" s="22"/>
      <c r="ED19" s="22"/>
      <c r="EE19" s="22"/>
      <c r="EF19" s="22"/>
      <c r="EG19" s="22"/>
      <c r="EH19" s="22"/>
      <c r="EI19" s="22"/>
      <c r="EJ19" s="22"/>
      <c r="EK19" s="22"/>
      <c r="EL19" s="22"/>
      <c r="EM19" s="22"/>
      <c r="EN19" s="22"/>
      <c r="EO19" s="22"/>
      <c r="EP19" s="22"/>
    </row>
    <row r="20" spans="1:146" s="23" customFormat="1" x14ac:dyDescent="0.3">
      <c r="A20" s="33">
        <v>2913445</v>
      </c>
      <c r="B20" s="32">
        <v>1</v>
      </c>
      <c r="C20" s="17" t="s">
        <v>2292</v>
      </c>
      <c r="D20" s="26" t="s">
        <v>2293</v>
      </c>
      <c r="E20" s="27" t="s">
        <v>2282</v>
      </c>
      <c r="F20" s="17" t="s">
        <v>2294</v>
      </c>
      <c r="G20" s="28" t="s">
        <v>720</v>
      </c>
      <c r="H20" s="29">
        <v>211</v>
      </c>
      <c r="I20" s="30">
        <v>8865546</v>
      </c>
      <c r="J20" s="31">
        <v>0</v>
      </c>
      <c r="K20" s="17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2"/>
      <c r="AP20" s="22"/>
      <c r="AQ20" s="22"/>
      <c r="AR20" s="22"/>
      <c r="AS20" s="22"/>
      <c r="AT20" s="22"/>
      <c r="AU20" s="22"/>
      <c r="AV20" s="22"/>
      <c r="AW20" s="22"/>
      <c r="AX20" s="22"/>
      <c r="AY20" s="22"/>
      <c r="AZ20" s="22"/>
      <c r="BA20" s="22"/>
      <c r="BB20" s="22"/>
      <c r="BC20" s="22"/>
      <c r="BD20" s="22"/>
      <c r="BE20" s="22"/>
      <c r="BF20" s="22"/>
      <c r="BG20" s="22"/>
      <c r="BH20" s="22"/>
      <c r="BI20" s="22"/>
      <c r="BJ20" s="22"/>
      <c r="BK20" s="22"/>
      <c r="BL20" s="22"/>
      <c r="BM20" s="22"/>
      <c r="BN20" s="22"/>
      <c r="BO20" s="22"/>
      <c r="BP20" s="22"/>
      <c r="BQ20" s="22"/>
      <c r="BR20" s="22"/>
      <c r="BS20" s="22"/>
      <c r="BT20" s="22"/>
      <c r="BU20" s="22"/>
      <c r="BV20" s="22"/>
      <c r="BW20" s="22"/>
      <c r="BX20" s="22"/>
      <c r="BY20" s="22"/>
      <c r="BZ20" s="22"/>
      <c r="CA20" s="22"/>
      <c r="CB20" s="22"/>
      <c r="CC20" s="22"/>
      <c r="CD20" s="22"/>
      <c r="CE20" s="22"/>
      <c r="CF20" s="22"/>
      <c r="CG20" s="22"/>
      <c r="CH20" s="22"/>
      <c r="CI20" s="22"/>
      <c r="CJ20" s="22"/>
      <c r="CK20" s="22"/>
      <c r="CL20" s="22"/>
      <c r="CM20" s="22"/>
      <c r="CN20" s="22"/>
      <c r="CO20" s="22"/>
      <c r="CP20" s="22"/>
      <c r="CQ20" s="22"/>
      <c r="CR20" s="22"/>
      <c r="CS20" s="22"/>
      <c r="CT20" s="22"/>
      <c r="CU20" s="22"/>
      <c r="CV20" s="22"/>
      <c r="CW20" s="22"/>
      <c r="CX20" s="22"/>
      <c r="CY20" s="22"/>
      <c r="CZ20" s="22"/>
      <c r="DA20" s="22"/>
      <c r="DB20" s="22"/>
      <c r="DC20" s="22"/>
      <c r="DD20" s="22"/>
      <c r="DE20" s="22"/>
      <c r="DF20" s="22"/>
      <c r="DG20" s="22"/>
      <c r="DH20" s="22"/>
      <c r="DI20" s="22"/>
      <c r="DJ20" s="22"/>
      <c r="DK20" s="22"/>
      <c r="DL20" s="22"/>
      <c r="DM20" s="22"/>
      <c r="DN20" s="22"/>
      <c r="DO20" s="22"/>
      <c r="DP20" s="22"/>
      <c r="DQ20" s="22"/>
      <c r="DR20" s="22"/>
      <c r="DS20" s="22"/>
      <c r="DT20" s="22"/>
      <c r="DU20" s="22"/>
      <c r="DV20" s="22"/>
      <c r="DW20" s="22"/>
      <c r="DX20" s="22"/>
      <c r="DY20" s="22"/>
      <c r="DZ20" s="22"/>
      <c r="EA20" s="22"/>
      <c r="EB20" s="22"/>
      <c r="EC20" s="22"/>
      <c r="ED20" s="22"/>
      <c r="EE20" s="22"/>
      <c r="EF20" s="22"/>
      <c r="EG20" s="22"/>
      <c r="EH20" s="22"/>
      <c r="EI20" s="22"/>
      <c r="EJ20" s="22"/>
      <c r="EK20" s="22"/>
      <c r="EL20" s="22"/>
      <c r="EM20" s="22"/>
      <c r="EN20" s="22"/>
      <c r="EO20" s="22"/>
      <c r="EP20" s="22"/>
    </row>
    <row r="21" spans="1:146" s="23" customFormat="1" x14ac:dyDescent="0.3">
      <c r="A21" s="24">
        <v>23853895</v>
      </c>
      <c r="B21" s="32">
        <v>9</v>
      </c>
      <c r="C21" s="17" t="s">
        <v>2295</v>
      </c>
      <c r="D21" s="26" t="s">
        <v>2296</v>
      </c>
      <c r="E21" s="27">
        <v>3102505972</v>
      </c>
      <c r="F21" s="17" t="s">
        <v>2297</v>
      </c>
      <c r="G21" s="28" t="s">
        <v>724</v>
      </c>
      <c r="H21" s="29">
        <v>211</v>
      </c>
      <c r="I21" s="30">
        <v>8027780</v>
      </c>
      <c r="J21" s="31">
        <f>+I21*0.008</f>
        <v>64222.239999999998</v>
      </c>
      <c r="K21" s="17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2"/>
      <c r="AS21" s="22"/>
      <c r="AT21" s="22"/>
      <c r="AU21" s="22"/>
      <c r="AV21" s="22"/>
      <c r="AW21" s="22"/>
      <c r="AX21" s="22"/>
      <c r="AY21" s="22"/>
      <c r="AZ21" s="22"/>
      <c r="BA21" s="22"/>
      <c r="BB21" s="22"/>
      <c r="BC21" s="22"/>
      <c r="BD21" s="22"/>
      <c r="BE21" s="22"/>
      <c r="BF21" s="22"/>
      <c r="BG21" s="22"/>
      <c r="BH21" s="22"/>
      <c r="BI21" s="22"/>
      <c r="BJ21" s="22"/>
      <c r="BK21" s="22"/>
      <c r="BL21" s="22"/>
      <c r="BM21" s="22"/>
      <c r="BN21" s="22"/>
      <c r="BO21" s="22"/>
      <c r="BP21" s="22"/>
      <c r="BQ21" s="22"/>
      <c r="BR21" s="22"/>
      <c r="BS21" s="22"/>
      <c r="BT21" s="22"/>
      <c r="BU21" s="22"/>
      <c r="BV21" s="22"/>
      <c r="BW21" s="22"/>
      <c r="BX21" s="22"/>
      <c r="BY21" s="22"/>
      <c r="BZ21" s="22"/>
      <c r="CA21" s="22"/>
      <c r="CB21" s="22"/>
      <c r="CC21" s="22"/>
      <c r="CD21" s="22"/>
      <c r="CE21" s="22"/>
      <c r="CF21" s="22"/>
      <c r="CG21" s="22"/>
      <c r="CH21" s="22"/>
      <c r="CI21" s="22"/>
      <c r="CJ21" s="22"/>
      <c r="CK21" s="22"/>
      <c r="CL21" s="22"/>
      <c r="CM21" s="22"/>
      <c r="CN21" s="22"/>
      <c r="CO21" s="22"/>
      <c r="CP21" s="22"/>
      <c r="CQ21" s="22"/>
      <c r="CR21" s="22"/>
      <c r="CS21" s="22"/>
      <c r="CT21" s="22"/>
      <c r="CU21" s="22"/>
      <c r="CV21" s="22"/>
      <c r="CW21" s="22"/>
      <c r="CX21" s="22"/>
      <c r="CY21" s="22"/>
      <c r="CZ21" s="22"/>
      <c r="DA21" s="22"/>
      <c r="DB21" s="22"/>
      <c r="DC21" s="22"/>
      <c r="DD21" s="22"/>
      <c r="DE21" s="22"/>
      <c r="DF21" s="22"/>
      <c r="DG21" s="22"/>
      <c r="DH21" s="22"/>
      <c r="DI21" s="22"/>
      <c r="DJ21" s="22"/>
      <c r="DK21" s="22"/>
      <c r="DL21" s="22"/>
      <c r="DM21" s="22"/>
      <c r="DN21" s="22"/>
      <c r="DO21" s="22"/>
      <c r="DP21" s="22"/>
      <c r="DQ21" s="22"/>
      <c r="DR21" s="22"/>
      <c r="DS21" s="22"/>
      <c r="DT21" s="22"/>
      <c r="DU21" s="22"/>
      <c r="DV21" s="22"/>
      <c r="DW21" s="22"/>
      <c r="DX21" s="22"/>
      <c r="DY21" s="22"/>
      <c r="DZ21" s="22"/>
      <c r="EA21" s="22"/>
      <c r="EB21" s="22"/>
      <c r="EC21" s="22"/>
      <c r="ED21" s="22"/>
      <c r="EE21" s="22"/>
      <c r="EF21" s="22"/>
      <c r="EG21" s="22"/>
      <c r="EH21" s="22"/>
      <c r="EI21" s="22"/>
      <c r="EJ21" s="22"/>
      <c r="EK21" s="22"/>
      <c r="EL21" s="22"/>
      <c r="EM21" s="22"/>
      <c r="EN21" s="22"/>
      <c r="EO21" s="22"/>
      <c r="EP21" s="22"/>
    </row>
    <row r="22" spans="1:146" s="23" customFormat="1" x14ac:dyDescent="0.3">
      <c r="A22" s="24">
        <v>800242586</v>
      </c>
      <c r="B22" s="32">
        <v>4</v>
      </c>
      <c r="C22" s="17" t="s">
        <v>2298</v>
      </c>
      <c r="D22" s="26" t="s">
        <v>2299</v>
      </c>
      <c r="E22" s="27">
        <v>6017110583</v>
      </c>
      <c r="F22" s="17" t="s">
        <v>2300</v>
      </c>
      <c r="G22" s="28" t="s">
        <v>525</v>
      </c>
      <c r="H22" s="29">
        <v>211</v>
      </c>
      <c r="I22" s="30">
        <v>7706074</v>
      </c>
      <c r="J22" s="31">
        <v>0</v>
      </c>
      <c r="K22" s="17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/>
      <c r="AX22" s="22"/>
      <c r="AY22" s="22"/>
      <c r="AZ22" s="22"/>
      <c r="BA22" s="22"/>
      <c r="BB22" s="22"/>
      <c r="BC22" s="22"/>
      <c r="BD22" s="22"/>
      <c r="BE22" s="22"/>
      <c r="BF22" s="22"/>
      <c r="BG22" s="22"/>
      <c r="BH22" s="22"/>
      <c r="BI22" s="22"/>
      <c r="BJ22" s="22"/>
      <c r="BK22" s="22"/>
      <c r="BL22" s="22"/>
      <c r="BM22" s="22"/>
      <c r="BN22" s="22"/>
      <c r="BO22" s="22"/>
      <c r="BP22" s="22"/>
      <c r="BQ22" s="22"/>
      <c r="BR22" s="22"/>
      <c r="BS22" s="22"/>
      <c r="BT22" s="22"/>
      <c r="BU22" s="22"/>
      <c r="BV22" s="22"/>
      <c r="BW22" s="22"/>
      <c r="BX22" s="22"/>
      <c r="BY22" s="22"/>
      <c r="BZ22" s="22"/>
      <c r="CA22" s="22"/>
      <c r="CB22" s="22"/>
      <c r="CC22" s="22"/>
      <c r="CD22" s="22"/>
      <c r="CE22" s="22"/>
      <c r="CF22" s="22"/>
      <c r="CG22" s="22"/>
      <c r="CH22" s="22"/>
      <c r="CI22" s="22"/>
      <c r="CJ22" s="22"/>
      <c r="CK22" s="22"/>
      <c r="CL22" s="22"/>
      <c r="CM22" s="22"/>
      <c r="CN22" s="22"/>
      <c r="CO22" s="22"/>
      <c r="CP22" s="22"/>
      <c r="CQ22" s="22"/>
      <c r="CR22" s="22"/>
      <c r="CS22" s="22"/>
      <c r="CT22" s="22"/>
      <c r="CU22" s="22"/>
      <c r="CV22" s="22"/>
      <c r="CW22" s="22"/>
      <c r="CX22" s="22"/>
      <c r="CY22" s="22"/>
      <c r="CZ22" s="22"/>
      <c r="DA22" s="22"/>
      <c r="DB22" s="22"/>
      <c r="DC22" s="22"/>
      <c r="DD22" s="22"/>
      <c r="DE22" s="22"/>
      <c r="DF22" s="22"/>
      <c r="DG22" s="22"/>
      <c r="DH22" s="22"/>
      <c r="DI22" s="22"/>
      <c r="DJ22" s="22"/>
      <c r="DK22" s="22"/>
      <c r="DL22" s="22"/>
      <c r="DM22" s="22"/>
      <c r="DN22" s="22"/>
      <c r="DO22" s="22"/>
      <c r="DP22" s="22"/>
      <c r="DQ22" s="22"/>
      <c r="DR22" s="22"/>
      <c r="DS22" s="22"/>
      <c r="DT22" s="22"/>
      <c r="DU22" s="22"/>
      <c r="DV22" s="22"/>
      <c r="DW22" s="22"/>
      <c r="DX22" s="22"/>
      <c r="DY22" s="22"/>
      <c r="DZ22" s="22"/>
      <c r="EA22" s="22"/>
      <c r="EB22" s="22"/>
      <c r="EC22" s="22"/>
      <c r="ED22" s="22"/>
      <c r="EE22" s="22"/>
      <c r="EF22" s="22"/>
      <c r="EG22" s="22"/>
      <c r="EH22" s="22"/>
      <c r="EI22" s="22"/>
      <c r="EJ22" s="22"/>
      <c r="EK22" s="22"/>
      <c r="EL22" s="22"/>
      <c r="EM22" s="22"/>
      <c r="EN22" s="22"/>
      <c r="EO22" s="22"/>
      <c r="EP22" s="22"/>
    </row>
    <row r="23" spans="1:146" s="23" customFormat="1" x14ac:dyDescent="0.3">
      <c r="A23" s="33" t="s">
        <v>2301</v>
      </c>
      <c r="B23" s="32">
        <v>8</v>
      </c>
      <c r="C23" s="17" t="s">
        <v>2302</v>
      </c>
      <c r="D23" s="26" t="s">
        <v>2303</v>
      </c>
      <c r="E23" s="27" t="s">
        <v>2282</v>
      </c>
      <c r="F23" s="17" t="s">
        <v>2267</v>
      </c>
      <c r="G23" s="28" t="s">
        <v>724</v>
      </c>
      <c r="H23" s="29">
        <v>211</v>
      </c>
      <c r="I23" s="30">
        <v>7436492</v>
      </c>
      <c r="J23" s="31">
        <f>+I23*0.008</f>
        <v>59491.936000000002</v>
      </c>
      <c r="K23" s="17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2"/>
      <c r="AQ23" s="22"/>
      <c r="AR23" s="22"/>
      <c r="AS23" s="22"/>
      <c r="AT23" s="22"/>
      <c r="AU23" s="22"/>
      <c r="AV23" s="22"/>
      <c r="AW23" s="22"/>
      <c r="AX23" s="22"/>
      <c r="AY23" s="22"/>
      <c r="AZ23" s="22"/>
      <c r="BA23" s="22"/>
      <c r="BB23" s="22"/>
      <c r="BC23" s="22"/>
      <c r="BD23" s="22"/>
      <c r="BE23" s="22"/>
      <c r="BF23" s="22"/>
      <c r="BG23" s="22"/>
      <c r="BH23" s="22"/>
      <c r="BI23" s="22"/>
      <c r="BJ23" s="22"/>
      <c r="BK23" s="22"/>
      <c r="BL23" s="22"/>
      <c r="BM23" s="22"/>
      <c r="BN23" s="22"/>
      <c r="BO23" s="22"/>
      <c r="BP23" s="22"/>
      <c r="BQ23" s="22"/>
      <c r="BR23" s="22"/>
      <c r="BS23" s="22"/>
      <c r="BT23" s="22"/>
      <c r="BU23" s="22"/>
      <c r="BV23" s="22"/>
      <c r="BW23" s="22"/>
      <c r="BX23" s="22"/>
      <c r="BY23" s="22"/>
      <c r="BZ23" s="22"/>
      <c r="CA23" s="22"/>
      <c r="CB23" s="22"/>
      <c r="CC23" s="22"/>
      <c r="CD23" s="22"/>
      <c r="CE23" s="22"/>
      <c r="CF23" s="22"/>
      <c r="CG23" s="22"/>
      <c r="CH23" s="22"/>
      <c r="CI23" s="22"/>
      <c r="CJ23" s="22"/>
      <c r="CK23" s="22"/>
      <c r="CL23" s="22"/>
      <c r="CM23" s="22"/>
      <c r="CN23" s="22"/>
      <c r="CO23" s="22"/>
      <c r="CP23" s="22"/>
      <c r="CQ23" s="22"/>
      <c r="CR23" s="22"/>
      <c r="CS23" s="22"/>
      <c r="CT23" s="22"/>
      <c r="CU23" s="22"/>
      <c r="CV23" s="22"/>
      <c r="CW23" s="22"/>
      <c r="CX23" s="22"/>
      <c r="CY23" s="22"/>
      <c r="CZ23" s="22"/>
      <c r="DA23" s="22"/>
      <c r="DB23" s="22"/>
      <c r="DC23" s="22"/>
      <c r="DD23" s="22"/>
      <c r="DE23" s="22"/>
      <c r="DF23" s="22"/>
      <c r="DG23" s="22"/>
      <c r="DH23" s="22"/>
      <c r="DI23" s="22"/>
      <c r="DJ23" s="22"/>
      <c r="DK23" s="22"/>
      <c r="DL23" s="22"/>
      <c r="DM23" s="22"/>
      <c r="DN23" s="22"/>
      <c r="DO23" s="22"/>
      <c r="DP23" s="22"/>
      <c r="DQ23" s="22"/>
      <c r="DR23" s="22"/>
      <c r="DS23" s="22"/>
      <c r="DT23" s="22"/>
      <c r="DU23" s="22"/>
      <c r="DV23" s="22"/>
      <c r="DW23" s="22"/>
      <c r="DX23" s="22"/>
      <c r="DY23" s="22"/>
      <c r="DZ23" s="22"/>
      <c r="EA23" s="22"/>
      <c r="EB23" s="22"/>
      <c r="EC23" s="22"/>
      <c r="ED23" s="22"/>
      <c r="EE23" s="22"/>
      <c r="EF23" s="22"/>
      <c r="EG23" s="22"/>
      <c r="EH23" s="22"/>
      <c r="EI23" s="22"/>
      <c r="EJ23" s="22"/>
      <c r="EK23" s="22"/>
      <c r="EL23" s="22"/>
      <c r="EM23" s="22"/>
      <c r="EN23" s="22"/>
      <c r="EO23" s="22"/>
      <c r="EP23" s="22"/>
    </row>
    <row r="24" spans="1:146" s="23" customFormat="1" x14ac:dyDescent="0.3">
      <c r="A24" s="24">
        <v>890900943</v>
      </c>
      <c r="B24" s="32">
        <v>1</v>
      </c>
      <c r="C24" s="17" t="s">
        <v>2304</v>
      </c>
      <c r="D24" s="26" t="s">
        <v>2305</v>
      </c>
      <c r="E24" s="27">
        <v>6087548754</v>
      </c>
      <c r="F24" s="17" t="s">
        <v>2306</v>
      </c>
      <c r="G24" s="28" t="s">
        <v>525</v>
      </c>
      <c r="H24" s="29">
        <v>211</v>
      </c>
      <c r="I24" s="30">
        <v>3943025</v>
      </c>
      <c r="J24" s="31">
        <v>0</v>
      </c>
      <c r="K24" s="17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/>
      <c r="AZ24" s="22"/>
      <c r="BA24" s="22"/>
      <c r="BB24" s="22"/>
      <c r="BC24" s="22"/>
      <c r="BD24" s="22"/>
      <c r="BE24" s="22"/>
      <c r="BF24" s="22"/>
      <c r="BG24" s="22"/>
      <c r="BH24" s="22"/>
      <c r="BI24" s="22"/>
      <c r="BJ24" s="22"/>
      <c r="BK24" s="22"/>
      <c r="BL24" s="22"/>
      <c r="BM24" s="22"/>
      <c r="BN24" s="22"/>
      <c r="BO24" s="22"/>
      <c r="BP24" s="22"/>
      <c r="BQ24" s="22"/>
      <c r="BR24" s="22"/>
      <c r="BS24" s="22"/>
      <c r="BT24" s="22"/>
      <c r="BU24" s="22"/>
      <c r="BV24" s="22"/>
      <c r="BW24" s="22"/>
      <c r="BX24" s="22"/>
      <c r="BY24" s="22"/>
      <c r="BZ24" s="22"/>
      <c r="CA24" s="22"/>
      <c r="CB24" s="22"/>
      <c r="CC24" s="22"/>
      <c r="CD24" s="22"/>
      <c r="CE24" s="22"/>
      <c r="CF24" s="22"/>
      <c r="CG24" s="22"/>
      <c r="CH24" s="22"/>
      <c r="CI24" s="22"/>
      <c r="CJ24" s="22"/>
      <c r="CK24" s="22"/>
      <c r="CL24" s="22"/>
      <c r="CM24" s="22"/>
      <c r="CN24" s="22"/>
      <c r="CO24" s="22"/>
      <c r="CP24" s="22"/>
      <c r="CQ24" s="22"/>
      <c r="CR24" s="22"/>
      <c r="CS24" s="22"/>
      <c r="CT24" s="22"/>
      <c r="CU24" s="22"/>
      <c r="CV24" s="22"/>
      <c r="CW24" s="22"/>
      <c r="CX24" s="22"/>
      <c r="CY24" s="22"/>
      <c r="CZ24" s="22"/>
      <c r="DA24" s="22"/>
      <c r="DB24" s="22"/>
      <c r="DC24" s="22"/>
      <c r="DD24" s="22"/>
      <c r="DE24" s="22"/>
      <c r="DF24" s="22"/>
      <c r="DG24" s="22"/>
      <c r="DH24" s="22"/>
      <c r="DI24" s="22"/>
      <c r="DJ24" s="22"/>
      <c r="DK24" s="22"/>
      <c r="DL24" s="22"/>
      <c r="DM24" s="22"/>
      <c r="DN24" s="22"/>
      <c r="DO24" s="22"/>
      <c r="DP24" s="22"/>
      <c r="DQ24" s="22"/>
      <c r="DR24" s="22"/>
      <c r="DS24" s="22"/>
      <c r="DT24" s="22"/>
      <c r="DU24" s="22"/>
      <c r="DV24" s="22"/>
      <c r="DW24" s="22"/>
      <c r="DX24" s="22"/>
      <c r="DY24" s="22"/>
      <c r="DZ24" s="22"/>
      <c r="EA24" s="22"/>
      <c r="EB24" s="22"/>
      <c r="EC24" s="22"/>
      <c r="ED24" s="22"/>
      <c r="EE24" s="22"/>
      <c r="EF24" s="22"/>
      <c r="EG24" s="22"/>
      <c r="EH24" s="22"/>
      <c r="EI24" s="22"/>
      <c r="EJ24" s="22"/>
      <c r="EK24" s="22"/>
      <c r="EL24" s="22"/>
      <c r="EM24" s="22"/>
      <c r="EN24" s="22"/>
      <c r="EO24" s="22"/>
      <c r="EP24" s="22"/>
    </row>
    <row r="25" spans="1:146" s="23" customFormat="1" x14ac:dyDescent="0.3">
      <c r="A25" s="24">
        <v>900581542</v>
      </c>
      <c r="B25" s="32">
        <v>7</v>
      </c>
      <c r="C25" s="17" t="s">
        <v>2307</v>
      </c>
      <c r="D25" s="26" t="s">
        <v>2308</v>
      </c>
      <c r="E25" s="27">
        <v>3164269770</v>
      </c>
      <c r="F25" s="17" t="s">
        <v>2309</v>
      </c>
      <c r="G25" s="28" t="s">
        <v>720</v>
      </c>
      <c r="H25" s="29">
        <v>211</v>
      </c>
      <c r="I25" s="30">
        <v>3931494</v>
      </c>
      <c r="J25" s="31">
        <v>0</v>
      </c>
      <c r="K25" s="17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22"/>
      <c r="BB25" s="22"/>
      <c r="BC25" s="22"/>
      <c r="BD25" s="22"/>
      <c r="BE25" s="22"/>
      <c r="BF25" s="22"/>
      <c r="BG25" s="22"/>
      <c r="BH25" s="22"/>
      <c r="BI25" s="22"/>
      <c r="BJ25" s="22"/>
      <c r="BK25" s="22"/>
      <c r="BL25" s="22"/>
      <c r="BM25" s="22"/>
      <c r="BN25" s="22"/>
      <c r="BO25" s="22"/>
      <c r="BP25" s="22"/>
      <c r="BQ25" s="22"/>
      <c r="BR25" s="22"/>
      <c r="BS25" s="22"/>
      <c r="BT25" s="22"/>
      <c r="BU25" s="22"/>
      <c r="BV25" s="22"/>
      <c r="BW25" s="22"/>
      <c r="BX25" s="22"/>
      <c r="BY25" s="22"/>
      <c r="BZ25" s="22"/>
      <c r="CA25" s="22"/>
      <c r="CB25" s="22"/>
      <c r="CC25" s="22"/>
      <c r="CD25" s="22"/>
      <c r="CE25" s="22"/>
      <c r="CF25" s="22"/>
      <c r="CG25" s="22"/>
      <c r="CH25" s="22"/>
      <c r="CI25" s="22"/>
      <c r="CJ25" s="22"/>
      <c r="CK25" s="22"/>
      <c r="CL25" s="22"/>
      <c r="CM25" s="22"/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2"/>
      <c r="DA25" s="22"/>
      <c r="DB25" s="22"/>
      <c r="DC25" s="22"/>
      <c r="DD25" s="22"/>
      <c r="DE25" s="22"/>
      <c r="DF25" s="22"/>
      <c r="DG25" s="22"/>
      <c r="DH25" s="22"/>
      <c r="DI25" s="22"/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2"/>
      <c r="DU25" s="22"/>
      <c r="DV25" s="22"/>
      <c r="DW25" s="22"/>
      <c r="DX25" s="22"/>
      <c r="DY25" s="22"/>
      <c r="DZ25" s="22"/>
      <c r="EA25" s="22"/>
      <c r="EB25" s="22"/>
      <c r="EC25" s="22"/>
      <c r="ED25" s="22"/>
      <c r="EE25" s="22"/>
      <c r="EF25" s="22"/>
      <c r="EG25" s="22"/>
      <c r="EH25" s="22"/>
      <c r="EI25" s="22"/>
      <c r="EJ25" s="22"/>
      <c r="EK25" s="22"/>
      <c r="EL25" s="22"/>
      <c r="EM25" s="22"/>
      <c r="EN25" s="22"/>
      <c r="EO25" s="22"/>
      <c r="EP25" s="22"/>
    </row>
    <row r="26" spans="1:146" s="23" customFormat="1" x14ac:dyDescent="0.3">
      <c r="A26" s="24">
        <v>800112602</v>
      </c>
      <c r="B26" s="32">
        <v>7</v>
      </c>
      <c r="C26" s="17" t="s">
        <v>2310</v>
      </c>
      <c r="D26" s="26" t="s">
        <v>2311</v>
      </c>
      <c r="E26" s="27">
        <v>3212701139</v>
      </c>
      <c r="F26" s="17" t="s">
        <v>2312</v>
      </c>
      <c r="G26" s="28" t="s">
        <v>704</v>
      </c>
      <c r="H26" s="29">
        <v>211</v>
      </c>
      <c r="I26" s="30">
        <v>3644000</v>
      </c>
      <c r="J26" s="31">
        <v>0</v>
      </c>
      <c r="K26" s="17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2"/>
      <c r="AV26" s="22"/>
      <c r="AW26" s="22"/>
      <c r="AX26" s="22"/>
      <c r="AY26" s="22"/>
      <c r="AZ26" s="22"/>
      <c r="BA26" s="22"/>
      <c r="BB26" s="22"/>
      <c r="BC26" s="22"/>
      <c r="BD26" s="22"/>
      <c r="BE26" s="22"/>
      <c r="BF26" s="22"/>
      <c r="BG26" s="22"/>
      <c r="BH26" s="22"/>
      <c r="BI26" s="22"/>
      <c r="BJ26" s="22"/>
      <c r="BK26" s="22"/>
      <c r="BL26" s="22"/>
      <c r="BM26" s="22"/>
      <c r="BN26" s="22"/>
      <c r="BO26" s="22"/>
      <c r="BP26" s="22"/>
      <c r="BQ26" s="22"/>
      <c r="BR26" s="22"/>
      <c r="BS26" s="22"/>
      <c r="BT26" s="22"/>
      <c r="BU26" s="22"/>
      <c r="BV26" s="22"/>
      <c r="BW26" s="22"/>
      <c r="BX26" s="22"/>
      <c r="BY26" s="22"/>
      <c r="BZ26" s="22"/>
      <c r="CA26" s="22"/>
      <c r="CB26" s="22"/>
      <c r="CC26" s="22"/>
      <c r="CD26" s="22"/>
      <c r="CE26" s="22"/>
      <c r="CF26" s="22"/>
      <c r="CG26" s="22"/>
      <c r="CH26" s="22"/>
      <c r="CI26" s="22"/>
      <c r="CJ26" s="22"/>
      <c r="CK26" s="22"/>
      <c r="CL26" s="22"/>
      <c r="CM26" s="22"/>
      <c r="CN26" s="22"/>
      <c r="CO26" s="22"/>
      <c r="CP26" s="22"/>
      <c r="CQ26" s="22"/>
      <c r="CR26" s="22"/>
      <c r="CS26" s="22"/>
      <c r="CT26" s="22"/>
      <c r="CU26" s="22"/>
      <c r="CV26" s="22"/>
      <c r="CW26" s="22"/>
      <c r="CX26" s="22"/>
      <c r="CY26" s="22"/>
      <c r="CZ26" s="22"/>
      <c r="DA26" s="22"/>
      <c r="DB26" s="22"/>
      <c r="DC26" s="22"/>
      <c r="DD26" s="22"/>
      <c r="DE26" s="22"/>
      <c r="DF26" s="22"/>
      <c r="DG26" s="22"/>
      <c r="DH26" s="22"/>
      <c r="DI26" s="22"/>
      <c r="DJ26" s="22"/>
      <c r="DK26" s="22"/>
      <c r="DL26" s="22"/>
      <c r="DM26" s="22"/>
      <c r="DN26" s="22"/>
      <c r="DO26" s="22"/>
      <c r="DP26" s="22"/>
      <c r="DQ26" s="22"/>
      <c r="DR26" s="22"/>
      <c r="DS26" s="22"/>
      <c r="DT26" s="22"/>
      <c r="DU26" s="22"/>
      <c r="DV26" s="22"/>
      <c r="DW26" s="22"/>
      <c r="DX26" s="22"/>
      <c r="DY26" s="22"/>
      <c r="DZ26" s="22"/>
      <c r="EA26" s="22"/>
      <c r="EB26" s="22"/>
      <c r="EC26" s="22"/>
      <c r="ED26" s="22"/>
      <c r="EE26" s="22"/>
      <c r="EF26" s="22"/>
      <c r="EG26" s="22"/>
      <c r="EH26" s="22"/>
      <c r="EI26" s="22"/>
      <c r="EJ26" s="22"/>
      <c r="EK26" s="22"/>
      <c r="EL26" s="22"/>
      <c r="EM26" s="22"/>
      <c r="EN26" s="22"/>
      <c r="EO26" s="22"/>
      <c r="EP26" s="22"/>
    </row>
    <row r="27" spans="1:146" s="23" customFormat="1" x14ac:dyDescent="0.3">
      <c r="A27" s="24">
        <v>1053610332</v>
      </c>
      <c r="B27" s="32">
        <v>1</v>
      </c>
      <c r="C27" s="17" t="s">
        <v>2313</v>
      </c>
      <c r="D27" s="26" t="s">
        <v>2282</v>
      </c>
      <c r="E27" s="27" t="s">
        <v>2282</v>
      </c>
      <c r="F27" s="17" t="s">
        <v>2314</v>
      </c>
      <c r="G27" s="28" t="s">
        <v>720</v>
      </c>
      <c r="H27" s="29">
        <v>211</v>
      </c>
      <c r="I27" s="30">
        <v>3490000</v>
      </c>
      <c r="J27" s="31">
        <v>0</v>
      </c>
      <c r="K27" s="17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2"/>
      <c r="AW27" s="22"/>
      <c r="AX27" s="22"/>
      <c r="AY27" s="22"/>
      <c r="AZ27" s="22"/>
      <c r="BA27" s="22"/>
      <c r="BB27" s="22"/>
      <c r="BC27" s="22"/>
      <c r="BD27" s="22"/>
      <c r="BE27" s="22"/>
      <c r="BF27" s="22"/>
      <c r="BG27" s="22"/>
      <c r="BH27" s="22"/>
      <c r="BI27" s="22"/>
      <c r="BJ27" s="22"/>
      <c r="BK27" s="22"/>
      <c r="BL27" s="22"/>
      <c r="BM27" s="22"/>
      <c r="BN27" s="22"/>
      <c r="BO27" s="22"/>
      <c r="BP27" s="22"/>
      <c r="BQ27" s="22"/>
      <c r="BR27" s="22"/>
      <c r="BS27" s="22"/>
      <c r="BT27" s="22"/>
      <c r="BU27" s="22"/>
      <c r="BV27" s="22"/>
      <c r="BW27" s="22"/>
      <c r="BX27" s="22"/>
      <c r="BY27" s="22"/>
      <c r="BZ27" s="22"/>
      <c r="CA27" s="22"/>
      <c r="CB27" s="22"/>
      <c r="CC27" s="22"/>
      <c r="CD27" s="22"/>
      <c r="CE27" s="22"/>
      <c r="CF27" s="22"/>
      <c r="CG27" s="22"/>
      <c r="CH27" s="22"/>
      <c r="CI27" s="22"/>
      <c r="CJ27" s="22"/>
      <c r="CK27" s="22"/>
      <c r="CL27" s="22"/>
      <c r="CM27" s="22"/>
      <c r="CN27" s="22"/>
      <c r="CO27" s="22"/>
      <c r="CP27" s="22"/>
      <c r="CQ27" s="22"/>
      <c r="CR27" s="22"/>
      <c r="CS27" s="22"/>
      <c r="CT27" s="22"/>
      <c r="CU27" s="22"/>
      <c r="CV27" s="22"/>
      <c r="CW27" s="22"/>
      <c r="CX27" s="22"/>
      <c r="CY27" s="22"/>
      <c r="CZ27" s="22"/>
      <c r="DA27" s="22"/>
      <c r="DB27" s="22"/>
      <c r="DC27" s="22"/>
      <c r="DD27" s="22"/>
      <c r="DE27" s="22"/>
      <c r="DF27" s="22"/>
      <c r="DG27" s="22"/>
      <c r="DH27" s="22"/>
      <c r="DI27" s="22"/>
      <c r="DJ27" s="22"/>
      <c r="DK27" s="22"/>
      <c r="DL27" s="22"/>
      <c r="DM27" s="22"/>
      <c r="DN27" s="22"/>
      <c r="DO27" s="22"/>
      <c r="DP27" s="22"/>
      <c r="DQ27" s="22"/>
      <c r="DR27" s="22"/>
      <c r="DS27" s="22"/>
      <c r="DT27" s="22"/>
      <c r="DU27" s="22"/>
      <c r="DV27" s="22"/>
      <c r="DW27" s="22"/>
      <c r="DX27" s="22"/>
      <c r="DY27" s="22"/>
      <c r="DZ27" s="22"/>
      <c r="EA27" s="22"/>
      <c r="EB27" s="22"/>
      <c r="EC27" s="22"/>
      <c r="ED27" s="22"/>
      <c r="EE27" s="22"/>
      <c r="EF27" s="22"/>
      <c r="EG27" s="22"/>
      <c r="EH27" s="22"/>
      <c r="EI27" s="22"/>
      <c r="EJ27" s="22"/>
      <c r="EK27" s="22"/>
      <c r="EL27" s="22"/>
      <c r="EM27" s="22"/>
      <c r="EN27" s="22"/>
      <c r="EO27" s="22"/>
      <c r="EP27" s="22"/>
    </row>
    <row r="28" spans="1:146" s="23" customFormat="1" ht="16.8" x14ac:dyDescent="0.3">
      <c r="A28" s="34">
        <v>901778407</v>
      </c>
      <c r="B28" s="32">
        <v>1</v>
      </c>
      <c r="C28" s="17" t="s">
        <v>2315</v>
      </c>
      <c r="D28" s="26" t="s">
        <v>2316</v>
      </c>
      <c r="E28" s="27">
        <v>3102505972</v>
      </c>
      <c r="F28" s="17" t="s">
        <v>2317</v>
      </c>
      <c r="G28" s="28" t="s">
        <v>724</v>
      </c>
      <c r="H28" s="29">
        <v>211</v>
      </c>
      <c r="I28" s="30">
        <v>2913445</v>
      </c>
      <c r="J28" s="31">
        <f>+I28*0.008</f>
        <v>23307.56</v>
      </c>
      <c r="K28" s="17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22"/>
      <c r="AQ28" s="22"/>
      <c r="AR28" s="22"/>
      <c r="AS28" s="22"/>
      <c r="AT28" s="22"/>
      <c r="AU28" s="22"/>
      <c r="AV28" s="22"/>
      <c r="AW28" s="22"/>
      <c r="AX28" s="22"/>
      <c r="AY28" s="22"/>
      <c r="AZ28" s="22"/>
      <c r="BA28" s="22"/>
      <c r="BB28" s="22"/>
      <c r="BC28" s="22"/>
      <c r="BD28" s="22"/>
      <c r="BE28" s="22"/>
      <c r="BF28" s="22"/>
      <c r="BG28" s="22"/>
      <c r="BH28" s="22"/>
      <c r="BI28" s="22"/>
      <c r="BJ28" s="22"/>
      <c r="BK28" s="22"/>
      <c r="BL28" s="22"/>
      <c r="BM28" s="22"/>
      <c r="BN28" s="22"/>
      <c r="BO28" s="22"/>
      <c r="BP28" s="22"/>
      <c r="BQ28" s="22"/>
      <c r="BR28" s="22"/>
      <c r="BS28" s="22"/>
      <c r="BT28" s="22"/>
      <c r="BU28" s="22"/>
      <c r="BV28" s="22"/>
      <c r="BW28" s="22"/>
      <c r="BX28" s="22"/>
      <c r="BY28" s="22"/>
      <c r="BZ28" s="22"/>
      <c r="CA28" s="22"/>
      <c r="CB28" s="22"/>
      <c r="CC28" s="22"/>
      <c r="CD28" s="22"/>
      <c r="CE28" s="22"/>
      <c r="CF28" s="22"/>
      <c r="CG28" s="22"/>
      <c r="CH28" s="22"/>
      <c r="CI28" s="22"/>
      <c r="CJ28" s="22"/>
      <c r="CK28" s="22"/>
      <c r="CL28" s="22"/>
      <c r="CM28" s="22"/>
      <c r="CN28" s="22"/>
      <c r="CO28" s="22"/>
      <c r="CP28" s="22"/>
      <c r="CQ28" s="22"/>
      <c r="CR28" s="22"/>
      <c r="CS28" s="22"/>
      <c r="CT28" s="22"/>
      <c r="CU28" s="22"/>
      <c r="CV28" s="22"/>
      <c r="CW28" s="22"/>
      <c r="CX28" s="22"/>
      <c r="CY28" s="22"/>
      <c r="CZ28" s="22"/>
      <c r="DA28" s="22"/>
      <c r="DB28" s="22"/>
      <c r="DC28" s="22"/>
      <c r="DD28" s="22"/>
      <c r="DE28" s="22"/>
      <c r="DF28" s="22"/>
      <c r="DG28" s="22"/>
      <c r="DH28" s="22"/>
      <c r="DI28" s="22"/>
      <c r="DJ28" s="22"/>
      <c r="DK28" s="22"/>
      <c r="DL28" s="22"/>
      <c r="DM28" s="22"/>
      <c r="DN28" s="22"/>
      <c r="DO28" s="22"/>
      <c r="DP28" s="22"/>
      <c r="DQ28" s="22"/>
      <c r="DR28" s="22"/>
      <c r="DS28" s="22"/>
      <c r="DT28" s="22"/>
      <c r="DU28" s="22"/>
      <c r="DV28" s="22"/>
      <c r="DW28" s="22"/>
      <c r="DX28" s="22"/>
      <c r="DY28" s="22"/>
      <c r="DZ28" s="22"/>
      <c r="EA28" s="22"/>
      <c r="EB28" s="22"/>
      <c r="EC28" s="22"/>
      <c r="ED28" s="22"/>
      <c r="EE28" s="22"/>
      <c r="EF28" s="22"/>
      <c r="EG28" s="22"/>
      <c r="EH28" s="22"/>
      <c r="EI28" s="22"/>
      <c r="EJ28" s="22"/>
      <c r="EK28" s="22"/>
      <c r="EL28" s="22"/>
      <c r="EM28" s="22"/>
      <c r="EN28" s="22"/>
      <c r="EO28" s="22"/>
      <c r="EP28" s="22"/>
    </row>
    <row r="29" spans="1:146" s="23" customFormat="1" x14ac:dyDescent="0.3">
      <c r="A29" s="24" t="s">
        <v>2318</v>
      </c>
      <c r="B29" s="32">
        <v>3</v>
      </c>
      <c r="C29" s="17" t="s">
        <v>2319</v>
      </c>
      <c r="D29" s="26" t="s">
        <v>2320</v>
      </c>
      <c r="E29" s="27">
        <v>60875462</v>
      </c>
      <c r="F29" s="17" t="s">
        <v>2321</v>
      </c>
      <c r="G29" s="28" t="s">
        <v>724</v>
      </c>
      <c r="H29" s="29">
        <v>211</v>
      </c>
      <c r="I29" s="30">
        <v>2600000</v>
      </c>
      <c r="J29" s="31">
        <v>18200</v>
      </c>
      <c r="K29" s="17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22"/>
      <c r="AM29" s="22"/>
      <c r="AN29" s="22"/>
      <c r="AO29" s="22"/>
      <c r="AP29" s="22"/>
      <c r="AQ29" s="22"/>
      <c r="AR29" s="22"/>
      <c r="AS29" s="22"/>
      <c r="AT29" s="22"/>
      <c r="AU29" s="22"/>
      <c r="AV29" s="22"/>
      <c r="AW29" s="22"/>
      <c r="AX29" s="22"/>
      <c r="AY29" s="22"/>
      <c r="AZ29" s="22"/>
      <c r="BA29" s="22"/>
      <c r="BB29" s="22"/>
      <c r="BC29" s="22"/>
      <c r="BD29" s="22"/>
      <c r="BE29" s="22"/>
      <c r="BF29" s="22"/>
      <c r="BG29" s="22"/>
      <c r="BH29" s="22"/>
      <c r="BI29" s="22"/>
      <c r="BJ29" s="22"/>
      <c r="BK29" s="22"/>
      <c r="BL29" s="22"/>
      <c r="BM29" s="22"/>
      <c r="BN29" s="22"/>
      <c r="BO29" s="22"/>
      <c r="BP29" s="22"/>
      <c r="BQ29" s="22"/>
      <c r="BR29" s="22"/>
      <c r="BS29" s="22"/>
      <c r="BT29" s="22"/>
      <c r="BU29" s="22"/>
      <c r="BV29" s="22"/>
      <c r="BW29" s="22"/>
      <c r="BX29" s="22"/>
      <c r="BY29" s="22"/>
      <c r="BZ29" s="22"/>
      <c r="CA29" s="22"/>
      <c r="CB29" s="22"/>
      <c r="CC29" s="22"/>
      <c r="CD29" s="22"/>
      <c r="CE29" s="22"/>
      <c r="CF29" s="22"/>
      <c r="CG29" s="22"/>
      <c r="CH29" s="22"/>
      <c r="CI29" s="22"/>
      <c r="CJ29" s="22"/>
      <c r="CK29" s="22"/>
      <c r="CL29" s="22"/>
      <c r="CM29" s="22"/>
      <c r="CN29" s="22"/>
      <c r="CO29" s="22"/>
      <c r="CP29" s="22"/>
      <c r="CQ29" s="22"/>
      <c r="CR29" s="22"/>
      <c r="CS29" s="22"/>
      <c r="CT29" s="22"/>
      <c r="CU29" s="22"/>
      <c r="CV29" s="22"/>
      <c r="CW29" s="22"/>
      <c r="CX29" s="22"/>
      <c r="CY29" s="22"/>
      <c r="CZ29" s="22"/>
      <c r="DA29" s="22"/>
      <c r="DB29" s="22"/>
      <c r="DC29" s="22"/>
      <c r="DD29" s="22"/>
      <c r="DE29" s="22"/>
      <c r="DF29" s="22"/>
      <c r="DG29" s="22"/>
      <c r="DH29" s="22"/>
      <c r="DI29" s="22"/>
      <c r="DJ29" s="22"/>
      <c r="DK29" s="22"/>
      <c r="DL29" s="22"/>
      <c r="DM29" s="22"/>
      <c r="DN29" s="22"/>
      <c r="DO29" s="22"/>
      <c r="DP29" s="22"/>
      <c r="DQ29" s="22"/>
      <c r="DR29" s="22"/>
      <c r="DS29" s="22"/>
      <c r="DT29" s="22"/>
      <c r="DU29" s="22"/>
      <c r="DV29" s="22"/>
      <c r="DW29" s="22"/>
      <c r="DX29" s="22"/>
      <c r="DY29" s="22"/>
      <c r="DZ29" s="22"/>
      <c r="EA29" s="22"/>
      <c r="EB29" s="22"/>
      <c r="EC29" s="22"/>
      <c r="ED29" s="22"/>
      <c r="EE29" s="22"/>
      <c r="EF29" s="22"/>
      <c r="EG29" s="22"/>
      <c r="EH29" s="22"/>
      <c r="EI29" s="22"/>
      <c r="EJ29" s="22"/>
      <c r="EK29" s="22"/>
      <c r="EL29" s="22"/>
      <c r="EM29" s="22"/>
      <c r="EN29" s="22"/>
      <c r="EO29" s="22"/>
      <c r="EP29" s="22"/>
    </row>
    <row r="30" spans="1:146" s="23" customFormat="1" x14ac:dyDescent="0.3">
      <c r="A30" s="24">
        <v>53094481</v>
      </c>
      <c r="B30" s="32">
        <v>5</v>
      </c>
      <c r="C30" s="17" t="s">
        <v>2322</v>
      </c>
      <c r="D30" s="26" t="s">
        <v>2323</v>
      </c>
      <c r="E30" s="27" t="s">
        <v>2282</v>
      </c>
      <c r="F30" s="17" t="s">
        <v>2324</v>
      </c>
      <c r="G30" s="28" t="s">
        <v>724</v>
      </c>
      <c r="H30" s="29">
        <v>211</v>
      </c>
      <c r="I30" s="30">
        <v>1985000</v>
      </c>
      <c r="J30" s="31">
        <v>7200</v>
      </c>
      <c r="K30" s="17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2"/>
      <c r="AS30" s="22"/>
      <c r="AT30" s="22"/>
      <c r="AU30" s="22"/>
      <c r="AV30" s="22"/>
      <c r="AW30" s="22"/>
      <c r="AX30" s="22"/>
      <c r="AY30" s="22"/>
      <c r="AZ30" s="22"/>
      <c r="BA30" s="22"/>
      <c r="BB30" s="22"/>
      <c r="BC30" s="22"/>
      <c r="BD30" s="22"/>
      <c r="BE30" s="22"/>
      <c r="BF30" s="22"/>
      <c r="BG30" s="22"/>
      <c r="BH30" s="22"/>
      <c r="BI30" s="22"/>
      <c r="BJ30" s="22"/>
      <c r="BK30" s="22"/>
      <c r="BL30" s="22"/>
      <c r="BM30" s="22"/>
      <c r="BN30" s="22"/>
      <c r="BO30" s="22"/>
      <c r="BP30" s="22"/>
      <c r="BQ30" s="22"/>
      <c r="BR30" s="22"/>
      <c r="BS30" s="22"/>
      <c r="BT30" s="22"/>
      <c r="BU30" s="22"/>
      <c r="BV30" s="22"/>
      <c r="BW30" s="22"/>
      <c r="BX30" s="22"/>
      <c r="BY30" s="22"/>
      <c r="BZ30" s="22"/>
      <c r="CA30" s="22"/>
      <c r="CB30" s="22"/>
      <c r="CC30" s="22"/>
      <c r="CD30" s="22"/>
      <c r="CE30" s="22"/>
      <c r="CF30" s="22"/>
      <c r="CG30" s="22"/>
      <c r="CH30" s="22"/>
      <c r="CI30" s="22"/>
      <c r="CJ30" s="22"/>
      <c r="CK30" s="22"/>
      <c r="CL30" s="22"/>
      <c r="CM30" s="22"/>
      <c r="CN30" s="22"/>
      <c r="CO30" s="22"/>
      <c r="CP30" s="22"/>
      <c r="CQ30" s="22"/>
      <c r="CR30" s="22"/>
      <c r="CS30" s="22"/>
      <c r="CT30" s="22"/>
      <c r="CU30" s="22"/>
      <c r="CV30" s="22"/>
      <c r="CW30" s="22"/>
      <c r="CX30" s="22"/>
      <c r="CY30" s="22"/>
      <c r="CZ30" s="22"/>
      <c r="DA30" s="22"/>
      <c r="DB30" s="22"/>
      <c r="DC30" s="22"/>
      <c r="DD30" s="22"/>
      <c r="DE30" s="22"/>
      <c r="DF30" s="22"/>
      <c r="DG30" s="22"/>
      <c r="DH30" s="22"/>
      <c r="DI30" s="22"/>
      <c r="DJ30" s="22"/>
      <c r="DK30" s="22"/>
      <c r="DL30" s="22"/>
      <c r="DM30" s="22"/>
      <c r="DN30" s="22"/>
      <c r="DO30" s="22"/>
      <c r="DP30" s="22"/>
      <c r="DQ30" s="22"/>
      <c r="DR30" s="22"/>
      <c r="DS30" s="22"/>
      <c r="DT30" s="22"/>
      <c r="DU30" s="22"/>
      <c r="DV30" s="22"/>
      <c r="DW30" s="22"/>
      <c r="DX30" s="22"/>
      <c r="DY30" s="22"/>
      <c r="DZ30" s="22"/>
      <c r="EA30" s="22"/>
      <c r="EB30" s="22"/>
      <c r="EC30" s="22"/>
      <c r="ED30" s="22"/>
      <c r="EE30" s="22"/>
      <c r="EF30" s="22"/>
      <c r="EG30" s="22"/>
      <c r="EH30" s="22"/>
      <c r="EI30" s="22"/>
      <c r="EJ30" s="22"/>
      <c r="EK30" s="22"/>
      <c r="EL30" s="22"/>
      <c r="EM30" s="22"/>
      <c r="EN30" s="22"/>
      <c r="EO30" s="22"/>
      <c r="EP30" s="22"/>
    </row>
    <row r="31" spans="1:146" s="23" customFormat="1" x14ac:dyDescent="0.3">
      <c r="A31" s="24">
        <v>891855025</v>
      </c>
      <c r="B31" s="32">
        <v>6</v>
      </c>
      <c r="C31" s="17" t="s">
        <v>2325</v>
      </c>
      <c r="D31" s="26" t="s">
        <v>2326</v>
      </c>
      <c r="E31" s="27">
        <v>6087604181</v>
      </c>
      <c r="F31" s="17" t="s">
        <v>2327</v>
      </c>
      <c r="G31" s="28" t="s">
        <v>720</v>
      </c>
      <c r="H31" s="29">
        <v>211</v>
      </c>
      <c r="I31" s="30">
        <v>1886700</v>
      </c>
      <c r="J31" s="31">
        <v>0</v>
      </c>
      <c r="K31" s="17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2"/>
      <c r="AO31" s="22"/>
      <c r="AP31" s="22"/>
      <c r="AQ31" s="22"/>
      <c r="AR31" s="22"/>
      <c r="AS31" s="22"/>
      <c r="AT31" s="22"/>
      <c r="AU31" s="22"/>
      <c r="AV31" s="22"/>
      <c r="AW31" s="22"/>
      <c r="AX31" s="22"/>
      <c r="AY31" s="22"/>
      <c r="AZ31" s="22"/>
      <c r="BA31" s="22"/>
      <c r="BB31" s="22"/>
      <c r="BC31" s="22"/>
      <c r="BD31" s="22"/>
      <c r="BE31" s="22"/>
      <c r="BF31" s="22"/>
      <c r="BG31" s="22"/>
      <c r="BH31" s="22"/>
      <c r="BI31" s="22"/>
      <c r="BJ31" s="22"/>
      <c r="BK31" s="22"/>
      <c r="BL31" s="22"/>
      <c r="BM31" s="22"/>
      <c r="BN31" s="22"/>
      <c r="BO31" s="22"/>
      <c r="BP31" s="22"/>
      <c r="BQ31" s="22"/>
      <c r="BR31" s="22"/>
      <c r="BS31" s="22"/>
      <c r="BT31" s="22"/>
      <c r="BU31" s="22"/>
      <c r="BV31" s="22"/>
      <c r="BW31" s="22"/>
      <c r="BX31" s="22"/>
      <c r="BY31" s="22"/>
      <c r="BZ31" s="22"/>
      <c r="CA31" s="22"/>
      <c r="CB31" s="22"/>
      <c r="CC31" s="22"/>
      <c r="CD31" s="22"/>
      <c r="CE31" s="22"/>
      <c r="CF31" s="22"/>
      <c r="CG31" s="22"/>
      <c r="CH31" s="22"/>
      <c r="CI31" s="22"/>
      <c r="CJ31" s="22"/>
      <c r="CK31" s="22"/>
      <c r="CL31" s="22"/>
      <c r="CM31" s="22"/>
      <c r="CN31" s="22"/>
      <c r="CO31" s="22"/>
      <c r="CP31" s="22"/>
      <c r="CQ31" s="22"/>
      <c r="CR31" s="22"/>
      <c r="CS31" s="22"/>
      <c r="CT31" s="22"/>
      <c r="CU31" s="22"/>
      <c r="CV31" s="22"/>
      <c r="CW31" s="22"/>
      <c r="CX31" s="22"/>
      <c r="CY31" s="22"/>
      <c r="CZ31" s="22"/>
      <c r="DA31" s="22"/>
      <c r="DB31" s="22"/>
      <c r="DC31" s="22"/>
      <c r="DD31" s="22"/>
      <c r="DE31" s="22"/>
      <c r="DF31" s="22"/>
      <c r="DG31" s="22"/>
      <c r="DH31" s="22"/>
      <c r="DI31" s="22"/>
      <c r="DJ31" s="22"/>
      <c r="DK31" s="22"/>
      <c r="DL31" s="22"/>
      <c r="DM31" s="22"/>
      <c r="DN31" s="22"/>
      <c r="DO31" s="22"/>
      <c r="DP31" s="22"/>
      <c r="DQ31" s="22"/>
      <c r="DR31" s="22"/>
      <c r="DS31" s="22"/>
      <c r="DT31" s="22"/>
      <c r="DU31" s="22"/>
      <c r="DV31" s="22"/>
      <c r="DW31" s="22"/>
      <c r="DX31" s="22"/>
      <c r="DY31" s="22"/>
      <c r="DZ31" s="22"/>
      <c r="EA31" s="22"/>
      <c r="EB31" s="22"/>
      <c r="EC31" s="22"/>
      <c r="ED31" s="22"/>
      <c r="EE31" s="22"/>
      <c r="EF31" s="22"/>
      <c r="EG31" s="22"/>
      <c r="EH31" s="22"/>
      <c r="EI31" s="22"/>
      <c r="EJ31" s="22"/>
      <c r="EK31" s="22"/>
      <c r="EL31" s="22"/>
      <c r="EM31" s="22"/>
      <c r="EN31" s="22"/>
      <c r="EO31" s="22"/>
      <c r="EP31" s="22"/>
    </row>
    <row r="32" spans="1:146" s="23" customFormat="1" x14ac:dyDescent="0.3">
      <c r="A32" s="24">
        <v>900463874</v>
      </c>
      <c r="B32" s="32">
        <v>1</v>
      </c>
      <c r="C32" s="17" t="s">
        <v>2328</v>
      </c>
      <c r="D32" s="26" t="s">
        <v>2329</v>
      </c>
      <c r="E32" s="27">
        <v>3208013472</v>
      </c>
      <c r="F32" s="17" t="s">
        <v>2330</v>
      </c>
      <c r="G32" s="28" t="s">
        <v>724</v>
      </c>
      <c r="H32" s="29">
        <v>211</v>
      </c>
      <c r="I32" s="30">
        <v>1510000</v>
      </c>
      <c r="J32" s="31">
        <f>+I32*0.008</f>
        <v>12080</v>
      </c>
      <c r="K32" s="17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22"/>
      <c r="AQ32" s="22"/>
      <c r="AR32" s="22"/>
      <c r="AS32" s="22"/>
      <c r="AT32" s="22"/>
      <c r="AU32" s="22"/>
      <c r="AV32" s="22"/>
      <c r="AW32" s="22"/>
      <c r="AX32" s="22"/>
      <c r="AY32" s="22"/>
      <c r="AZ32" s="22"/>
      <c r="BA32" s="22"/>
      <c r="BB32" s="22"/>
      <c r="BC32" s="22"/>
      <c r="BD32" s="22"/>
      <c r="BE32" s="22"/>
      <c r="BF32" s="22"/>
      <c r="BG32" s="22"/>
      <c r="BH32" s="22"/>
      <c r="BI32" s="22"/>
      <c r="BJ32" s="22"/>
      <c r="BK32" s="22"/>
      <c r="BL32" s="22"/>
      <c r="BM32" s="22"/>
      <c r="BN32" s="22"/>
      <c r="BO32" s="22"/>
      <c r="BP32" s="22"/>
      <c r="BQ32" s="22"/>
      <c r="BR32" s="22"/>
      <c r="BS32" s="22"/>
      <c r="BT32" s="22"/>
      <c r="BU32" s="22"/>
      <c r="BV32" s="22"/>
      <c r="BW32" s="22"/>
      <c r="BX32" s="22"/>
      <c r="BY32" s="22"/>
      <c r="BZ32" s="22"/>
      <c r="CA32" s="22"/>
      <c r="CB32" s="22"/>
      <c r="CC32" s="22"/>
      <c r="CD32" s="22"/>
      <c r="CE32" s="22"/>
      <c r="CF32" s="22"/>
      <c r="CG32" s="22"/>
      <c r="CH32" s="22"/>
      <c r="CI32" s="22"/>
      <c r="CJ32" s="22"/>
      <c r="CK32" s="22"/>
      <c r="CL32" s="22"/>
      <c r="CM32" s="22"/>
      <c r="CN32" s="22"/>
      <c r="CO32" s="22"/>
      <c r="CP32" s="22"/>
      <c r="CQ32" s="22"/>
      <c r="CR32" s="22"/>
      <c r="CS32" s="22"/>
      <c r="CT32" s="22"/>
      <c r="CU32" s="22"/>
      <c r="CV32" s="22"/>
      <c r="CW32" s="22"/>
      <c r="CX32" s="22"/>
      <c r="CY32" s="22"/>
      <c r="CZ32" s="22"/>
      <c r="DA32" s="22"/>
      <c r="DB32" s="22"/>
      <c r="DC32" s="22"/>
      <c r="DD32" s="22"/>
      <c r="DE32" s="22"/>
      <c r="DF32" s="22"/>
      <c r="DG32" s="22"/>
      <c r="DH32" s="22"/>
      <c r="DI32" s="22"/>
      <c r="DJ32" s="22"/>
      <c r="DK32" s="22"/>
      <c r="DL32" s="22"/>
      <c r="DM32" s="22"/>
      <c r="DN32" s="22"/>
      <c r="DO32" s="22"/>
      <c r="DP32" s="22"/>
      <c r="DQ32" s="22"/>
      <c r="DR32" s="22"/>
      <c r="DS32" s="22"/>
      <c r="DT32" s="22"/>
      <c r="DU32" s="22"/>
      <c r="DV32" s="22"/>
      <c r="DW32" s="22"/>
      <c r="DX32" s="22"/>
      <c r="DY32" s="22"/>
      <c r="DZ32" s="22"/>
      <c r="EA32" s="22"/>
      <c r="EB32" s="22"/>
      <c r="EC32" s="22"/>
      <c r="ED32" s="22"/>
      <c r="EE32" s="22"/>
      <c r="EF32" s="22"/>
      <c r="EG32" s="22"/>
      <c r="EH32" s="22"/>
      <c r="EI32" s="22"/>
      <c r="EJ32" s="22"/>
      <c r="EK32" s="22"/>
      <c r="EL32" s="22"/>
      <c r="EM32" s="22"/>
      <c r="EN32" s="22"/>
      <c r="EO32" s="22"/>
      <c r="EP32" s="22"/>
    </row>
    <row r="33" spans="1:146" s="23" customFormat="1" x14ac:dyDescent="0.3">
      <c r="A33" s="24">
        <v>1049624193</v>
      </c>
      <c r="B33" s="32">
        <v>0</v>
      </c>
      <c r="C33" s="17" t="s">
        <v>2331</v>
      </c>
      <c r="D33" s="26" t="s">
        <v>2332</v>
      </c>
      <c r="E33" s="27" t="s">
        <v>2282</v>
      </c>
      <c r="F33" s="17" t="s">
        <v>2267</v>
      </c>
      <c r="G33" s="28" t="s">
        <v>720</v>
      </c>
      <c r="H33" s="29">
        <v>211</v>
      </c>
      <c r="I33" s="30">
        <v>1500000</v>
      </c>
      <c r="J33" s="31">
        <v>0</v>
      </c>
      <c r="K33" s="17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22"/>
      <c r="AM33" s="22"/>
      <c r="AN33" s="22"/>
      <c r="AO33" s="22"/>
      <c r="AP33" s="22"/>
      <c r="AQ33" s="22"/>
      <c r="AR33" s="22"/>
      <c r="AS33" s="22"/>
      <c r="AT33" s="22"/>
      <c r="AU33" s="22"/>
      <c r="AV33" s="22"/>
      <c r="AW33" s="22"/>
      <c r="AX33" s="22"/>
      <c r="AY33" s="22"/>
      <c r="AZ33" s="22"/>
      <c r="BA33" s="22"/>
      <c r="BB33" s="22"/>
      <c r="BC33" s="22"/>
      <c r="BD33" s="22"/>
      <c r="BE33" s="22"/>
      <c r="BF33" s="22"/>
      <c r="BG33" s="22"/>
      <c r="BH33" s="22"/>
      <c r="BI33" s="22"/>
      <c r="BJ33" s="22"/>
      <c r="BK33" s="22"/>
      <c r="BL33" s="22"/>
      <c r="BM33" s="22"/>
      <c r="BN33" s="22"/>
      <c r="BO33" s="22"/>
      <c r="BP33" s="22"/>
      <c r="BQ33" s="22"/>
      <c r="BR33" s="22"/>
      <c r="BS33" s="22"/>
      <c r="BT33" s="22"/>
      <c r="BU33" s="22"/>
      <c r="BV33" s="22"/>
      <c r="BW33" s="22"/>
      <c r="BX33" s="22"/>
      <c r="BY33" s="22"/>
      <c r="BZ33" s="22"/>
      <c r="CA33" s="22"/>
      <c r="CB33" s="22"/>
      <c r="CC33" s="22"/>
      <c r="CD33" s="22"/>
      <c r="CE33" s="22"/>
      <c r="CF33" s="22"/>
      <c r="CG33" s="22"/>
      <c r="CH33" s="22"/>
      <c r="CI33" s="22"/>
      <c r="CJ33" s="22"/>
      <c r="CK33" s="22"/>
      <c r="CL33" s="22"/>
      <c r="CM33" s="22"/>
      <c r="CN33" s="22"/>
      <c r="CO33" s="22"/>
      <c r="CP33" s="22"/>
      <c r="CQ33" s="22"/>
      <c r="CR33" s="22"/>
      <c r="CS33" s="22"/>
      <c r="CT33" s="22"/>
      <c r="CU33" s="22"/>
      <c r="CV33" s="22"/>
      <c r="CW33" s="22"/>
      <c r="CX33" s="22"/>
      <c r="CY33" s="22"/>
      <c r="CZ33" s="22"/>
      <c r="DA33" s="22"/>
      <c r="DB33" s="22"/>
      <c r="DC33" s="22"/>
      <c r="DD33" s="22"/>
      <c r="DE33" s="22"/>
      <c r="DF33" s="22"/>
      <c r="DG33" s="22"/>
      <c r="DH33" s="22"/>
      <c r="DI33" s="22"/>
      <c r="DJ33" s="22"/>
      <c r="DK33" s="22"/>
      <c r="DL33" s="22"/>
      <c r="DM33" s="22"/>
      <c r="DN33" s="22"/>
      <c r="DO33" s="22"/>
      <c r="DP33" s="22"/>
      <c r="DQ33" s="22"/>
      <c r="DR33" s="22"/>
      <c r="DS33" s="22"/>
      <c r="DT33" s="22"/>
      <c r="DU33" s="22"/>
      <c r="DV33" s="22"/>
      <c r="DW33" s="22"/>
      <c r="DX33" s="22"/>
      <c r="DY33" s="22"/>
      <c r="DZ33" s="22"/>
      <c r="EA33" s="22"/>
      <c r="EB33" s="22"/>
      <c r="EC33" s="22"/>
      <c r="ED33" s="22"/>
      <c r="EE33" s="22"/>
      <c r="EF33" s="22"/>
      <c r="EG33" s="22"/>
      <c r="EH33" s="22"/>
      <c r="EI33" s="22"/>
      <c r="EJ33" s="22"/>
      <c r="EK33" s="22"/>
      <c r="EL33" s="22"/>
      <c r="EM33" s="22"/>
      <c r="EN33" s="22"/>
      <c r="EO33" s="22"/>
      <c r="EP33" s="22"/>
    </row>
    <row r="34" spans="1:146" s="23" customFormat="1" x14ac:dyDescent="0.3">
      <c r="A34" s="24">
        <v>74359164</v>
      </c>
      <c r="B34" s="32">
        <v>0</v>
      </c>
      <c r="C34" s="17" t="s">
        <v>2333</v>
      </c>
      <c r="D34" s="26" t="s">
        <v>2334</v>
      </c>
      <c r="E34" s="27" t="s">
        <v>2282</v>
      </c>
      <c r="F34" s="17" t="s">
        <v>2267</v>
      </c>
      <c r="G34" s="28" t="s">
        <v>724</v>
      </c>
      <c r="H34" s="29">
        <v>211</v>
      </c>
      <c r="I34" s="30">
        <v>1445000</v>
      </c>
      <c r="J34" s="31">
        <f>+I34*0.009</f>
        <v>13004.999999999998</v>
      </c>
      <c r="K34" s="17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2"/>
      <c r="AS34" s="22"/>
      <c r="AT34" s="22"/>
      <c r="AU34" s="22"/>
      <c r="AV34" s="22"/>
      <c r="AW34" s="22"/>
      <c r="AX34" s="22"/>
      <c r="AY34" s="22"/>
      <c r="AZ34" s="22"/>
      <c r="BA34" s="22"/>
      <c r="BB34" s="22"/>
      <c r="BC34" s="22"/>
      <c r="BD34" s="22"/>
      <c r="BE34" s="22"/>
      <c r="BF34" s="22"/>
      <c r="BG34" s="22"/>
      <c r="BH34" s="22"/>
      <c r="BI34" s="22"/>
      <c r="BJ34" s="22"/>
      <c r="BK34" s="22"/>
      <c r="BL34" s="22"/>
      <c r="BM34" s="22"/>
      <c r="BN34" s="22"/>
      <c r="BO34" s="22"/>
      <c r="BP34" s="22"/>
      <c r="BQ34" s="22"/>
      <c r="BR34" s="22"/>
      <c r="BS34" s="22"/>
      <c r="BT34" s="22"/>
      <c r="BU34" s="22"/>
      <c r="BV34" s="22"/>
      <c r="BW34" s="22"/>
      <c r="BX34" s="22"/>
      <c r="BY34" s="22"/>
      <c r="BZ34" s="22"/>
      <c r="CA34" s="22"/>
      <c r="CB34" s="22"/>
      <c r="CC34" s="22"/>
      <c r="CD34" s="22"/>
      <c r="CE34" s="22"/>
      <c r="CF34" s="22"/>
      <c r="CG34" s="22"/>
      <c r="CH34" s="22"/>
      <c r="CI34" s="22"/>
      <c r="CJ34" s="22"/>
      <c r="CK34" s="22"/>
      <c r="CL34" s="22"/>
      <c r="CM34" s="22"/>
      <c r="CN34" s="22"/>
      <c r="CO34" s="22"/>
      <c r="CP34" s="22"/>
      <c r="CQ34" s="22"/>
      <c r="CR34" s="22"/>
      <c r="CS34" s="22"/>
      <c r="CT34" s="22"/>
      <c r="CU34" s="22"/>
      <c r="CV34" s="22"/>
      <c r="CW34" s="22"/>
      <c r="CX34" s="22"/>
      <c r="CY34" s="22"/>
      <c r="CZ34" s="22"/>
      <c r="DA34" s="22"/>
      <c r="DB34" s="22"/>
      <c r="DC34" s="22"/>
      <c r="DD34" s="22"/>
      <c r="DE34" s="22"/>
      <c r="DF34" s="22"/>
      <c r="DG34" s="22"/>
      <c r="DH34" s="22"/>
      <c r="DI34" s="22"/>
      <c r="DJ34" s="22"/>
      <c r="DK34" s="22"/>
      <c r="DL34" s="22"/>
      <c r="DM34" s="22"/>
      <c r="DN34" s="22"/>
      <c r="DO34" s="22"/>
      <c r="DP34" s="22"/>
      <c r="DQ34" s="22"/>
      <c r="DR34" s="22"/>
      <c r="DS34" s="22"/>
      <c r="DT34" s="22"/>
      <c r="DU34" s="22"/>
      <c r="DV34" s="22"/>
      <c r="DW34" s="22"/>
      <c r="DX34" s="22"/>
      <c r="DY34" s="22"/>
      <c r="DZ34" s="22"/>
      <c r="EA34" s="22"/>
      <c r="EB34" s="22"/>
      <c r="EC34" s="22"/>
      <c r="ED34" s="22"/>
      <c r="EE34" s="22"/>
      <c r="EF34" s="22"/>
      <c r="EG34" s="22"/>
      <c r="EH34" s="22"/>
      <c r="EI34" s="22"/>
      <c r="EJ34" s="22"/>
      <c r="EK34" s="22"/>
      <c r="EL34" s="22"/>
      <c r="EM34" s="22"/>
      <c r="EN34" s="22"/>
      <c r="EO34" s="22"/>
      <c r="EP34" s="22"/>
    </row>
    <row r="35" spans="1:146" s="23" customFormat="1" x14ac:dyDescent="0.3">
      <c r="A35" s="24">
        <v>1052414247</v>
      </c>
      <c r="B35" s="32">
        <v>1</v>
      </c>
      <c r="C35" s="17" t="s">
        <v>2335</v>
      </c>
      <c r="D35" s="26" t="s">
        <v>2336</v>
      </c>
      <c r="E35" s="27" t="s">
        <v>2282</v>
      </c>
      <c r="F35" s="17" t="s">
        <v>2337</v>
      </c>
      <c r="G35" s="28" t="s">
        <v>720</v>
      </c>
      <c r="H35" s="29">
        <v>211</v>
      </c>
      <c r="I35" s="30">
        <v>1236269</v>
      </c>
      <c r="J35" s="31">
        <v>0</v>
      </c>
      <c r="K35" s="17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2"/>
      <c r="AO35" s="22"/>
      <c r="AP35" s="22"/>
      <c r="AQ35" s="22"/>
      <c r="AR35" s="22"/>
      <c r="AS35" s="22"/>
      <c r="AT35" s="22"/>
      <c r="AU35" s="22"/>
      <c r="AV35" s="22"/>
      <c r="AW35" s="22"/>
      <c r="AX35" s="22"/>
      <c r="AY35" s="22"/>
      <c r="AZ35" s="22"/>
      <c r="BA35" s="22"/>
      <c r="BB35" s="22"/>
      <c r="BC35" s="22"/>
      <c r="BD35" s="22"/>
      <c r="BE35" s="22"/>
      <c r="BF35" s="22"/>
      <c r="BG35" s="22"/>
      <c r="BH35" s="22"/>
      <c r="BI35" s="22"/>
      <c r="BJ35" s="22"/>
      <c r="BK35" s="22"/>
      <c r="BL35" s="22"/>
      <c r="BM35" s="22"/>
      <c r="BN35" s="22"/>
      <c r="BO35" s="22"/>
      <c r="BP35" s="22"/>
      <c r="BQ35" s="22"/>
      <c r="BR35" s="22"/>
      <c r="BS35" s="22"/>
      <c r="BT35" s="22"/>
      <c r="BU35" s="22"/>
      <c r="BV35" s="22"/>
      <c r="BW35" s="22"/>
      <c r="BX35" s="22"/>
      <c r="BY35" s="22"/>
      <c r="BZ35" s="22"/>
      <c r="CA35" s="22"/>
      <c r="CB35" s="22"/>
      <c r="CC35" s="22"/>
      <c r="CD35" s="22"/>
      <c r="CE35" s="22"/>
      <c r="CF35" s="22"/>
      <c r="CG35" s="22"/>
      <c r="CH35" s="22"/>
      <c r="CI35" s="22"/>
      <c r="CJ35" s="22"/>
      <c r="CK35" s="22"/>
      <c r="CL35" s="22"/>
      <c r="CM35" s="22"/>
      <c r="CN35" s="22"/>
      <c r="CO35" s="22"/>
      <c r="CP35" s="22"/>
      <c r="CQ35" s="22"/>
      <c r="CR35" s="22"/>
      <c r="CS35" s="22"/>
      <c r="CT35" s="22"/>
      <c r="CU35" s="22"/>
      <c r="CV35" s="22"/>
      <c r="CW35" s="22"/>
      <c r="CX35" s="22"/>
      <c r="CY35" s="22"/>
      <c r="CZ35" s="22"/>
      <c r="DA35" s="22"/>
      <c r="DB35" s="22"/>
      <c r="DC35" s="22"/>
      <c r="DD35" s="22"/>
      <c r="DE35" s="22"/>
      <c r="DF35" s="22"/>
      <c r="DG35" s="22"/>
      <c r="DH35" s="22"/>
      <c r="DI35" s="22"/>
      <c r="DJ35" s="22"/>
      <c r="DK35" s="22"/>
      <c r="DL35" s="22"/>
      <c r="DM35" s="22"/>
      <c r="DN35" s="22"/>
      <c r="DO35" s="22"/>
      <c r="DP35" s="22"/>
      <c r="DQ35" s="22"/>
      <c r="DR35" s="22"/>
      <c r="DS35" s="22"/>
      <c r="DT35" s="22"/>
      <c r="DU35" s="22"/>
      <c r="DV35" s="22"/>
      <c r="DW35" s="22"/>
      <c r="DX35" s="22"/>
      <c r="DY35" s="22"/>
      <c r="DZ35" s="22"/>
      <c r="EA35" s="22"/>
      <c r="EB35" s="22"/>
      <c r="EC35" s="22"/>
      <c r="ED35" s="22"/>
      <c r="EE35" s="22"/>
      <c r="EF35" s="22"/>
      <c r="EG35" s="22"/>
      <c r="EH35" s="22"/>
      <c r="EI35" s="22"/>
      <c r="EJ35" s="22"/>
      <c r="EK35" s="22"/>
      <c r="EL35" s="22"/>
      <c r="EM35" s="22"/>
      <c r="EN35" s="22"/>
      <c r="EO35" s="22"/>
      <c r="EP35" s="22"/>
    </row>
    <row r="36" spans="1:146" s="23" customFormat="1" x14ac:dyDescent="0.3">
      <c r="A36" s="24">
        <v>800242106</v>
      </c>
      <c r="B36" s="32">
        <v>2</v>
      </c>
      <c r="C36" s="17" t="s">
        <v>2338</v>
      </c>
      <c r="D36" s="26" t="s">
        <v>2339</v>
      </c>
      <c r="E36" s="27">
        <v>6013904100</v>
      </c>
      <c r="F36" s="17" t="s">
        <v>2340</v>
      </c>
      <c r="G36" s="28" t="s">
        <v>525</v>
      </c>
      <c r="H36" s="29">
        <v>211</v>
      </c>
      <c r="I36" s="30">
        <v>792757</v>
      </c>
      <c r="J36" s="31">
        <v>0</v>
      </c>
      <c r="K36" s="17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2"/>
      <c r="AO36" s="22"/>
      <c r="AP36" s="22"/>
      <c r="AQ36" s="22"/>
      <c r="AR36" s="22"/>
      <c r="AS36" s="22"/>
      <c r="AT36" s="22"/>
      <c r="AU36" s="22"/>
      <c r="AV36" s="22"/>
      <c r="AW36" s="22"/>
      <c r="AX36" s="22"/>
      <c r="AY36" s="22"/>
      <c r="AZ36" s="22"/>
      <c r="BA36" s="22"/>
      <c r="BB36" s="22"/>
      <c r="BC36" s="22"/>
      <c r="BD36" s="22"/>
      <c r="BE36" s="22"/>
      <c r="BF36" s="22"/>
      <c r="BG36" s="22"/>
      <c r="BH36" s="22"/>
      <c r="BI36" s="22"/>
      <c r="BJ36" s="22"/>
      <c r="BK36" s="22"/>
      <c r="BL36" s="22"/>
      <c r="BM36" s="22"/>
      <c r="BN36" s="22"/>
      <c r="BO36" s="22"/>
      <c r="BP36" s="22"/>
      <c r="BQ36" s="22"/>
      <c r="BR36" s="22"/>
      <c r="BS36" s="22"/>
      <c r="BT36" s="22"/>
      <c r="BU36" s="22"/>
      <c r="BV36" s="22"/>
      <c r="BW36" s="22"/>
      <c r="BX36" s="22"/>
      <c r="BY36" s="22"/>
      <c r="BZ36" s="22"/>
      <c r="CA36" s="22"/>
      <c r="CB36" s="22"/>
      <c r="CC36" s="22"/>
      <c r="CD36" s="22"/>
      <c r="CE36" s="22"/>
      <c r="CF36" s="22"/>
      <c r="CG36" s="22"/>
      <c r="CH36" s="22"/>
      <c r="CI36" s="22"/>
      <c r="CJ36" s="22"/>
      <c r="CK36" s="22"/>
      <c r="CL36" s="22"/>
      <c r="CM36" s="22"/>
      <c r="CN36" s="22"/>
      <c r="CO36" s="22"/>
      <c r="CP36" s="22"/>
      <c r="CQ36" s="22"/>
      <c r="CR36" s="22"/>
      <c r="CS36" s="22"/>
      <c r="CT36" s="22"/>
      <c r="CU36" s="22"/>
      <c r="CV36" s="22"/>
      <c r="CW36" s="22"/>
      <c r="CX36" s="22"/>
      <c r="CY36" s="22"/>
      <c r="CZ36" s="22"/>
      <c r="DA36" s="22"/>
      <c r="DB36" s="22"/>
      <c r="DC36" s="22"/>
      <c r="DD36" s="22"/>
      <c r="DE36" s="22"/>
      <c r="DF36" s="22"/>
      <c r="DG36" s="22"/>
      <c r="DH36" s="22"/>
      <c r="DI36" s="22"/>
      <c r="DJ36" s="22"/>
      <c r="DK36" s="22"/>
      <c r="DL36" s="22"/>
      <c r="DM36" s="22"/>
      <c r="DN36" s="22"/>
      <c r="DO36" s="22"/>
      <c r="DP36" s="22"/>
      <c r="DQ36" s="22"/>
      <c r="DR36" s="22"/>
      <c r="DS36" s="22"/>
      <c r="DT36" s="22"/>
      <c r="DU36" s="22"/>
      <c r="DV36" s="22"/>
      <c r="DW36" s="22"/>
      <c r="DX36" s="22"/>
      <c r="DY36" s="22"/>
      <c r="DZ36" s="22"/>
      <c r="EA36" s="22"/>
      <c r="EB36" s="22"/>
      <c r="EC36" s="22"/>
      <c r="ED36" s="22"/>
      <c r="EE36" s="22"/>
      <c r="EF36" s="22"/>
      <c r="EG36" s="22"/>
      <c r="EH36" s="22"/>
      <c r="EI36" s="22"/>
      <c r="EJ36" s="22"/>
      <c r="EK36" s="22"/>
      <c r="EL36" s="22"/>
      <c r="EM36" s="22"/>
      <c r="EN36" s="22"/>
      <c r="EO36" s="22"/>
      <c r="EP36" s="22"/>
    </row>
    <row r="37" spans="1:146" s="23" customFormat="1" x14ac:dyDescent="0.3">
      <c r="A37" s="24">
        <v>7173657</v>
      </c>
      <c r="B37" s="32">
        <v>6</v>
      </c>
      <c r="C37" s="17" t="s">
        <v>2341</v>
      </c>
      <c r="D37" s="26" t="s">
        <v>2342</v>
      </c>
      <c r="E37" s="27" t="s">
        <v>2282</v>
      </c>
      <c r="F37" s="17" t="s">
        <v>2343</v>
      </c>
      <c r="G37" s="28" t="s">
        <v>724</v>
      </c>
      <c r="H37" s="29">
        <v>211</v>
      </c>
      <c r="I37" s="30">
        <v>704000</v>
      </c>
      <c r="J37" s="31">
        <f>+I37*9/1000</f>
        <v>6336</v>
      </c>
      <c r="K37" s="17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22"/>
      <c r="AQ37" s="22"/>
      <c r="AR37" s="22"/>
      <c r="AS37" s="22"/>
      <c r="AT37" s="22"/>
      <c r="AU37" s="22"/>
      <c r="AV37" s="22"/>
      <c r="AW37" s="22"/>
      <c r="AX37" s="22"/>
      <c r="AY37" s="22"/>
      <c r="AZ37" s="22"/>
      <c r="BA37" s="22"/>
      <c r="BB37" s="22"/>
      <c r="BC37" s="22"/>
      <c r="BD37" s="22"/>
      <c r="BE37" s="22"/>
      <c r="BF37" s="22"/>
      <c r="BG37" s="22"/>
      <c r="BH37" s="22"/>
      <c r="BI37" s="22"/>
      <c r="BJ37" s="22"/>
      <c r="BK37" s="22"/>
      <c r="BL37" s="22"/>
      <c r="BM37" s="22"/>
      <c r="BN37" s="22"/>
      <c r="BO37" s="22"/>
      <c r="BP37" s="22"/>
      <c r="BQ37" s="22"/>
      <c r="BR37" s="22"/>
      <c r="BS37" s="22"/>
      <c r="BT37" s="22"/>
      <c r="BU37" s="22"/>
      <c r="BV37" s="22"/>
      <c r="BW37" s="22"/>
      <c r="BX37" s="22"/>
      <c r="BY37" s="22"/>
      <c r="BZ37" s="22"/>
      <c r="CA37" s="22"/>
      <c r="CB37" s="22"/>
      <c r="CC37" s="22"/>
      <c r="CD37" s="22"/>
      <c r="CE37" s="22"/>
      <c r="CF37" s="22"/>
      <c r="CG37" s="22"/>
      <c r="CH37" s="22"/>
      <c r="CI37" s="22"/>
      <c r="CJ37" s="22"/>
      <c r="CK37" s="22"/>
      <c r="CL37" s="22"/>
      <c r="CM37" s="22"/>
      <c r="CN37" s="22"/>
      <c r="CO37" s="22"/>
      <c r="CP37" s="22"/>
      <c r="CQ37" s="22"/>
      <c r="CR37" s="22"/>
      <c r="CS37" s="22"/>
      <c r="CT37" s="22"/>
      <c r="CU37" s="22"/>
      <c r="CV37" s="22"/>
      <c r="CW37" s="22"/>
      <c r="CX37" s="22"/>
      <c r="CY37" s="22"/>
      <c r="CZ37" s="22"/>
      <c r="DA37" s="22"/>
      <c r="DB37" s="22"/>
      <c r="DC37" s="22"/>
      <c r="DD37" s="22"/>
      <c r="DE37" s="22"/>
      <c r="DF37" s="22"/>
      <c r="DG37" s="22"/>
      <c r="DH37" s="22"/>
      <c r="DI37" s="22"/>
      <c r="DJ37" s="22"/>
      <c r="DK37" s="22"/>
      <c r="DL37" s="22"/>
      <c r="DM37" s="22"/>
      <c r="DN37" s="22"/>
      <c r="DO37" s="22"/>
      <c r="DP37" s="22"/>
      <c r="DQ37" s="22"/>
      <c r="DR37" s="22"/>
      <c r="DS37" s="22"/>
      <c r="DT37" s="22"/>
      <c r="DU37" s="22"/>
      <c r="DV37" s="22"/>
      <c r="DW37" s="22"/>
      <c r="DX37" s="22"/>
      <c r="DY37" s="22"/>
      <c r="DZ37" s="22"/>
      <c r="EA37" s="22"/>
      <c r="EB37" s="22"/>
      <c r="EC37" s="22"/>
      <c r="ED37" s="22"/>
      <c r="EE37" s="22"/>
      <c r="EF37" s="22"/>
      <c r="EG37" s="22"/>
      <c r="EH37" s="22"/>
      <c r="EI37" s="22"/>
      <c r="EJ37" s="22"/>
      <c r="EK37" s="22"/>
      <c r="EL37" s="22"/>
      <c r="EM37" s="22"/>
      <c r="EN37" s="22"/>
      <c r="EO37" s="22"/>
      <c r="EP37" s="22"/>
    </row>
    <row r="38" spans="1:146" s="23" customFormat="1" x14ac:dyDescent="0.3">
      <c r="A38" s="24">
        <v>1053610031</v>
      </c>
      <c r="B38" s="32">
        <v>1</v>
      </c>
      <c r="C38" s="17" t="s">
        <v>2344</v>
      </c>
      <c r="D38" s="26" t="s">
        <v>2345</v>
      </c>
      <c r="E38" s="27" t="s">
        <v>2282</v>
      </c>
      <c r="F38" s="17" t="s">
        <v>2346</v>
      </c>
      <c r="G38" s="28" t="s">
        <v>724</v>
      </c>
      <c r="H38" s="29">
        <v>211</v>
      </c>
      <c r="I38" s="30">
        <v>645300</v>
      </c>
      <c r="J38" s="31">
        <f t="shared" ref="J38:J50" si="0">+I38*9/1000</f>
        <v>5807.7</v>
      </c>
      <c r="K38" s="17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2"/>
      <c r="AO38" s="22"/>
      <c r="AP38" s="22"/>
      <c r="AQ38" s="22"/>
      <c r="AR38" s="22"/>
      <c r="AS38" s="22"/>
      <c r="AT38" s="22"/>
      <c r="AU38" s="22"/>
      <c r="AV38" s="22"/>
      <c r="AW38" s="22"/>
      <c r="AX38" s="22"/>
      <c r="AY38" s="22"/>
      <c r="AZ38" s="22"/>
      <c r="BA38" s="22"/>
      <c r="BB38" s="22"/>
      <c r="BC38" s="22"/>
      <c r="BD38" s="22"/>
      <c r="BE38" s="22"/>
      <c r="BF38" s="22"/>
      <c r="BG38" s="22"/>
      <c r="BH38" s="22"/>
      <c r="BI38" s="22"/>
      <c r="BJ38" s="22"/>
      <c r="BK38" s="22"/>
      <c r="BL38" s="22"/>
      <c r="BM38" s="22"/>
      <c r="BN38" s="22"/>
      <c r="BO38" s="22"/>
      <c r="BP38" s="22"/>
      <c r="BQ38" s="22"/>
      <c r="BR38" s="22"/>
      <c r="BS38" s="22"/>
      <c r="BT38" s="22"/>
      <c r="BU38" s="22"/>
      <c r="BV38" s="22"/>
      <c r="BW38" s="22"/>
      <c r="BX38" s="22"/>
      <c r="BY38" s="22"/>
      <c r="BZ38" s="22"/>
      <c r="CA38" s="22"/>
      <c r="CB38" s="22"/>
      <c r="CC38" s="22"/>
      <c r="CD38" s="22"/>
      <c r="CE38" s="22"/>
      <c r="CF38" s="22"/>
      <c r="CG38" s="22"/>
      <c r="CH38" s="22"/>
      <c r="CI38" s="22"/>
      <c r="CJ38" s="22"/>
      <c r="CK38" s="22"/>
      <c r="CL38" s="22"/>
      <c r="CM38" s="22"/>
      <c r="CN38" s="22"/>
      <c r="CO38" s="22"/>
      <c r="CP38" s="22"/>
      <c r="CQ38" s="22"/>
      <c r="CR38" s="22"/>
      <c r="CS38" s="22"/>
      <c r="CT38" s="22"/>
      <c r="CU38" s="22"/>
      <c r="CV38" s="22"/>
      <c r="CW38" s="22"/>
      <c r="CX38" s="22"/>
      <c r="CY38" s="22"/>
      <c r="CZ38" s="22"/>
      <c r="DA38" s="22"/>
      <c r="DB38" s="22"/>
      <c r="DC38" s="22"/>
      <c r="DD38" s="22"/>
      <c r="DE38" s="22"/>
      <c r="DF38" s="22"/>
      <c r="DG38" s="22"/>
      <c r="DH38" s="22"/>
      <c r="DI38" s="22"/>
      <c r="DJ38" s="22"/>
      <c r="DK38" s="22"/>
      <c r="DL38" s="22"/>
      <c r="DM38" s="22"/>
      <c r="DN38" s="22"/>
      <c r="DO38" s="22"/>
      <c r="DP38" s="22"/>
      <c r="DQ38" s="22"/>
      <c r="DR38" s="22"/>
      <c r="DS38" s="22"/>
      <c r="DT38" s="22"/>
      <c r="DU38" s="22"/>
      <c r="DV38" s="22"/>
      <c r="DW38" s="22"/>
      <c r="DX38" s="22"/>
      <c r="DY38" s="22"/>
      <c r="DZ38" s="22"/>
      <c r="EA38" s="22"/>
      <c r="EB38" s="22"/>
      <c r="EC38" s="22"/>
      <c r="ED38" s="22"/>
      <c r="EE38" s="22"/>
      <c r="EF38" s="22"/>
      <c r="EG38" s="22"/>
      <c r="EH38" s="22"/>
      <c r="EI38" s="22"/>
      <c r="EJ38" s="22"/>
      <c r="EK38" s="22"/>
      <c r="EL38" s="22"/>
      <c r="EM38" s="22"/>
      <c r="EN38" s="22"/>
      <c r="EO38" s="22"/>
      <c r="EP38" s="22"/>
    </row>
    <row r="39" spans="1:146" s="23" customFormat="1" x14ac:dyDescent="0.3">
      <c r="A39" s="24">
        <v>900276962</v>
      </c>
      <c r="B39" s="32">
        <v>1</v>
      </c>
      <c r="C39" s="17" t="s">
        <v>2347</v>
      </c>
      <c r="D39" s="26" t="s">
        <v>2348</v>
      </c>
      <c r="E39" s="27">
        <v>18000120201</v>
      </c>
      <c r="F39" s="17" t="s">
        <v>2349</v>
      </c>
      <c r="G39" s="28" t="s">
        <v>724</v>
      </c>
      <c r="H39" s="29">
        <v>211</v>
      </c>
      <c r="I39" s="30">
        <v>607627</v>
      </c>
      <c r="J39" s="31">
        <f t="shared" si="0"/>
        <v>5468.643</v>
      </c>
      <c r="K39" s="17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2"/>
      <c r="AO39" s="22"/>
      <c r="AP39" s="22"/>
      <c r="AQ39" s="22"/>
      <c r="AR39" s="22"/>
      <c r="AS39" s="22"/>
      <c r="AT39" s="22"/>
      <c r="AU39" s="22"/>
      <c r="AV39" s="22"/>
      <c r="AW39" s="22"/>
      <c r="AX39" s="22"/>
      <c r="AY39" s="22"/>
      <c r="AZ39" s="22"/>
      <c r="BA39" s="22"/>
      <c r="BB39" s="22"/>
      <c r="BC39" s="22"/>
      <c r="BD39" s="22"/>
      <c r="BE39" s="22"/>
      <c r="BF39" s="22"/>
      <c r="BG39" s="22"/>
      <c r="BH39" s="22"/>
      <c r="BI39" s="22"/>
      <c r="BJ39" s="22"/>
      <c r="BK39" s="22"/>
      <c r="BL39" s="22"/>
      <c r="BM39" s="22"/>
      <c r="BN39" s="22"/>
      <c r="BO39" s="22"/>
      <c r="BP39" s="22"/>
      <c r="BQ39" s="22"/>
      <c r="BR39" s="22"/>
      <c r="BS39" s="22"/>
      <c r="BT39" s="22"/>
      <c r="BU39" s="22"/>
      <c r="BV39" s="22"/>
      <c r="BW39" s="22"/>
      <c r="BX39" s="22"/>
      <c r="BY39" s="22"/>
      <c r="BZ39" s="22"/>
      <c r="CA39" s="22"/>
      <c r="CB39" s="22"/>
      <c r="CC39" s="22"/>
      <c r="CD39" s="22"/>
      <c r="CE39" s="22"/>
      <c r="CF39" s="22"/>
      <c r="CG39" s="22"/>
      <c r="CH39" s="22"/>
      <c r="CI39" s="22"/>
      <c r="CJ39" s="22"/>
      <c r="CK39" s="22"/>
      <c r="CL39" s="22"/>
      <c r="CM39" s="22"/>
      <c r="CN39" s="22"/>
      <c r="CO39" s="22"/>
      <c r="CP39" s="22"/>
      <c r="CQ39" s="22"/>
      <c r="CR39" s="22"/>
      <c r="CS39" s="22"/>
      <c r="CT39" s="22"/>
      <c r="CU39" s="22"/>
      <c r="CV39" s="22"/>
      <c r="CW39" s="22"/>
      <c r="CX39" s="22"/>
      <c r="CY39" s="22"/>
      <c r="CZ39" s="22"/>
      <c r="DA39" s="22"/>
      <c r="DB39" s="22"/>
      <c r="DC39" s="22"/>
      <c r="DD39" s="22"/>
      <c r="DE39" s="22"/>
      <c r="DF39" s="22"/>
      <c r="DG39" s="22"/>
      <c r="DH39" s="22"/>
      <c r="DI39" s="22"/>
      <c r="DJ39" s="22"/>
      <c r="DK39" s="22"/>
      <c r="DL39" s="22"/>
      <c r="DM39" s="22"/>
      <c r="DN39" s="22"/>
      <c r="DO39" s="22"/>
      <c r="DP39" s="22"/>
      <c r="DQ39" s="22"/>
      <c r="DR39" s="22"/>
      <c r="DS39" s="22"/>
      <c r="DT39" s="22"/>
      <c r="DU39" s="22"/>
      <c r="DV39" s="22"/>
      <c r="DW39" s="22"/>
      <c r="DX39" s="22"/>
      <c r="DY39" s="22"/>
      <c r="DZ39" s="22"/>
      <c r="EA39" s="22"/>
      <c r="EB39" s="22"/>
      <c r="EC39" s="22"/>
      <c r="ED39" s="22"/>
      <c r="EE39" s="22"/>
      <c r="EF39" s="22"/>
      <c r="EG39" s="22"/>
      <c r="EH39" s="22"/>
      <c r="EI39" s="22"/>
      <c r="EJ39" s="22"/>
      <c r="EK39" s="22"/>
      <c r="EL39" s="22"/>
      <c r="EM39" s="22"/>
      <c r="EN39" s="22"/>
      <c r="EO39" s="22"/>
      <c r="EP39" s="22"/>
    </row>
    <row r="40" spans="1:146" s="23" customFormat="1" x14ac:dyDescent="0.3">
      <c r="A40" s="24">
        <v>900813668</v>
      </c>
      <c r="B40" s="32">
        <v>3</v>
      </c>
      <c r="C40" s="17" t="s">
        <v>2350</v>
      </c>
      <c r="D40" s="26" t="s">
        <v>2351</v>
      </c>
      <c r="E40" s="27">
        <v>6087852123</v>
      </c>
      <c r="F40" s="17" t="s">
        <v>2352</v>
      </c>
      <c r="G40" s="28" t="s">
        <v>724</v>
      </c>
      <c r="H40" s="29">
        <v>211</v>
      </c>
      <c r="I40" s="30">
        <v>562590</v>
      </c>
      <c r="J40" s="31">
        <f t="shared" si="0"/>
        <v>5063.3100000000004</v>
      </c>
      <c r="K40" s="17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2"/>
      <c r="AS40" s="22"/>
      <c r="AT40" s="22"/>
      <c r="AU40" s="22"/>
      <c r="AV40" s="22"/>
      <c r="AW40" s="22"/>
      <c r="AX40" s="22"/>
      <c r="AY40" s="22"/>
      <c r="AZ40" s="22"/>
      <c r="BA40" s="22"/>
      <c r="BB40" s="22"/>
      <c r="BC40" s="22"/>
      <c r="BD40" s="22"/>
      <c r="BE40" s="22"/>
      <c r="BF40" s="22"/>
      <c r="BG40" s="22"/>
      <c r="BH40" s="22"/>
      <c r="BI40" s="22"/>
      <c r="BJ40" s="22"/>
      <c r="BK40" s="22"/>
      <c r="BL40" s="22"/>
      <c r="BM40" s="22"/>
      <c r="BN40" s="22"/>
      <c r="BO40" s="22"/>
      <c r="BP40" s="22"/>
      <c r="BQ40" s="22"/>
      <c r="BR40" s="22"/>
      <c r="BS40" s="22"/>
      <c r="BT40" s="22"/>
      <c r="BU40" s="22"/>
      <c r="BV40" s="22"/>
      <c r="BW40" s="22"/>
      <c r="BX40" s="22"/>
      <c r="BY40" s="22"/>
      <c r="BZ40" s="22"/>
      <c r="CA40" s="22"/>
      <c r="CB40" s="22"/>
      <c r="CC40" s="22"/>
      <c r="CD40" s="22"/>
      <c r="CE40" s="22"/>
      <c r="CF40" s="22"/>
      <c r="CG40" s="22"/>
      <c r="CH40" s="22"/>
      <c r="CI40" s="22"/>
      <c r="CJ40" s="22"/>
      <c r="CK40" s="22"/>
      <c r="CL40" s="22"/>
      <c r="CM40" s="22"/>
      <c r="CN40" s="22"/>
      <c r="CO40" s="22"/>
      <c r="CP40" s="22"/>
      <c r="CQ40" s="22"/>
      <c r="CR40" s="22"/>
      <c r="CS40" s="22"/>
      <c r="CT40" s="22"/>
      <c r="CU40" s="22"/>
      <c r="CV40" s="22"/>
      <c r="CW40" s="22"/>
      <c r="CX40" s="22"/>
      <c r="CY40" s="22"/>
      <c r="CZ40" s="22"/>
      <c r="DA40" s="22"/>
      <c r="DB40" s="22"/>
      <c r="DC40" s="22"/>
      <c r="DD40" s="22"/>
      <c r="DE40" s="22"/>
      <c r="DF40" s="22"/>
      <c r="DG40" s="22"/>
      <c r="DH40" s="22"/>
      <c r="DI40" s="22"/>
      <c r="DJ40" s="22"/>
      <c r="DK40" s="22"/>
      <c r="DL40" s="22"/>
      <c r="DM40" s="22"/>
      <c r="DN40" s="22"/>
      <c r="DO40" s="22"/>
      <c r="DP40" s="22"/>
      <c r="DQ40" s="22"/>
      <c r="DR40" s="22"/>
      <c r="DS40" s="22"/>
      <c r="DT40" s="22"/>
      <c r="DU40" s="22"/>
      <c r="DV40" s="22"/>
      <c r="DW40" s="22"/>
      <c r="DX40" s="22"/>
      <c r="DY40" s="22"/>
      <c r="DZ40" s="22"/>
      <c r="EA40" s="22"/>
      <c r="EB40" s="22"/>
      <c r="EC40" s="22"/>
      <c r="ED40" s="22"/>
      <c r="EE40" s="22"/>
      <c r="EF40" s="22"/>
      <c r="EG40" s="22"/>
      <c r="EH40" s="22"/>
      <c r="EI40" s="22"/>
      <c r="EJ40" s="22"/>
      <c r="EK40" s="22"/>
      <c r="EL40" s="22"/>
      <c r="EM40" s="22"/>
      <c r="EN40" s="22"/>
      <c r="EO40" s="22"/>
      <c r="EP40" s="22"/>
    </row>
    <row r="41" spans="1:146" s="23" customFormat="1" x14ac:dyDescent="0.3">
      <c r="A41" s="24">
        <v>900031780</v>
      </c>
      <c r="B41" s="32">
        <v>4</v>
      </c>
      <c r="C41" s="17" t="s">
        <v>2353</v>
      </c>
      <c r="D41" s="26" t="s">
        <v>2282</v>
      </c>
      <c r="E41" s="27" t="s">
        <v>2354</v>
      </c>
      <c r="F41" s="17" t="s">
        <v>2355</v>
      </c>
      <c r="G41" s="28" t="s">
        <v>724</v>
      </c>
      <c r="H41" s="29">
        <v>211</v>
      </c>
      <c r="I41" s="30">
        <v>435798</v>
      </c>
      <c r="J41" s="31">
        <f t="shared" si="0"/>
        <v>3922.1819999999998</v>
      </c>
      <c r="K41" s="17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2"/>
      <c r="AS41" s="22"/>
      <c r="AT41" s="22"/>
      <c r="AU41" s="22"/>
      <c r="AV41" s="22"/>
      <c r="AW41" s="22"/>
      <c r="AX41" s="22"/>
      <c r="AY41" s="22"/>
      <c r="AZ41" s="22"/>
      <c r="BA41" s="22"/>
      <c r="BB41" s="22"/>
      <c r="BC41" s="22"/>
      <c r="BD41" s="22"/>
      <c r="BE41" s="22"/>
      <c r="BF41" s="22"/>
      <c r="BG41" s="22"/>
      <c r="BH41" s="22"/>
      <c r="BI41" s="22"/>
      <c r="BJ41" s="22"/>
      <c r="BK41" s="22"/>
      <c r="BL41" s="22"/>
      <c r="BM41" s="22"/>
      <c r="BN41" s="22"/>
      <c r="BO41" s="22"/>
      <c r="BP41" s="22"/>
      <c r="BQ41" s="22"/>
      <c r="BR41" s="22"/>
      <c r="BS41" s="22"/>
      <c r="BT41" s="22"/>
      <c r="BU41" s="22"/>
      <c r="BV41" s="22"/>
      <c r="BW41" s="22"/>
      <c r="BX41" s="22"/>
      <c r="BY41" s="22"/>
      <c r="BZ41" s="22"/>
      <c r="CA41" s="22"/>
      <c r="CB41" s="22"/>
      <c r="CC41" s="22"/>
      <c r="CD41" s="22"/>
      <c r="CE41" s="22"/>
      <c r="CF41" s="22"/>
      <c r="CG41" s="22"/>
      <c r="CH41" s="22"/>
      <c r="CI41" s="22"/>
      <c r="CJ41" s="22"/>
      <c r="CK41" s="22"/>
      <c r="CL41" s="22"/>
      <c r="CM41" s="22"/>
      <c r="CN41" s="22"/>
      <c r="CO41" s="22"/>
      <c r="CP41" s="22"/>
      <c r="CQ41" s="22"/>
      <c r="CR41" s="22"/>
      <c r="CS41" s="22"/>
      <c r="CT41" s="22"/>
      <c r="CU41" s="22"/>
      <c r="CV41" s="22"/>
      <c r="CW41" s="22"/>
      <c r="CX41" s="22"/>
      <c r="CY41" s="22"/>
      <c r="CZ41" s="22"/>
      <c r="DA41" s="22"/>
      <c r="DB41" s="22"/>
      <c r="DC41" s="22"/>
      <c r="DD41" s="22"/>
      <c r="DE41" s="22"/>
      <c r="DF41" s="22"/>
      <c r="DG41" s="22"/>
      <c r="DH41" s="22"/>
      <c r="DI41" s="22"/>
      <c r="DJ41" s="22"/>
      <c r="DK41" s="22"/>
      <c r="DL41" s="22"/>
      <c r="DM41" s="22"/>
      <c r="DN41" s="22"/>
      <c r="DO41" s="22"/>
      <c r="DP41" s="22"/>
      <c r="DQ41" s="22"/>
      <c r="DR41" s="22"/>
      <c r="DS41" s="22"/>
      <c r="DT41" s="22"/>
      <c r="DU41" s="22"/>
      <c r="DV41" s="22"/>
      <c r="DW41" s="22"/>
      <c r="DX41" s="22"/>
      <c r="DY41" s="22"/>
      <c r="DZ41" s="22"/>
      <c r="EA41" s="22"/>
      <c r="EB41" s="22"/>
      <c r="EC41" s="22"/>
      <c r="ED41" s="22"/>
      <c r="EE41" s="22"/>
      <c r="EF41" s="22"/>
      <c r="EG41" s="22"/>
      <c r="EH41" s="22"/>
      <c r="EI41" s="22"/>
      <c r="EJ41" s="22"/>
      <c r="EK41" s="22"/>
      <c r="EL41" s="22"/>
      <c r="EM41" s="22"/>
      <c r="EN41" s="22"/>
      <c r="EO41" s="22"/>
      <c r="EP41" s="22"/>
    </row>
    <row r="42" spans="1:146" s="23" customFormat="1" x14ac:dyDescent="0.3">
      <c r="A42" s="24">
        <v>19287214</v>
      </c>
      <c r="B42" s="32">
        <v>0</v>
      </c>
      <c r="C42" s="17" t="s">
        <v>2356</v>
      </c>
      <c r="D42" s="26" t="s">
        <v>2357</v>
      </c>
      <c r="E42" s="27" t="s">
        <v>2282</v>
      </c>
      <c r="F42" s="17" t="s">
        <v>2358</v>
      </c>
      <c r="G42" s="28" t="s">
        <v>720</v>
      </c>
      <c r="H42" s="29">
        <v>211</v>
      </c>
      <c r="I42" s="30">
        <v>370000</v>
      </c>
      <c r="J42" s="31">
        <v>0</v>
      </c>
      <c r="K42" s="17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22"/>
      <c r="AQ42" s="22"/>
      <c r="AR42" s="22"/>
      <c r="AS42" s="22"/>
      <c r="AT42" s="22"/>
      <c r="AU42" s="22"/>
      <c r="AV42" s="22"/>
      <c r="AW42" s="22"/>
      <c r="AX42" s="22"/>
      <c r="AY42" s="22"/>
      <c r="AZ42" s="22"/>
      <c r="BA42" s="22"/>
      <c r="BB42" s="22"/>
      <c r="BC42" s="22"/>
      <c r="BD42" s="22"/>
      <c r="BE42" s="22"/>
      <c r="BF42" s="22"/>
      <c r="BG42" s="22"/>
      <c r="BH42" s="22"/>
      <c r="BI42" s="22"/>
      <c r="BJ42" s="22"/>
      <c r="BK42" s="22"/>
      <c r="BL42" s="22"/>
      <c r="BM42" s="22"/>
      <c r="BN42" s="22"/>
      <c r="BO42" s="22"/>
      <c r="BP42" s="22"/>
      <c r="BQ42" s="22"/>
      <c r="BR42" s="22"/>
      <c r="BS42" s="22"/>
      <c r="BT42" s="22"/>
      <c r="BU42" s="22"/>
      <c r="BV42" s="22"/>
      <c r="BW42" s="22"/>
      <c r="BX42" s="22"/>
      <c r="BY42" s="22"/>
      <c r="BZ42" s="22"/>
      <c r="CA42" s="22"/>
      <c r="CB42" s="22"/>
      <c r="CC42" s="22"/>
      <c r="CD42" s="22"/>
      <c r="CE42" s="22"/>
      <c r="CF42" s="22"/>
      <c r="CG42" s="22"/>
      <c r="CH42" s="22"/>
      <c r="CI42" s="22"/>
      <c r="CJ42" s="22"/>
      <c r="CK42" s="22"/>
      <c r="CL42" s="22"/>
      <c r="CM42" s="22"/>
      <c r="CN42" s="22"/>
      <c r="CO42" s="22"/>
      <c r="CP42" s="22"/>
      <c r="CQ42" s="22"/>
      <c r="CR42" s="22"/>
      <c r="CS42" s="22"/>
      <c r="CT42" s="22"/>
      <c r="CU42" s="22"/>
      <c r="CV42" s="22"/>
      <c r="CW42" s="22"/>
      <c r="CX42" s="22"/>
      <c r="CY42" s="22"/>
      <c r="CZ42" s="22"/>
      <c r="DA42" s="22"/>
      <c r="DB42" s="22"/>
      <c r="DC42" s="22"/>
      <c r="DD42" s="22"/>
      <c r="DE42" s="22"/>
      <c r="DF42" s="22"/>
      <c r="DG42" s="22"/>
      <c r="DH42" s="22"/>
      <c r="DI42" s="22"/>
      <c r="DJ42" s="22"/>
      <c r="DK42" s="22"/>
      <c r="DL42" s="22"/>
      <c r="DM42" s="22"/>
      <c r="DN42" s="22"/>
      <c r="DO42" s="22"/>
      <c r="DP42" s="22"/>
      <c r="DQ42" s="22"/>
      <c r="DR42" s="22"/>
      <c r="DS42" s="22"/>
      <c r="DT42" s="22"/>
      <c r="DU42" s="22"/>
      <c r="DV42" s="22"/>
      <c r="DW42" s="22"/>
      <c r="DX42" s="22"/>
      <c r="DY42" s="22"/>
      <c r="DZ42" s="22"/>
      <c r="EA42" s="22"/>
      <c r="EB42" s="22"/>
      <c r="EC42" s="22"/>
      <c r="ED42" s="22"/>
      <c r="EE42" s="22"/>
      <c r="EF42" s="22"/>
      <c r="EG42" s="22"/>
      <c r="EH42" s="22"/>
      <c r="EI42" s="22"/>
      <c r="EJ42" s="22"/>
      <c r="EK42" s="22"/>
      <c r="EL42" s="22"/>
      <c r="EM42" s="22"/>
      <c r="EN42" s="22"/>
      <c r="EO42" s="22"/>
      <c r="EP42" s="22"/>
    </row>
    <row r="43" spans="1:146" s="23" customFormat="1" x14ac:dyDescent="0.3">
      <c r="A43" s="24">
        <v>900557036</v>
      </c>
      <c r="B43" s="32">
        <v>0</v>
      </c>
      <c r="C43" s="17" t="s">
        <v>2359</v>
      </c>
      <c r="D43" s="26" t="s">
        <v>2360</v>
      </c>
      <c r="E43" s="27">
        <v>6012618573</v>
      </c>
      <c r="F43" s="17" t="s">
        <v>2361</v>
      </c>
      <c r="G43" s="28">
        <v>11001</v>
      </c>
      <c r="H43" s="29">
        <v>211</v>
      </c>
      <c r="I43" s="30">
        <v>355000</v>
      </c>
      <c r="J43" s="31">
        <v>0</v>
      </c>
      <c r="K43" s="17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22"/>
      <c r="AO43" s="22"/>
      <c r="AP43" s="22"/>
      <c r="AQ43" s="22"/>
      <c r="AR43" s="22"/>
      <c r="AS43" s="22"/>
      <c r="AT43" s="22"/>
      <c r="AU43" s="22"/>
      <c r="AV43" s="22"/>
      <c r="AW43" s="22"/>
      <c r="AX43" s="22"/>
      <c r="AY43" s="22"/>
      <c r="AZ43" s="22"/>
      <c r="BA43" s="22"/>
      <c r="BB43" s="22"/>
      <c r="BC43" s="22"/>
      <c r="BD43" s="22"/>
      <c r="BE43" s="22"/>
      <c r="BF43" s="22"/>
      <c r="BG43" s="22"/>
      <c r="BH43" s="22"/>
      <c r="BI43" s="22"/>
      <c r="BJ43" s="22"/>
      <c r="BK43" s="22"/>
      <c r="BL43" s="22"/>
      <c r="BM43" s="22"/>
      <c r="BN43" s="22"/>
      <c r="BO43" s="22"/>
      <c r="BP43" s="22"/>
      <c r="BQ43" s="22"/>
      <c r="BR43" s="22"/>
      <c r="BS43" s="22"/>
      <c r="BT43" s="22"/>
      <c r="BU43" s="22"/>
      <c r="BV43" s="22"/>
      <c r="BW43" s="22"/>
      <c r="BX43" s="22"/>
      <c r="BY43" s="22"/>
      <c r="BZ43" s="22"/>
      <c r="CA43" s="22"/>
      <c r="CB43" s="22"/>
      <c r="CC43" s="22"/>
      <c r="CD43" s="22"/>
      <c r="CE43" s="22"/>
      <c r="CF43" s="22"/>
      <c r="CG43" s="22"/>
      <c r="CH43" s="22"/>
      <c r="CI43" s="22"/>
      <c r="CJ43" s="22"/>
      <c r="CK43" s="22"/>
      <c r="CL43" s="22"/>
      <c r="CM43" s="22"/>
      <c r="CN43" s="22"/>
      <c r="CO43" s="22"/>
      <c r="CP43" s="22"/>
      <c r="CQ43" s="22"/>
      <c r="CR43" s="22"/>
      <c r="CS43" s="22"/>
      <c r="CT43" s="22"/>
      <c r="CU43" s="22"/>
      <c r="CV43" s="22"/>
      <c r="CW43" s="22"/>
      <c r="CX43" s="22"/>
      <c r="CY43" s="22"/>
      <c r="CZ43" s="22"/>
      <c r="DA43" s="22"/>
      <c r="DB43" s="22"/>
      <c r="DC43" s="22"/>
      <c r="DD43" s="22"/>
      <c r="DE43" s="22"/>
      <c r="DF43" s="22"/>
      <c r="DG43" s="22"/>
      <c r="DH43" s="22"/>
      <c r="DI43" s="22"/>
      <c r="DJ43" s="22"/>
      <c r="DK43" s="22"/>
      <c r="DL43" s="22"/>
      <c r="DM43" s="22"/>
      <c r="DN43" s="22"/>
      <c r="DO43" s="22"/>
      <c r="DP43" s="22"/>
      <c r="DQ43" s="22"/>
      <c r="DR43" s="22"/>
      <c r="DS43" s="22"/>
      <c r="DT43" s="22"/>
      <c r="DU43" s="22"/>
      <c r="DV43" s="22"/>
      <c r="DW43" s="22"/>
      <c r="DX43" s="22"/>
      <c r="DY43" s="22"/>
      <c r="DZ43" s="22"/>
      <c r="EA43" s="22"/>
      <c r="EB43" s="22"/>
      <c r="EC43" s="22"/>
      <c r="ED43" s="22"/>
      <c r="EE43" s="22"/>
      <c r="EF43" s="22"/>
      <c r="EG43" s="22"/>
      <c r="EH43" s="22"/>
      <c r="EI43" s="22"/>
      <c r="EJ43" s="22"/>
      <c r="EK43" s="22"/>
      <c r="EL43" s="22"/>
      <c r="EM43" s="22"/>
      <c r="EN43" s="22"/>
      <c r="EO43" s="22"/>
      <c r="EP43" s="22"/>
    </row>
    <row r="44" spans="1:146" s="23" customFormat="1" x14ac:dyDescent="0.3">
      <c r="A44" s="24">
        <v>901388967</v>
      </c>
      <c r="B44" s="32">
        <v>0</v>
      </c>
      <c r="C44" s="17" t="s">
        <v>2362</v>
      </c>
      <c r="D44" s="26" t="s">
        <v>2363</v>
      </c>
      <c r="E44" s="27">
        <v>3124120286</v>
      </c>
      <c r="F44" s="17" t="s">
        <v>2364</v>
      </c>
      <c r="G44" s="28">
        <v>11001</v>
      </c>
      <c r="H44" s="29">
        <v>211</v>
      </c>
      <c r="I44" s="30">
        <v>305000</v>
      </c>
      <c r="J44" s="31">
        <f t="shared" si="0"/>
        <v>2745</v>
      </c>
      <c r="K44" s="17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22"/>
      <c r="AQ44" s="22"/>
      <c r="AR44" s="22"/>
      <c r="AS44" s="22"/>
      <c r="AT44" s="22"/>
      <c r="AU44" s="22"/>
      <c r="AV44" s="22"/>
      <c r="AW44" s="22"/>
      <c r="AX44" s="22"/>
      <c r="AY44" s="22"/>
      <c r="AZ44" s="22"/>
      <c r="BA44" s="22"/>
      <c r="BB44" s="22"/>
      <c r="BC44" s="22"/>
      <c r="BD44" s="22"/>
      <c r="BE44" s="22"/>
      <c r="BF44" s="22"/>
      <c r="BG44" s="22"/>
      <c r="BH44" s="22"/>
      <c r="BI44" s="22"/>
      <c r="BJ44" s="22"/>
      <c r="BK44" s="22"/>
      <c r="BL44" s="22"/>
      <c r="BM44" s="22"/>
      <c r="BN44" s="22"/>
      <c r="BO44" s="22"/>
      <c r="BP44" s="22"/>
      <c r="BQ44" s="22"/>
      <c r="BR44" s="22"/>
      <c r="BS44" s="22"/>
      <c r="BT44" s="22"/>
      <c r="BU44" s="22"/>
      <c r="BV44" s="22"/>
      <c r="BW44" s="22"/>
      <c r="BX44" s="22"/>
      <c r="BY44" s="22"/>
      <c r="BZ44" s="22"/>
      <c r="CA44" s="22"/>
      <c r="CB44" s="22"/>
      <c r="CC44" s="22"/>
      <c r="CD44" s="22"/>
      <c r="CE44" s="22"/>
      <c r="CF44" s="22"/>
      <c r="CG44" s="22"/>
      <c r="CH44" s="22"/>
      <c r="CI44" s="22"/>
      <c r="CJ44" s="22"/>
      <c r="CK44" s="22"/>
      <c r="CL44" s="22"/>
      <c r="CM44" s="22"/>
      <c r="CN44" s="22"/>
      <c r="CO44" s="22"/>
      <c r="CP44" s="22"/>
      <c r="CQ44" s="22"/>
      <c r="CR44" s="22"/>
      <c r="CS44" s="22"/>
      <c r="CT44" s="22"/>
      <c r="CU44" s="22"/>
      <c r="CV44" s="22"/>
      <c r="CW44" s="22"/>
      <c r="CX44" s="22"/>
      <c r="CY44" s="22"/>
      <c r="CZ44" s="22"/>
      <c r="DA44" s="22"/>
      <c r="DB44" s="22"/>
      <c r="DC44" s="22"/>
      <c r="DD44" s="22"/>
      <c r="DE44" s="22"/>
      <c r="DF44" s="22"/>
      <c r="DG44" s="22"/>
      <c r="DH44" s="22"/>
      <c r="DI44" s="22"/>
      <c r="DJ44" s="22"/>
      <c r="DK44" s="22"/>
      <c r="DL44" s="22"/>
      <c r="DM44" s="22"/>
      <c r="DN44" s="22"/>
      <c r="DO44" s="22"/>
      <c r="DP44" s="22"/>
      <c r="DQ44" s="22"/>
      <c r="DR44" s="22"/>
      <c r="DS44" s="22"/>
      <c r="DT44" s="22"/>
      <c r="DU44" s="22"/>
      <c r="DV44" s="22"/>
      <c r="DW44" s="22"/>
      <c r="DX44" s="22"/>
      <c r="DY44" s="22"/>
      <c r="DZ44" s="22"/>
      <c r="EA44" s="22"/>
      <c r="EB44" s="22"/>
      <c r="EC44" s="22"/>
      <c r="ED44" s="22"/>
      <c r="EE44" s="22"/>
      <c r="EF44" s="22"/>
      <c r="EG44" s="22"/>
      <c r="EH44" s="22"/>
      <c r="EI44" s="22"/>
      <c r="EJ44" s="22"/>
      <c r="EK44" s="22"/>
      <c r="EL44" s="22"/>
      <c r="EM44" s="22"/>
      <c r="EN44" s="22"/>
      <c r="EO44" s="22"/>
      <c r="EP44" s="22"/>
    </row>
    <row r="45" spans="1:146" s="23" customFormat="1" x14ac:dyDescent="0.3">
      <c r="A45" s="24">
        <v>1053604581</v>
      </c>
      <c r="B45" s="32">
        <v>4</v>
      </c>
      <c r="C45" s="17" t="s">
        <v>2365</v>
      </c>
      <c r="D45" s="26" t="s">
        <v>2366</v>
      </c>
      <c r="E45" s="27">
        <v>322564786</v>
      </c>
      <c r="F45" s="17" t="s">
        <v>2367</v>
      </c>
      <c r="G45" s="28" t="s">
        <v>724</v>
      </c>
      <c r="H45" s="29">
        <v>211</v>
      </c>
      <c r="I45" s="30">
        <v>286555</v>
      </c>
      <c r="J45" s="31">
        <f t="shared" si="0"/>
        <v>2578.9949999999999</v>
      </c>
      <c r="K45" s="17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22"/>
      <c r="AM45" s="22"/>
      <c r="AN45" s="22"/>
      <c r="AO45" s="22"/>
      <c r="AP45" s="22"/>
      <c r="AQ45" s="22"/>
      <c r="AR45" s="22"/>
      <c r="AS45" s="22"/>
      <c r="AT45" s="22"/>
      <c r="AU45" s="22"/>
      <c r="AV45" s="22"/>
      <c r="AW45" s="22"/>
      <c r="AX45" s="22"/>
      <c r="AY45" s="22"/>
      <c r="AZ45" s="22"/>
      <c r="BA45" s="22"/>
      <c r="BB45" s="22"/>
      <c r="BC45" s="22"/>
      <c r="BD45" s="22"/>
      <c r="BE45" s="22"/>
      <c r="BF45" s="22"/>
      <c r="BG45" s="22"/>
      <c r="BH45" s="22"/>
      <c r="BI45" s="22"/>
      <c r="BJ45" s="22"/>
      <c r="BK45" s="22"/>
      <c r="BL45" s="22"/>
      <c r="BM45" s="22"/>
      <c r="BN45" s="22"/>
      <c r="BO45" s="22"/>
      <c r="BP45" s="22"/>
      <c r="BQ45" s="22"/>
      <c r="BR45" s="22"/>
      <c r="BS45" s="22"/>
      <c r="BT45" s="22"/>
      <c r="BU45" s="22"/>
      <c r="BV45" s="22"/>
      <c r="BW45" s="22"/>
      <c r="BX45" s="22"/>
      <c r="BY45" s="22"/>
      <c r="BZ45" s="22"/>
      <c r="CA45" s="22"/>
      <c r="CB45" s="22"/>
      <c r="CC45" s="22"/>
      <c r="CD45" s="22"/>
      <c r="CE45" s="22"/>
      <c r="CF45" s="22"/>
      <c r="CG45" s="22"/>
      <c r="CH45" s="22"/>
      <c r="CI45" s="22"/>
      <c r="CJ45" s="22"/>
      <c r="CK45" s="22"/>
      <c r="CL45" s="22"/>
      <c r="CM45" s="22"/>
      <c r="CN45" s="22"/>
      <c r="CO45" s="22"/>
      <c r="CP45" s="22"/>
      <c r="CQ45" s="22"/>
      <c r="CR45" s="22"/>
      <c r="CS45" s="22"/>
      <c r="CT45" s="22"/>
      <c r="CU45" s="22"/>
      <c r="CV45" s="22"/>
      <c r="CW45" s="22"/>
      <c r="CX45" s="22"/>
      <c r="CY45" s="22"/>
      <c r="CZ45" s="22"/>
      <c r="DA45" s="22"/>
      <c r="DB45" s="22"/>
      <c r="DC45" s="22"/>
      <c r="DD45" s="22"/>
      <c r="DE45" s="22"/>
      <c r="DF45" s="22"/>
      <c r="DG45" s="22"/>
      <c r="DH45" s="22"/>
      <c r="DI45" s="22"/>
      <c r="DJ45" s="22"/>
      <c r="DK45" s="22"/>
      <c r="DL45" s="22"/>
      <c r="DM45" s="22"/>
      <c r="DN45" s="22"/>
      <c r="DO45" s="22"/>
      <c r="DP45" s="22"/>
      <c r="DQ45" s="22"/>
      <c r="DR45" s="22"/>
      <c r="DS45" s="22"/>
      <c r="DT45" s="22"/>
      <c r="DU45" s="22"/>
      <c r="DV45" s="22"/>
      <c r="DW45" s="22"/>
      <c r="DX45" s="22"/>
      <c r="DY45" s="22"/>
      <c r="DZ45" s="22"/>
      <c r="EA45" s="22"/>
      <c r="EB45" s="22"/>
      <c r="EC45" s="22"/>
      <c r="ED45" s="22"/>
      <c r="EE45" s="22"/>
      <c r="EF45" s="22"/>
      <c r="EG45" s="22"/>
      <c r="EH45" s="22"/>
      <c r="EI45" s="22"/>
      <c r="EJ45" s="22"/>
      <c r="EK45" s="22"/>
      <c r="EL45" s="22"/>
      <c r="EM45" s="22"/>
      <c r="EN45" s="22"/>
      <c r="EO45" s="22"/>
      <c r="EP45" s="22"/>
    </row>
    <row r="46" spans="1:146" s="23" customFormat="1" x14ac:dyDescent="0.3">
      <c r="A46" s="24">
        <v>7222005</v>
      </c>
      <c r="B46" s="32">
        <v>5</v>
      </c>
      <c r="C46" s="17" t="s">
        <v>2368</v>
      </c>
      <c r="D46" s="26" t="s">
        <v>2369</v>
      </c>
      <c r="E46" s="27">
        <v>3125874578</v>
      </c>
      <c r="F46" s="17" t="s">
        <v>2370</v>
      </c>
      <c r="G46" s="28" t="s">
        <v>724</v>
      </c>
      <c r="H46" s="29">
        <v>211</v>
      </c>
      <c r="I46" s="30">
        <v>280899</v>
      </c>
      <c r="J46" s="31">
        <f t="shared" si="0"/>
        <v>2528.0909999999999</v>
      </c>
      <c r="K46" s="17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22"/>
      <c r="AM46" s="22"/>
      <c r="AN46" s="22"/>
      <c r="AO46" s="22"/>
      <c r="AP46" s="22"/>
      <c r="AQ46" s="22"/>
      <c r="AR46" s="22"/>
      <c r="AS46" s="22"/>
      <c r="AT46" s="22"/>
      <c r="AU46" s="22"/>
      <c r="AV46" s="22"/>
      <c r="AW46" s="22"/>
      <c r="AX46" s="22"/>
      <c r="AY46" s="22"/>
      <c r="AZ46" s="22"/>
      <c r="BA46" s="22"/>
      <c r="BB46" s="22"/>
      <c r="BC46" s="22"/>
      <c r="BD46" s="22"/>
      <c r="BE46" s="22"/>
      <c r="BF46" s="22"/>
      <c r="BG46" s="22"/>
      <c r="BH46" s="22"/>
      <c r="BI46" s="22"/>
      <c r="BJ46" s="22"/>
      <c r="BK46" s="22"/>
      <c r="BL46" s="22"/>
      <c r="BM46" s="22"/>
      <c r="BN46" s="22"/>
      <c r="BO46" s="22"/>
      <c r="BP46" s="22"/>
      <c r="BQ46" s="22"/>
      <c r="BR46" s="22"/>
      <c r="BS46" s="22"/>
      <c r="BT46" s="22"/>
      <c r="BU46" s="22"/>
      <c r="BV46" s="22"/>
      <c r="BW46" s="22"/>
      <c r="BX46" s="22"/>
      <c r="BY46" s="22"/>
      <c r="BZ46" s="22"/>
      <c r="CA46" s="22"/>
      <c r="CB46" s="22"/>
      <c r="CC46" s="22"/>
      <c r="CD46" s="22"/>
      <c r="CE46" s="22"/>
      <c r="CF46" s="22"/>
      <c r="CG46" s="22"/>
      <c r="CH46" s="22"/>
      <c r="CI46" s="22"/>
      <c r="CJ46" s="22"/>
      <c r="CK46" s="22"/>
      <c r="CL46" s="22"/>
      <c r="CM46" s="22"/>
      <c r="CN46" s="22"/>
      <c r="CO46" s="22"/>
      <c r="CP46" s="22"/>
      <c r="CQ46" s="22"/>
      <c r="CR46" s="22"/>
      <c r="CS46" s="22"/>
      <c r="CT46" s="22"/>
      <c r="CU46" s="22"/>
      <c r="CV46" s="22"/>
      <c r="CW46" s="22"/>
      <c r="CX46" s="22"/>
      <c r="CY46" s="22"/>
      <c r="CZ46" s="22"/>
      <c r="DA46" s="22"/>
      <c r="DB46" s="22"/>
      <c r="DC46" s="22"/>
      <c r="DD46" s="22"/>
      <c r="DE46" s="22"/>
      <c r="DF46" s="22"/>
      <c r="DG46" s="22"/>
      <c r="DH46" s="22"/>
      <c r="DI46" s="22"/>
      <c r="DJ46" s="22"/>
      <c r="DK46" s="22"/>
      <c r="DL46" s="22"/>
      <c r="DM46" s="22"/>
      <c r="DN46" s="22"/>
      <c r="DO46" s="22"/>
      <c r="DP46" s="22"/>
      <c r="DQ46" s="22"/>
      <c r="DR46" s="22"/>
      <c r="DS46" s="22"/>
      <c r="DT46" s="22"/>
      <c r="DU46" s="22"/>
      <c r="DV46" s="22"/>
      <c r="DW46" s="22"/>
      <c r="DX46" s="22"/>
      <c r="DY46" s="22"/>
      <c r="DZ46" s="22"/>
      <c r="EA46" s="22"/>
      <c r="EB46" s="22"/>
      <c r="EC46" s="22"/>
      <c r="ED46" s="22"/>
      <c r="EE46" s="22"/>
      <c r="EF46" s="22"/>
      <c r="EG46" s="22"/>
      <c r="EH46" s="22"/>
      <c r="EI46" s="22"/>
      <c r="EJ46" s="22"/>
      <c r="EK46" s="22"/>
      <c r="EL46" s="22"/>
      <c r="EM46" s="22"/>
      <c r="EN46" s="22"/>
      <c r="EO46" s="22"/>
      <c r="EP46" s="22"/>
    </row>
    <row r="47" spans="1:146" s="23" customFormat="1" x14ac:dyDescent="0.3">
      <c r="A47" s="24">
        <v>901627281</v>
      </c>
      <c r="B47" s="32">
        <v>3</v>
      </c>
      <c r="C47" s="17" t="s">
        <v>2371</v>
      </c>
      <c r="D47" s="26" t="s">
        <v>2372</v>
      </c>
      <c r="E47" s="27">
        <v>3227996075</v>
      </c>
      <c r="F47" s="17" t="s">
        <v>2373</v>
      </c>
      <c r="G47" s="28" t="s">
        <v>720</v>
      </c>
      <c r="H47" s="29">
        <v>211</v>
      </c>
      <c r="I47" s="30">
        <v>257000</v>
      </c>
      <c r="J47" s="31">
        <v>0</v>
      </c>
      <c r="K47" s="17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/>
      <c r="AM47" s="22"/>
      <c r="AN47" s="22"/>
      <c r="AO47" s="22"/>
      <c r="AP47" s="22"/>
      <c r="AQ47" s="22"/>
      <c r="AR47" s="22"/>
      <c r="AS47" s="22"/>
      <c r="AT47" s="22"/>
      <c r="AU47" s="22"/>
      <c r="AV47" s="22"/>
      <c r="AW47" s="22"/>
      <c r="AX47" s="22"/>
      <c r="AY47" s="22"/>
      <c r="AZ47" s="22"/>
      <c r="BA47" s="22"/>
      <c r="BB47" s="22"/>
      <c r="BC47" s="22"/>
      <c r="BD47" s="22"/>
      <c r="BE47" s="22"/>
      <c r="BF47" s="22"/>
      <c r="BG47" s="22"/>
      <c r="BH47" s="22"/>
      <c r="BI47" s="22"/>
      <c r="BJ47" s="22"/>
      <c r="BK47" s="22"/>
      <c r="BL47" s="22"/>
      <c r="BM47" s="22"/>
      <c r="BN47" s="22"/>
      <c r="BO47" s="22"/>
      <c r="BP47" s="22"/>
      <c r="BQ47" s="22"/>
      <c r="BR47" s="22"/>
      <c r="BS47" s="22"/>
      <c r="BT47" s="22"/>
      <c r="BU47" s="22"/>
      <c r="BV47" s="22"/>
      <c r="BW47" s="22"/>
      <c r="BX47" s="22"/>
      <c r="BY47" s="22"/>
      <c r="BZ47" s="22"/>
      <c r="CA47" s="22"/>
      <c r="CB47" s="22"/>
      <c r="CC47" s="22"/>
      <c r="CD47" s="22"/>
      <c r="CE47" s="22"/>
      <c r="CF47" s="22"/>
      <c r="CG47" s="22"/>
      <c r="CH47" s="22"/>
      <c r="CI47" s="22"/>
      <c r="CJ47" s="22"/>
      <c r="CK47" s="22"/>
      <c r="CL47" s="22"/>
      <c r="CM47" s="22"/>
      <c r="CN47" s="22"/>
      <c r="CO47" s="22"/>
      <c r="CP47" s="22"/>
      <c r="CQ47" s="22"/>
      <c r="CR47" s="22"/>
      <c r="CS47" s="22"/>
      <c r="CT47" s="22"/>
      <c r="CU47" s="22"/>
      <c r="CV47" s="22"/>
      <c r="CW47" s="22"/>
      <c r="CX47" s="22"/>
      <c r="CY47" s="22"/>
      <c r="CZ47" s="22"/>
      <c r="DA47" s="22"/>
      <c r="DB47" s="22"/>
      <c r="DC47" s="22"/>
      <c r="DD47" s="22"/>
      <c r="DE47" s="22"/>
      <c r="DF47" s="22"/>
      <c r="DG47" s="22"/>
      <c r="DH47" s="22"/>
      <c r="DI47" s="22"/>
      <c r="DJ47" s="22"/>
      <c r="DK47" s="22"/>
      <c r="DL47" s="22"/>
      <c r="DM47" s="22"/>
      <c r="DN47" s="22"/>
      <c r="DO47" s="22"/>
      <c r="DP47" s="22"/>
      <c r="DQ47" s="22"/>
      <c r="DR47" s="22"/>
      <c r="DS47" s="22"/>
      <c r="DT47" s="22"/>
      <c r="DU47" s="22"/>
      <c r="DV47" s="22"/>
      <c r="DW47" s="22"/>
      <c r="DX47" s="22"/>
      <c r="DY47" s="22"/>
      <c r="DZ47" s="22"/>
      <c r="EA47" s="22"/>
      <c r="EB47" s="22"/>
      <c r="EC47" s="22"/>
      <c r="ED47" s="22"/>
      <c r="EE47" s="22"/>
      <c r="EF47" s="22"/>
      <c r="EG47" s="22"/>
      <c r="EH47" s="22"/>
      <c r="EI47" s="22"/>
      <c r="EJ47" s="22"/>
      <c r="EK47" s="22"/>
      <c r="EL47" s="22"/>
      <c r="EM47" s="22"/>
      <c r="EN47" s="22"/>
      <c r="EO47" s="22"/>
      <c r="EP47" s="22"/>
    </row>
    <row r="48" spans="1:146" s="23" customFormat="1" x14ac:dyDescent="0.3">
      <c r="A48" s="24">
        <v>46681167</v>
      </c>
      <c r="B48" s="32">
        <v>1</v>
      </c>
      <c r="C48" s="17" t="s">
        <v>2374</v>
      </c>
      <c r="D48" s="26" t="s">
        <v>2375</v>
      </c>
      <c r="E48" s="27" t="s">
        <v>2282</v>
      </c>
      <c r="F48" s="17" t="s">
        <v>2376</v>
      </c>
      <c r="G48" s="28" t="s">
        <v>724</v>
      </c>
      <c r="H48" s="29">
        <v>211</v>
      </c>
      <c r="I48" s="30">
        <v>246000</v>
      </c>
      <c r="J48" s="31">
        <f t="shared" si="0"/>
        <v>2214</v>
      </c>
      <c r="K48" s="17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2"/>
      <c r="AJ48" s="22"/>
      <c r="AK48" s="22"/>
      <c r="AL48" s="22"/>
      <c r="AM48" s="22"/>
      <c r="AN48" s="22"/>
      <c r="AO48" s="22"/>
      <c r="AP48" s="22"/>
      <c r="AQ48" s="22"/>
      <c r="AR48" s="22"/>
      <c r="AS48" s="22"/>
      <c r="AT48" s="22"/>
      <c r="AU48" s="22"/>
      <c r="AV48" s="22"/>
      <c r="AW48" s="22"/>
      <c r="AX48" s="22"/>
      <c r="AY48" s="22"/>
      <c r="AZ48" s="22"/>
      <c r="BA48" s="22"/>
      <c r="BB48" s="22"/>
      <c r="BC48" s="22"/>
      <c r="BD48" s="22"/>
      <c r="BE48" s="22"/>
      <c r="BF48" s="22"/>
      <c r="BG48" s="22"/>
      <c r="BH48" s="22"/>
      <c r="BI48" s="22"/>
      <c r="BJ48" s="22"/>
      <c r="BK48" s="22"/>
      <c r="BL48" s="22"/>
      <c r="BM48" s="22"/>
      <c r="BN48" s="22"/>
      <c r="BO48" s="22"/>
      <c r="BP48" s="22"/>
      <c r="BQ48" s="22"/>
      <c r="BR48" s="22"/>
      <c r="BS48" s="22"/>
      <c r="BT48" s="22"/>
      <c r="BU48" s="22"/>
      <c r="BV48" s="22"/>
      <c r="BW48" s="22"/>
      <c r="BX48" s="22"/>
      <c r="BY48" s="22"/>
      <c r="BZ48" s="22"/>
      <c r="CA48" s="22"/>
      <c r="CB48" s="22"/>
      <c r="CC48" s="22"/>
      <c r="CD48" s="22"/>
      <c r="CE48" s="22"/>
      <c r="CF48" s="22"/>
      <c r="CG48" s="22"/>
      <c r="CH48" s="22"/>
      <c r="CI48" s="22"/>
      <c r="CJ48" s="22"/>
      <c r="CK48" s="22"/>
      <c r="CL48" s="22"/>
      <c r="CM48" s="22"/>
      <c r="CN48" s="22"/>
      <c r="CO48" s="22"/>
      <c r="CP48" s="22"/>
      <c r="CQ48" s="22"/>
      <c r="CR48" s="22"/>
      <c r="CS48" s="22"/>
      <c r="CT48" s="22"/>
      <c r="CU48" s="22"/>
      <c r="CV48" s="22"/>
      <c r="CW48" s="22"/>
      <c r="CX48" s="22"/>
      <c r="CY48" s="22"/>
      <c r="CZ48" s="22"/>
      <c r="DA48" s="22"/>
      <c r="DB48" s="22"/>
      <c r="DC48" s="22"/>
      <c r="DD48" s="22"/>
      <c r="DE48" s="22"/>
      <c r="DF48" s="22"/>
      <c r="DG48" s="22"/>
      <c r="DH48" s="22"/>
      <c r="DI48" s="22"/>
      <c r="DJ48" s="22"/>
      <c r="DK48" s="22"/>
      <c r="DL48" s="22"/>
      <c r="DM48" s="22"/>
      <c r="DN48" s="22"/>
      <c r="DO48" s="22"/>
      <c r="DP48" s="22"/>
      <c r="DQ48" s="22"/>
      <c r="DR48" s="22"/>
      <c r="DS48" s="22"/>
      <c r="DT48" s="22"/>
      <c r="DU48" s="22"/>
      <c r="DV48" s="22"/>
      <c r="DW48" s="22"/>
      <c r="DX48" s="22"/>
      <c r="DY48" s="22"/>
      <c r="DZ48" s="22"/>
      <c r="EA48" s="22"/>
      <c r="EB48" s="22"/>
      <c r="EC48" s="22"/>
      <c r="ED48" s="22"/>
      <c r="EE48" s="22"/>
      <c r="EF48" s="22"/>
      <c r="EG48" s="22"/>
      <c r="EH48" s="22"/>
      <c r="EI48" s="22"/>
      <c r="EJ48" s="22"/>
      <c r="EK48" s="22"/>
      <c r="EL48" s="22"/>
      <c r="EM48" s="22"/>
      <c r="EN48" s="22"/>
      <c r="EO48" s="22"/>
      <c r="EP48" s="22"/>
    </row>
    <row r="49" spans="1:146" s="23" customFormat="1" x14ac:dyDescent="0.3">
      <c r="A49" s="24">
        <v>1053608274</v>
      </c>
      <c r="B49" s="32">
        <v>6</v>
      </c>
      <c r="C49" s="17" t="s">
        <v>2377</v>
      </c>
      <c r="D49" s="26" t="s">
        <v>2378</v>
      </c>
      <c r="E49" s="27">
        <v>6087658052</v>
      </c>
      <c r="F49" s="17" t="s">
        <v>2267</v>
      </c>
      <c r="G49" s="28" t="s">
        <v>724</v>
      </c>
      <c r="H49" s="29">
        <v>211</v>
      </c>
      <c r="I49" s="30">
        <v>240000</v>
      </c>
      <c r="J49" s="31">
        <f t="shared" si="0"/>
        <v>2160</v>
      </c>
      <c r="K49" s="17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2"/>
      <c r="AG49" s="22"/>
      <c r="AH49" s="22"/>
      <c r="AI49" s="22"/>
      <c r="AJ49" s="22"/>
      <c r="AK49" s="22"/>
      <c r="AL49" s="22"/>
      <c r="AM49" s="22"/>
      <c r="AN49" s="22"/>
      <c r="AO49" s="22"/>
      <c r="AP49" s="22"/>
      <c r="AQ49" s="22"/>
      <c r="AR49" s="22"/>
      <c r="AS49" s="22"/>
      <c r="AT49" s="22"/>
      <c r="AU49" s="22"/>
      <c r="AV49" s="22"/>
      <c r="AW49" s="22"/>
      <c r="AX49" s="22"/>
      <c r="AY49" s="22"/>
      <c r="AZ49" s="22"/>
      <c r="BA49" s="22"/>
      <c r="BB49" s="22"/>
      <c r="BC49" s="22"/>
      <c r="BD49" s="22"/>
      <c r="BE49" s="22"/>
      <c r="BF49" s="22"/>
      <c r="BG49" s="22"/>
      <c r="BH49" s="22"/>
      <c r="BI49" s="22"/>
      <c r="BJ49" s="22"/>
      <c r="BK49" s="22"/>
      <c r="BL49" s="22"/>
      <c r="BM49" s="22"/>
      <c r="BN49" s="22"/>
      <c r="BO49" s="22"/>
      <c r="BP49" s="22"/>
      <c r="BQ49" s="22"/>
      <c r="BR49" s="22"/>
      <c r="BS49" s="22"/>
      <c r="BT49" s="22"/>
      <c r="BU49" s="22"/>
      <c r="BV49" s="22"/>
      <c r="BW49" s="22"/>
      <c r="BX49" s="22"/>
      <c r="BY49" s="22"/>
      <c r="BZ49" s="22"/>
      <c r="CA49" s="22"/>
      <c r="CB49" s="22"/>
      <c r="CC49" s="22"/>
      <c r="CD49" s="22"/>
      <c r="CE49" s="22"/>
      <c r="CF49" s="22"/>
      <c r="CG49" s="22"/>
      <c r="CH49" s="22"/>
      <c r="CI49" s="22"/>
      <c r="CJ49" s="22"/>
      <c r="CK49" s="22"/>
      <c r="CL49" s="22"/>
      <c r="CM49" s="22"/>
      <c r="CN49" s="22"/>
      <c r="CO49" s="22"/>
      <c r="CP49" s="22"/>
      <c r="CQ49" s="22"/>
      <c r="CR49" s="22"/>
      <c r="CS49" s="22"/>
      <c r="CT49" s="22"/>
      <c r="CU49" s="22"/>
      <c r="CV49" s="22"/>
      <c r="CW49" s="22"/>
      <c r="CX49" s="22"/>
      <c r="CY49" s="22"/>
      <c r="CZ49" s="22"/>
      <c r="DA49" s="22"/>
      <c r="DB49" s="22"/>
      <c r="DC49" s="22"/>
      <c r="DD49" s="22"/>
      <c r="DE49" s="22"/>
      <c r="DF49" s="22"/>
      <c r="DG49" s="22"/>
      <c r="DH49" s="22"/>
      <c r="DI49" s="22"/>
      <c r="DJ49" s="22"/>
      <c r="DK49" s="22"/>
      <c r="DL49" s="22"/>
      <c r="DM49" s="22"/>
      <c r="DN49" s="22"/>
      <c r="DO49" s="22"/>
      <c r="DP49" s="22"/>
      <c r="DQ49" s="22"/>
      <c r="DR49" s="22"/>
      <c r="DS49" s="22"/>
      <c r="DT49" s="22"/>
      <c r="DU49" s="22"/>
      <c r="DV49" s="22"/>
      <c r="DW49" s="22"/>
      <c r="DX49" s="22"/>
      <c r="DY49" s="22"/>
      <c r="DZ49" s="22"/>
      <c r="EA49" s="22"/>
      <c r="EB49" s="22"/>
      <c r="EC49" s="22"/>
      <c r="ED49" s="22"/>
      <c r="EE49" s="22"/>
      <c r="EF49" s="22"/>
      <c r="EG49" s="22"/>
      <c r="EH49" s="22"/>
      <c r="EI49" s="22"/>
      <c r="EJ49" s="22"/>
      <c r="EK49" s="22"/>
      <c r="EL49" s="22"/>
      <c r="EM49" s="22"/>
      <c r="EN49" s="22"/>
      <c r="EO49" s="22"/>
      <c r="EP49" s="22"/>
    </row>
    <row r="50" spans="1:146" s="23" customFormat="1" x14ac:dyDescent="0.3">
      <c r="A50" s="24">
        <v>46680873</v>
      </c>
      <c r="B50" s="32">
        <v>7</v>
      </c>
      <c r="C50" s="17" t="s">
        <v>2379</v>
      </c>
      <c r="D50" s="17" t="s">
        <v>2380</v>
      </c>
      <c r="E50" s="27" t="s">
        <v>2282</v>
      </c>
      <c r="F50" s="17" t="s">
        <v>2381</v>
      </c>
      <c r="G50" s="28" t="s">
        <v>724</v>
      </c>
      <c r="H50" s="29">
        <v>211</v>
      </c>
      <c r="I50" s="30">
        <v>205800</v>
      </c>
      <c r="J50" s="31">
        <f t="shared" si="0"/>
        <v>1852.2</v>
      </c>
      <c r="K50" s="17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2"/>
      <c r="AG50" s="22"/>
      <c r="AH50" s="22"/>
      <c r="AI50" s="22"/>
      <c r="AJ50" s="22"/>
      <c r="AK50" s="22"/>
      <c r="AL50" s="22"/>
      <c r="AM50" s="22"/>
      <c r="AN50" s="22"/>
      <c r="AO50" s="22"/>
      <c r="AP50" s="22"/>
      <c r="AQ50" s="22"/>
      <c r="AR50" s="22"/>
      <c r="AS50" s="22"/>
      <c r="AT50" s="22"/>
      <c r="AU50" s="22"/>
      <c r="AV50" s="22"/>
      <c r="AW50" s="22"/>
      <c r="AX50" s="22"/>
      <c r="AY50" s="22"/>
      <c r="AZ50" s="22"/>
      <c r="BA50" s="22"/>
      <c r="BB50" s="22"/>
      <c r="BC50" s="22"/>
      <c r="BD50" s="22"/>
      <c r="BE50" s="22"/>
      <c r="BF50" s="22"/>
      <c r="BG50" s="22"/>
      <c r="BH50" s="22"/>
      <c r="BI50" s="22"/>
      <c r="BJ50" s="22"/>
      <c r="BK50" s="22"/>
      <c r="BL50" s="22"/>
      <c r="BM50" s="22"/>
      <c r="BN50" s="22"/>
      <c r="BO50" s="22"/>
      <c r="BP50" s="22"/>
      <c r="BQ50" s="22"/>
      <c r="BR50" s="22"/>
      <c r="BS50" s="22"/>
      <c r="BT50" s="22"/>
      <c r="BU50" s="22"/>
      <c r="BV50" s="22"/>
      <c r="BW50" s="22"/>
      <c r="BX50" s="22"/>
      <c r="BY50" s="22"/>
      <c r="BZ50" s="22"/>
      <c r="CA50" s="22"/>
      <c r="CB50" s="22"/>
      <c r="CC50" s="22"/>
      <c r="CD50" s="22"/>
      <c r="CE50" s="22"/>
      <c r="CF50" s="22"/>
      <c r="CG50" s="22"/>
      <c r="CH50" s="22"/>
      <c r="CI50" s="22"/>
      <c r="CJ50" s="22"/>
      <c r="CK50" s="22"/>
      <c r="CL50" s="22"/>
      <c r="CM50" s="22"/>
      <c r="CN50" s="22"/>
      <c r="CO50" s="22"/>
      <c r="CP50" s="22"/>
      <c r="CQ50" s="22"/>
      <c r="CR50" s="22"/>
      <c r="CS50" s="22"/>
      <c r="CT50" s="22"/>
      <c r="CU50" s="22"/>
      <c r="CV50" s="22"/>
      <c r="CW50" s="22"/>
      <c r="CX50" s="22"/>
      <c r="CY50" s="22"/>
      <c r="CZ50" s="22"/>
      <c r="DA50" s="22"/>
      <c r="DB50" s="22"/>
      <c r="DC50" s="22"/>
      <c r="DD50" s="22"/>
      <c r="DE50" s="22"/>
      <c r="DF50" s="22"/>
      <c r="DG50" s="22"/>
      <c r="DH50" s="22"/>
      <c r="DI50" s="22"/>
      <c r="DJ50" s="22"/>
      <c r="DK50" s="22"/>
      <c r="DL50" s="22"/>
      <c r="DM50" s="22"/>
      <c r="DN50" s="22"/>
      <c r="DO50" s="22"/>
      <c r="DP50" s="22"/>
      <c r="DQ50" s="22"/>
      <c r="DR50" s="22"/>
      <c r="DS50" s="22"/>
      <c r="DT50" s="22"/>
      <c r="DU50" s="22"/>
      <c r="DV50" s="22"/>
      <c r="DW50" s="22"/>
      <c r="DX50" s="22"/>
      <c r="DY50" s="22"/>
      <c r="DZ50" s="22"/>
      <c r="EA50" s="22"/>
      <c r="EB50" s="22"/>
      <c r="EC50" s="22"/>
      <c r="ED50" s="22"/>
      <c r="EE50" s="22"/>
      <c r="EF50" s="22"/>
      <c r="EG50" s="22"/>
      <c r="EH50" s="22"/>
      <c r="EI50" s="22"/>
      <c r="EJ50" s="22"/>
      <c r="EK50" s="22"/>
      <c r="EL50" s="22"/>
      <c r="EM50" s="22"/>
      <c r="EN50" s="22"/>
      <c r="EO50" s="22"/>
      <c r="EP50" s="22"/>
    </row>
    <row r="51" spans="1:146" s="23" customFormat="1" x14ac:dyDescent="0.3">
      <c r="A51" s="24">
        <v>900155107</v>
      </c>
      <c r="B51" s="32">
        <v>1</v>
      </c>
      <c r="C51" s="17" t="s">
        <v>2382</v>
      </c>
      <c r="D51" s="26" t="s">
        <v>2383</v>
      </c>
      <c r="E51" s="35" t="s">
        <v>2384</v>
      </c>
      <c r="F51" s="17" t="s">
        <v>2385</v>
      </c>
      <c r="G51" s="28">
        <v>15001</v>
      </c>
      <c r="H51" s="29">
        <v>211</v>
      </c>
      <c r="I51" s="30">
        <v>196462</v>
      </c>
      <c r="J51" s="31" cm="1">
        <f t="array" aca="1" ref="J51" ca="1">J11:J510</f>
        <v>0</v>
      </c>
      <c r="K51" s="17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2"/>
      <c r="AG51" s="22"/>
      <c r="AH51" s="22"/>
      <c r="AI51" s="22"/>
      <c r="AJ51" s="22"/>
      <c r="AK51" s="22"/>
      <c r="AL51" s="22"/>
      <c r="AM51" s="22"/>
      <c r="AN51" s="22"/>
      <c r="AO51" s="22"/>
      <c r="AP51" s="22"/>
      <c r="AQ51" s="22"/>
      <c r="AR51" s="22"/>
      <c r="AS51" s="22"/>
      <c r="AT51" s="22"/>
      <c r="AU51" s="22"/>
      <c r="AV51" s="22"/>
      <c r="AW51" s="22"/>
      <c r="AX51" s="22"/>
      <c r="AY51" s="22"/>
      <c r="AZ51" s="22"/>
      <c r="BA51" s="22"/>
      <c r="BB51" s="22"/>
      <c r="BC51" s="22"/>
      <c r="BD51" s="22"/>
      <c r="BE51" s="22"/>
      <c r="BF51" s="22"/>
      <c r="BG51" s="22"/>
      <c r="BH51" s="22"/>
      <c r="BI51" s="22"/>
      <c r="BJ51" s="22"/>
      <c r="BK51" s="22"/>
      <c r="BL51" s="22"/>
      <c r="BM51" s="22"/>
      <c r="BN51" s="22"/>
      <c r="BO51" s="22"/>
      <c r="BP51" s="22"/>
      <c r="BQ51" s="22"/>
      <c r="BR51" s="22"/>
      <c r="BS51" s="22"/>
      <c r="BT51" s="22"/>
      <c r="BU51" s="22"/>
      <c r="BV51" s="22"/>
      <c r="BW51" s="22"/>
      <c r="BX51" s="22"/>
      <c r="BY51" s="22"/>
      <c r="BZ51" s="22"/>
      <c r="CA51" s="22"/>
      <c r="CB51" s="22"/>
      <c r="CC51" s="22"/>
      <c r="CD51" s="22"/>
      <c r="CE51" s="22"/>
      <c r="CF51" s="22"/>
      <c r="CG51" s="22"/>
      <c r="CH51" s="22"/>
      <c r="CI51" s="22"/>
      <c r="CJ51" s="22"/>
      <c r="CK51" s="22"/>
      <c r="CL51" s="22"/>
      <c r="CM51" s="22"/>
      <c r="CN51" s="22"/>
      <c r="CO51" s="22"/>
      <c r="CP51" s="22"/>
      <c r="CQ51" s="22"/>
      <c r="CR51" s="22"/>
      <c r="CS51" s="22"/>
      <c r="CT51" s="22"/>
      <c r="CU51" s="22"/>
      <c r="CV51" s="22"/>
      <c r="CW51" s="22"/>
      <c r="CX51" s="22"/>
      <c r="CY51" s="22"/>
      <c r="CZ51" s="22"/>
      <c r="DA51" s="22"/>
      <c r="DB51" s="22"/>
      <c r="DC51" s="22"/>
      <c r="DD51" s="22"/>
      <c r="DE51" s="22"/>
      <c r="DF51" s="22"/>
      <c r="DG51" s="22"/>
      <c r="DH51" s="22"/>
      <c r="DI51" s="22"/>
      <c r="DJ51" s="22"/>
      <c r="DK51" s="22"/>
      <c r="DL51" s="22"/>
      <c r="DM51" s="22"/>
      <c r="DN51" s="22"/>
      <c r="DO51" s="22"/>
      <c r="DP51" s="22"/>
      <c r="DQ51" s="22"/>
      <c r="DR51" s="22"/>
      <c r="DS51" s="22"/>
      <c r="DT51" s="22"/>
      <c r="DU51" s="22"/>
      <c r="DV51" s="22"/>
      <c r="DW51" s="22"/>
      <c r="DX51" s="22"/>
      <c r="DY51" s="22"/>
      <c r="DZ51" s="22"/>
      <c r="EA51" s="22"/>
      <c r="EB51" s="22"/>
      <c r="EC51" s="22"/>
      <c r="ED51" s="22"/>
      <c r="EE51" s="22"/>
      <c r="EF51" s="22"/>
      <c r="EG51" s="22"/>
      <c r="EH51" s="22"/>
      <c r="EI51" s="22"/>
      <c r="EJ51" s="22"/>
      <c r="EK51" s="22"/>
      <c r="EL51" s="22"/>
      <c r="EM51" s="22"/>
      <c r="EN51" s="22"/>
      <c r="EO51" s="22"/>
      <c r="EP51" s="22"/>
    </row>
    <row r="52" spans="1:146" x14ac:dyDescent="0.3">
      <c r="A52" s="13">
        <v>222222222</v>
      </c>
      <c r="B52" s="14"/>
      <c r="C52" s="14" t="s">
        <v>2386</v>
      </c>
      <c r="D52" s="14" t="s">
        <v>2387</v>
      </c>
      <c r="E52" s="15"/>
      <c r="F52" s="14"/>
      <c r="G52" s="14"/>
      <c r="H52" s="14"/>
      <c r="I52" s="16">
        <v>1025714</v>
      </c>
      <c r="J52" s="16"/>
      <c r="K52" s="14"/>
    </row>
  </sheetData>
  <sheetProtection algorithmName="SHA-512" hashValue="LgpRo7qCR1HjJ7ECzBIBteZDXb8FbM3c9oLbTy/CGuZ/Enkxw9tT5MfqQb/SQIXe8hS1qRT+qFVCLd2oKZXAew==" saltValue="Zj2cgpOs/NNVQC/Iw+Ej6w==" spinCount="100000" sheet="1" objects="1" scenarios="1" formatCells="0" formatColumns="0" formatRows="0" sort="0"/>
  <mergeCells count="5">
    <mergeCell ref="D5:F5"/>
    <mergeCell ref="A1:K1"/>
    <mergeCell ref="D2:F2"/>
    <mergeCell ref="D3:F3"/>
    <mergeCell ref="D4:F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899B8-CB10-40DB-B45E-DCAE1B191E53}">
  <dimension ref="A1:B74"/>
  <sheetViews>
    <sheetView topLeftCell="A58" zoomScale="85" zoomScaleNormal="85" workbookViewId="0">
      <selection activeCell="B75" sqref="B75"/>
    </sheetView>
  </sheetViews>
  <sheetFormatPr baseColWidth="10" defaultRowHeight="14.4" x14ac:dyDescent="0.3"/>
  <cols>
    <col min="1" max="1" width="11.5546875" style="6"/>
    <col min="2" max="2" width="211" bestFit="1" customWidth="1"/>
  </cols>
  <sheetData>
    <row r="1" spans="1:2" x14ac:dyDescent="0.3">
      <c r="A1" s="1" t="s">
        <v>2</v>
      </c>
      <c r="B1" s="2" t="s">
        <v>3</v>
      </c>
    </row>
    <row r="2" spans="1:2" x14ac:dyDescent="0.3">
      <c r="A2" s="5">
        <v>101</v>
      </c>
      <c r="B2" s="3" t="s">
        <v>4</v>
      </c>
    </row>
    <row r="3" spans="1:2" x14ac:dyDescent="0.3">
      <c r="A3" s="5">
        <v>102</v>
      </c>
      <c r="B3" s="3" t="s">
        <v>5</v>
      </c>
    </row>
    <row r="4" spans="1:2" x14ac:dyDescent="0.3">
      <c r="A4" s="5">
        <v>103</v>
      </c>
      <c r="B4" s="3" t="s">
        <v>6</v>
      </c>
    </row>
    <row r="5" spans="1:2" x14ac:dyDescent="0.3">
      <c r="A5" s="5">
        <v>104</v>
      </c>
      <c r="B5" s="3" t="s">
        <v>7</v>
      </c>
    </row>
    <row r="6" spans="1:2" x14ac:dyDescent="0.3">
      <c r="A6" s="5">
        <v>105</v>
      </c>
      <c r="B6" s="3" t="s">
        <v>8</v>
      </c>
    </row>
    <row r="7" spans="1:2" x14ac:dyDescent="0.3">
      <c r="A7" s="5">
        <v>106</v>
      </c>
      <c r="B7" s="3" t="s">
        <v>9</v>
      </c>
    </row>
    <row r="8" spans="1:2" x14ac:dyDescent="0.3">
      <c r="A8" s="5">
        <v>107</v>
      </c>
      <c r="B8" s="3" t="s">
        <v>10</v>
      </c>
    </row>
    <row r="9" spans="1:2" x14ac:dyDescent="0.3">
      <c r="A9" s="5">
        <v>108</v>
      </c>
      <c r="B9" s="3" t="s">
        <v>11</v>
      </c>
    </row>
    <row r="10" spans="1:2" x14ac:dyDescent="0.3">
      <c r="A10" s="5">
        <v>109</v>
      </c>
      <c r="B10" s="3" t="s">
        <v>12</v>
      </c>
    </row>
    <row r="11" spans="1:2" x14ac:dyDescent="0.3">
      <c r="A11" s="5">
        <v>110</v>
      </c>
      <c r="B11" s="3" t="s">
        <v>13</v>
      </c>
    </row>
    <row r="12" spans="1:2" x14ac:dyDescent="0.3">
      <c r="A12" s="5">
        <v>111</v>
      </c>
      <c r="B12" s="3" t="s">
        <v>14</v>
      </c>
    </row>
    <row r="13" spans="1:2" x14ac:dyDescent="0.3">
      <c r="A13" s="5">
        <v>112</v>
      </c>
      <c r="B13" s="3" t="s">
        <v>15</v>
      </c>
    </row>
    <row r="14" spans="1:2" x14ac:dyDescent="0.3">
      <c r="A14" s="5">
        <v>113</v>
      </c>
      <c r="B14" s="3" t="s">
        <v>16</v>
      </c>
    </row>
    <row r="15" spans="1:2" x14ac:dyDescent="0.3">
      <c r="A15" s="5">
        <v>114</v>
      </c>
      <c r="B15" s="3" t="s">
        <v>17</v>
      </c>
    </row>
    <row r="16" spans="1:2" x14ac:dyDescent="0.3">
      <c r="A16" s="5">
        <v>201</v>
      </c>
      <c r="B16" s="3" t="s">
        <v>18</v>
      </c>
    </row>
    <row r="17" spans="1:2" x14ac:dyDescent="0.3">
      <c r="A17" s="5">
        <v>202</v>
      </c>
      <c r="B17" s="3" t="s">
        <v>19</v>
      </c>
    </row>
    <row r="18" spans="1:2" x14ac:dyDescent="0.3">
      <c r="A18" s="5">
        <v>203</v>
      </c>
      <c r="B18" s="3" t="s">
        <v>20</v>
      </c>
    </row>
    <row r="19" spans="1:2" x14ac:dyDescent="0.3">
      <c r="A19" s="5">
        <v>204</v>
      </c>
      <c r="B19" s="3" t="s">
        <v>21</v>
      </c>
    </row>
    <row r="20" spans="1:2" x14ac:dyDescent="0.3">
      <c r="A20" s="5">
        <v>205</v>
      </c>
      <c r="B20" s="3" t="s">
        <v>22</v>
      </c>
    </row>
    <row r="21" spans="1:2" x14ac:dyDescent="0.3">
      <c r="A21" s="5">
        <v>206</v>
      </c>
      <c r="B21" s="3" t="s">
        <v>23</v>
      </c>
    </row>
    <row r="22" spans="1:2" x14ac:dyDescent="0.3">
      <c r="A22" s="5">
        <v>207</v>
      </c>
      <c r="B22" s="3" t="s">
        <v>24</v>
      </c>
    </row>
    <row r="23" spans="1:2" x14ac:dyDescent="0.3">
      <c r="A23" s="5">
        <v>208</v>
      </c>
      <c r="B23" s="3" t="s">
        <v>25</v>
      </c>
    </row>
    <row r="24" spans="1:2" x14ac:dyDescent="0.3">
      <c r="A24" s="5">
        <v>209</v>
      </c>
      <c r="B24" s="3" t="s">
        <v>26</v>
      </c>
    </row>
    <row r="25" spans="1:2" x14ac:dyDescent="0.3">
      <c r="A25" s="5">
        <v>210</v>
      </c>
      <c r="B25" s="3" t="s">
        <v>27</v>
      </c>
    </row>
    <row r="26" spans="1:2" x14ac:dyDescent="0.3">
      <c r="A26" s="5">
        <v>211</v>
      </c>
      <c r="B26" s="3" t="s">
        <v>28</v>
      </c>
    </row>
    <row r="27" spans="1:2" x14ac:dyDescent="0.3">
      <c r="A27" s="5">
        <v>212</v>
      </c>
      <c r="B27" s="3" t="s">
        <v>29</v>
      </c>
    </row>
    <row r="28" spans="1:2" x14ac:dyDescent="0.3">
      <c r="A28" s="5">
        <v>213</v>
      </c>
      <c r="B28" s="3" t="s">
        <v>30</v>
      </c>
    </row>
    <row r="29" spans="1:2" x14ac:dyDescent="0.3">
      <c r="A29" s="5">
        <v>214</v>
      </c>
      <c r="B29" s="3" t="s">
        <v>31</v>
      </c>
    </row>
    <row r="30" spans="1:2" x14ac:dyDescent="0.3">
      <c r="A30" s="5">
        <v>215</v>
      </c>
      <c r="B30" s="3" t="s">
        <v>32</v>
      </c>
    </row>
    <row r="31" spans="1:2" x14ac:dyDescent="0.3">
      <c r="A31" s="5">
        <v>216</v>
      </c>
      <c r="B31" s="3" t="s">
        <v>33</v>
      </c>
    </row>
    <row r="32" spans="1:2" x14ac:dyDescent="0.3">
      <c r="A32" s="5">
        <v>217</v>
      </c>
      <c r="B32" s="3" t="s">
        <v>34</v>
      </c>
    </row>
    <row r="33" spans="1:2" x14ac:dyDescent="0.3">
      <c r="A33" s="5">
        <v>219</v>
      </c>
      <c r="B33" s="3" t="s">
        <v>35</v>
      </c>
    </row>
    <row r="34" spans="1:2" x14ac:dyDescent="0.3">
      <c r="A34" s="5">
        <v>301</v>
      </c>
      <c r="B34" s="3" t="s">
        <v>36</v>
      </c>
    </row>
    <row r="35" spans="1:2" x14ac:dyDescent="0.3">
      <c r="A35" s="5">
        <v>302</v>
      </c>
      <c r="B35" s="3" t="s">
        <v>37</v>
      </c>
    </row>
    <row r="36" spans="1:2" x14ac:dyDescent="0.3">
      <c r="A36" s="5">
        <v>303</v>
      </c>
      <c r="B36" s="3" t="s">
        <v>38</v>
      </c>
    </row>
    <row r="37" spans="1:2" x14ac:dyDescent="0.3">
      <c r="A37" s="5">
        <v>304</v>
      </c>
      <c r="B37" s="3" t="s">
        <v>39</v>
      </c>
    </row>
    <row r="38" spans="1:2" x14ac:dyDescent="0.3">
      <c r="A38" s="5">
        <v>305</v>
      </c>
      <c r="B38" s="3" t="s">
        <v>40</v>
      </c>
    </row>
    <row r="39" spans="1:2" x14ac:dyDescent="0.3">
      <c r="A39" s="5">
        <v>306</v>
      </c>
      <c r="B39" s="3" t="s">
        <v>41</v>
      </c>
    </row>
    <row r="40" spans="1:2" x14ac:dyDescent="0.3">
      <c r="A40" s="5">
        <v>307</v>
      </c>
      <c r="B40" s="3" t="s">
        <v>42</v>
      </c>
    </row>
    <row r="41" spans="1:2" x14ac:dyDescent="0.3">
      <c r="A41" s="5">
        <v>308</v>
      </c>
      <c r="B41" s="3" t="s">
        <v>43</v>
      </c>
    </row>
    <row r="42" spans="1:2" x14ac:dyDescent="0.3">
      <c r="A42" s="5">
        <v>309</v>
      </c>
      <c r="B42" s="3" t="s">
        <v>44</v>
      </c>
    </row>
    <row r="43" spans="1:2" x14ac:dyDescent="0.3">
      <c r="A43" s="5">
        <v>310</v>
      </c>
      <c r="B43" s="3" t="s">
        <v>45</v>
      </c>
    </row>
    <row r="44" spans="1:2" x14ac:dyDescent="0.3">
      <c r="A44" s="5">
        <v>311</v>
      </c>
      <c r="B44" s="3" t="s">
        <v>46</v>
      </c>
    </row>
    <row r="45" spans="1:2" x14ac:dyDescent="0.3">
      <c r="A45" s="5">
        <v>312</v>
      </c>
      <c r="B45" s="3" t="s">
        <v>47</v>
      </c>
    </row>
    <row r="46" spans="1:2" x14ac:dyDescent="0.3">
      <c r="A46" s="5">
        <v>313</v>
      </c>
      <c r="B46" s="3" t="s">
        <v>48</v>
      </c>
    </row>
    <row r="47" spans="1:2" x14ac:dyDescent="0.3">
      <c r="A47" s="5">
        <v>314</v>
      </c>
      <c r="B47" s="3" t="s">
        <v>49</v>
      </c>
    </row>
    <row r="48" spans="1:2" x14ac:dyDescent="0.3">
      <c r="A48" s="5">
        <v>315</v>
      </c>
      <c r="B48" s="3" t="s">
        <v>50</v>
      </c>
    </row>
    <row r="49" spans="1:2" x14ac:dyDescent="0.3">
      <c r="A49" s="5">
        <v>316</v>
      </c>
      <c r="B49" s="3" t="s">
        <v>51</v>
      </c>
    </row>
    <row r="50" spans="1:2" x14ac:dyDescent="0.3">
      <c r="A50" s="5">
        <v>317</v>
      </c>
      <c r="B50" s="3" t="s">
        <v>52</v>
      </c>
    </row>
    <row r="51" spans="1:2" x14ac:dyDescent="0.3">
      <c r="A51" s="5">
        <v>318</v>
      </c>
      <c r="B51" s="3" t="s">
        <v>53</v>
      </c>
    </row>
    <row r="52" spans="1:2" x14ac:dyDescent="0.3">
      <c r="A52" s="5">
        <v>319</v>
      </c>
      <c r="B52" s="3" t="s">
        <v>54</v>
      </c>
    </row>
    <row r="53" spans="1:2" x14ac:dyDescent="0.3">
      <c r="A53" s="5">
        <v>320</v>
      </c>
      <c r="B53" s="3" t="s">
        <v>55</v>
      </c>
    </row>
    <row r="54" spans="1:2" x14ac:dyDescent="0.3">
      <c r="A54" s="5">
        <v>321</v>
      </c>
      <c r="B54" s="3" t="s">
        <v>56</v>
      </c>
    </row>
    <row r="55" spans="1:2" x14ac:dyDescent="0.3">
      <c r="A55" s="5">
        <v>322</v>
      </c>
      <c r="B55" s="3" t="s">
        <v>57</v>
      </c>
    </row>
    <row r="56" spans="1:2" x14ac:dyDescent="0.3">
      <c r="A56" s="5">
        <v>323</v>
      </c>
      <c r="B56" s="3" t="s">
        <v>58</v>
      </c>
    </row>
    <row r="57" spans="1:2" x14ac:dyDescent="0.3">
      <c r="A57" s="5">
        <v>324</v>
      </c>
      <c r="B57" s="3" t="s">
        <v>59</v>
      </c>
    </row>
    <row r="58" spans="1:2" x14ac:dyDescent="0.3">
      <c r="A58" s="5">
        <v>325</v>
      </c>
      <c r="B58" s="3" t="s">
        <v>60</v>
      </c>
    </row>
    <row r="59" spans="1:2" x14ac:dyDescent="0.3">
      <c r="A59" s="5">
        <v>326</v>
      </c>
      <c r="B59" s="3" t="s">
        <v>61</v>
      </c>
    </row>
    <row r="60" spans="1:2" x14ac:dyDescent="0.3">
      <c r="A60" s="5">
        <v>327</v>
      </c>
      <c r="B60" s="3" t="s">
        <v>62</v>
      </c>
    </row>
    <row r="61" spans="1:2" x14ac:dyDescent="0.3">
      <c r="A61" s="5">
        <v>328</v>
      </c>
      <c r="B61" s="3" t="s">
        <v>63</v>
      </c>
    </row>
    <row r="62" spans="1:2" x14ac:dyDescent="0.3">
      <c r="A62" s="5">
        <v>329</v>
      </c>
      <c r="B62" s="3" t="s">
        <v>64</v>
      </c>
    </row>
    <row r="63" spans="1:2" x14ac:dyDescent="0.3">
      <c r="A63" s="5">
        <v>330</v>
      </c>
      <c r="B63" s="3" t="s">
        <v>65</v>
      </c>
    </row>
    <row r="64" spans="1:2" x14ac:dyDescent="0.3">
      <c r="A64" s="5">
        <v>331</v>
      </c>
      <c r="B64" s="3" t="s">
        <v>66</v>
      </c>
    </row>
    <row r="65" spans="1:2" x14ac:dyDescent="0.3">
      <c r="A65" s="5">
        <v>332</v>
      </c>
      <c r="B65" s="3" t="s">
        <v>67</v>
      </c>
    </row>
    <row r="66" spans="1:2" x14ac:dyDescent="0.3">
      <c r="A66" s="5">
        <v>333</v>
      </c>
      <c r="B66" s="3" t="s">
        <v>68</v>
      </c>
    </row>
    <row r="67" spans="1:2" x14ac:dyDescent="0.3">
      <c r="A67" s="5">
        <v>334</v>
      </c>
      <c r="B67" s="3" t="s">
        <v>69</v>
      </c>
    </row>
    <row r="68" spans="1:2" x14ac:dyDescent="0.3">
      <c r="A68" s="5">
        <v>401</v>
      </c>
      <c r="B68" s="3" t="s">
        <v>70</v>
      </c>
    </row>
    <row r="69" spans="1:2" x14ac:dyDescent="0.3">
      <c r="A69" s="5">
        <v>402</v>
      </c>
      <c r="B69" s="3" t="s">
        <v>71</v>
      </c>
    </row>
    <row r="70" spans="1:2" x14ac:dyDescent="0.3">
      <c r="A70" s="5">
        <v>602</v>
      </c>
      <c r="B70" s="3" t="s">
        <v>2234</v>
      </c>
    </row>
    <row r="71" spans="1:2" x14ac:dyDescent="0.3">
      <c r="B71" s="6"/>
    </row>
    <row r="72" spans="1:2" x14ac:dyDescent="0.3">
      <c r="B72" s="6"/>
    </row>
    <row r="73" spans="1:2" x14ac:dyDescent="0.3">
      <c r="B73" s="6"/>
    </row>
    <row r="74" spans="1:2" x14ac:dyDescent="0.3">
      <c r="B74" s="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F0BC0-6CF7-4B7D-B923-A7CD93DB54DC}">
  <dimension ref="A1:B1120"/>
  <sheetViews>
    <sheetView workbookViewId="0">
      <selection activeCell="A2" sqref="A2:B1120"/>
    </sheetView>
  </sheetViews>
  <sheetFormatPr baseColWidth="10" defaultRowHeight="14.4" x14ac:dyDescent="0.3"/>
  <cols>
    <col min="1" max="1" width="25" style="4" customWidth="1"/>
    <col min="2" max="2" width="30" style="4" bestFit="1" customWidth="1"/>
  </cols>
  <sheetData>
    <row r="1" spans="1:2" x14ac:dyDescent="0.3">
      <c r="A1" s="1" t="s">
        <v>72</v>
      </c>
      <c r="B1" s="1" t="s">
        <v>73</v>
      </c>
    </row>
    <row r="2" spans="1:2" x14ac:dyDescent="0.3">
      <c r="A2" s="7" t="s">
        <v>74</v>
      </c>
      <c r="B2" s="7" t="s">
        <v>75</v>
      </c>
    </row>
    <row r="3" spans="1:2" x14ac:dyDescent="0.3">
      <c r="A3" s="7" t="s">
        <v>76</v>
      </c>
      <c r="B3" s="7" t="s">
        <v>77</v>
      </c>
    </row>
    <row r="4" spans="1:2" x14ac:dyDescent="0.3">
      <c r="A4" s="7" t="s">
        <v>78</v>
      </c>
      <c r="B4" s="7" t="s">
        <v>79</v>
      </c>
    </row>
    <row r="5" spans="1:2" x14ac:dyDescent="0.3">
      <c r="A5" s="7" t="s">
        <v>80</v>
      </c>
      <c r="B5" s="7" t="s">
        <v>81</v>
      </c>
    </row>
    <row r="6" spans="1:2" x14ac:dyDescent="0.3">
      <c r="A6" s="7" t="s">
        <v>82</v>
      </c>
      <c r="B6" s="7" t="s">
        <v>83</v>
      </c>
    </row>
    <row r="7" spans="1:2" x14ac:dyDescent="0.3">
      <c r="A7" s="7" t="s">
        <v>84</v>
      </c>
      <c r="B7" s="7" t="s">
        <v>85</v>
      </c>
    </row>
    <row r="8" spans="1:2" x14ac:dyDescent="0.3">
      <c r="A8" s="7" t="s">
        <v>86</v>
      </c>
      <c r="B8" s="7" t="s">
        <v>87</v>
      </c>
    </row>
    <row r="9" spans="1:2" x14ac:dyDescent="0.3">
      <c r="A9" s="7" t="s">
        <v>88</v>
      </c>
      <c r="B9" s="7" t="s">
        <v>89</v>
      </c>
    </row>
    <row r="10" spans="1:2" x14ac:dyDescent="0.3">
      <c r="A10" s="7" t="s">
        <v>90</v>
      </c>
      <c r="B10" s="7" t="s">
        <v>91</v>
      </c>
    </row>
    <row r="11" spans="1:2" x14ac:dyDescent="0.3">
      <c r="A11" s="7" t="s">
        <v>92</v>
      </c>
      <c r="B11" s="7" t="s">
        <v>93</v>
      </c>
    </row>
    <row r="12" spans="1:2" x14ac:dyDescent="0.3">
      <c r="A12" s="7" t="s">
        <v>94</v>
      </c>
      <c r="B12" s="7" t="s">
        <v>95</v>
      </c>
    </row>
    <row r="13" spans="1:2" x14ac:dyDescent="0.3">
      <c r="A13" s="7" t="s">
        <v>96</v>
      </c>
      <c r="B13" s="7" t="s">
        <v>97</v>
      </c>
    </row>
    <row r="14" spans="1:2" x14ac:dyDescent="0.3">
      <c r="A14" s="7" t="s">
        <v>98</v>
      </c>
      <c r="B14" s="7" t="s">
        <v>99</v>
      </c>
    </row>
    <row r="15" spans="1:2" x14ac:dyDescent="0.3">
      <c r="A15" s="7" t="s">
        <v>100</v>
      </c>
      <c r="B15" s="7" t="s">
        <v>101</v>
      </c>
    </row>
    <row r="16" spans="1:2" x14ac:dyDescent="0.3">
      <c r="A16" s="7" t="s">
        <v>102</v>
      </c>
      <c r="B16" s="7" t="s">
        <v>103</v>
      </c>
    </row>
    <row r="17" spans="1:2" x14ac:dyDescent="0.3">
      <c r="A17" s="7" t="s">
        <v>104</v>
      </c>
      <c r="B17" s="7" t="s">
        <v>105</v>
      </c>
    </row>
    <row r="18" spans="1:2" x14ac:dyDescent="0.3">
      <c r="A18" s="7" t="s">
        <v>106</v>
      </c>
      <c r="B18" s="7" t="s">
        <v>107</v>
      </c>
    </row>
    <row r="19" spans="1:2" x14ac:dyDescent="0.3">
      <c r="A19" s="7" t="s">
        <v>108</v>
      </c>
      <c r="B19" s="7" t="s">
        <v>109</v>
      </c>
    </row>
    <row r="20" spans="1:2" x14ac:dyDescent="0.3">
      <c r="A20" s="7" t="s">
        <v>110</v>
      </c>
      <c r="B20" s="7" t="s">
        <v>111</v>
      </c>
    </row>
    <row r="21" spans="1:2" x14ac:dyDescent="0.3">
      <c r="A21" s="7" t="s">
        <v>112</v>
      </c>
      <c r="B21" s="7" t="s">
        <v>113</v>
      </c>
    </row>
    <row r="22" spans="1:2" x14ac:dyDescent="0.3">
      <c r="A22" s="7" t="s">
        <v>114</v>
      </c>
      <c r="B22" s="7" t="s">
        <v>115</v>
      </c>
    </row>
    <row r="23" spans="1:2" x14ac:dyDescent="0.3">
      <c r="A23" s="7" t="s">
        <v>116</v>
      </c>
      <c r="B23" s="7" t="s">
        <v>117</v>
      </c>
    </row>
    <row r="24" spans="1:2" x14ac:dyDescent="0.3">
      <c r="A24" s="7" t="s">
        <v>118</v>
      </c>
      <c r="B24" s="7" t="s">
        <v>119</v>
      </c>
    </row>
    <row r="25" spans="1:2" x14ac:dyDescent="0.3">
      <c r="A25" s="7" t="s">
        <v>120</v>
      </c>
      <c r="B25" s="7" t="s">
        <v>121</v>
      </c>
    </row>
    <row r="26" spans="1:2" x14ac:dyDescent="0.3">
      <c r="A26" s="7" t="s">
        <v>122</v>
      </c>
      <c r="B26" s="7" t="s">
        <v>123</v>
      </c>
    </row>
    <row r="27" spans="1:2" x14ac:dyDescent="0.3">
      <c r="A27" s="7" t="s">
        <v>124</v>
      </c>
      <c r="B27" s="7" t="s">
        <v>125</v>
      </c>
    </row>
    <row r="28" spans="1:2" x14ac:dyDescent="0.3">
      <c r="A28" s="7" t="s">
        <v>126</v>
      </c>
      <c r="B28" s="7" t="s">
        <v>127</v>
      </c>
    </row>
    <row r="29" spans="1:2" x14ac:dyDescent="0.3">
      <c r="A29" s="7" t="s">
        <v>128</v>
      </c>
      <c r="B29" s="7" t="s">
        <v>129</v>
      </c>
    </row>
    <row r="30" spans="1:2" x14ac:dyDescent="0.3">
      <c r="A30" s="7" t="s">
        <v>130</v>
      </c>
      <c r="B30" s="7" t="s">
        <v>131</v>
      </c>
    </row>
    <row r="31" spans="1:2" x14ac:dyDescent="0.3">
      <c r="A31" s="7" t="s">
        <v>132</v>
      </c>
      <c r="B31" s="7" t="s">
        <v>133</v>
      </c>
    </row>
    <row r="32" spans="1:2" x14ac:dyDescent="0.3">
      <c r="A32" s="7" t="s">
        <v>134</v>
      </c>
      <c r="B32" s="7" t="s">
        <v>135</v>
      </c>
    </row>
    <row r="33" spans="1:2" x14ac:dyDescent="0.3">
      <c r="A33" s="7" t="s">
        <v>136</v>
      </c>
      <c r="B33" s="7" t="s">
        <v>137</v>
      </c>
    </row>
    <row r="34" spans="1:2" x14ac:dyDescent="0.3">
      <c r="A34" s="7" t="s">
        <v>138</v>
      </c>
      <c r="B34" s="7" t="s">
        <v>139</v>
      </c>
    </row>
    <row r="35" spans="1:2" x14ac:dyDescent="0.3">
      <c r="A35" s="7" t="s">
        <v>140</v>
      </c>
      <c r="B35" s="7" t="s">
        <v>141</v>
      </c>
    </row>
    <row r="36" spans="1:2" x14ac:dyDescent="0.3">
      <c r="A36" s="7" t="s">
        <v>142</v>
      </c>
      <c r="B36" s="7" t="s">
        <v>143</v>
      </c>
    </row>
    <row r="37" spans="1:2" x14ac:dyDescent="0.3">
      <c r="A37" s="7" t="s">
        <v>144</v>
      </c>
      <c r="B37" s="7" t="s">
        <v>145</v>
      </c>
    </row>
    <row r="38" spans="1:2" x14ac:dyDescent="0.3">
      <c r="A38" s="7" t="s">
        <v>146</v>
      </c>
      <c r="B38" s="7" t="s">
        <v>147</v>
      </c>
    </row>
    <row r="39" spans="1:2" x14ac:dyDescent="0.3">
      <c r="A39" s="7" t="s">
        <v>148</v>
      </c>
      <c r="B39" s="7" t="s">
        <v>149</v>
      </c>
    </row>
    <row r="40" spans="1:2" x14ac:dyDescent="0.3">
      <c r="A40" s="7" t="s">
        <v>150</v>
      </c>
      <c r="B40" s="7" t="s">
        <v>151</v>
      </c>
    </row>
    <row r="41" spans="1:2" x14ac:dyDescent="0.3">
      <c r="A41" s="7" t="s">
        <v>152</v>
      </c>
      <c r="B41" s="7" t="s">
        <v>153</v>
      </c>
    </row>
    <row r="42" spans="1:2" x14ac:dyDescent="0.3">
      <c r="A42" s="7" t="s">
        <v>154</v>
      </c>
      <c r="B42" s="7" t="s">
        <v>155</v>
      </c>
    </row>
    <row r="43" spans="1:2" x14ac:dyDescent="0.3">
      <c r="A43" s="7" t="s">
        <v>156</v>
      </c>
      <c r="B43" s="7" t="s">
        <v>157</v>
      </c>
    </row>
    <row r="44" spans="1:2" x14ac:dyDescent="0.3">
      <c r="A44" s="7" t="s">
        <v>158</v>
      </c>
      <c r="B44" s="7" t="s">
        <v>159</v>
      </c>
    </row>
    <row r="45" spans="1:2" x14ac:dyDescent="0.3">
      <c r="A45" s="7" t="s">
        <v>160</v>
      </c>
      <c r="B45" s="7" t="s">
        <v>161</v>
      </c>
    </row>
    <row r="46" spans="1:2" x14ac:dyDescent="0.3">
      <c r="A46" s="7" t="s">
        <v>162</v>
      </c>
      <c r="B46" s="7" t="s">
        <v>163</v>
      </c>
    </row>
    <row r="47" spans="1:2" x14ac:dyDescent="0.3">
      <c r="A47" s="7" t="s">
        <v>164</v>
      </c>
      <c r="B47" s="7" t="s">
        <v>165</v>
      </c>
    </row>
    <row r="48" spans="1:2" x14ac:dyDescent="0.3">
      <c r="A48" s="7" t="s">
        <v>166</v>
      </c>
      <c r="B48" s="7" t="s">
        <v>167</v>
      </c>
    </row>
    <row r="49" spans="1:2" x14ac:dyDescent="0.3">
      <c r="A49" s="7" t="s">
        <v>168</v>
      </c>
      <c r="B49" s="7" t="s">
        <v>169</v>
      </c>
    </row>
    <row r="50" spans="1:2" x14ac:dyDescent="0.3">
      <c r="A50" s="7" t="s">
        <v>170</v>
      </c>
      <c r="B50" s="7" t="s">
        <v>171</v>
      </c>
    </row>
    <row r="51" spans="1:2" x14ac:dyDescent="0.3">
      <c r="A51" s="7" t="s">
        <v>172</v>
      </c>
      <c r="B51" s="7" t="s">
        <v>173</v>
      </c>
    </row>
    <row r="52" spans="1:2" x14ac:dyDescent="0.3">
      <c r="A52" s="7" t="s">
        <v>174</v>
      </c>
      <c r="B52" s="7" t="s">
        <v>175</v>
      </c>
    </row>
    <row r="53" spans="1:2" x14ac:dyDescent="0.3">
      <c r="A53" s="7" t="s">
        <v>176</v>
      </c>
      <c r="B53" s="7" t="s">
        <v>177</v>
      </c>
    </row>
    <row r="54" spans="1:2" x14ac:dyDescent="0.3">
      <c r="A54" s="7" t="s">
        <v>178</v>
      </c>
      <c r="B54" s="7" t="s">
        <v>179</v>
      </c>
    </row>
    <row r="55" spans="1:2" x14ac:dyDescent="0.3">
      <c r="A55" s="7" t="s">
        <v>180</v>
      </c>
      <c r="B55" s="7" t="s">
        <v>181</v>
      </c>
    </row>
    <row r="56" spans="1:2" x14ac:dyDescent="0.3">
      <c r="A56" s="7" t="s">
        <v>182</v>
      </c>
      <c r="B56" s="7" t="s">
        <v>183</v>
      </c>
    </row>
    <row r="57" spans="1:2" x14ac:dyDescent="0.3">
      <c r="A57" s="7" t="s">
        <v>184</v>
      </c>
      <c r="B57" s="7" t="s">
        <v>185</v>
      </c>
    </row>
    <row r="58" spans="1:2" x14ac:dyDescent="0.3">
      <c r="A58" s="7" t="s">
        <v>186</v>
      </c>
      <c r="B58" s="7" t="s">
        <v>187</v>
      </c>
    </row>
    <row r="59" spans="1:2" x14ac:dyDescent="0.3">
      <c r="A59" s="7" t="s">
        <v>188</v>
      </c>
      <c r="B59" s="7" t="s">
        <v>189</v>
      </c>
    </row>
    <row r="60" spans="1:2" x14ac:dyDescent="0.3">
      <c r="A60" s="7" t="s">
        <v>190</v>
      </c>
      <c r="B60" s="7" t="s">
        <v>191</v>
      </c>
    </row>
    <row r="61" spans="1:2" x14ac:dyDescent="0.3">
      <c r="A61" s="7" t="s">
        <v>192</v>
      </c>
      <c r="B61" s="7" t="s">
        <v>193</v>
      </c>
    </row>
    <row r="62" spans="1:2" x14ac:dyDescent="0.3">
      <c r="A62" s="7" t="s">
        <v>194</v>
      </c>
      <c r="B62" s="7" t="s">
        <v>195</v>
      </c>
    </row>
    <row r="63" spans="1:2" x14ac:dyDescent="0.3">
      <c r="A63" s="7" t="s">
        <v>196</v>
      </c>
      <c r="B63" s="7" t="s">
        <v>197</v>
      </c>
    </row>
    <row r="64" spans="1:2" x14ac:dyDescent="0.3">
      <c r="A64" s="7" t="s">
        <v>198</v>
      </c>
      <c r="B64" s="7" t="s">
        <v>199</v>
      </c>
    </row>
    <row r="65" spans="1:2" x14ac:dyDescent="0.3">
      <c r="A65" s="7" t="s">
        <v>200</v>
      </c>
      <c r="B65" s="7" t="s">
        <v>201</v>
      </c>
    </row>
    <row r="66" spans="1:2" x14ac:dyDescent="0.3">
      <c r="A66" s="7" t="s">
        <v>202</v>
      </c>
      <c r="B66" s="7" t="s">
        <v>203</v>
      </c>
    </row>
    <row r="67" spans="1:2" x14ac:dyDescent="0.3">
      <c r="A67" s="7" t="s">
        <v>204</v>
      </c>
      <c r="B67" s="7" t="s">
        <v>205</v>
      </c>
    </row>
    <row r="68" spans="1:2" x14ac:dyDescent="0.3">
      <c r="A68" s="7" t="s">
        <v>206</v>
      </c>
      <c r="B68" s="7" t="s">
        <v>207</v>
      </c>
    </row>
    <row r="69" spans="1:2" x14ac:dyDescent="0.3">
      <c r="A69" s="7" t="s">
        <v>208</v>
      </c>
      <c r="B69" s="7" t="s">
        <v>209</v>
      </c>
    </row>
    <row r="70" spans="1:2" x14ac:dyDescent="0.3">
      <c r="A70" s="7" t="s">
        <v>210</v>
      </c>
      <c r="B70" s="7" t="s">
        <v>211</v>
      </c>
    </row>
    <row r="71" spans="1:2" x14ac:dyDescent="0.3">
      <c r="A71" s="7" t="s">
        <v>212</v>
      </c>
      <c r="B71" s="7" t="s">
        <v>213</v>
      </c>
    </row>
    <row r="72" spans="1:2" x14ac:dyDescent="0.3">
      <c r="A72" s="7" t="s">
        <v>214</v>
      </c>
      <c r="B72" s="7" t="s">
        <v>215</v>
      </c>
    </row>
    <row r="73" spans="1:2" x14ac:dyDescent="0.3">
      <c r="A73" s="7" t="s">
        <v>216</v>
      </c>
      <c r="B73" s="7" t="s">
        <v>217</v>
      </c>
    </row>
    <row r="74" spans="1:2" x14ac:dyDescent="0.3">
      <c r="A74" s="7" t="s">
        <v>218</v>
      </c>
      <c r="B74" s="7" t="s">
        <v>219</v>
      </c>
    </row>
    <row r="75" spans="1:2" x14ac:dyDescent="0.3">
      <c r="A75" s="7" t="s">
        <v>220</v>
      </c>
      <c r="B75" s="7" t="s">
        <v>221</v>
      </c>
    </row>
    <row r="76" spans="1:2" x14ac:dyDescent="0.3">
      <c r="A76" s="7" t="s">
        <v>222</v>
      </c>
      <c r="B76" s="7" t="s">
        <v>223</v>
      </c>
    </row>
    <row r="77" spans="1:2" x14ac:dyDescent="0.3">
      <c r="A77" s="7" t="s">
        <v>224</v>
      </c>
      <c r="B77" s="7" t="s">
        <v>225</v>
      </c>
    </row>
    <row r="78" spans="1:2" x14ac:dyDescent="0.3">
      <c r="A78" s="7" t="s">
        <v>226</v>
      </c>
      <c r="B78" s="7" t="s">
        <v>227</v>
      </c>
    </row>
    <row r="79" spans="1:2" x14ac:dyDescent="0.3">
      <c r="A79" s="7" t="s">
        <v>228</v>
      </c>
      <c r="B79" s="7" t="s">
        <v>229</v>
      </c>
    </row>
    <row r="80" spans="1:2" x14ac:dyDescent="0.3">
      <c r="A80" s="7" t="s">
        <v>230</v>
      </c>
      <c r="B80" s="7" t="s">
        <v>231</v>
      </c>
    </row>
    <row r="81" spans="1:2" x14ac:dyDescent="0.3">
      <c r="A81" s="7" t="s">
        <v>232</v>
      </c>
      <c r="B81" s="7" t="s">
        <v>233</v>
      </c>
    </row>
    <row r="82" spans="1:2" x14ac:dyDescent="0.3">
      <c r="A82" s="7" t="s">
        <v>234</v>
      </c>
      <c r="B82" s="7" t="s">
        <v>235</v>
      </c>
    </row>
    <row r="83" spans="1:2" x14ac:dyDescent="0.3">
      <c r="A83" s="7" t="s">
        <v>236</v>
      </c>
      <c r="B83" s="7" t="s">
        <v>237</v>
      </c>
    </row>
    <row r="84" spans="1:2" x14ac:dyDescent="0.3">
      <c r="A84" s="7" t="s">
        <v>238</v>
      </c>
      <c r="B84" s="7" t="s">
        <v>239</v>
      </c>
    </row>
    <row r="85" spans="1:2" x14ac:dyDescent="0.3">
      <c r="A85" s="7" t="s">
        <v>240</v>
      </c>
      <c r="B85" s="7" t="s">
        <v>241</v>
      </c>
    </row>
    <row r="86" spans="1:2" x14ac:dyDescent="0.3">
      <c r="A86" s="7" t="s">
        <v>242</v>
      </c>
      <c r="B86" s="7" t="s">
        <v>243</v>
      </c>
    </row>
    <row r="87" spans="1:2" x14ac:dyDescent="0.3">
      <c r="A87" s="7" t="s">
        <v>244</v>
      </c>
      <c r="B87" s="7" t="s">
        <v>245</v>
      </c>
    </row>
    <row r="88" spans="1:2" x14ac:dyDescent="0.3">
      <c r="A88" s="7" t="s">
        <v>246</v>
      </c>
      <c r="B88" s="7" t="s">
        <v>247</v>
      </c>
    </row>
    <row r="89" spans="1:2" x14ac:dyDescent="0.3">
      <c r="A89" s="7" t="s">
        <v>248</v>
      </c>
      <c r="B89" s="7" t="s">
        <v>249</v>
      </c>
    </row>
    <row r="90" spans="1:2" x14ac:dyDescent="0.3">
      <c r="A90" s="7" t="s">
        <v>250</v>
      </c>
      <c r="B90" s="7" t="s">
        <v>251</v>
      </c>
    </row>
    <row r="91" spans="1:2" x14ac:dyDescent="0.3">
      <c r="A91" s="7" t="s">
        <v>252</v>
      </c>
      <c r="B91" s="7" t="s">
        <v>253</v>
      </c>
    </row>
    <row r="92" spans="1:2" x14ac:dyDescent="0.3">
      <c r="A92" s="7" t="s">
        <v>254</v>
      </c>
      <c r="B92" s="7" t="s">
        <v>255</v>
      </c>
    </row>
    <row r="93" spans="1:2" x14ac:dyDescent="0.3">
      <c r="A93" s="7" t="s">
        <v>256</v>
      </c>
      <c r="B93" s="7" t="s">
        <v>257</v>
      </c>
    </row>
    <row r="94" spans="1:2" x14ac:dyDescent="0.3">
      <c r="A94" s="7" t="s">
        <v>258</v>
      </c>
      <c r="B94" s="7" t="s">
        <v>259</v>
      </c>
    </row>
    <row r="95" spans="1:2" x14ac:dyDescent="0.3">
      <c r="A95" s="7" t="s">
        <v>260</v>
      </c>
      <c r="B95" s="7" t="s">
        <v>261</v>
      </c>
    </row>
    <row r="96" spans="1:2" x14ac:dyDescent="0.3">
      <c r="A96" s="7" t="s">
        <v>262</v>
      </c>
      <c r="B96" s="7" t="s">
        <v>263</v>
      </c>
    </row>
    <row r="97" spans="1:2" x14ac:dyDescent="0.3">
      <c r="A97" s="7" t="s">
        <v>264</v>
      </c>
      <c r="B97" s="7" t="s">
        <v>265</v>
      </c>
    </row>
    <row r="98" spans="1:2" x14ac:dyDescent="0.3">
      <c r="A98" s="7" t="s">
        <v>266</v>
      </c>
      <c r="B98" s="7" t="s">
        <v>267</v>
      </c>
    </row>
    <row r="99" spans="1:2" x14ac:dyDescent="0.3">
      <c r="A99" s="7" t="s">
        <v>268</v>
      </c>
      <c r="B99" s="7" t="s">
        <v>269</v>
      </c>
    </row>
    <row r="100" spans="1:2" x14ac:dyDescent="0.3">
      <c r="A100" s="7" t="s">
        <v>270</v>
      </c>
      <c r="B100" s="7" t="s">
        <v>271</v>
      </c>
    </row>
    <row r="101" spans="1:2" x14ac:dyDescent="0.3">
      <c r="A101" s="7" t="s">
        <v>272</v>
      </c>
      <c r="B101" s="7" t="s">
        <v>273</v>
      </c>
    </row>
    <row r="102" spans="1:2" x14ac:dyDescent="0.3">
      <c r="A102" s="7" t="s">
        <v>274</v>
      </c>
      <c r="B102" s="7" t="s">
        <v>275</v>
      </c>
    </row>
    <row r="103" spans="1:2" x14ac:dyDescent="0.3">
      <c r="A103" s="7" t="s">
        <v>276</v>
      </c>
      <c r="B103" s="7" t="s">
        <v>277</v>
      </c>
    </row>
    <row r="104" spans="1:2" x14ac:dyDescent="0.3">
      <c r="A104" s="7" t="s">
        <v>278</v>
      </c>
      <c r="B104" s="7" t="s">
        <v>279</v>
      </c>
    </row>
    <row r="105" spans="1:2" x14ac:dyDescent="0.3">
      <c r="A105" s="7" t="s">
        <v>280</v>
      </c>
      <c r="B105" s="7" t="s">
        <v>281</v>
      </c>
    </row>
    <row r="106" spans="1:2" x14ac:dyDescent="0.3">
      <c r="A106" s="7" t="s">
        <v>282</v>
      </c>
      <c r="B106" s="7" t="s">
        <v>283</v>
      </c>
    </row>
    <row r="107" spans="1:2" x14ac:dyDescent="0.3">
      <c r="A107" s="7" t="s">
        <v>284</v>
      </c>
      <c r="B107" s="7" t="s">
        <v>285</v>
      </c>
    </row>
    <row r="108" spans="1:2" x14ac:dyDescent="0.3">
      <c r="A108" s="7" t="s">
        <v>286</v>
      </c>
      <c r="B108" s="7" t="s">
        <v>287</v>
      </c>
    </row>
    <row r="109" spans="1:2" x14ac:dyDescent="0.3">
      <c r="A109" s="7" t="s">
        <v>288</v>
      </c>
      <c r="B109" s="7" t="s">
        <v>289</v>
      </c>
    </row>
    <row r="110" spans="1:2" x14ac:dyDescent="0.3">
      <c r="A110" s="7" t="s">
        <v>290</v>
      </c>
      <c r="B110" s="7" t="s">
        <v>291</v>
      </c>
    </row>
    <row r="111" spans="1:2" x14ac:dyDescent="0.3">
      <c r="A111" s="7" t="s">
        <v>292</v>
      </c>
      <c r="B111" s="7" t="s">
        <v>293</v>
      </c>
    </row>
    <row r="112" spans="1:2" x14ac:dyDescent="0.3">
      <c r="A112" s="7" t="s">
        <v>294</v>
      </c>
      <c r="B112" s="7" t="s">
        <v>295</v>
      </c>
    </row>
    <row r="113" spans="1:2" x14ac:dyDescent="0.3">
      <c r="A113" s="7" t="s">
        <v>296</v>
      </c>
      <c r="B113" s="7" t="s">
        <v>297</v>
      </c>
    </row>
    <row r="114" spans="1:2" x14ac:dyDescent="0.3">
      <c r="A114" s="7" t="s">
        <v>298</v>
      </c>
      <c r="B114" s="7" t="s">
        <v>299</v>
      </c>
    </row>
    <row r="115" spans="1:2" x14ac:dyDescent="0.3">
      <c r="A115" s="7" t="s">
        <v>300</v>
      </c>
      <c r="B115" s="7" t="s">
        <v>301</v>
      </c>
    </row>
    <row r="116" spans="1:2" x14ac:dyDescent="0.3">
      <c r="A116" s="7" t="s">
        <v>302</v>
      </c>
      <c r="B116" s="7" t="s">
        <v>303</v>
      </c>
    </row>
    <row r="117" spans="1:2" x14ac:dyDescent="0.3">
      <c r="A117" s="7" t="s">
        <v>304</v>
      </c>
      <c r="B117" s="7" t="s">
        <v>305</v>
      </c>
    </row>
    <row r="118" spans="1:2" x14ac:dyDescent="0.3">
      <c r="A118" s="7" t="s">
        <v>306</v>
      </c>
      <c r="B118" s="7" t="s">
        <v>307</v>
      </c>
    </row>
    <row r="119" spans="1:2" x14ac:dyDescent="0.3">
      <c r="A119" s="7" t="s">
        <v>308</v>
      </c>
      <c r="B119" s="7" t="s">
        <v>309</v>
      </c>
    </row>
    <row r="120" spans="1:2" x14ac:dyDescent="0.3">
      <c r="A120" s="7" t="s">
        <v>310</v>
      </c>
      <c r="B120" s="7" t="s">
        <v>311</v>
      </c>
    </row>
    <row r="121" spans="1:2" x14ac:dyDescent="0.3">
      <c r="A121" s="7" t="s">
        <v>312</v>
      </c>
      <c r="B121" s="7" t="s">
        <v>313</v>
      </c>
    </row>
    <row r="122" spans="1:2" x14ac:dyDescent="0.3">
      <c r="A122" s="7" t="s">
        <v>314</v>
      </c>
      <c r="B122" s="7" t="s">
        <v>315</v>
      </c>
    </row>
    <row r="123" spans="1:2" x14ac:dyDescent="0.3">
      <c r="A123" s="7" t="s">
        <v>316</v>
      </c>
      <c r="B123" s="7" t="s">
        <v>317</v>
      </c>
    </row>
    <row r="124" spans="1:2" x14ac:dyDescent="0.3">
      <c r="A124" s="7" t="s">
        <v>318</v>
      </c>
      <c r="B124" s="7" t="s">
        <v>319</v>
      </c>
    </row>
    <row r="125" spans="1:2" x14ac:dyDescent="0.3">
      <c r="A125" s="7" t="s">
        <v>320</v>
      </c>
      <c r="B125" s="7" t="s">
        <v>321</v>
      </c>
    </row>
    <row r="126" spans="1:2" x14ac:dyDescent="0.3">
      <c r="A126" s="7" t="s">
        <v>322</v>
      </c>
      <c r="B126" s="7" t="s">
        <v>323</v>
      </c>
    </row>
    <row r="127" spans="1:2" x14ac:dyDescent="0.3">
      <c r="A127" s="7" t="s">
        <v>324</v>
      </c>
      <c r="B127" s="7" t="s">
        <v>325</v>
      </c>
    </row>
    <row r="128" spans="1:2" x14ac:dyDescent="0.3">
      <c r="A128" s="7" t="s">
        <v>326</v>
      </c>
      <c r="B128" s="7" t="s">
        <v>327</v>
      </c>
    </row>
    <row r="129" spans="1:2" x14ac:dyDescent="0.3">
      <c r="A129" s="7" t="s">
        <v>328</v>
      </c>
      <c r="B129" s="7" t="s">
        <v>329</v>
      </c>
    </row>
    <row r="130" spans="1:2" x14ac:dyDescent="0.3">
      <c r="A130" s="7" t="s">
        <v>330</v>
      </c>
      <c r="B130" s="7" t="s">
        <v>331</v>
      </c>
    </row>
    <row r="131" spans="1:2" x14ac:dyDescent="0.3">
      <c r="A131" s="7" t="s">
        <v>332</v>
      </c>
      <c r="B131" s="7" t="s">
        <v>333</v>
      </c>
    </row>
    <row r="132" spans="1:2" x14ac:dyDescent="0.3">
      <c r="A132" s="7" t="s">
        <v>334</v>
      </c>
      <c r="B132" s="7" t="s">
        <v>335</v>
      </c>
    </row>
    <row r="133" spans="1:2" x14ac:dyDescent="0.3">
      <c r="A133" s="7" t="s">
        <v>336</v>
      </c>
      <c r="B133" s="7" t="s">
        <v>337</v>
      </c>
    </row>
    <row r="134" spans="1:2" x14ac:dyDescent="0.3">
      <c r="A134" s="7" t="s">
        <v>338</v>
      </c>
      <c r="B134" s="7" t="s">
        <v>339</v>
      </c>
    </row>
    <row r="135" spans="1:2" x14ac:dyDescent="0.3">
      <c r="A135" s="7" t="s">
        <v>340</v>
      </c>
      <c r="B135" s="7" t="s">
        <v>341</v>
      </c>
    </row>
    <row r="136" spans="1:2" x14ac:dyDescent="0.3">
      <c r="A136" s="7" t="s">
        <v>342</v>
      </c>
      <c r="B136" s="7" t="s">
        <v>343</v>
      </c>
    </row>
    <row r="137" spans="1:2" x14ac:dyDescent="0.3">
      <c r="A137" s="7" t="s">
        <v>344</v>
      </c>
      <c r="B137" s="7" t="s">
        <v>345</v>
      </c>
    </row>
    <row r="138" spans="1:2" x14ac:dyDescent="0.3">
      <c r="A138" s="7" t="s">
        <v>346</v>
      </c>
      <c r="B138" s="7" t="s">
        <v>347</v>
      </c>
    </row>
    <row r="139" spans="1:2" x14ac:dyDescent="0.3">
      <c r="A139" s="7" t="s">
        <v>348</v>
      </c>
      <c r="B139" s="7" t="s">
        <v>349</v>
      </c>
    </row>
    <row r="140" spans="1:2" x14ac:dyDescent="0.3">
      <c r="A140" s="7" t="s">
        <v>350</v>
      </c>
      <c r="B140" s="7" t="s">
        <v>351</v>
      </c>
    </row>
    <row r="141" spans="1:2" x14ac:dyDescent="0.3">
      <c r="A141" s="7" t="s">
        <v>352</v>
      </c>
      <c r="B141" s="7" t="s">
        <v>353</v>
      </c>
    </row>
    <row r="142" spans="1:2" x14ac:dyDescent="0.3">
      <c r="A142" s="7" t="s">
        <v>354</v>
      </c>
      <c r="B142" s="7" t="s">
        <v>355</v>
      </c>
    </row>
    <row r="143" spans="1:2" x14ac:dyDescent="0.3">
      <c r="A143" s="7" t="s">
        <v>356</v>
      </c>
      <c r="B143" s="7" t="s">
        <v>357</v>
      </c>
    </row>
    <row r="144" spans="1:2" x14ac:dyDescent="0.3">
      <c r="A144" s="7" t="s">
        <v>358</v>
      </c>
      <c r="B144" s="7" t="s">
        <v>359</v>
      </c>
    </row>
    <row r="145" spans="1:2" x14ac:dyDescent="0.3">
      <c r="A145" s="7" t="s">
        <v>360</v>
      </c>
      <c r="B145" s="7" t="s">
        <v>361</v>
      </c>
    </row>
    <row r="146" spans="1:2" x14ac:dyDescent="0.3">
      <c r="A146" s="7" t="s">
        <v>362</v>
      </c>
      <c r="B146" s="7" t="s">
        <v>363</v>
      </c>
    </row>
    <row r="147" spans="1:2" x14ac:dyDescent="0.3">
      <c r="A147" s="7" t="s">
        <v>364</v>
      </c>
      <c r="B147" s="7" t="s">
        <v>365</v>
      </c>
    </row>
    <row r="148" spans="1:2" x14ac:dyDescent="0.3">
      <c r="A148" s="7" t="s">
        <v>366</v>
      </c>
      <c r="B148" s="7" t="s">
        <v>367</v>
      </c>
    </row>
    <row r="149" spans="1:2" x14ac:dyDescent="0.3">
      <c r="A149" s="7" t="s">
        <v>368</v>
      </c>
      <c r="B149" s="7" t="s">
        <v>369</v>
      </c>
    </row>
    <row r="150" spans="1:2" x14ac:dyDescent="0.3">
      <c r="A150" s="7" t="s">
        <v>370</v>
      </c>
      <c r="B150" s="7" t="s">
        <v>371</v>
      </c>
    </row>
    <row r="151" spans="1:2" x14ac:dyDescent="0.3">
      <c r="A151" s="7" t="s">
        <v>372</v>
      </c>
      <c r="B151" s="7" t="s">
        <v>373</v>
      </c>
    </row>
    <row r="152" spans="1:2" x14ac:dyDescent="0.3">
      <c r="A152" s="7" t="s">
        <v>374</v>
      </c>
      <c r="B152" s="7" t="s">
        <v>375</v>
      </c>
    </row>
    <row r="153" spans="1:2" x14ac:dyDescent="0.3">
      <c r="A153" s="7" t="s">
        <v>376</v>
      </c>
      <c r="B153" s="7" t="s">
        <v>377</v>
      </c>
    </row>
    <row r="154" spans="1:2" x14ac:dyDescent="0.3">
      <c r="A154" s="7" t="s">
        <v>378</v>
      </c>
      <c r="B154" s="7" t="s">
        <v>379</v>
      </c>
    </row>
    <row r="155" spans="1:2" x14ac:dyDescent="0.3">
      <c r="A155" s="7" t="s">
        <v>380</v>
      </c>
      <c r="B155" s="7" t="s">
        <v>381</v>
      </c>
    </row>
    <row r="156" spans="1:2" x14ac:dyDescent="0.3">
      <c r="A156" s="7" t="s">
        <v>382</v>
      </c>
      <c r="B156" s="7" t="s">
        <v>383</v>
      </c>
    </row>
    <row r="157" spans="1:2" x14ac:dyDescent="0.3">
      <c r="A157" s="7" t="s">
        <v>384</v>
      </c>
      <c r="B157" s="7" t="s">
        <v>385</v>
      </c>
    </row>
    <row r="158" spans="1:2" x14ac:dyDescent="0.3">
      <c r="A158" s="7" t="s">
        <v>386</v>
      </c>
      <c r="B158" s="7" t="s">
        <v>387</v>
      </c>
    </row>
    <row r="159" spans="1:2" x14ac:dyDescent="0.3">
      <c r="A159" s="7" t="s">
        <v>388</v>
      </c>
      <c r="B159" s="7" t="s">
        <v>389</v>
      </c>
    </row>
    <row r="160" spans="1:2" x14ac:dyDescent="0.3">
      <c r="A160" s="7" t="s">
        <v>390</v>
      </c>
      <c r="B160" s="7" t="s">
        <v>391</v>
      </c>
    </row>
    <row r="161" spans="1:2" x14ac:dyDescent="0.3">
      <c r="A161" s="7" t="s">
        <v>392</v>
      </c>
      <c r="B161" s="7" t="s">
        <v>393</v>
      </c>
    </row>
    <row r="162" spans="1:2" x14ac:dyDescent="0.3">
      <c r="A162" s="7" t="s">
        <v>394</v>
      </c>
      <c r="B162" s="7" t="s">
        <v>395</v>
      </c>
    </row>
    <row r="163" spans="1:2" x14ac:dyDescent="0.3">
      <c r="A163" s="7" t="s">
        <v>396</v>
      </c>
      <c r="B163" s="7" t="s">
        <v>397</v>
      </c>
    </row>
    <row r="164" spans="1:2" x14ac:dyDescent="0.3">
      <c r="A164" s="7" t="s">
        <v>398</v>
      </c>
      <c r="B164" s="7" t="s">
        <v>201</v>
      </c>
    </row>
    <row r="165" spans="1:2" x14ac:dyDescent="0.3">
      <c r="A165" s="7" t="s">
        <v>399</v>
      </c>
      <c r="B165" s="7" t="s">
        <v>400</v>
      </c>
    </row>
    <row r="166" spans="1:2" x14ac:dyDescent="0.3">
      <c r="A166" s="7" t="s">
        <v>401</v>
      </c>
      <c r="B166" s="7" t="s">
        <v>402</v>
      </c>
    </row>
    <row r="167" spans="1:2" x14ac:dyDescent="0.3">
      <c r="A167" s="7" t="s">
        <v>403</v>
      </c>
      <c r="B167" s="7" t="s">
        <v>404</v>
      </c>
    </row>
    <row r="168" spans="1:2" x14ac:dyDescent="0.3">
      <c r="A168" s="7" t="s">
        <v>405</v>
      </c>
      <c r="B168" s="7" t="s">
        <v>406</v>
      </c>
    </row>
    <row r="169" spans="1:2" x14ac:dyDescent="0.3">
      <c r="A169" s="7" t="s">
        <v>407</v>
      </c>
      <c r="B169" s="7" t="s">
        <v>408</v>
      </c>
    </row>
    <row r="170" spans="1:2" x14ac:dyDescent="0.3">
      <c r="A170" s="7" t="s">
        <v>409</v>
      </c>
      <c r="B170" s="7" t="s">
        <v>410</v>
      </c>
    </row>
    <row r="171" spans="1:2" x14ac:dyDescent="0.3">
      <c r="A171" s="7" t="s">
        <v>411</v>
      </c>
      <c r="B171" s="7" t="s">
        <v>412</v>
      </c>
    </row>
    <row r="172" spans="1:2" x14ac:dyDescent="0.3">
      <c r="A172" s="7" t="s">
        <v>413</v>
      </c>
      <c r="B172" s="7" t="s">
        <v>414</v>
      </c>
    </row>
    <row r="173" spans="1:2" x14ac:dyDescent="0.3">
      <c r="A173" s="7" t="s">
        <v>415</v>
      </c>
      <c r="B173" s="7" t="s">
        <v>416</v>
      </c>
    </row>
    <row r="174" spans="1:2" x14ac:dyDescent="0.3">
      <c r="A174" s="7" t="s">
        <v>417</v>
      </c>
      <c r="B174" s="7" t="s">
        <v>418</v>
      </c>
    </row>
    <row r="175" spans="1:2" x14ac:dyDescent="0.3">
      <c r="A175" s="7" t="s">
        <v>419</v>
      </c>
      <c r="B175" s="7" t="s">
        <v>420</v>
      </c>
    </row>
    <row r="176" spans="1:2" x14ac:dyDescent="0.3">
      <c r="A176" s="7" t="s">
        <v>421</v>
      </c>
      <c r="B176" s="7" t="s">
        <v>422</v>
      </c>
    </row>
    <row r="177" spans="1:2" x14ac:dyDescent="0.3">
      <c r="A177" s="7" t="s">
        <v>423</v>
      </c>
      <c r="B177" s="7" t="s">
        <v>424</v>
      </c>
    </row>
    <row r="178" spans="1:2" x14ac:dyDescent="0.3">
      <c r="A178" s="7" t="s">
        <v>425</v>
      </c>
      <c r="B178" s="7" t="s">
        <v>426</v>
      </c>
    </row>
    <row r="179" spans="1:2" x14ac:dyDescent="0.3">
      <c r="A179" s="7" t="s">
        <v>427</v>
      </c>
      <c r="B179" s="7" t="s">
        <v>428</v>
      </c>
    </row>
    <row r="180" spans="1:2" x14ac:dyDescent="0.3">
      <c r="A180" s="7" t="s">
        <v>429</v>
      </c>
      <c r="B180" s="7" t="s">
        <v>430</v>
      </c>
    </row>
    <row r="181" spans="1:2" x14ac:dyDescent="0.3">
      <c r="A181" s="7" t="s">
        <v>431</v>
      </c>
      <c r="B181" s="7" t="s">
        <v>432</v>
      </c>
    </row>
    <row r="182" spans="1:2" x14ac:dyDescent="0.3">
      <c r="A182" s="7" t="s">
        <v>433</v>
      </c>
      <c r="B182" s="7" t="s">
        <v>434</v>
      </c>
    </row>
    <row r="183" spans="1:2" x14ac:dyDescent="0.3">
      <c r="A183" s="7" t="s">
        <v>435</v>
      </c>
      <c r="B183" s="7" t="s">
        <v>436</v>
      </c>
    </row>
    <row r="184" spans="1:2" x14ac:dyDescent="0.3">
      <c r="A184" s="7" t="s">
        <v>437</v>
      </c>
      <c r="B184" s="7" t="s">
        <v>438</v>
      </c>
    </row>
    <row r="185" spans="1:2" x14ac:dyDescent="0.3">
      <c r="A185" s="7" t="s">
        <v>439</v>
      </c>
      <c r="B185" s="7" t="s">
        <v>440</v>
      </c>
    </row>
    <row r="186" spans="1:2" x14ac:dyDescent="0.3">
      <c r="A186" s="7" t="s">
        <v>441</v>
      </c>
      <c r="B186" s="7" t="s">
        <v>442</v>
      </c>
    </row>
    <row r="187" spans="1:2" x14ac:dyDescent="0.3">
      <c r="A187" s="7" t="s">
        <v>443</v>
      </c>
      <c r="B187" s="7" t="s">
        <v>444</v>
      </c>
    </row>
    <row r="188" spans="1:2" x14ac:dyDescent="0.3">
      <c r="A188" s="7" t="s">
        <v>445</v>
      </c>
      <c r="B188" s="7" t="s">
        <v>446</v>
      </c>
    </row>
    <row r="189" spans="1:2" x14ac:dyDescent="0.3">
      <c r="A189" s="7" t="s">
        <v>447</v>
      </c>
      <c r="B189" s="7" t="s">
        <v>448</v>
      </c>
    </row>
    <row r="190" spans="1:2" x14ac:dyDescent="0.3">
      <c r="A190" s="7" t="s">
        <v>449</v>
      </c>
      <c r="B190" s="7" t="s">
        <v>450</v>
      </c>
    </row>
    <row r="191" spans="1:2" x14ac:dyDescent="0.3">
      <c r="A191" s="7" t="s">
        <v>451</v>
      </c>
      <c r="B191" s="7" t="s">
        <v>452</v>
      </c>
    </row>
    <row r="192" spans="1:2" x14ac:dyDescent="0.3">
      <c r="A192" s="7" t="s">
        <v>453</v>
      </c>
      <c r="B192" s="7" t="s">
        <v>454</v>
      </c>
    </row>
    <row r="193" spans="1:2" x14ac:dyDescent="0.3">
      <c r="A193" s="7" t="s">
        <v>455</v>
      </c>
      <c r="B193" s="7" t="s">
        <v>456</v>
      </c>
    </row>
    <row r="194" spans="1:2" x14ac:dyDescent="0.3">
      <c r="A194" s="7" t="s">
        <v>457</v>
      </c>
      <c r="B194" s="7" t="s">
        <v>458</v>
      </c>
    </row>
    <row r="195" spans="1:2" x14ac:dyDescent="0.3">
      <c r="A195" s="7" t="s">
        <v>459</v>
      </c>
      <c r="B195" s="7" t="s">
        <v>460</v>
      </c>
    </row>
    <row r="196" spans="1:2" x14ac:dyDescent="0.3">
      <c r="A196" s="7" t="s">
        <v>461</v>
      </c>
      <c r="B196" s="7" t="s">
        <v>462</v>
      </c>
    </row>
    <row r="197" spans="1:2" x14ac:dyDescent="0.3">
      <c r="A197" s="7" t="s">
        <v>463</v>
      </c>
      <c r="B197" s="7" t="s">
        <v>464</v>
      </c>
    </row>
    <row r="198" spans="1:2" x14ac:dyDescent="0.3">
      <c r="A198" s="7" t="s">
        <v>465</v>
      </c>
      <c r="B198" s="7" t="s">
        <v>466</v>
      </c>
    </row>
    <row r="199" spans="1:2" x14ac:dyDescent="0.3">
      <c r="A199" s="7" t="s">
        <v>467</v>
      </c>
      <c r="B199" s="7" t="s">
        <v>468</v>
      </c>
    </row>
    <row r="200" spans="1:2" x14ac:dyDescent="0.3">
      <c r="A200" s="7" t="s">
        <v>469</v>
      </c>
      <c r="B200" s="7" t="s">
        <v>470</v>
      </c>
    </row>
    <row r="201" spans="1:2" x14ac:dyDescent="0.3">
      <c r="A201" s="7" t="s">
        <v>471</v>
      </c>
      <c r="B201" s="7" t="s">
        <v>472</v>
      </c>
    </row>
    <row r="202" spans="1:2" x14ac:dyDescent="0.3">
      <c r="A202" s="7" t="s">
        <v>473</v>
      </c>
      <c r="B202" s="7" t="s">
        <v>474</v>
      </c>
    </row>
    <row r="203" spans="1:2" x14ac:dyDescent="0.3">
      <c r="A203" s="7" t="s">
        <v>475</v>
      </c>
      <c r="B203" s="7" t="s">
        <v>476</v>
      </c>
    </row>
    <row r="204" spans="1:2" x14ac:dyDescent="0.3">
      <c r="A204" s="7" t="s">
        <v>477</v>
      </c>
      <c r="B204" s="7" t="s">
        <v>478</v>
      </c>
    </row>
    <row r="205" spans="1:2" x14ac:dyDescent="0.3">
      <c r="A205" s="7" t="s">
        <v>479</v>
      </c>
      <c r="B205" s="7" t="s">
        <v>480</v>
      </c>
    </row>
    <row r="206" spans="1:2" x14ac:dyDescent="0.3">
      <c r="A206" s="7" t="s">
        <v>481</v>
      </c>
      <c r="B206" s="7" t="s">
        <v>482</v>
      </c>
    </row>
    <row r="207" spans="1:2" x14ac:dyDescent="0.3">
      <c r="A207" s="7" t="s">
        <v>483</v>
      </c>
      <c r="B207" s="7" t="s">
        <v>484</v>
      </c>
    </row>
    <row r="208" spans="1:2" x14ac:dyDescent="0.3">
      <c r="A208" s="7" t="s">
        <v>485</v>
      </c>
      <c r="B208" s="7" t="s">
        <v>486</v>
      </c>
    </row>
    <row r="209" spans="1:2" x14ac:dyDescent="0.3">
      <c r="A209" s="7" t="s">
        <v>487</v>
      </c>
      <c r="B209" s="7" t="s">
        <v>488</v>
      </c>
    </row>
    <row r="210" spans="1:2" x14ac:dyDescent="0.3">
      <c r="A210" s="7" t="s">
        <v>489</v>
      </c>
      <c r="B210" s="7" t="s">
        <v>490</v>
      </c>
    </row>
    <row r="211" spans="1:2" x14ac:dyDescent="0.3">
      <c r="A211" s="7" t="s">
        <v>491</v>
      </c>
      <c r="B211" s="7" t="s">
        <v>492</v>
      </c>
    </row>
    <row r="212" spans="1:2" x14ac:dyDescent="0.3">
      <c r="A212" s="7" t="s">
        <v>493</v>
      </c>
      <c r="B212" s="7" t="s">
        <v>494</v>
      </c>
    </row>
    <row r="213" spans="1:2" x14ac:dyDescent="0.3">
      <c r="A213" s="7" t="s">
        <v>495</v>
      </c>
      <c r="B213" s="7" t="s">
        <v>496</v>
      </c>
    </row>
    <row r="214" spans="1:2" x14ac:dyDescent="0.3">
      <c r="A214" s="7" t="s">
        <v>497</v>
      </c>
      <c r="B214" s="7" t="s">
        <v>498</v>
      </c>
    </row>
    <row r="215" spans="1:2" x14ac:dyDescent="0.3">
      <c r="A215" s="7" t="s">
        <v>499</v>
      </c>
      <c r="B215" s="7" t="s">
        <v>500</v>
      </c>
    </row>
    <row r="216" spans="1:2" x14ac:dyDescent="0.3">
      <c r="A216" s="7" t="s">
        <v>501</v>
      </c>
      <c r="B216" s="7" t="s">
        <v>502</v>
      </c>
    </row>
    <row r="217" spans="1:2" x14ac:dyDescent="0.3">
      <c r="A217" s="7" t="s">
        <v>503</v>
      </c>
      <c r="B217" s="7" t="s">
        <v>504</v>
      </c>
    </row>
    <row r="218" spans="1:2" x14ac:dyDescent="0.3">
      <c r="A218" s="7" t="s">
        <v>505</v>
      </c>
      <c r="B218" s="7" t="s">
        <v>506</v>
      </c>
    </row>
    <row r="219" spans="1:2" x14ac:dyDescent="0.3">
      <c r="A219" s="7" t="s">
        <v>507</v>
      </c>
      <c r="B219" s="7" t="s">
        <v>508</v>
      </c>
    </row>
    <row r="220" spans="1:2" x14ac:dyDescent="0.3">
      <c r="A220" s="7" t="s">
        <v>509</v>
      </c>
      <c r="B220" s="7" t="s">
        <v>510</v>
      </c>
    </row>
    <row r="221" spans="1:2" x14ac:dyDescent="0.3">
      <c r="A221" s="7" t="s">
        <v>511</v>
      </c>
      <c r="B221" s="7" t="s">
        <v>512</v>
      </c>
    </row>
    <row r="222" spans="1:2" x14ac:dyDescent="0.3">
      <c r="A222" s="7" t="s">
        <v>513</v>
      </c>
      <c r="B222" s="7" t="s">
        <v>514</v>
      </c>
    </row>
    <row r="223" spans="1:2" x14ac:dyDescent="0.3">
      <c r="A223" s="7" t="s">
        <v>515</v>
      </c>
      <c r="B223" s="7" t="s">
        <v>516</v>
      </c>
    </row>
    <row r="224" spans="1:2" x14ac:dyDescent="0.3">
      <c r="A224" s="7" t="s">
        <v>517</v>
      </c>
      <c r="B224" s="7" t="s">
        <v>518</v>
      </c>
    </row>
    <row r="225" spans="1:2" x14ac:dyDescent="0.3">
      <c r="A225" s="7" t="s">
        <v>519</v>
      </c>
      <c r="B225" s="7" t="s">
        <v>520</v>
      </c>
    </row>
    <row r="226" spans="1:2" x14ac:dyDescent="0.3">
      <c r="A226" s="7" t="s">
        <v>521</v>
      </c>
      <c r="B226" s="7" t="s">
        <v>522</v>
      </c>
    </row>
    <row r="227" spans="1:2" x14ac:dyDescent="0.3">
      <c r="A227" s="7" t="s">
        <v>523</v>
      </c>
      <c r="B227" s="7" t="s">
        <v>524</v>
      </c>
    </row>
    <row r="228" spans="1:2" x14ac:dyDescent="0.3">
      <c r="A228" s="7" t="s">
        <v>525</v>
      </c>
      <c r="B228" s="7" t="s">
        <v>526</v>
      </c>
    </row>
    <row r="229" spans="1:2" x14ac:dyDescent="0.3">
      <c r="A229" s="7" t="s">
        <v>527</v>
      </c>
      <c r="B229" s="7" t="s">
        <v>528</v>
      </c>
    </row>
    <row r="230" spans="1:2" x14ac:dyDescent="0.3">
      <c r="A230" s="7" t="s">
        <v>529</v>
      </c>
      <c r="B230" s="7" t="s">
        <v>530</v>
      </c>
    </row>
    <row r="231" spans="1:2" x14ac:dyDescent="0.3">
      <c r="A231" s="7" t="s">
        <v>531</v>
      </c>
      <c r="B231" s="7" t="s">
        <v>532</v>
      </c>
    </row>
    <row r="232" spans="1:2" x14ac:dyDescent="0.3">
      <c r="A232" s="7" t="s">
        <v>533</v>
      </c>
      <c r="B232" s="7" t="s">
        <v>534</v>
      </c>
    </row>
    <row r="233" spans="1:2" x14ac:dyDescent="0.3">
      <c r="A233" s="7" t="s">
        <v>535</v>
      </c>
      <c r="B233" s="7" t="s">
        <v>536</v>
      </c>
    </row>
    <row r="234" spans="1:2" x14ac:dyDescent="0.3">
      <c r="A234" s="7" t="s">
        <v>537</v>
      </c>
      <c r="B234" s="7" t="s">
        <v>538</v>
      </c>
    </row>
    <row r="235" spans="1:2" x14ac:dyDescent="0.3">
      <c r="A235" s="7" t="s">
        <v>539</v>
      </c>
      <c r="B235" s="7" t="s">
        <v>540</v>
      </c>
    </row>
    <row r="236" spans="1:2" x14ac:dyDescent="0.3">
      <c r="A236" s="7" t="s">
        <v>541</v>
      </c>
      <c r="B236" s="7" t="s">
        <v>542</v>
      </c>
    </row>
    <row r="237" spans="1:2" x14ac:dyDescent="0.3">
      <c r="A237" s="7" t="s">
        <v>543</v>
      </c>
      <c r="B237" s="7" t="s">
        <v>544</v>
      </c>
    </row>
    <row r="238" spans="1:2" x14ac:dyDescent="0.3">
      <c r="A238" s="7" t="s">
        <v>545</v>
      </c>
      <c r="B238" s="7" t="s">
        <v>546</v>
      </c>
    </row>
    <row r="239" spans="1:2" x14ac:dyDescent="0.3">
      <c r="A239" s="7" t="s">
        <v>547</v>
      </c>
      <c r="B239" s="7" t="s">
        <v>548</v>
      </c>
    </row>
    <row r="240" spans="1:2" x14ac:dyDescent="0.3">
      <c r="A240" s="7" t="s">
        <v>549</v>
      </c>
      <c r="B240" s="7" t="s">
        <v>550</v>
      </c>
    </row>
    <row r="241" spans="1:2" x14ac:dyDescent="0.3">
      <c r="A241" s="7" t="s">
        <v>551</v>
      </c>
      <c r="B241" s="7" t="s">
        <v>552</v>
      </c>
    </row>
    <row r="242" spans="1:2" x14ac:dyDescent="0.3">
      <c r="A242" s="7" t="s">
        <v>553</v>
      </c>
      <c r="B242" s="7" t="s">
        <v>554</v>
      </c>
    </row>
    <row r="243" spans="1:2" x14ac:dyDescent="0.3">
      <c r="A243" s="7" t="s">
        <v>555</v>
      </c>
      <c r="B243" s="7" t="s">
        <v>556</v>
      </c>
    </row>
    <row r="244" spans="1:2" x14ac:dyDescent="0.3">
      <c r="A244" s="7" t="s">
        <v>557</v>
      </c>
      <c r="B244" s="7" t="s">
        <v>558</v>
      </c>
    </row>
    <row r="245" spans="1:2" x14ac:dyDescent="0.3">
      <c r="A245" s="7" t="s">
        <v>559</v>
      </c>
      <c r="B245" s="7" t="s">
        <v>560</v>
      </c>
    </row>
    <row r="246" spans="1:2" x14ac:dyDescent="0.3">
      <c r="A246" s="7" t="s">
        <v>561</v>
      </c>
      <c r="B246" s="7" t="s">
        <v>562</v>
      </c>
    </row>
    <row r="247" spans="1:2" x14ac:dyDescent="0.3">
      <c r="A247" s="7" t="s">
        <v>563</v>
      </c>
      <c r="B247" s="7" t="s">
        <v>564</v>
      </c>
    </row>
    <row r="248" spans="1:2" x14ac:dyDescent="0.3">
      <c r="A248" s="7" t="s">
        <v>565</v>
      </c>
      <c r="B248" s="7" t="s">
        <v>566</v>
      </c>
    </row>
    <row r="249" spans="1:2" x14ac:dyDescent="0.3">
      <c r="A249" s="7" t="s">
        <v>567</v>
      </c>
      <c r="B249" s="7" t="s">
        <v>568</v>
      </c>
    </row>
    <row r="250" spans="1:2" x14ac:dyDescent="0.3">
      <c r="A250" s="7" t="s">
        <v>569</v>
      </c>
      <c r="B250" s="7" t="s">
        <v>570</v>
      </c>
    </row>
    <row r="251" spans="1:2" x14ac:dyDescent="0.3">
      <c r="A251" s="7" t="s">
        <v>571</v>
      </c>
      <c r="B251" s="7" t="s">
        <v>572</v>
      </c>
    </row>
    <row r="252" spans="1:2" x14ac:dyDescent="0.3">
      <c r="A252" s="7" t="s">
        <v>573</v>
      </c>
      <c r="B252" s="7" t="s">
        <v>574</v>
      </c>
    </row>
    <row r="253" spans="1:2" x14ac:dyDescent="0.3">
      <c r="A253" s="7" t="s">
        <v>575</v>
      </c>
      <c r="B253" s="7" t="s">
        <v>576</v>
      </c>
    </row>
    <row r="254" spans="1:2" x14ac:dyDescent="0.3">
      <c r="A254" s="7" t="s">
        <v>577</v>
      </c>
      <c r="B254" s="7" t="s">
        <v>578</v>
      </c>
    </row>
    <row r="255" spans="1:2" x14ac:dyDescent="0.3">
      <c r="A255" s="7" t="s">
        <v>579</v>
      </c>
      <c r="B255" s="7" t="s">
        <v>580</v>
      </c>
    </row>
    <row r="256" spans="1:2" x14ac:dyDescent="0.3">
      <c r="A256" s="7" t="s">
        <v>581</v>
      </c>
      <c r="B256" s="7" t="s">
        <v>582</v>
      </c>
    </row>
    <row r="257" spans="1:2" x14ac:dyDescent="0.3">
      <c r="A257" s="7" t="s">
        <v>583</v>
      </c>
      <c r="B257" s="7" t="s">
        <v>584</v>
      </c>
    </row>
    <row r="258" spans="1:2" x14ac:dyDescent="0.3">
      <c r="A258" s="7" t="s">
        <v>585</v>
      </c>
      <c r="B258" s="7" t="s">
        <v>586</v>
      </c>
    </row>
    <row r="259" spans="1:2" x14ac:dyDescent="0.3">
      <c r="A259" s="7" t="s">
        <v>587</v>
      </c>
      <c r="B259" s="7" t="s">
        <v>588</v>
      </c>
    </row>
    <row r="260" spans="1:2" x14ac:dyDescent="0.3">
      <c r="A260" s="7" t="s">
        <v>589</v>
      </c>
      <c r="B260" s="7" t="s">
        <v>590</v>
      </c>
    </row>
    <row r="261" spans="1:2" x14ac:dyDescent="0.3">
      <c r="A261" s="7" t="s">
        <v>591</v>
      </c>
      <c r="B261" s="7" t="s">
        <v>592</v>
      </c>
    </row>
    <row r="262" spans="1:2" x14ac:dyDescent="0.3">
      <c r="A262" s="7" t="s">
        <v>593</v>
      </c>
      <c r="B262" s="7" t="s">
        <v>594</v>
      </c>
    </row>
    <row r="263" spans="1:2" x14ac:dyDescent="0.3">
      <c r="A263" s="7" t="s">
        <v>595</v>
      </c>
      <c r="B263" s="7" t="s">
        <v>596</v>
      </c>
    </row>
    <row r="264" spans="1:2" x14ac:dyDescent="0.3">
      <c r="A264" s="7" t="s">
        <v>597</v>
      </c>
      <c r="B264" s="7" t="s">
        <v>598</v>
      </c>
    </row>
    <row r="265" spans="1:2" x14ac:dyDescent="0.3">
      <c r="A265" s="7" t="s">
        <v>599</v>
      </c>
      <c r="B265" s="7" t="s">
        <v>600</v>
      </c>
    </row>
    <row r="266" spans="1:2" x14ac:dyDescent="0.3">
      <c r="A266" s="7" t="s">
        <v>601</v>
      </c>
      <c r="B266" s="7" t="s">
        <v>602</v>
      </c>
    </row>
    <row r="267" spans="1:2" x14ac:dyDescent="0.3">
      <c r="A267" s="7" t="s">
        <v>603</v>
      </c>
      <c r="B267" s="7" t="s">
        <v>604</v>
      </c>
    </row>
    <row r="268" spans="1:2" x14ac:dyDescent="0.3">
      <c r="A268" s="7" t="s">
        <v>605</v>
      </c>
      <c r="B268" s="7" t="s">
        <v>606</v>
      </c>
    </row>
    <row r="269" spans="1:2" x14ac:dyDescent="0.3">
      <c r="A269" s="7" t="s">
        <v>607</v>
      </c>
      <c r="B269" s="7" t="s">
        <v>608</v>
      </c>
    </row>
    <row r="270" spans="1:2" x14ac:dyDescent="0.3">
      <c r="A270" s="7" t="s">
        <v>609</v>
      </c>
      <c r="B270" s="7" t="s">
        <v>610</v>
      </c>
    </row>
    <row r="271" spans="1:2" x14ac:dyDescent="0.3">
      <c r="A271" s="7" t="s">
        <v>611</v>
      </c>
      <c r="B271" s="7" t="s">
        <v>612</v>
      </c>
    </row>
    <row r="272" spans="1:2" x14ac:dyDescent="0.3">
      <c r="A272" s="7" t="s">
        <v>613</v>
      </c>
      <c r="B272" s="7" t="s">
        <v>614</v>
      </c>
    </row>
    <row r="273" spans="1:2" x14ac:dyDescent="0.3">
      <c r="A273" s="7" t="s">
        <v>615</v>
      </c>
      <c r="B273" s="7" t="s">
        <v>145</v>
      </c>
    </row>
    <row r="274" spans="1:2" x14ac:dyDescent="0.3">
      <c r="A274" s="7" t="s">
        <v>616</v>
      </c>
      <c r="B274" s="7" t="s">
        <v>617</v>
      </c>
    </row>
    <row r="275" spans="1:2" x14ac:dyDescent="0.3">
      <c r="A275" s="7" t="s">
        <v>618</v>
      </c>
      <c r="B275" s="7" t="s">
        <v>331</v>
      </c>
    </row>
    <row r="276" spans="1:2" x14ac:dyDescent="0.3">
      <c r="A276" s="7" t="s">
        <v>619</v>
      </c>
      <c r="B276" s="7" t="s">
        <v>620</v>
      </c>
    </row>
    <row r="277" spans="1:2" x14ac:dyDescent="0.3">
      <c r="A277" s="7" t="s">
        <v>621</v>
      </c>
      <c r="B277" s="7" t="s">
        <v>622</v>
      </c>
    </row>
    <row r="278" spans="1:2" x14ac:dyDescent="0.3">
      <c r="A278" s="7" t="s">
        <v>623</v>
      </c>
      <c r="B278" s="7" t="s">
        <v>81</v>
      </c>
    </row>
    <row r="279" spans="1:2" x14ac:dyDescent="0.3">
      <c r="A279" s="7" t="s">
        <v>624</v>
      </c>
      <c r="B279" s="7" t="s">
        <v>625</v>
      </c>
    </row>
    <row r="280" spans="1:2" x14ac:dyDescent="0.3">
      <c r="A280" s="7" t="s">
        <v>626</v>
      </c>
      <c r="B280" s="7" t="s">
        <v>627</v>
      </c>
    </row>
    <row r="281" spans="1:2" x14ac:dyDescent="0.3">
      <c r="A281" s="7" t="s">
        <v>628</v>
      </c>
      <c r="B281" s="7" t="s">
        <v>629</v>
      </c>
    </row>
    <row r="282" spans="1:2" x14ac:dyDescent="0.3">
      <c r="A282" s="7" t="s">
        <v>630</v>
      </c>
      <c r="B282" s="7" t="s">
        <v>631</v>
      </c>
    </row>
    <row r="283" spans="1:2" x14ac:dyDescent="0.3">
      <c r="A283" s="7" t="s">
        <v>632</v>
      </c>
      <c r="B283" s="7" t="s">
        <v>633</v>
      </c>
    </row>
    <row r="284" spans="1:2" x14ac:dyDescent="0.3">
      <c r="A284" s="7" t="s">
        <v>634</v>
      </c>
      <c r="B284" s="7" t="s">
        <v>635</v>
      </c>
    </row>
    <row r="285" spans="1:2" x14ac:dyDescent="0.3">
      <c r="A285" s="7" t="s">
        <v>636</v>
      </c>
      <c r="B285" s="7" t="s">
        <v>637</v>
      </c>
    </row>
    <row r="286" spans="1:2" x14ac:dyDescent="0.3">
      <c r="A286" s="7" t="s">
        <v>638</v>
      </c>
      <c r="B286" s="7" t="s">
        <v>639</v>
      </c>
    </row>
    <row r="287" spans="1:2" x14ac:dyDescent="0.3">
      <c r="A287" s="7" t="s">
        <v>640</v>
      </c>
      <c r="B287" s="7" t="s">
        <v>641</v>
      </c>
    </row>
    <row r="288" spans="1:2" x14ac:dyDescent="0.3">
      <c r="A288" s="7" t="s">
        <v>642</v>
      </c>
      <c r="B288" s="7" t="s">
        <v>643</v>
      </c>
    </row>
    <row r="289" spans="1:2" x14ac:dyDescent="0.3">
      <c r="A289" s="7" t="s">
        <v>644</v>
      </c>
      <c r="B289" s="7" t="s">
        <v>645</v>
      </c>
    </row>
    <row r="290" spans="1:2" x14ac:dyDescent="0.3">
      <c r="A290" s="7" t="s">
        <v>646</v>
      </c>
      <c r="B290" s="7" t="s">
        <v>647</v>
      </c>
    </row>
    <row r="291" spans="1:2" x14ac:dyDescent="0.3">
      <c r="A291" s="7" t="s">
        <v>648</v>
      </c>
      <c r="B291" s="7" t="s">
        <v>649</v>
      </c>
    </row>
    <row r="292" spans="1:2" x14ac:dyDescent="0.3">
      <c r="A292" s="7" t="s">
        <v>650</v>
      </c>
      <c r="B292" s="7" t="s">
        <v>651</v>
      </c>
    </row>
    <row r="293" spans="1:2" x14ac:dyDescent="0.3">
      <c r="A293" s="7" t="s">
        <v>652</v>
      </c>
      <c r="B293" s="7" t="s">
        <v>653</v>
      </c>
    </row>
    <row r="294" spans="1:2" x14ac:dyDescent="0.3">
      <c r="A294" s="7" t="s">
        <v>654</v>
      </c>
      <c r="B294" s="7" t="s">
        <v>655</v>
      </c>
    </row>
    <row r="295" spans="1:2" x14ac:dyDescent="0.3">
      <c r="A295" s="7" t="s">
        <v>656</v>
      </c>
      <c r="B295" s="7" t="s">
        <v>657</v>
      </c>
    </row>
    <row r="296" spans="1:2" x14ac:dyDescent="0.3">
      <c r="A296" s="7" t="s">
        <v>658</v>
      </c>
      <c r="B296" s="7" t="s">
        <v>659</v>
      </c>
    </row>
    <row r="297" spans="1:2" x14ac:dyDescent="0.3">
      <c r="A297" s="7" t="s">
        <v>660</v>
      </c>
      <c r="B297" s="7" t="s">
        <v>661</v>
      </c>
    </row>
    <row r="298" spans="1:2" x14ac:dyDescent="0.3">
      <c r="A298" s="7" t="s">
        <v>662</v>
      </c>
      <c r="B298" s="7" t="s">
        <v>663</v>
      </c>
    </row>
    <row r="299" spans="1:2" x14ac:dyDescent="0.3">
      <c r="A299" s="7" t="s">
        <v>664</v>
      </c>
      <c r="B299" s="7" t="s">
        <v>665</v>
      </c>
    </row>
    <row r="300" spans="1:2" x14ac:dyDescent="0.3">
      <c r="A300" s="7" t="s">
        <v>666</v>
      </c>
      <c r="B300" s="7" t="s">
        <v>667</v>
      </c>
    </row>
    <row r="301" spans="1:2" x14ac:dyDescent="0.3">
      <c r="A301" s="7" t="s">
        <v>668</v>
      </c>
      <c r="B301" s="7" t="s">
        <v>669</v>
      </c>
    </row>
    <row r="302" spans="1:2" x14ac:dyDescent="0.3">
      <c r="A302" s="7" t="s">
        <v>670</v>
      </c>
      <c r="B302" s="7" t="s">
        <v>671</v>
      </c>
    </row>
    <row r="303" spans="1:2" x14ac:dyDescent="0.3">
      <c r="A303" s="7" t="s">
        <v>672</v>
      </c>
      <c r="B303" s="7" t="s">
        <v>673</v>
      </c>
    </row>
    <row r="304" spans="1:2" x14ac:dyDescent="0.3">
      <c r="A304" s="7" t="s">
        <v>674</v>
      </c>
      <c r="B304" s="7" t="s">
        <v>675</v>
      </c>
    </row>
    <row r="305" spans="1:2" x14ac:dyDescent="0.3">
      <c r="A305" s="7" t="s">
        <v>676</v>
      </c>
      <c r="B305" s="7" t="s">
        <v>677</v>
      </c>
    </row>
    <row r="306" spans="1:2" x14ac:dyDescent="0.3">
      <c r="A306" s="7" t="s">
        <v>678</v>
      </c>
      <c r="B306" s="7" t="s">
        <v>679</v>
      </c>
    </row>
    <row r="307" spans="1:2" x14ac:dyDescent="0.3">
      <c r="A307" s="7" t="s">
        <v>680</v>
      </c>
      <c r="B307" s="7" t="s">
        <v>681</v>
      </c>
    </row>
    <row r="308" spans="1:2" x14ac:dyDescent="0.3">
      <c r="A308" s="7" t="s">
        <v>682</v>
      </c>
      <c r="B308" s="7" t="s">
        <v>683</v>
      </c>
    </row>
    <row r="309" spans="1:2" x14ac:dyDescent="0.3">
      <c r="A309" s="7" t="s">
        <v>684</v>
      </c>
      <c r="B309" s="7" t="s">
        <v>685</v>
      </c>
    </row>
    <row r="310" spans="1:2" x14ac:dyDescent="0.3">
      <c r="A310" s="7" t="s">
        <v>686</v>
      </c>
      <c r="B310" s="7" t="s">
        <v>687</v>
      </c>
    </row>
    <row r="311" spans="1:2" x14ac:dyDescent="0.3">
      <c r="A311" s="7" t="s">
        <v>688</v>
      </c>
      <c r="B311" s="7" t="s">
        <v>689</v>
      </c>
    </row>
    <row r="312" spans="1:2" x14ac:dyDescent="0.3">
      <c r="A312" s="7" t="s">
        <v>690</v>
      </c>
      <c r="B312" s="7" t="s">
        <v>691</v>
      </c>
    </row>
    <row r="313" spans="1:2" x14ac:dyDescent="0.3">
      <c r="A313" s="7" t="s">
        <v>692</v>
      </c>
      <c r="B313" s="7" t="s">
        <v>693</v>
      </c>
    </row>
    <row r="314" spans="1:2" x14ac:dyDescent="0.3">
      <c r="A314" s="7" t="s">
        <v>694</v>
      </c>
      <c r="B314" s="7" t="s">
        <v>695</v>
      </c>
    </row>
    <row r="315" spans="1:2" x14ac:dyDescent="0.3">
      <c r="A315" s="7" t="s">
        <v>696</v>
      </c>
      <c r="B315" s="7" t="s">
        <v>697</v>
      </c>
    </row>
    <row r="316" spans="1:2" x14ac:dyDescent="0.3">
      <c r="A316" s="7" t="s">
        <v>698</v>
      </c>
      <c r="B316" s="7" t="s">
        <v>699</v>
      </c>
    </row>
    <row r="317" spans="1:2" x14ac:dyDescent="0.3">
      <c r="A317" s="7" t="s">
        <v>700</v>
      </c>
      <c r="B317" s="7" t="s">
        <v>701</v>
      </c>
    </row>
    <row r="318" spans="1:2" x14ac:dyDescent="0.3">
      <c r="A318" s="7" t="s">
        <v>702</v>
      </c>
      <c r="B318" s="7" t="s">
        <v>703</v>
      </c>
    </row>
    <row r="319" spans="1:2" x14ac:dyDescent="0.3">
      <c r="A319" s="7" t="s">
        <v>704</v>
      </c>
      <c r="B319" s="7" t="s">
        <v>705</v>
      </c>
    </row>
    <row r="320" spans="1:2" x14ac:dyDescent="0.3">
      <c r="A320" s="7" t="s">
        <v>706</v>
      </c>
      <c r="B320" s="7" t="s">
        <v>707</v>
      </c>
    </row>
    <row r="321" spans="1:2" x14ac:dyDescent="0.3">
      <c r="A321" s="7" t="s">
        <v>708</v>
      </c>
      <c r="B321" s="7" t="s">
        <v>709</v>
      </c>
    </row>
    <row r="322" spans="1:2" x14ac:dyDescent="0.3">
      <c r="A322" s="7" t="s">
        <v>710</v>
      </c>
      <c r="B322" s="7" t="s">
        <v>711</v>
      </c>
    </row>
    <row r="323" spans="1:2" x14ac:dyDescent="0.3">
      <c r="A323" s="7" t="s">
        <v>712</v>
      </c>
      <c r="B323" s="7" t="s">
        <v>713</v>
      </c>
    </row>
    <row r="324" spans="1:2" x14ac:dyDescent="0.3">
      <c r="A324" s="7" t="s">
        <v>714</v>
      </c>
      <c r="B324" s="7" t="s">
        <v>715</v>
      </c>
    </row>
    <row r="325" spans="1:2" x14ac:dyDescent="0.3">
      <c r="A325" s="7" t="s">
        <v>716</v>
      </c>
      <c r="B325" s="7" t="s">
        <v>717</v>
      </c>
    </row>
    <row r="326" spans="1:2" x14ac:dyDescent="0.3">
      <c r="A326" s="7" t="s">
        <v>718</v>
      </c>
      <c r="B326" s="7" t="s">
        <v>719</v>
      </c>
    </row>
    <row r="327" spans="1:2" x14ac:dyDescent="0.3">
      <c r="A327" s="7" t="s">
        <v>720</v>
      </c>
      <c r="B327" s="7" t="s">
        <v>721</v>
      </c>
    </row>
    <row r="328" spans="1:2" x14ac:dyDescent="0.3">
      <c r="A328" s="7" t="s">
        <v>722</v>
      </c>
      <c r="B328" s="7" t="s">
        <v>723</v>
      </c>
    </row>
    <row r="329" spans="1:2" x14ac:dyDescent="0.3">
      <c r="A329" s="7" t="s">
        <v>724</v>
      </c>
      <c r="B329" s="7" t="s">
        <v>725</v>
      </c>
    </row>
    <row r="330" spans="1:2" x14ac:dyDescent="0.3">
      <c r="A330" s="7" t="s">
        <v>726</v>
      </c>
      <c r="B330" s="7" t="s">
        <v>727</v>
      </c>
    </row>
    <row r="331" spans="1:2" x14ac:dyDescent="0.3">
      <c r="A331" s="7" t="s">
        <v>728</v>
      </c>
      <c r="B331" s="7" t="s">
        <v>729</v>
      </c>
    </row>
    <row r="332" spans="1:2" x14ac:dyDescent="0.3">
      <c r="A332" s="7" t="s">
        <v>730</v>
      </c>
      <c r="B332" s="7" t="s">
        <v>731</v>
      </c>
    </row>
    <row r="333" spans="1:2" x14ac:dyDescent="0.3">
      <c r="A333" s="7" t="s">
        <v>732</v>
      </c>
      <c r="B333" s="7" t="s">
        <v>733</v>
      </c>
    </row>
    <row r="334" spans="1:2" x14ac:dyDescent="0.3">
      <c r="A334" s="7" t="s">
        <v>734</v>
      </c>
      <c r="B334" s="7" t="s">
        <v>281</v>
      </c>
    </row>
    <row r="335" spans="1:2" x14ac:dyDescent="0.3">
      <c r="A335" s="7" t="s">
        <v>735</v>
      </c>
      <c r="B335" s="7" t="s">
        <v>736</v>
      </c>
    </row>
    <row r="336" spans="1:2" x14ac:dyDescent="0.3">
      <c r="A336" s="7" t="s">
        <v>737</v>
      </c>
      <c r="B336" s="7" t="s">
        <v>738</v>
      </c>
    </row>
    <row r="337" spans="1:2" x14ac:dyDescent="0.3">
      <c r="A337" s="7" t="s">
        <v>739</v>
      </c>
      <c r="B337" s="7" t="s">
        <v>740</v>
      </c>
    </row>
    <row r="338" spans="1:2" x14ac:dyDescent="0.3">
      <c r="A338" s="7" t="s">
        <v>741</v>
      </c>
      <c r="B338" s="7" t="s">
        <v>742</v>
      </c>
    </row>
    <row r="339" spans="1:2" x14ac:dyDescent="0.3">
      <c r="A339" s="7" t="s">
        <v>743</v>
      </c>
      <c r="B339" s="7" t="s">
        <v>744</v>
      </c>
    </row>
    <row r="340" spans="1:2" x14ac:dyDescent="0.3">
      <c r="A340" s="7" t="s">
        <v>745</v>
      </c>
      <c r="B340" s="7" t="s">
        <v>746</v>
      </c>
    </row>
    <row r="341" spans="1:2" x14ac:dyDescent="0.3">
      <c r="A341" s="7" t="s">
        <v>747</v>
      </c>
      <c r="B341" s="7" t="s">
        <v>748</v>
      </c>
    </row>
    <row r="342" spans="1:2" x14ac:dyDescent="0.3">
      <c r="A342" s="7" t="s">
        <v>749</v>
      </c>
      <c r="B342" s="7" t="s">
        <v>750</v>
      </c>
    </row>
    <row r="343" spans="1:2" x14ac:dyDescent="0.3">
      <c r="A343" s="7" t="s">
        <v>751</v>
      </c>
      <c r="B343" s="7" t="s">
        <v>752</v>
      </c>
    </row>
    <row r="344" spans="1:2" x14ac:dyDescent="0.3">
      <c r="A344" s="7" t="s">
        <v>753</v>
      </c>
      <c r="B344" s="7" t="s">
        <v>754</v>
      </c>
    </row>
    <row r="345" spans="1:2" x14ac:dyDescent="0.3">
      <c r="A345" s="7" t="s">
        <v>755</v>
      </c>
      <c r="B345" s="7" t="s">
        <v>756</v>
      </c>
    </row>
    <row r="346" spans="1:2" x14ac:dyDescent="0.3">
      <c r="A346" s="7" t="s">
        <v>757</v>
      </c>
      <c r="B346" s="7" t="s">
        <v>758</v>
      </c>
    </row>
    <row r="347" spans="1:2" x14ac:dyDescent="0.3">
      <c r="A347" s="7" t="s">
        <v>759</v>
      </c>
      <c r="B347" s="7" t="s">
        <v>760</v>
      </c>
    </row>
    <row r="348" spans="1:2" x14ac:dyDescent="0.3">
      <c r="A348" s="7" t="s">
        <v>761</v>
      </c>
      <c r="B348" s="7" t="s">
        <v>762</v>
      </c>
    </row>
    <row r="349" spans="1:2" x14ac:dyDescent="0.3">
      <c r="A349" s="7" t="s">
        <v>763</v>
      </c>
      <c r="B349" s="7" t="s">
        <v>764</v>
      </c>
    </row>
    <row r="350" spans="1:2" x14ac:dyDescent="0.3">
      <c r="A350" s="7" t="s">
        <v>765</v>
      </c>
      <c r="B350" s="7" t="s">
        <v>766</v>
      </c>
    </row>
    <row r="351" spans="1:2" x14ac:dyDescent="0.3">
      <c r="A351" s="7" t="s">
        <v>767</v>
      </c>
      <c r="B351" s="7" t="s">
        <v>768</v>
      </c>
    </row>
    <row r="352" spans="1:2" x14ac:dyDescent="0.3">
      <c r="A352" s="7" t="s">
        <v>769</v>
      </c>
      <c r="B352" s="7" t="s">
        <v>770</v>
      </c>
    </row>
    <row r="353" spans="1:2" x14ac:dyDescent="0.3">
      <c r="A353" s="7" t="s">
        <v>771</v>
      </c>
      <c r="B353" s="7" t="s">
        <v>772</v>
      </c>
    </row>
    <row r="354" spans="1:2" x14ac:dyDescent="0.3">
      <c r="A354" s="7" t="s">
        <v>773</v>
      </c>
      <c r="B354" s="7" t="s">
        <v>774</v>
      </c>
    </row>
    <row r="355" spans="1:2" x14ac:dyDescent="0.3">
      <c r="A355" s="7" t="s">
        <v>775</v>
      </c>
      <c r="B355" s="7" t="s">
        <v>776</v>
      </c>
    </row>
    <row r="356" spans="1:2" x14ac:dyDescent="0.3">
      <c r="A356" s="7" t="s">
        <v>777</v>
      </c>
      <c r="B356" s="7" t="s">
        <v>778</v>
      </c>
    </row>
    <row r="357" spans="1:2" x14ac:dyDescent="0.3">
      <c r="A357" s="7" t="s">
        <v>779</v>
      </c>
      <c r="B357" s="7" t="s">
        <v>780</v>
      </c>
    </row>
    <row r="358" spans="1:2" x14ac:dyDescent="0.3">
      <c r="A358" s="7" t="s">
        <v>781</v>
      </c>
      <c r="B358" s="7" t="s">
        <v>782</v>
      </c>
    </row>
    <row r="359" spans="1:2" x14ac:dyDescent="0.3">
      <c r="A359" s="7" t="s">
        <v>783</v>
      </c>
      <c r="B359" s="7" t="s">
        <v>784</v>
      </c>
    </row>
    <row r="360" spans="1:2" x14ac:dyDescent="0.3">
      <c r="A360" s="7" t="s">
        <v>785</v>
      </c>
      <c r="B360" s="7" t="s">
        <v>786</v>
      </c>
    </row>
    <row r="361" spans="1:2" x14ac:dyDescent="0.3">
      <c r="A361" s="7" t="s">
        <v>787</v>
      </c>
      <c r="B361" s="7" t="s">
        <v>788</v>
      </c>
    </row>
    <row r="362" spans="1:2" x14ac:dyDescent="0.3">
      <c r="A362" s="7" t="s">
        <v>789</v>
      </c>
      <c r="B362" s="7" t="s">
        <v>790</v>
      </c>
    </row>
    <row r="363" spans="1:2" x14ac:dyDescent="0.3">
      <c r="A363" s="7" t="s">
        <v>791</v>
      </c>
      <c r="B363" s="7" t="s">
        <v>792</v>
      </c>
    </row>
    <row r="364" spans="1:2" x14ac:dyDescent="0.3">
      <c r="A364" s="7" t="s">
        <v>793</v>
      </c>
      <c r="B364" s="7" t="s">
        <v>794</v>
      </c>
    </row>
    <row r="365" spans="1:2" x14ac:dyDescent="0.3">
      <c r="A365" s="7" t="s">
        <v>795</v>
      </c>
      <c r="B365" s="7" t="s">
        <v>796</v>
      </c>
    </row>
    <row r="366" spans="1:2" x14ac:dyDescent="0.3">
      <c r="A366" s="7" t="s">
        <v>797</v>
      </c>
      <c r="B366" s="7" t="s">
        <v>798</v>
      </c>
    </row>
    <row r="367" spans="1:2" x14ac:dyDescent="0.3">
      <c r="A367" s="7" t="s">
        <v>799</v>
      </c>
      <c r="B367" s="7" t="s">
        <v>800</v>
      </c>
    </row>
    <row r="368" spans="1:2" x14ac:dyDescent="0.3">
      <c r="A368" s="7" t="s">
        <v>801</v>
      </c>
      <c r="B368" s="7" t="s">
        <v>802</v>
      </c>
    </row>
    <row r="369" spans="1:2" x14ac:dyDescent="0.3">
      <c r="A369" s="7" t="s">
        <v>803</v>
      </c>
      <c r="B369" s="7" t="s">
        <v>804</v>
      </c>
    </row>
    <row r="370" spans="1:2" x14ac:dyDescent="0.3">
      <c r="A370" s="7" t="s">
        <v>805</v>
      </c>
      <c r="B370" s="7" t="s">
        <v>806</v>
      </c>
    </row>
    <row r="371" spans="1:2" x14ac:dyDescent="0.3">
      <c r="A371" s="7" t="s">
        <v>807</v>
      </c>
      <c r="B371" s="7" t="s">
        <v>808</v>
      </c>
    </row>
    <row r="372" spans="1:2" x14ac:dyDescent="0.3">
      <c r="A372" s="7" t="s">
        <v>809</v>
      </c>
      <c r="B372" s="7" t="s">
        <v>810</v>
      </c>
    </row>
    <row r="373" spans="1:2" x14ac:dyDescent="0.3">
      <c r="A373" s="7" t="s">
        <v>811</v>
      </c>
      <c r="B373" s="7" t="s">
        <v>812</v>
      </c>
    </row>
    <row r="374" spans="1:2" x14ac:dyDescent="0.3">
      <c r="A374" s="7" t="s">
        <v>813</v>
      </c>
      <c r="B374" s="7" t="s">
        <v>814</v>
      </c>
    </row>
    <row r="375" spans="1:2" x14ac:dyDescent="0.3">
      <c r="A375" s="7" t="s">
        <v>815</v>
      </c>
      <c r="B375" s="7" t="s">
        <v>816</v>
      </c>
    </row>
    <row r="376" spans="1:2" x14ac:dyDescent="0.3">
      <c r="A376" s="7" t="s">
        <v>817</v>
      </c>
      <c r="B376" s="7" t="s">
        <v>818</v>
      </c>
    </row>
    <row r="377" spans="1:2" x14ac:dyDescent="0.3">
      <c r="A377" s="7" t="s">
        <v>819</v>
      </c>
      <c r="B377" s="7" t="s">
        <v>820</v>
      </c>
    </row>
    <row r="378" spans="1:2" x14ac:dyDescent="0.3">
      <c r="A378" s="7" t="s">
        <v>821</v>
      </c>
      <c r="B378" s="7" t="s">
        <v>822</v>
      </c>
    </row>
    <row r="379" spans="1:2" x14ac:dyDescent="0.3">
      <c r="A379" s="7" t="s">
        <v>823</v>
      </c>
      <c r="B379" s="7" t="s">
        <v>824</v>
      </c>
    </row>
    <row r="380" spans="1:2" x14ac:dyDescent="0.3">
      <c r="A380" s="7" t="s">
        <v>825</v>
      </c>
      <c r="B380" s="7" t="s">
        <v>826</v>
      </c>
    </row>
    <row r="381" spans="1:2" x14ac:dyDescent="0.3">
      <c r="A381" s="7" t="s">
        <v>827</v>
      </c>
      <c r="B381" s="7" t="s">
        <v>301</v>
      </c>
    </row>
    <row r="382" spans="1:2" x14ac:dyDescent="0.3">
      <c r="A382" s="7" t="s">
        <v>828</v>
      </c>
      <c r="B382" s="7" t="s">
        <v>829</v>
      </c>
    </row>
    <row r="383" spans="1:2" x14ac:dyDescent="0.3">
      <c r="A383" s="7" t="s">
        <v>830</v>
      </c>
      <c r="B383" s="7" t="s">
        <v>831</v>
      </c>
    </row>
    <row r="384" spans="1:2" x14ac:dyDescent="0.3">
      <c r="A384" s="7" t="s">
        <v>832</v>
      </c>
      <c r="B384" s="7" t="s">
        <v>833</v>
      </c>
    </row>
    <row r="385" spans="1:2" x14ac:dyDescent="0.3">
      <c r="A385" s="7" t="s">
        <v>834</v>
      </c>
      <c r="B385" s="7" t="s">
        <v>835</v>
      </c>
    </row>
    <row r="386" spans="1:2" x14ac:dyDescent="0.3">
      <c r="A386" s="7" t="s">
        <v>836</v>
      </c>
      <c r="B386" s="7" t="s">
        <v>837</v>
      </c>
    </row>
    <row r="387" spans="1:2" x14ac:dyDescent="0.3">
      <c r="A387" s="7" t="s">
        <v>838</v>
      </c>
      <c r="B387" s="7" t="s">
        <v>839</v>
      </c>
    </row>
    <row r="388" spans="1:2" x14ac:dyDescent="0.3">
      <c r="A388" s="7" t="s">
        <v>840</v>
      </c>
      <c r="B388" s="7" t="s">
        <v>841</v>
      </c>
    </row>
    <row r="389" spans="1:2" x14ac:dyDescent="0.3">
      <c r="A389" s="7" t="s">
        <v>842</v>
      </c>
      <c r="B389" s="7" t="s">
        <v>843</v>
      </c>
    </row>
    <row r="390" spans="1:2" x14ac:dyDescent="0.3">
      <c r="A390" s="7" t="s">
        <v>844</v>
      </c>
      <c r="B390" s="7" t="s">
        <v>845</v>
      </c>
    </row>
    <row r="391" spans="1:2" x14ac:dyDescent="0.3">
      <c r="A391" s="7" t="s">
        <v>846</v>
      </c>
      <c r="B391" s="7" t="s">
        <v>847</v>
      </c>
    </row>
    <row r="392" spans="1:2" x14ac:dyDescent="0.3">
      <c r="A392" s="7" t="s">
        <v>848</v>
      </c>
      <c r="B392" s="7" t="s">
        <v>849</v>
      </c>
    </row>
    <row r="393" spans="1:2" x14ac:dyDescent="0.3">
      <c r="A393" s="7" t="s">
        <v>850</v>
      </c>
      <c r="B393" s="7" t="s">
        <v>201</v>
      </c>
    </row>
    <row r="394" spans="1:2" x14ac:dyDescent="0.3">
      <c r="A394" s="7" t="s">
        <v>851</v>
      </c>
      <c r="B394" s="7" t="s">
        <v>852</v>
      </c>
    </row>
    <row r="395" spans="1:2" x14ac:dyDescent="0.3">
      <c r="A395" s="7" t="s">
        <v>853</v>
      </c>
      <c r="B395" s="7" t="s">
        <v>854</v>
      </c>
    </row>
    <row r="396" spans="1:2" x14ac:dyDescent="0.3">
      <c r="A396" s="7" t="s">
        <v>855</v>
      </c>
      <c r="B396" s="7" t="s">
        <v>856</v>
      </c>
    </row>
    <row r="397" spans="1:2" x14ac:dyDescent="0.3">
      <c r="A397" s="7" t="s">
        <v>857</v>
      </c>
      <c r="B397" s="7" t="s">
        <v>858</v>
      </c>
    </row>
    <row r="398" spans="1:2" x14ac:dyDescent="0.3">
      <c r="A398" s="7" t="s">
        <v>859</v>
      </c>
      <c r="B398" s="7" t="s">
        <v>860</v>
      </c>
    </row>
    <row r="399" spans="1:2" x14ac:dyDescent="0.3">
      <c r="A399" s="7" t="s">
        <v>861</v>
      </c>
      <c r="B399" s="7" t="s">
        <v>450</v>
      </c>
    </row>
    <row r="400" spans="1:2" x14ac:dyDescent="0.3">
      <c r="A400" s="7" t="s">
        <v>862</v>
      </c>
      <c r="B400" s="7" t="s">
        <v>863</v>
      </c>
    </row>
    <row r="401" spans="1:2" x14ac:dyDescent="0.3">
      <c r="A401" s="7" t="s">
        <v>864</v>
      </c>
      <c r="B401" s="7" t="s">
        <v>865</v>
      </c>
    </row>
    <row r="402" spans="1:2" x14ac:dyDescent="0.3">
      <c r="A402" s="7" t="s">
        <v>866</v>
      </c>
      <c r="B402" s="7" t="s">
        <v>867</v>
      </c>
    </row>
    <row r="403" spans="1:2" x14ac:dyDescent="0.3">
      <c r="A403" s="7" t="s">
        <v>868</v>
      </c>
      <c r="B403" s="7" t="s">
        <v>869</v>
      </c>
    </row>
    <row r="404" spans="1:2" x14ac:dyDescent="0.3">
      <c r="A404" s="7" t="s">
        <v>870</v>
      </c>
      <c r="B404" s="7" t="s">
        <v>468</v>
      </c>
    </row>
    <row r="405" spans="1:2" x14ac:dyDescent="0.3">
      <c r="A405" s="7" t="s">
        <v>871</v>
      </c>
      <c r="B405" s="7" t="s">
        <v>872</v>
      </c>
    </row>
    <row r="406" spans="1:2" x14ac:dyDescent="0.3">
      <c r="A406" s="7" t="s">
        <v>873</v>
      </c>
      <c r="B406" s="7" t="s">
        <v>874</v>
      </c>
    </row>
    <row r="407" spans="1:2" x14ac:dyDescent="0.3">
      <c r="A407" s="7" t="s">
        <v>875</v>
      </c>
      <c r="B407" s="7" t="s">
        <v>876</v>
      </c>
    </row>
    <row r="408" spans="1:2" x14ac:dyDescent="0.3">
      <c r="A408" s="7" t="s">
        <v>877</v>
      </c>
      <c r="B408" s="7" t="s">
        <v>878</v>
      </c>
    </row>
    <row r="409" spans="1:2" x14ac:dyDescent="0.3">
      <c r="A409" s="7" t="s">
        <v>879</v>
      </c>
      <c r="B409" s="7" t="s">
        <v>880</v>
      </c>
    </row>
    <row r="410" spans="1:2" x14ac:dyDescent="0.3">
      <c r="A410" s="7" t="s">
        <v>881</v>
      </c>
      <c r="B410" s="7" t="s">
        <v>882</v>
      </c>
    </row>
    <row r="411" spans="1:2" x14ac:dyDescent="0.3">
      <c r="A411" s="7" t="s">
        <v>883</v>
      </c>
      <c r="B411" s="7" t="s">
        <v>884</v>
      </c>
    </row>
    <row r="412" spans="1:2" x14ac:dyDescent="0.3">
      <c r="A412" s="7" t="s">
        <v>885</v>
      </c>
      <c r="B412" s="7" t="s">
        <v>886</v>
      </c>
    </row>
    <row r="413" spans="1:2" x14ac:dyDescent="0.3">
      <c r="A413" s="7" t="s">
        <v>887</v>
      </c>
      <c r="B413" s="7" t="s">
        <v>888</v>
      </c>
    </row>
    <row r="414" spans="1:2" x14ac:dyDescent="0.3">
      <c r="A414" s="7" t="s">
        <v>889</v>
      </c>
      <c r="B414" s="7" t="s">
        <v>890</v>
      </c>
    </row>
    <row r="415" spans="1:2" x14ac:dyDescent="0.3">
      <c r="A415" s="7" t="s">
        <v>891</v>
      </c>
      <c r="B415" s="7" t="s">
        <v>892</v>
      </c>
    </row>
    <row r="416" spans="1:2" x14ac:dyDescent="0.3">
      <c r="A416" s="7" t="s">
        <v>893</v>
      </c>
      <c r="B416" s="7" t="s">
        <v>894</v>
      </c>
    </row>
    <row r="417" spans="1:2" x14ac:dyDescent="0.3">
      <c r="A417" s="7" t="s">
        <v>895</v>
      </c>
      <c r="B417" s="7" t="s">
        <v>896</v>
      </c>
    </row>
    <row r="418" spans="1:2" x14ac:dyDescent="0.3">
      <c r="A418" s="7" t="s">
        <v>897</v>
      </c>
      <c r="B418" s="7" t="s">
        <v>898</v>
      </c>
    </row>
    <row r="419" spans="1:2" x14ac:dyDescent="0.3">
      <c r="A419" s="7" t="s">
        <v>899</v>
      </c>
      <c r="B419" s="7" t="s">
        <v>900</v>
      </c>
    </row>
    <row r="420" spans="1:2" x14ac:dyDescent="0.3">
      <c r="A420" s="7" t="s">
        <v>901</v>
      </c>
      <c r="B420" s="7" t="s">
        <v>902</v>
      </c>
    </row>
    <row r="421" spans="1:2" x14ac:dyDescent="0.3">
      <c r="A421" s="7" t="s">
        <v>903</v>
      </c>
      <c r="B421" s="7" t="s">
        <v>904</v>
      </c>
    </row>
    <row r="422" spans="1:2" x14ac:dyDescent="0.3">
      <c r="A422" s="7" t="s">
        <v>905</v>
      </c>
      <c r="B422" s="7" t="s">
        <v>906</v>
      </c>
    </row>
    <row r="423" spans="1:2" x14ac:dyDescent="0.3">
      <c r="A423" s="7" t="s">
        <v>907</v>
      </c>
      <c r="B423" s="7" t="s">
        <v>908</v>
      </c>
    </row>
    <row r="424" spans="1:2" x14ac:dyDescent="0.3">
      <c r="A424" s="7" t="s">
        <v>909</v>
      </c>
      <c r="B424" s="7" t="s">
        <v>910</v>
      </c>
    </row>
    <row r="425" spans="1:2" x14ac:dyDescent="0.3">
      <c r="A425" s="7" t="s">
        <v>911</v>
      </c>
      <c r="B425" s="7" t="s">
        <v>912</v>
      </c>
    </row>
    <row r="426" spans="1:2" x14ac:dyDescent="0.3">
      <c r="A426" s="7" t="s">
        <v>913</v>
      </c>
      <c r="B426" s="7" t="s">
        <v>914</v>
      </c>
    </row>
    <row r="427" spans="1:2" x14ac:dyDescent="0.3">
      <c r="A427" s="7" t="s">
        <v>915</v>
      </c>
      <c r="B427" s="7" t="s">
        <v>916</v>
      </c>
    </row>
    <row r="428" spans="1:2" x14ac:dyDescent="0.3">
      <c r="A428" s="7" t="s">
        <v>917</v>
      </c>
      <c r="B428" s="7" t="s">
        <v>918</v>
      </c>
    </row>
    <row r="429" spans="1:2" x14ac:dyDescent="0.3">
      <c r="A429" s="7" t="s">
        <v>919</v>
      </c>
      <c r="B429" s="7" t="s">
        <v>920</v>
      </c>
    </row>
    <row r="430" spans="1:2" x14ac:dyDescent="0.3">
      <c r="A430" s="7" t="s">
        <v>921</v>
      </c>
      <c r="B430" s="7" t="s">
        <v>922</v>
      </c>
    </row>
    <row r="431" spans="1:2" x14ac:dyDescent="0.3">
      <c r="A431" s="7" t="s">
        <v>923</v>
      </c>
      <c r="B431" s="7" t="s">
        <v>215</v>
      </c>
    </row>
    <row r="432" spans="1:2" x14ac:dyDescent="0.3">
      <c r="A432" s="7" t="s">
        <v>924</v>
      </c>
      <c r="B432" s="7" t="s">
        <v>925</v>
      </c>
    </row>
    <row r="433" spans="1:2" x14ac:dyDescent="0.3">
      <c r="A433" s="7" t="s">
        <v>926</v>
      </c>
      <c r="B433" s="7" t="s">
        <v>927</v>
      </c>
    </row>
    <row r="434" spans="1:2" x14ac:dyDescent="0.3">
      <c r="A434" s="7" t="s">
        <v>928</v>
      </c>
      <c r="B434" s="7" t="s">
        <v>810</v>
      </c>
    </row>
    <row r="435" spans="1:2" x14ac:dyDescent="0.3">
      <c r="A435" s="7" t="s">
        <v>929</v>
      </c>
      <c r="B435" s="7" t="s">
        <v>930</v>
      </c>
    </row>
    <row r="436" spans="1:2" x14ac:dyDescent="0.3">
      <c r="A436" s="7" t="s">
        <v>931</v>
      </c>
      <c r="B436" s="7" t="s">
        <v>932</v>
      </c>
    </row>
    <row r="437" spans="1:2" x14ac:dyDescent="0.3">
      <c r="A437" s="7" t="s">
        <v>933</v>
      </c>
      <c r="B437" s="7" t="s">
        <v>934</v>
      </c>
    </row>
    <row r="438" spans="1:2" x14ac:dyDescent="0.3">
      <c r="A438" s="7" t="s">
        <v>935</v>
      </c>
      <c r="B438" s="7" t="s">
        <v>936</v>
      </c>
    </row>
    <row r="439" spans="1:2" x14ac:dyDescent="0.3">
      <c r="A439" s="7" t="s">
        <v>937</v>
      </c>
      <c r="B439" s="7" t="s">
        <v>938</v>
      </c>
    </row>
    <row r="440" spans="1:2" x14ac:dyDescent="0.3">
      <c r="A440" s="7" t="s">
        <v>939</v>
      </c>
      <c r="B440" s="7" t="s">
        <v>940</v>
      </c>
    </row>
    <row r="441" spans="1:2" x14ac:dyDescent="0.3">
      <c r="A441" s="7" t="s">
        <v>941</v>
      </c>
      <c r="B441" s="7" t="s">
        <v>942</v>
      </c>
    </row>
    <row r="442" spans="1:2" x14ac:dyDescent="0.3">
      <c r="A442" s="7" t="s">
        <v>943</v>
      </c>
      <c r="B442" s="7" t="s">
        <v>944</v>
      </c>
    </row>
    <row r="443" spans="1:2" x14ac:dyDescent="0.3">
      <c r="A443" s="7" t="s">
        <v>945</v>
      </c>
      <c r="B443" s="7" t="s">
        <v>946</v>
      </c>
    </row>
    <row r="444" spans="1:2" x14ac:dyDescent="0.3">
      <c r="A444" s="7" t="s">
        <v>947</v>
      </c>
      <c r="B444" s="7" t="s">
        <v>948</v>
      </c>
    </row>
    <row r="445" spans="1:2" x14ac:dyDescent="0.3">
      <c r="A445" s="7" t="s">
        <v>949</v>
      </c>
      <c r="B445" s="7" t="s">
        <v>950</v>
      </c>
    </row>
    <row r="446" spans="1:2" x14ac:dyDescent="0.3">
      <c r="A446" s="7" t="s">
        <v>951</v>
      </c>
      <c r="B446" s="7" t="s">
        <v>952</v>
      </c>
    </row>
    <row r="447" spans="1:2" x14ac:dyDescent="0.3">
      <c r="A447" s="7" t="s">
        <v>953</v>
      </c>
      <c r="B447" s="7" t="s">
        <v>954</v>
      </c>
    </row>
    <row r="448" spans="1:2" x14ac:dyDescent="0.3">
      <c r="A448" s="7" t="s">
        <v>955</v>
      </c>
      <c r="B448" s="7" t="s">
        <v>956</v>
      </c>
    </row>
    <row r="449" spans="1:2" x14ac:dyDescent="0.3">
      <c r="A449" s="7" t="s">
        <v>957</v>
      </c>
      <c r="B449" s="7" t="s">
        <v>958</v>
      </c>
    </row>
    <row r="450" spans="1:2" x14ac:dyDescent="0.3">
      <c r="A450" s="7" t="s">
        <v>959</v>
      </c>
      <c r="B450" s="7" t="s">
        <v>960</v>
      </c>
    </row>
    <row r="451" spans="1:2" x14ac:dyDescent="0.3">
      <c r="A451" s="7" t="s">
        <v>961</v>
      </c>
      <c r="B451" s="7" t="s">
        <v>962</v>
      </c>
    </row>
    <row r="452" spans="1:2" x14ac:dyDescent="0.3">
      <c r="A452" s="7" t="s">
        <v>963</v>
      </c>
      <c r="B452" s="7" t="s">
        <v>964</v>
      </c>
    </row>
    <row r="453" spans="1:2" x14ac:dyDescent="0.3">
      <c r="A453" s="7" t="s">
        <v>965</v>
      </c>
      <c r="B453" s="7" t="s">
        <v>966</v>
      </c>
    </row>
    <row r="454" spans="1:2" x14ac:dyDescent="0.3">
      <c r="A454" s="7" t="s">
        <v>967</v>
      </c>
      <c r="B454" s="7" t="s">
        <v>968</v>
      </c>
    </row>
    <row r="455" spans="1:2" x14ac:dyDescent="0.3">
      <c r="A455" s="7" t="s">
        <v>969</v>
      </c>
      <c r="B455" s="7" t="s">
        <v>970</v>
      </c>
    </row>
    <row r="456" spans="1:2" x14ac:dyDescent="0.3">
      <c r="A456" s="7" t="s">
        <v>971</v>
      </c>
      <c r="B456" s="7" t="s">
        <v>972</v>
      </c>
    </row>
    <row r="457" spans="1:2" x14ac:dyDescent="0.3">
      <c r="A457" s="7" t="s">
        <v>973</v>
      </c>
      <c r="B457" s="7" t="s">
        <v>974</v>
      </c>
    </row>
    <row r="458" spans="1:2" x14ac:dyDescent="0.3">
      <c r="A458" s="7" t="s">
        <v>975</v>
      </c>
      <c r="B458" s="7" t="s">
        <v>976</v>
      </c>
    </row>
    <row r="459" spans="1:2" x14ac:dyDescent="0.3">
      <c r="A459" s="7" t="s">
        <v>977</v>
      </c>
      <c r="B459" s="7" t="s">
        <v>978</v>
      </c>
    </row>
    <row r="460" spans="1:2" x14ac:dyDescent="0.3">
      <c r="A460" s="7" t="s">
        <v>979</v>
      </c>
      <c r="B460" s="7" t="s">
        <v>980</v>
      </c>
    </row>
    <row r="461" spans="1:2" x14ac:dyDescent="0.3">
      <c r="A461" s="7" t="s">
        <v>981</v>
      </c>
      <c r="B461" s="7" t="s">
        <v>982</v>
      </c>
    </row>
    <row r="462" spans="1:2" x14ac:dyDescent="0.3">
      <c r="A462" s="7" t="s">
        <v>983</v>
      </c>
      <c r="B462" s="7" t="s">
        <v>984</v>
      </c>
    </row>
    <row r="463" spans="1:2" x14ac:dyDescent="0.3">
      <c r="A463" s="7" t="s">
        <v>985</v>
      </c>
      <c r="B463" s="7" t="s">
        <v>986</v>
      </c>
    </row>
    <row r="464" spans="1:2" x14ac:dyDescent="0.3">
      <c r="A464" s="7" t="s">
        <v>987</v>
      </c>
      <c r="B464" s="7" t="s">
        <v>988</v>
      </c>
    </row>
    <row r="465" spans="1:2" x14ac:dyDescent="0.3">
      <c r="A465" s="7" t="s">
        <v>989</v>
      </c>
      <c r="B465" s="7" t="s">
        <v>990</v>
      </c>
    </row>
    <row r="466" spans="1:2" x14ac:dyDescent="0.3">
      <c r="A466" s="7" t="s">
        <v>991</v>
      </c>
      <c r="B466" s="7" t="s">
        <v>992</v>
      </c>
    </row>
    <row r="467" spans="1:2" x14ac:dyDescent="0.3">
      <c r="A467" s="7" t="s">
        <v>993</v>
      </c>
      <c r="B467" s="7" t="s">
        <v>994</v>
      </c>
    </row>
    <row r="468" spans="1:2" x14ac:dyDescent="0.3">
      <c r="A468" s="7" t="s">
        <v>995</v>
      </c>
      <c r="B468" s="7" t="s">
        <v>996</v>
      </c>
    </row>
    <row r="469" spans="1:2" x14ac:dyDescent="0.3">
      <c r="A469" s="7" t="s">
        <v>997</v>
      </c>
      <c r="B469" s="7" t="s">
        <v>998</v>
      </c>
    </row>
    <row r="470" spans="1:2" x14ac:dyDescent="0.3">
      <c r="A470" s="7" t="s">
        <v>999</v>
      </c>
      <c r="B470" s="7" t="s">
        <v>1000</v>
      </c>
    </row>
    <row r="471" spans="1:2" x14ac:dyDescent="0.3">
      <c r="A471" s="7" t="s">
        <v>1001</v>
      </c>
      <c r="B471" s="7" t="s">
        <v>1002</v>
      </c>
    </row>
    <row r="472" spans="1:2" x14ac:dyDescent="0.3">
      <c r="A472" s="7" t="s">
        <v>1003</v>
      </c>
      <c r="B472" s="7" t="s">
        <v>1004</v>
      </c>
    </row>
    <row r="473" spans="1:2" x14ac:dyDescent="0.3">
      <c r="A473" s="7" t="s">
        <v>1005</v>
      </c>
      <c r="B473" s="7" t="s">
        <v>1006</v>
      </c>
    </row>
    <row r="474" spans="1:2" x14ac:dyDescent="0.3">
      <c r="A474" s="7" t="s">
        <v>1007</v>
      </c>
      <c r="B474" s="7" t="s">
        <v>1008</v>
      </c>
    </row>
    <row r="475" spans="1:2" x14ac:dyDescent="0.3">
      <c r="A475" s="7" t="s">
        <v>1009</v>
      </c>
      <c r="B475" s="7" t="s">
        <v>1010</v>
      </c>
    </row>
    <row r="476" spans="1:2" x14ac:dyDescent="0.3">
      <c r="A476" s="7" t="s">
        <v>1011</v>
      </c>
      <c r="B476" s="7" t="s">
        <v>1012</v>
      </c>
    </row>
    <row r="477" spans="1:2" x14ac:dyDescent="0.3">
      <c r="A477" s="7" t="s">
        <v>1013</v>
      </c>
      <c r="B477" s="7" t="s">
        <v>1014</v>
      </c>
    </row>
    <row r="478" spans="1:2" x14ac:dyDescent="0.3">
      <c r="A478" s="7" t="s">
        <v>1015</v>
      </c>
      <c r="B478" s="7" t="s">
        <v>750</v>
      </c>
    </row>
    <row r="479" spans="1:2" x14ac:dyDescent="0.3">
      <c r="A479" s="7" t="s">
        <v>1016</v>
      </c>
      <c r="B479" s="7" t="s">
        <v>1017</v>
      </c>
    </row>
    <row r="480" spans="1:2" x14ac:dyDescent="0.3">
      <c r="A480" s="7" t="s">
        <v>1018</v>
      </c>
      <c r="B480" s="7" t="s">
        <v>1019</v>
      </c>
    </row>
    <row r="481" spans="1:2" x14ac:dyDescent="0.3">
      <c r="A481" s="7" t="s">
        <v>1020</v>
      </c>
      <c r="B481" s="7" t="s">
        <v>1021</v>
      </c>
    </row>
    <row r="482" spans="1:2" x14ac:dyDescent="0.3">
      <c r="A482" s="7" t="s">
        <v>1022</v>
      </c>
      <c r="B482" s="7" t="s">
        <v>1023</v>
      </c>
    </row>
    <row r="483" spans="1:2" x14ac:dyDescent="0.3">
      <c r="A483" s="7" t="s">
        <v>1024</v>
      </c>
      <c r="B483" s="7" t="s">
        <v>1025</v>
      </c>
    </row>
    <row r="484" spans="1:2" x14ac:dyDescent="0.3">
      <c r="A484" s="7" t="s">
        <v>1026</v>
      </c>
      <c r="B484" s="7" t="s">
        <v>1027</v>
      </c>
    </row>
    <row r="485" spans="1:2" x14ac:dyDescent="0.3">
      <c r="A485" s="7" t="s">
        <v>1028</v>
      </c>
      <c r="B485" s="7" t="s">
        <v>1029</v>
      </c>
    </row>
    <row r="486" spans="1:2" x14ac:dyDescent="0.3">
      <c r="A486" s="7" t="s">
        <v>1030</v>
      </c>
      <c r="B486" s="7" t="s">
        <v>1031</v>
      </c>
    </row>
    <row r="487" spans="1:2" x14ac:dyDescent="0.3">
      <c r="A487" s="7" t="s">
        <v>1032</v>
      </c>
      <c r="B487" s="7" t="s">
        <v>1033</v>
      </c>
    </row>
    <row r="488" spans="1:2" x14ac:dyDescent="0.3">
      <c r="A488" s="7" t="s">
        <v>1034</v>
      </c>
      <c r="B488" s="7" t="s">
        <v>1035</v>
      </c>
    </row>
    <row r="489" spans="1:2" x14ac:dyDescent="0.3">
      <c r="A489" s="7" t="s">
        <v>1036</v>
      </c>
      <c r="B489" s="7" t="s">
        <v>1037</v>
      </c>
    </row>
    <row r="490" spans="1:2" x14ac:dyDescent="0.3">
      <c r="A490" s="7" t="s">
        <v>1038</v>
      </c>
      <c r="B490" s="7" t="s">
        <v>1039</v>
      </c>
    </row>
    <row r="491" spans="1:2" x14ac:dyDescent="0.3">
      <c r="A491" s="7" t="s">
        <v>1040</v>
      </c>
      <c r="B491" s="7" t="s">
        <v>1041</v>
      </c>
    </row>
    <row r="492" spans="1:2" x14ac:dyDescent="0.3">
      <c r="A492" s="7" t="s">
        <v>1042</v>
      </c>
      <c r="B492" s="7" t="s">
        <v>1043</v>
      </c>
    </row>
    <row r="493" spans="1:2" x14ac:dyDescent="0.3">
      <c r="A493" s="7" t="s">
        <v>1044</v>
      </c>
      <c r="B493" s="7" t="s">
        <v>1045</v>
      </c>
    </row>
    <row r="494" spans="1:2" x14ac:dyDescent="0.3">
      <c r="A494" s="7" t="s">
        <v>1046</v>
      </c>
      <c r="B494" s="7" t="s">
        <v>1047</v>
      </c>
    </row>
    <row r="495" spans="1:2" x14ac:dyDescent="0.3">
      <c r="A495" s="7" t="s">
        <v>1048</v>
      </c>
      <c r="B495" s="7" t="s">
        <v>1049</v>
      </c>
    </row>
    <row r="496" spans="1:2" x14ac:dyDescent="0.3">
      <c r="A496" s="7" t="s">
        <v>1050</v>
      </c>
      <c r="B496" s="7" t="s">
        <v>1051</v>
      </c>
    </row>
    <row r="497" spans="1:2" x14ac:dyDescent="0.3">
      <c r="A497" s="7" t="s">
        <v>1052</v>
      </c>
      <c r="B497" s="7" t="s">
        <v>1053</v>
      </c>
    </row>
    <row r="498" spans="1:2" x14ac:dyDescent="0.3">
      <c r="A498" s="7" t="s">
        <v>1054</v>
      </c>
      <c r="B498" s="7" t="s">
        <v>1055</v>
      </c>
    </row>
    <row r="499" spans="1:2" x14ac:dyDescent="0.3">
      <c r="A499" s="7" t="s">
        <v>1056</v>
      </c>
      <c r="B499" s="7" t="s">
        <v>1057</v>
      </c>
    </row>
    <row r="500" spans="1:2" x14ac:dyDescent="0.3">
      <c r="A500" s="7" t="s">
        <v>1058</v>
      </c>
      <c r="B500" s="7" t="s">
        <v>1059</v>
      </c>
    </row>
    <row r="501" spans="1:2" x14ac:dyDescent="0.3">
      <c r="A501" s="7" t="s">
        <v>1060</v>
      </c>
      <c r="B501" s="7" t="s">
        <v>1061</v>
      </c>
    </row>
    <row r="502" spans="1:2" x14ac:dyDescent="0.3">
      <c r="A502" s="7" t="s">
        <v>1062</v>
      </c>
      <c r="B502" s="7" t="s">
        <v>1063</v>
      </c>
    </row>
    <row r="503" spans="1:2" x14ac:dyDescent="0.3">
      <c r="A503" s="7" t="s">
        <v>1064</v>
      </c>
      <c r="B503" s="7" t="s">
        <v>1065</v>
      </c>
    </row>
    <row r="504" spans="1:2" x14ac:dyDescent="0.3">
      <c r="A504" s="7" t="s">
        <v>1066</v>
      </c>
      <c r="B504" s="7" t="s">
        <v>1067</v>
      </c>
    </row>
    <row r="505" spans="1:2" x14ac:dyDescent="0.3">
      <c r="A505" s="7" t="s">
        <v>1068</v>
      </c>
      <c r="B505" s="7" t="s">
        <v>1069</v>
      </c>
    </row>
    <row r="506" spans="1:2" x14ac:dyDescent="0.3">
      <c r="A506" s="7" t="s">
        <v>1070</v>
      </c>
      <c r="B506" s="7" t="s">
        <v>1071</v>
      </c>
    </row>
    <row r="507" spans="1:2" x14ac:dyDescent="0.3">
      <c r="A507" s="7" t="s">
        <v>1072</v>
      </c>
      <c r="B507" s="7" t="s">
        <v>1073</v>
      </c>
    </row>
    <row r="508" spans="1:2" x14ac:dyDescent="0.3">
      <c r="A508" s="7" t="s">
        <v>1074</v>
      </c>
      <c r="B508" s="7" t="s">
        <v>1075</v>
      </c>
    </row>
    <row r="509" spans="1:2" x14ac:dyDescent="0.3">
      <c r="A509" s="7" t="s">
        <v>1076</v>
      </c>
      <c r="B509" s="7" t="s">
        <v>1077</v>
      </c>
    </row>
    <row r="510" spans="1:2" x14ac:dyDescent="0.3">
      <c r="A510" s="7" t="s">
        <v>1078</v>
      </c>
      <c r="B510" s="7" t="s">
        <v>1079</v>
      </c>
    </row>
    <row r="511" spans="1:2" x14ac:dyDescent="0.3">
      <c r="A511" s="7" t="s">
        <v>1080</v>
      </c>
      <c r="B511" s="7" t="s">
        <v>1081</v>
      </c>
    </row>
    <row r="512" spans="1:2" x14ac:dyDescent="0.3">
      <c r="A512" s="7" t="s">
        <v>1082</v>
      </c>
      <c r="B512" s="7" t="s">
        <v>1083</v>
      </c>
    </row>
    <row r="513" spans="1:2" x14ac:dyDescent="0.3">
      <c r="A513" s="7" t="s">
        <v>1084</v>
      </c>
      <c r="B513" s="7" t="s">
        <v>1085</v>
      </c>
    </row>
    <row r="514" spans="1:2" x14ac:dyDescent="0.3">
      <c r="A514" s="7" t="s">
        <v>1086</v>
      </c>
      <c r="B514" s="7" t="s">
        <v>1087</v>
      </c>
    </row>
    <row r="515" spans="1:2" x14ac:dyDescent="0.3">
      <c r="A515" s="7" t="s">
        <v>1088</v>
      </c>
      <c r="B515" s="7" t="s">
        <v>1089</v>
      </c>
    </row>
    <row r="516" spans="1:2" x14ac:dyDescent="0.3">
      <c r="A516" s="7" t="s">
        <v>1090</v>
      </c>
      <c r="B516" s="7" t="s">
        <v>617</v>
      </c>
    </row>
    <row r="517" spans="1:2" x14ac:dyDescent="0.3">
      <c r="A517" s="7" t="s">
        <v>1091</v>
      </c>
      <c r="B517" s="7" t="s">
        <v>1092</v>
      </c>
    </row>
    <row r="518" spans="1:2" x14ac:dyDescent="0.3">
      <c r="A518" s="7" t="s">
        <v>1093</v>
      </c>
      <c r="B518" s="7" t="s">
        <v>1094</v>
      </c>
    </row>
    <row r="519" spans="1:2" x14ac:dyDescent="0.3">
      <c r="A519" s="7" t="s">
        <v>1095</v>
      </c>
      <c r="B519" s="7" t="s">
        <v>1096</v>
      </c>
    </row>
    <row r="520" spans="1:2" x14ac:dyDescent="0.3">
      <c r="A520" s="7" t="s">
        <v>1097</v>
      </c>
      <c r="B520" s="7" t="s">
        <v>1098</v>
      </c>
    </row>
    <row r="521" spans="1:2" x14ac:dyDescent="0.3">
      <c r="A521" s="7" t="s">
        <v>1099</v>
      </c>
      <c r="B521" s="7" t="s">
        <v>1100</v>
      </c>
    </row>
    <row r="522" spans="1:2" x14ac:dyDescent="0.3">
      <c r="A522" s="7" t="s">
        <v>1101</v>
      </c>
      <c r="B522" s="7" t="s">
        <v>1102</v>
      </c>
    </row>
    <row r="523" spans="1:2" x14ac:dyDescent="0.3">
      <c r="A523" s="7" t="s">
        <v>1103</v>
      </c>
      <c r="B523" s="7" t="s">
        <v>1104</v>
      </c>
    </row>
    <row r="524" spans="1:2" x14ac:dyDescent="0.3">
      <c r="A524" s="7" t="s">
        <v>1105</v>
      </c>
      <c r="B524" s="7" t="s">
        <v>243</v>
      </c>
    </row>
    <row r="525" spans="1:2" x14ac:dyDescent="0.3">
      <c r="A525" s="7" t="s">
        <v>1106</v>
      </c>
      <c r="B525" s="7" t="s">
        <v>1107</v>
      </c>
    </row>
    <row r="526" spans="1:2" x14ac:dyDescent="0.3">
      <c r="A526" s="7" t="s">
        <v>1108</v>
      </c>
      <c r="B526" s="7" t="s">
        <v>1109</v>
      </c>
    </row>
    <row r="527" spans="1:2" x14ac:dyDescent="0.3">
      <c r="A527" s="7" t="s">
        <v>1110</v>
      </c>
      <c r="B527" s="7" t="s">
        <v>1111</v>
      </c>
    </row>
    <row r="528" spans="1:2" x14ac:dyDescent="0.3">
      <c r="A528" s="7" t="s">
        <v>1112</v>
      </c>
      <c r="B528" s="7" t="s">
        <v>1113</v>
      </c>
    </row>
    <row r="529" spans="1:2" x14ac:dyDescent="0.3">
      <c r="A529" s="7" t="s">
        <v>1114</v>
      </c>
      <c r="B529" s="7" t="s">
        <v>1115</v>
      </c>
    </row>
    <row r="530" spans="1:2" x14ac:dyDescent="0.3">
      <c r="A530" s="7" t="s">
        <v>1116</v>
      </c>
      <c r="B530" s="7" t="s">
        <v>1117</v>
      </c>
    </row>
    <row r="531" spans="1:2" x14ac:dyDescent="0.3">
      <c r="A531" s="7" t="s">
        <v>1118</v>
      </c>
      <c r="B531" s="7" t="s">
        <v>1119</v>
      </c>
    </row>
    <row r="532" spans="1:2" x14ac:dyDescent="0.3">
      <c r="A532" s="7" t="s">
        <v>1120</v>
      </c>
      <c r="B532" s="7" t="s">
        <v>1121</v>
      </c>
    </row>
    <row r="533" spans="1:2" x14ac:dyDescent="0.3">
      <c r="A533" s="7" t="s">
        <v>1122</v>
      </c>
      <c r="B533" s="7" t="s">
        <v>1123</v>
      </c>
    </row>
    <row r="534" spans="1:2" x14ac:dyDescent="0.3">
      <c r="A534" s="7" t="s">
        <v>1124</v>
      </c>
      <c r="B534" s="7" t="s">
        <v>1125</v>
      </c>
    </row>
    <row r="535" spans="1:2" x14ac:dyDescent="0.3">
      <c r="A535" s="7" t="s">
        <v>1126</v>
      </c>
      <c r="B535" s="7" t="s">
        <v>1127</v>
      </c>
    </row>
    <row r="536" spans="1:2" x14ac:dyDescent="0.3">
      <c r="A536" s="7" t="s">
        <v>1128</v>
      </c>
      <c r="B536" s="7" t="s">
        <v>1129</v>
      </c>
    </row>
    <row r="537" spans="1:2" x14ac:dyDescent="0.3">
      <c r="A537" s="7" t="s">
        <v>1130</v>
      </c>
      <c r="B537" s="7" t="s">
        <v>235</v>
      </c>
    </row>
    <row r="538" spans="1:2" x14ac:dyDescent="0.3">
      <c r="A538" s="7" t="s">
        <v>1131</v>
      </c>
      <c r="B538" s="7" t="s">
        <v>1132</v>
      </c>
    </row>
    <row r="539" spans="1:2" x14ac:dyDescent="0.3">
      <c r="A539" s="7" t="s">
        <v>1133</v>
      </c>
      <c r="B539" s="7" t="s">
        <v>1134</v>
      </c>
    </row>
    <row r="540" spans="1:2" x14ac:dyDescent="0.3">
      <c r="A540" s="7" t="s">
        <v>1135</v>
      </c>
      <c r="B540" s="7" t="s">
        <v>1136</v>
      </c>
    </row>
    <row r="541" spans="1:2" x14ac:dyDescent="0.3">
      <c r="A541" s="7" t="s">
        <v>1137</v>
      </c>
      <c r="B541" s="7" t="s">
        <v>1138</v>
      </c>
    </row>
    <row r="542" spans="1:2" x14ac:dyDescent="0.3">
      <c r="A542" s="7" t="s">
        <v>1139</v>
      </c>
      <c r="B542" s="7" t="s">
        <v>1140</v>
      </c>
    </row>
    <row r="543" spans="1:2" x14ac:dyDescent="0.3">
      <c r="A543" s="7" t="s">
        <v>1141</v>
      </c>
      <c r="B543" s="7" t="s">
        <v>1142</v>
      </c>
    </row>
    <row r="544" spans="1:2" x14ac:dyDescent="0.3">
      <c r="A544" s="7" t="s">
        <v>1143</v>
      </c>
      <c r="B544" s="7" t="s">
        <v>1144</v>
      </c>
    </row>
    <row r="545" spans="1:2" x14ac:dyDescent="0.3">
      <c r="A545" s="7" t="s">
        <v>1145</v>
      </c>
      <c r="B545" s="7" t="s">
        <v>1146</v>
      </c>
    </row>
    <row r="546" spans="1:2" x14ac:dyDescent="0.3">
      <c r="A546" s="7" t="s">
        <v>1147</v>
      </c>
      <c r="B546" s="7" t="s">
        <v>930</v>
      </c>
    </row>
    <row r="547" spans="1:2" x14ac:dyDescent="0.3">
      <c r="A547" s="7" t="s">
        <v>1148</v>
      </c>
      <c r="B547" s="7" t="s">
        <v>1149</v>
      </c>
    </row>
    <row r="548" spans="1:2" x14ac:dyDescent="0.3">
      <c r="A548" s="7" t="s">
        <v>1150</v>
      </c>
      <c r="B548" s="7" t="s">
        <v>1151</v>
      </c>
    </row>
    <row r="549" spans="1:2" x14ac:dyDescent="0.3">
      <c r="A549" s="7" t="s">
        <v>1152</v>
      </c>
      <c r="B549" s="7" t="s">
        <v>1153</v>
      </c>
    </row>
    <row r="550" spans="1:2" x14ac:dyDescent="0.3">
      <c r="A550" s="7" t="s">
        <v>1154</v>
      </c>
      <c r="B550" s="7" t="s">
        <v>245</v>
      </c>
    </row>
    <row r="551" spans="1:2" x14ac:dyDescent="0.3">
      <c r="A551" s="7" t="s">
        <v>1155</v>
      </c>
      <c r="B551" s="7" t="s">
        <v>1156</v>
      </c>
    </row>
    <row r="552" spans="1:2" x14ac:dyDescent="0.3">
      <c r="A552" s="7" t="s">
        <v>1157</v>
      </c>
      <c r="B552" s="7" t="s">
        <v>1158</v>
      </c>
    </row>
    <row r="553" spans="1:2" x14ac:dyDescent="0.3">
      <c r="A553" s="7" t="s">
        <v>1159</v>
      </c>
      <c r="B553" s="7" t="s">
        <v>1160</v>
      </c>
    </row>
    <row r="554" spans="1:2" x14ac:dyDescent="0.3">
      <c r="A554" s="7" t="s">
        <v>1161</v>
      </c>
      <c r="B554" s="7" t="s">
        <v>1162</v>
      </c>
    </row>
    <row r="555" spans="1:2" x14ac:dyDescent="0.3">
      <c r="A555" s="7" t="s">
        <v>1163</v>
      </c>
      <c r="B555" s="7" t="s">
        <v>1164</v>
      </c>
    </row>
    <row r="556" spans="1:2" x14ac:dyDescent="0.3">
      <c r="A556" s="7" t="s">
        <v>1165</v>
      </c>
      <c r="B556" s="7" t="s">
        <v>1166</v>
      </c>
    </row>
    <row r="557" spans="1:2" x14ac:dyDescent="0.3">
      <c r="A557" s="7" t="s">
        <v>1167</v>
      </c>
      <c r="B557" s="7" t="s">
        <v>1168</v>
      </c>
    </row>
    <row r="558" spans="1:2" x14ac:dyDescent="0.3">
      <c r="A558" s="7" t="s">
        <v>1169</v>
      </c>
      <c r="B558" s="7" t="s">
        <v>1170</v>
      </c>
    </row>
    <row r="559" spans="1:2" x14ac:dyDescent="0.3">
      <c r="A559" s="7" t="s">
        <v>1171</v>
      </c>
      <c r="B559" s="7" t="s">
        <v>1172</v>
      </c>
    </row>
    <row r="560" spans="1:2" x14ac:dyDescent="0.3">
      <c r="A560" s="7" t="s">
        <v>1173</v>
      </c>
      <c r="B560" s="7" t="s">
        <v>1174</v>
      </c>
    </row>
    <row r="561" spans="1:2" x14ac:dyDescent="0.3">
      <c r="A561" s="7" t="s">
        <v>1175</v>
      </c>
      <c r="B561" s="7" t="s">
        <v>1176</v>
      </c>
    </row>
    <row r="562" spans="1:2" x14ac:dyDescent="0.3">
      <c r="A562" s="7" t="s">
        <v>1177</v>
      </c>
      <c r="B562" s="7" t="s">
        <v>1178</v>
      </c>
    </row>
    <row r="563" spans="1:2" x14ac:dyDescent="0.3">
      <c r="A563" s="7" t="s">
        <v>1179</v>
      </c>
      <c r="B563" s="7" t="s">
        <v>1180</v>
      </c>
    </row>
    <row r="564" spans="1:2" x14ac:dyDescent="0.3">
      <c r="A564" s="7" t="s">
        <v>1181</v>
      </c>
      <c r="B564" s="7" t="s">
        <v>1182</v>
      </c>
    </row>
    <row r="565" spans="1:2" x14ac:dyDescent="0.3">
      <c r="A565" s="7" t="s">
        <v>1183</v>
      </c>
      <c r="B565" s="7" t="s">
        <v>1184</v>
      </c>
    </row>
    <row r="566" spans="1:2" x14ac:dyDescent="0.3">
      <c r="A566" s="7" t="s">
        <v>1185</v>
      </c>
      <c r="B566" s="7" t="s">
        <v>1186</v>
      </c>
    </row>
    <row r="567" spans="1:2" x14ac:dyDescent="0.3">
      <c r="A567" s="7" t="s">
        <v>1187</v>
      </c>
      <c r="B567" s="7" t="s">
        <v>1188</v>
      </c>
    </row>
    <row r="568" spans="1:2" x14ac:dyDescent="0.3">
      <c r="A568" s="7" t="s">
        <v>1189</v>
      </c>
      <c r="B568" s="7" t="s">
        <v>1190</v>
      </c>
    </row>
    <row r="569" spans="1:2" x14ac:dyDescent="0.3">
      <c r="A569" s="7" t="s">
        <v>1191</v>
      </c>
      <c r="B569" s="7" t="s">
        <v>1192</v>
      </c>
    </row>
    <row r="570" spans="1:2" x14ac:dyDescent="0.3">
      <c r="A570" s="7" t="s">
        <v>1193</v>
      </c>
      <c r="B570" s="7" t="s">
        <v>1194</v>
      </c>
    </row>
    <row r="571" spans="1:2" x14ac:dyDescent="0.3">
      <c r="A571" s="7" t="s">
        <v>1195</v>
      </c>
      <c r="B571" s="7" t="s">
        <v>1196</v>
      </c>
    </row>
    <row r="572" spans="1:2" x14ac:dyDescent="0.3">
      <c r="A572" s="7" t="s">
        <v>1197</v>
      </c>
      <c r="B572" s="7" t="s">
        <v>1198</v>
      </c>
    </row>
    <row r="573" spans="1:2" x14ac:dyDescent="0.3">
      <c r="A573" s="7" t="s">
        <v>1199</v>
      </c>
      <c r="B573" s="7" t="s">
        <v>1200</v>
      </c>
    </row>
    <row r="574" spans="1:2" x14ac:dyDescent="0.3">
      <c r="A574" s="7" t="s">
        <v>1201</v>
      </c>
      <c r="B574" s="7" t="s">
        <v>1202</v>
      </c>
    </row>
    <row r="575" spans="1:2" x14ac:dyDescent="0.3">
      <c r="A575" s="7" t="s">
        <v>1203</v>
      </c>
      <c r="B575" s="7" t="s">
        <v>1204</v>
      </c>
    </row>
    <row r="576" spans="1:2" x14ac:dyDescent="0.3">
      <c r="A576" s="7" t="s">
        <v>1205</v>
      </c>
      <c r="B576" s="7" t="s">
        <v>1206</v>
      </c>
    </row>
    <row r="577" spans="1:2" x14ac:dyDescent="0.3">
      <c r="A577" s="7" t="s">
        <v>1207</v>
      </c>
      <c r="B577" s="7" t="s">
        <v>1208</v>
      </c>
    </row>
    <row r="578" spans="1:2" x14ac:dyDescent="0.3">
      <c r="A578" s="7" t="s">
        <v>1209</v>
      </c>
      <c r="B578" s="7" t="s">
        <v>1210</v>
      </c>
    </row>
    <row r="579" spans="1:2" x14ac:dyDescent="0.3">
      <c r="A579" s="7" t="s">
        <v>1211</v>
      </c>
      <c r="B579" s="7" t="s">
        <v>1212</v>
      </c>
    </row>
    <row r="580" spans="1:2" x14ac:dyDescent="0.3">
      <c r="A580" s="7" t="s">
        <v>1213</v>
      </c>
      <c r="B580" s="7" t="s">
        <v>1214</v>
      </c>
    </row>
    <row r="581" spans="1:2" x14ac:dyDescent="0.3">
      <c r="A581" s="7" t="s">
        <v>1215</v>
      </c>
      <c r="B581" s="7" t="s">
        <v>1216</v>
      </c>
    </row>
    <row r="582" spans="1:2" x14ac:dyDescent="0.3">
      <c r="A582" s="7" t="s">
        <v>1217</v>
      </c>
      <c r="B582" s="7" t="s">
        <v>1218</v>
      </c>
    </row>
    <row r="583" spans="1:2" x14ac:dyDescent="0.3">
      <c r="A583" s="7" t="s">
        <v>1219</v>
      </c>
      <c r="B583" s="7" t="s">
        <v>1220</v>
      </c>
    </row>
    <row r="584" spans="1:2" x14ac:dyDescent="0.3">
      <c r="A584" s="7" t="s">
        <v>1221</v>
      </c>
      <c r="B584" s="7" t="s">
        <v>1222</v>
      </c>
    </row>
    <row r="585" spans="1:2" x14ac:dyDescent="0.3">
      <c r="A585" s="7" t="s">
        <v>1223</v>
      </c>
      <c r="B585" s="7" t="s">
        <v>1224</v>
      </c>
    </row>
    <row r="586" spans="1:2" x14ac:dyDescent="0.3">
      <c r="A586" s="7" t="s">
        <v>1225</v>
      </c>
      <c r="B586" s="7" t="s">
        <v>1226</v>
      </c>
    </row>
    <row r="587" spans="1:2" x14ac:dyDescent="0.3">
      <c r="A587" s="7" t="s">
        <v>1227</v>
      </c>
      <c r="B587" s="7" t="s">
        <v>1228</v>
      </c>
    </row>
    <row r="588" spans="1:2" x14ac:dyDescent="0.3">
      <c r="A588" s="7" t="s">
        <v>1229</v>
      </c>
      <c r="B588" s="7" t="s">
        <v>1230</v>
      </c>
    </row>
    <row r="589" spans="1:2" x14ac:dyDescent="0.3">
      <c r="A589" s="7" t="s">
        <v>1231</v>
      </c>
      <c r="B589" s="7" t="s">
        <v>1232</v>
      </c>
    </row>
    <row r="590" spans="1:2" x14ac:dyDescent="0.3">
      <c r="A590" s="7" t="s">
        <v>1233</v>
      </c>
      <c r="B590" s="7" t="s">
        <v>1234</v>
      </c>
    </row>
    <row r="591" spans="1:2" x14ac:dyDescent="0.3">
      <c r="A591" s="7" t="s">
        <v>1235</v>
      </c>
      <c r="B591" s="7" t="s">
        <v>1236</v>
      </c>
    </row>
    <row r="592" spans="1:2" x14ac:dyDescent="0.3">
      <c r="A592" s="7" t="s">
        <v>1237</v>
      </c>
      <c r="B592" s="7" t="s">
        <v>1238</v>
      </c>
    </row>
    <row r="593" spans="1:2" x14ac:dyDescent="0.3">
      <c r="A593" s="7" t="s">
        <v>1239</v>
      </c>
      <c r="B593" s="7" t="s">
        <v>1240</v>
      </c>
    </row>
    <row r="594" spans="1:2" x14ac:dyDescent="0.3">
      <c r="A594" s="7" t="s">
        <v>1241</v>
      </c>
      <c r="B594" s="7" t="s">
        <v>1242</v>
      </c>
    </row>
    <row r="595" spans="1:2" x14ac:dyDescent="0.3">
      <c r="A595" s="7" t="s">
        <v>1243</v>
      </c>
      <c r="B595" s="7" t="s">
        <v>1244</v>
      </c>
    </row>
    <row r="596" spans="1:2" x14ac:dyDescent="0.3">
      <c r="A596" s="7" t="s">
        <v>1245</v>
      </c>
      <c r="B596" s="7" t="s">
        <v>1246</v>
      </c>
    </row>
    <row r="597" spans="1:2" x14ac:dyDescent="0.3">
      <c r="A597" s="7" t="s">
        <v>1247</v>
      </c>
      <c r="B597" s="7" t="s">
        <v>1248</v>
      </c>
    </row>
    <row r="598" spans="1:2" x14ac:dyDescent="0.3">
      <c r="A598" s="7" t="s">
        <v>1249</v>
      </c>
      <c r="B598" s="7" t="s">
        <v>1250</v>
      </c>
    </row>
    <row r="599" spans="1:2" x14ac:dyDescent="0.3">
      <c r="A599" s="7" t="s">
        <v>1251</v>
      </c>
      <c r="B599" s="7" t="s">
        <v>1252</v>
      </c>
    </row>
    <row r="600" spans="1:2" x14ac:dyDescent="0.3">
      <c r="A600" s="7" t="s">
        <v>1253</v>
      </c>
      <c r="B600" s="7" t="s">
        <v>1254</v>
      </c>
    </row>
    <row r="601" spans="1:2" x14ac:dyDescent="0.3">
      <c r="A601" s="7" t="s">
        <v>1255</v>
      </c>
      <c r="B601" s="7" t="s">
        <v>1256</v>
      </c>
    </row>
    <row r="602" spans="1:2" x14ac:dyDescent="0.3">
      <c r="A602" s="7" t="s">
        <v>1257</v>
      </c>
      <c r="B602" s="7" t="s">
        <v>1258</v>
      </c>
    </row>
    <row r="603" spans="1:2" x14ac:dyDescent="0.3">
      <c r="A603" s="7" t="s">
        <v>1259</v>
      </c>
      <c r="B603" s="7" t="s">
        <v>1260</v>
      </c>
    </row>
    <row r="604" spans="1:2" x14ac:dyDescent="0.3">
      <c r="A604" s="7" t="s">
        <v>1261</v>
      </c>
      <c r="B604" s="7" t="s">
        <v>1262</v>
      </c>
    </row>
    <row r="605" spans="1:2" x14ac:dyDescent="0.3">
      <c r="A605" s="7" t="s">
        <v>1263</v>
      </c>
      <c r="B605" s="7" t="s">
        <v>1264</v>
      </c>
    </row>
    <row r="606" spans="1:2" x14ac:dyDescent="0.3">
      <c r="A606" s="7" t="s">
        <v>1265</v>
      </c>
      <c r="B606" s="7" t="s">
        <v>1266</v>
      </c>
    </row>
    <row r="607" spans="1:2" x14ac:dyDescent="0.3">
      <c r="A607" s="7" t="s">
        <v>1267</v>
      </c>
      <c r="B607" s="7" t="s">
        <v>1268</v>
      </c>
    </row>
    <row r="608" spans="1:2" x14ac:dyDescent="0.3">
      <c r="A608" s="7" t="s">
        <v>1269</v>
      </c>
      <c r="B608" s="7" t="s">
        <v>1270</v>
      </c>
    </row>
    <row r="609" spans="1:2" x14ac:dyDescent="0.3">
      <c r="A609" s="7" t="s">
        <v>1271</v>
      </c>
      <c r="B609" s="7" t="s">
        <v>1272</v>
      </c>
    </row>
    <row r="610" spans="1:2" x14ac:dyDescent="0.3">
      <c r="A610" s="7" t="s">
        <v>1273</v>
      </c>
      <c r="B610" s="7" t="s">
        <v>1274</v>
      </c>
    </row>
    <row r="611" spans="1:2" x14ac:dyDescent="0.3">
      <c r="A611" s="7" t="s">
        <v>1275</v>
      </c>
      <c r="B611" s="7" t="s">
        <v>1276</v>
      </c>
    </row>
    <row r="612" spans="1:2" x14ac:dyDescent="0.3">
      <c r="A612" s="7" t="s">
        <v>1277</v>
      </c>
      <c r="B612" s="7" t="s">
        <v>1278</v>
      </c>
    </row>
    <row r="613" spans="1:2" x14ac:dyDescent="0.3">
      <c r="A613" s="7" t="s">
        <v>1279</v>
      </c>
      <c r="B613" s="7" t="s">
        <v>1280</v>
      </c>
    </row>
    <row r="614" spans="1:2" x14ac:dyDescent="0.3">
      <c r="A614" s="7" t="s">
        <v>1281</v>
      </c>
      <c r="B614" s="7" t="s">
        <v>1282</v>
      </c>
    </row>
    <row r="615" spans="1:2" x14ac:dyDescent="0.3">
      <c r="A615" s="7" t="s">
        <v>1283</v>
      </c>
      <c r="B615" s="7" t="s">
        <v>223</v>
      </c>
    </row>
    <row r="616" spans="1:2" x14ac:dyDescent="0.3">
      <c r="A616" s="7" t="s">
        <v>1284</v>
      </c>
      <c r="B616" s="7" t="s">
        <v>1285</v>
      </c>
    </row>
    <row r="617" spans="1:2" x14ac:dyDescent="0.3">
      <c r="A617" s="7" t="s">
        <v>1286</v>
      </c>
      <c r="B617" s="7" t="s">
        <v>1287</v>
      </c>
    </row>
    <row r="618" spans="1:2" x14ac:dyDescent="0.3">
      <c r="A618" s="7" t="s">
        <v>1288</v>
      </c>
      <c r="B618" s="7" t="s">
        <v>1289</v>
      </c>
    </row>
    <row r="619" spans="1:2" x14ac:dyDescent="0.3">
      <c r="A619" s="7" t="s">
        <v>1290</v>
      </c>
      <c r="B619" s="7" t="s">
        <v>1291</v>
      </c>
    </row>
    <row r="620" spans="1:2" x14ac:dyDescent="0.3">
      <c r="A620" s="7" t="s">
        <v>1292</v>
      </c>
      <c r="B620" s="7" t="s">
        <v>1293</v>
      </c>
    </row>
    <row r="621" spans="1:2" x14ac:dyDescent="0.3">
      <c r="A621" s="7" t="s">
        <v>1294</v>
      </c>
      <c r="B621" s="7" t="s">
        <v>303</v>
      </c>
    </row>
    <row r="622" spans="1:2" x14ac:dyDescent="0.3">
      <c r="A622" s="7" t="s">
        <v>1295</v>
      </c>
      <c r="B622" s="7" t="s">
        <v>1296</v>
      </c>
    </row>
    <row r="623" spans="1:2" x14ac:dyDescent="0.3">
      <c r="A623" s="7" t="s">
        <v>1297</v>
      </c>
      <c r="B623" s="7" t="s">
        <v>1298</v>
      </c>
    </row>
    <row r="624" spans="1:2" x14ac:dyDescent="0.3">
      <c r="A624" s="7" t="s">
        <v>1299</v>
      </c>
      <c r="B624" s="7" t="s">
        <v>1300</v>
      </c>
    </row>
    <row r="625" spans="1:2" x14ac:dyDescent="0.3">
      <c r="A625" s="7" t="s">
        <v>1301</v>
      </c>
      <c r="B625" s="7" t="s">
        <v>1302</v>
      </c>
    </row>
    <row r="626" spans="1:2" x14ac:dyDescent="0.3">
      <c r="A626" s="7" t="s">
        <v>1303</v>
      </c>
      <c r="B626" s="7" t="s">
        <v>1304</v>
      </c>
    </row>
    <row r="627" spans="1:2" x14ac:dyDescent="0.3">
      <c r="A627" s="7" t="s">
        <v>1305</v>
      </c>
      <c r="B627" s="7" t="s">
        <v>1306</v>
      </c>
    </row>
    <row r="628" spans="1:2" x14ac:dyDescent="0.3">
      <c r="A628" s="7" t="s">
        <v>1307</v>
      </c>
      <c r="B628" s="7" t="s">
        <v>1308</v>
      </c>
    </row>
    <row r="629" spans="1:2" x14ac:dyDescent="0.3">
      <c r="A629" s="7" t="s">
        <v>1309</v>
      </c>
      <c r="B629" s="7" t="s">
        <v>1310</v>
      </c>
    </row>
    <row r="630" spans="1:2" x14ac:dyDescent="0.3">
      <c r="A630" s="7" t="s">
        <v>1311</v>
      </c>
      <c r="B630" s="7" t="s">
        <v>1312</v>
      </c>
    </row>
    <row r="631" spans="1:2" x14ac:dyDescent="0.3">
      <c r="A631" s="7" t="s">
        <v>1313</v>
      </c>
      <c r="B631" s="7" t="s">
        <v>1314</v>
      </c>
    </row>
    <row r="632" spans="1:2" x14ac:dyDescent="0.3">
      <c r="A632" s="7" t="s">
        <v>1315</v>
      </c>
      <c r="B632" s="7" t="s">
        <v>1316</v>
      </c>
    </row>
    <row r="633" spans="1:2" x14ac:dyDescent="0.3">
      <c r="A633" s="7" t="s">
        <v>1317</v>
      </c>
      <c r="B633" s="7" t="s">
        <v>1318</v>
      </c>
    </row>
    <row r="634" spans="1:2" x14ac:dyDescent="0.3">
      <c r="A634" s="7" t="s">
        <v>1319</v>
      </c>
      <c r="B634" s="7" t="s">
        <v>1320</v>
      </c>
    </row>
    <row r="635" spans="1:2" x14ac:dyDescent="0.3">
      <c r="A635" s="7" t="s">
        <v>1321</v>
      </c>
      <c r="B635" s="7" t="s">
        <v>1322</v>
      </c>
    </row>
    <row r="636" spans="1:2" x14ac:dyDescent="0.3">
      <c r="A636" s="7" t="s">
        <v>1323</v>
      </c>
      <c r="B636" s="7" t="s">
        <v>1324</v>
      </c>
    </row>
    <row r="637" spans="1:2" x14ac:dyDescent="0.3">
      <c r="A637" s="7" t="s">
        <v>1325</v>
      </c>
      <c r="B637" s="7" t="s">
        <v>1326</v>
      </c>
    </row>
    <row r="638" spans="1:2" x14ac:dyDescent="0.3">
      <c r="A638" s="7" t="s">
        <v>1327</v>
      </c>
      <c r="B638" s="7" t="s">
        <v>1328</v>
      </c>
    </row>
    <row r="639" spans="1:2" x14ac:dyDescent="0.3">
      <c r="A639" s="7" t="s">
        <v>1329</v>
      </c>
      <c r="B639" s="7" t="s">
        <v>1330</v>
      </c>
    </row>
    <row r="640" spans="1:2" x14ac:dyDescent="0.3">
      <c r="A640" s="7" t="s">
        <v>1331</v>
      </c>
      <c r="B640" s="7" t="s">
        <v>1332</v>
      </c>
    </row>
    <row r="641" spans="1:2" x14ac:dyDescent="0.3">
      <c r="A641" s="7" t="s">
        <v>1333</v>
      </c>
      <c r="B641" s="7" t="s">
        <v>1334</v>
      </c>
    </row>
    <row r="642" spans="1:2" x14ac:dyDescent="0.3">
      <c r="A642" s="7" t="s">
        <v>1335</v>
      </c>
      <c r="B642" s="7" t="s">
        <v>1336</v>
      </c>
    </row>
    <row r="643" spans="1:2" x14ac:dyDescent="0.3">
      <c r="A643" s="7" t="s">
        <v>1337</v>
      </c>
      <c r="B643" s="7" t="s">
        <v>1338</v>
      </c>
    </row>
    <row r="644" spans="1:2" x14ac:dyDescent="0.3">
      <c r="A644" s="7" t="s">
        <v>1339</v>
      </c>
      <c r="B644" s="7" t="s">
        <v>1340</v>
      </c>
    </row>
    <row r="645" spans="1:2" x14ac:dyDescent="0.3">
      <c r="A645" s="7" t="s">
        <v>1341</v>
      </c>
      <c r="B645" s="7" t="s">
        <v>1342</v>
      </c>
    </row>
    <row r="646" spans="1:2" x14ac:dyDescent="0.3">
      <c r="A646" s="7" t="s">
        <v>1343</v>
      </c>
      <c r="B646" s="7" t="s">
        <v>1344</v>
      </c>
    </row>
    <row r="647" spans="1:2" x14ac:dyDescent="0.3">
      <c r="A647" s="7" t="s">
        <v>1345</v>
      </c>
      <c r="B647" s="7" t="s">
        <v>1346</v>
      </c>
    </row>
    <row r="648" spans="1:2" x14ac:dyDescent="0.3">
      <c r="A648" s="7" t="s">
        <v>1347</v>
      </c>
      <c r="B648" s="7" t="s">
        <v>1348</v>
      </c>
    </row>
    <row r="649" spans="1:2" x14ac:dyDescent="0.3">
      <c r="A649" s="7" t="s">
        <v>1349</v>
      </c>
      <c r="B649" s="7" t="s">
        <v>371</v>
      </c>
    </row>
    <row r="650" spans="1:2" x14ac:dyDescent="0.3">
      <c r="A650" s="7" t="s">
        <v>1350</v>
      </c>
      <c r="B650" s="7" t="s">
        <v>1351</v>
      </c>
    </row>
    <row r="651" spans="1:2" x14ac:dyDescent="0.3">
      <c r="A651" s="7" t="s">
        <v>1352</v>
      </c>
      <c r="B651" s="7" t="s">
        <v>428</v>
      </c>
    </row>
    <row r="652" spans="1:2" x14ac:dyDescent="0.3">
      <c r="A652" s="7" t="s">
        <v>1353</v>
      </c>
      <c r="B652" s="7" t="s">
        <v>1354</v>
      </c>
    </row>
    <row r="653" spans="1:2" x14ac:dyDescent="0.3">
      <c r="A653" s="7" t="s">
        <v>1355</v>
      </c>
      <c r="B653" s="7" t="s">
        <v>558</v>
      </c>
    </row>
    <row r="654" spans="1:2" x14ac:dyDescent="0.3">
      <c r="A654" s="7" t="s">
        <v>1356</v>
      </c>
      <c r="B654" s="7" t="s">
        <v>1357</v>
      </c>
    </row>
    <row r="655" spans="1:2" x14ac:dyDescent="0.3">
      <c r="A655" s="7" t="s">
        <v>1358</v>
      </c>
      <c r="B655" s="7" t="s">
        <v>1359</v>
      </c>
    </row>
    <row r="656" spans="1:2" x14ac:dyDescent="0.3">
      <c r="A656" s="7" t="s">
        <v>1360</v>
      </c>
      <c r="B656" s="7" t="s">
        <v>1361</v>
      </c>
    </row>
    <row r="657" spans="1:2" x14ac:dyDescent="0.3">
      <c r="A657" s="7" t="s">
        <v>1362</v>
      </c>
      <c r="B657" s="7" t="s">
        <v>1363</v>
      </c>
    </row>
    <row r="658" spans="1:2" x14ac:dyDescent="0.3">
      <c r="A658" s="7" t="s">
        <v>1364</v>
      </c>
      <c r="B658" s="7" t="s">
        <v>1365</v>
      </c>
    </row>
    <row r="659" spans="1:2" x14ac:dyDescent="0.3">
      <c r="A659" s="7" t="s">
        <v>1366</v>
      </c>
      <c r="B659" s="7" t="s">
        <v>157</v>
      </c>
    </row>
    <row r="660" spans="1:2" x14ac:dyDescent="0.3">
      <c r="A660" s="7" t="s">
        <v>1367</v>
      </c>
      <c r="B660" s="7" t="s">
        <v>1368</v>
      </c>
    </row>
    <row r="661" spans="1:2" x14ac:dyDescent="0.3">
      <c r="A661" s="7" t="s">
        <v>1369</v>
      </c>
      <c r="B661" s="7" t="s">
        <v>1370</v>
      </c>
    </row>
    <row r="662" spans="1:2" x14ac:dyDescent="0.3">
      <c r="A662" s="7" t="s">
        <v>1371</v>
      </c>
      <c r="B662" s="7" t="s">
        <v>1372</v>
      </c>
    </row>
    <row r="663" spans="1:2" x14ac:dyDescent="0.3">
      <c r="A663" s="7" t="s">
        <v>1373</v>
      </c>
      <c r="B663" s="7" t="s">
        <v>1374</v>
      </c>
    </row>
    <row r="664" spans="1:2" x14ac:dyDescent="0.3">
      <c r="A664" s="7" t="s">
        <v>1375</v>
      </c>
      <c r="B664" s="7" t="s">
        <v>1376</v>
      </c>
    </row>
    <row r="665" spans="1:2" x14ac:dyDescent="0.3">
      <c r="A665" s="7" t="s">
        <v>1377</v>
      </c>
      <c r="B665" s="7" t="s">
        <v>1378</v>
      </c>
    </row>
    <row r="666" spans="1:2" x14ac:dyDescent="0.3">
      <c r="A666" s="7" t="s">
        <v>1379</v>
      </c>
      <c r="B666" s="7" t="s">
        <v>1380</v>
      </c>
    </row>
    <row r="667" spans="1:2" x14ac:dyDescent="0.3">
      <c r="A667" s="7" t="s">
        <v>1381</v>
      </c>
      <c r="B667" s="7" t="s">
        <v>1382</v>
      </c>
    </row>
    <row r="668" spans="1:2" x14ac:dyDescent="0.3">
      <c r="A668" s="7" t="s">
        <v>1383</v>
      </c>
      <c r="B668" s="7" t="s">
        <v>1384</v>
      </c>
    </row>
    <row r="669" spans="1:2" x14ac:dyDescent="0.3">
      <c r="A669" s="7" t="s">
        <v>1385</v>
      </c>
      <c r="B669" s="7" t="s">
        <v>1386</v>
      </c>
    </row>
    <row r="670" spans="1:2" x14ac:dyDescent="0.3">
      <c r="A670" s="7" t="s">
        <v>1387</v>
      </c>
      <c r="B670" s="7" t="s">
        <v>1388</v>
      </c>
    </row>
    <row r="671" spans="1:2" x14ac:dyDescent="0.3">
      <c r="A671" s="7" t="s">
        <v>1389</v>
      </c>
      <c r="B671" s="7" t="s">
        <v>1390</v>
      </c>
    </row>
    <row r="672" spans="1:2" x14ac:dyDescent="0.3">
      <c r="A672" s="7" t="s">
        <v>1391</v>
      </c>
      <c r="B672" s="7" t="s">
        <v>1392</v>
      </c>
    </row>
    <row r="673" spans="1:2" x14ac:dyDescent="0.3">
      <c r="A673" s="7" t="s">
        <v>1393</v>
      </c>
      <c r="B673" s="7" t="s">
        <v>596</v>
      </c>
    </row>
    <row r="674" spans="1:2" x14ac:dyDescent="0.3">
      <c r="A674" s="7" t="s">
        <v>1394</v>
      </c>
      <c r="B674" s="7" t="s">
        <v>1395</v>
      </c>
    </row>
    <row r="675" spans="1:2" x14ac:dyDescent="0.3">
      <c r="A675" s="7" t="s">
        <v>1396</v>
      </c>
      <c r="B675" s="7" t="s">
        <v>1397</v>
      </c>
    </row>
    <row r="676" spans="1:2" x14ac:dyDescent="0.3">
      <c r="A676" s="7" t="s">
        <v>1398</v>
      </c>
      <c r="B676" s="7" t="s">
        <v>1399</v>
      </c>
    </row>
    <row r="677" spans="1:2" x14ac:dyDescent="0.3">
      <c r="A677" s="7" t="s">
        <v>1400</v>
      </c>
      <c r="B677" s="7" t="s">
        <v>1401</v>
      </c>
    </row>
    <row r="678" spans="1:2" x14ac:dyDescent="0.3">
      <c r="A678" s="7" t="s">
        <v>1402</v>
      </c>
      <c r="B678" s="7" t="s">
        <v>1403</v>
      </c>
    </row>
    <row r="679" spans="1:2" x14ac:dyDescent="0.3">
      <c r="A679" s="7" t="s">
        <v>1404</v>
      </c>
      <c r="B679" s="7" t="s">
        <v>1405</v>
      </c>
    </row>
    <row r="680" spans="1:2" x14ac:dyDescent="0.3">
      <c r="A680" s="7" t="s">
        <v>1406</v>
      </c>
      <c r="B680" s="7" t="s">
        <v>1407</v>
      </c>
    </row>
    <row r="681" spans="1:2" x14ac:dyDescent="0.3">
      <c r="A681" s="7" t="s">
        <v>1408</v>
      </c>
      <c r="B681" s="7" t="s">
        <v>1409</v>
      </c>
    </row>
    <row r="682" spans="1:2" x14ac:dyDescent="0.3">
      <c r="A682" s="7" t="s">
        <v>1410</v>
      </c>
      <c r="B682" s="7" t="s">
        <v>1411</v>
      </c>
    </row>
    <row r="683" spans="1:2" x14ac:dyDescent="0.3">
      <c r="A683" s="7" t="s">
        <v>1412</v>
      </c>
      <c r="B683" s="7" t="s">
        <v>1413</v>
      </c>
    </row>
    <row r="684" spans="1:2" x14ac:dyDescent="0.3">
      <c r="A684" s="7" t="s">
        <v>1414</v>
      </c>
      <c r="B684" s="7" t="s">
        <v>1415</v>
      </c>
    </row>
    <row r="685" spans="1:2" x14ac:dyDescent="0.3">
      <c r="A685" s="7" t="s">
        <v>1416</v>
      </c>
      <c r="B685" s="7" t="s">
        <v>1417</v>
      </c>
    </row>
    <row r="686" spans="1:2" x14ac:dyDescent="0.3">
      <c r="A686" s="7" t="s">
        <v>1418</v>
      </c>
      <c r="B686" s="7" t="s">
        <v>1419</v>
      </c>
    </row>
    <row r="687" spans="1:2" x14ac:dyDescent="0.3">
      <c r="A687" s="7" t="s">
        <v>1420</v>
      </c>
      <c r="B687" s="7" t="s">
        <v>778</v>
      </c>
    </row>
    <row r="688" spans="1:2" x14ac:dyDescent="0.3">
      <c r="A688" s="7" t="s">
        <v>1421</v>
      </c>
      <c r="B688" s="7" t="s">
        <v>1422</v>
      </c>
    </row>
    <row r="689" spans="1:2" x14ac:dyDescent="0.3">
      <c r="A689" s="7" t="s">
        <v>1423</v>
      </c>
      <c r="B689" s="7" t="s">
        <v>1424</v>
      </c>
    </row>
    <row r="690" spans="1:2" x14ac:dyDescent="0.3">
      <c r="A690" s="7" t="s">
        <v>1425</v>
      </c>
      <c r="B690" s="7" t="s">
        <v>1426</v>
      </c>
    </row>
    <row r="691" spans="1:2" x14ac:dyDescent="0.3">
      <c r="A691" s="7" t="s">
        <v>1427</v>
      </c>
      <c r="B691" s="7" t="s">
        <v>1428</v>
      </c>
    </row>
    <row r="692" spans="1:2" x14ac:dyDescent="0.3">
      <c r="A692" s="7" t="s">
        <v>1429</v>
      </c>
      <c r="B692" s="7" t="s">
        <v>798</v>
      </c>
    </row>
    <row r="693" spans="1:2" x14ac:dyDescent="0.3">
      <c r="A693" s="7" t="s">
        <v>1430</v>
      </c>
      <c r="B693" s="7" t="s">
        <v>1431</v>
      </c>
    </row>
    <row r="694" spans="1:2" x14ac:dyDescent="0.3">
      <c r="A694" s="7" t="s">
        <v>1432</v>
      </c>
      <c r="B694" s="7" t="s">
        <v>1433</v>
      </c>
    </row>
    <row r="695" spans="1:2" x14ac:dyDescent="0.3">
      <c r="A695" s="7" t="s">
        <v>1434</v>
      </c>
      <c r="B695" s="7" t="s">
        <v>970</v>
      </c>
    </row>
    <row r="696" spans="1:2" x14ac:dyDescent="0.3">
      <c r="A696" s="7" t="s">
        <v>1435</v>
      </c>
      <c r="B696" s="7" t="s">
        <v>1436</v>
      </c>
    </row>
    <row r="697" spans="1:2" x14ac:dyDescent="0.3">
      <c r="A697" s="7" t="s">
        <v>1437</v>
      </c>
      <c r="B697" s="7" t="s">
        <v>1438</v>
      </c>
    </row>
    <row r="698" spans="1:2" x14ac:dyDescent="0.3">
      <c r="A698" s="7" t="s">
        <v>1439</v>
      </c>
      <c r="B698" s="7" t="s">
        <v>1440</v>
      </c>
    </row>
    <row r="699" spans="1:2" x14ac:dyDescent="0.3">
      <c r="A699" s="7" t="s">
        <v>1441</v>
      </c>
      <c r="B699" s="7" t="s">
        <v>1442</v>
      </c>
    </row>
    <row r="700" spans="1:2" x14ac:dyDescent="0.3">
      <c r="A700" s="7" t="s">
        <v>1443</v>
      </c>
      <c r="B700" s="7" t="s">
        <v>1444</v>
      </c>
    </row>
    <row r="701" spans="1:2" x14ac:dyDescent="0.3">
      <c r="A701" s="7" t="s">
        <v>1445</v>
      </c>
      <c r="B701" s="7" t="s">
        <v>1446</v>
      </c>
    </row>
    <row r="702" spans="1:2" x14ac:dyDescent="0.3">
      <c r="A702" s="7" t="s">
        <v>1447</v>
      </c>
      <c r="B702" s="7" t="s">
        <v>1448</v>
      </c>
    </row>
    <row r="703" spans="1:2" x14ac:dyDescent="0.3">
      <c r="A703" s="7" t="s">
        <v>1449</v>
      </c>
      <c r="B703" s="7" t="s">
        <v>1450</v>
      </c>
    </row>
    <row r="704" spans="1:2" x14ac:dyDescent="0.3">
      <c r="A704" s="7" t="s">
        <v>1451</v>
      </c>
      <c r="B704" s="7" t="s">
        <v>1452</v>
      </c>
    </row>
    <row r="705" spans="1:2" x14ac:dyDescent="0.3">
      <c r="A705" s="7" t="s">
        <v>1453</v>
      </c>
      <c r="B705" s="7" t="s">
        <v>1454</v>
      </c>
    </row>
    <row r="706" spans="1:2" x14ac:dyDescent="0.3">
      <c r="A706" s="7" t="s">
        <v>1455</v>
      </c>
      <c r="B706" s="7" t="s">
        <v>450</v>
      </c>
    </row>
    <row r="707" spans="1:2" x14ac:dyDescent="0.3">
      <c r="A707" s="7" t="s">
        <v>1456</v>
      </c>
      <c r="B707" s="7" t="s">
        <v>1457</v>
      </c>
    </row>
    <row r="708" spans="1:2" x14ac:dyDescent="0.3">
      <c r="A708" s="7" t="s">
        <v>1458</v>
      </c>
      <c r="B708" s="7" t="s">
        <v>1459</v>
      </c>
    </row>
    <row r="709" spans="1:2" x14ac:dyDescent="0.3">
      <c r="A709" s="7" t="s">
        <v>1460</v>
      </c>
      <c r="B709" s="7" t="s">
        <v>1461</v>
      </c>
    </row>
    <row r="710" spans="1:2" x14ac:dyDescent="0.3">
      <c r="A710" s="7" t="s">
        <v>1462</v>
      </c>
      <c r="B710" s="7" t="s">
        <v>1463</v>
      </c>
    </row>
    <row r="711" spans="1:2" x14ac:dyDescent="0.3">
      <c r="A711" s="7" t="s">
        <v>1464</v>
      </c>
      <c r="B711" s="7" t="s">
        <v>1465</v>
      </c>
    </row>
    <row r="712" spans="1:2" x14ac:dyDescent="0.3">
      <c r="A712" s="7" t="s">
        <v>1466</v>
      </c>
      <c r="B712" s="7" t="s">
        <v>1467</v>
      </c>
    </row>
    <row r="713" spans="1:2" x14ac:dyDescent="0.3">
      <c r="A713" s="7" t="s">
        <v>1468</v>
      </c>
      <c r="B713" s="7" t="s">
        <v>1469</v>
      </c>
    </row>
    <row r="714" spans="1:2" x14ac:dyDescent="0.3">
      <c r="A714" s="7" t="s">
        <v>1470</v>
      </c>
      <c r="B714" s="7" t="s">
        <v>1471</v>
      </c>
    </row>
    <row r="715" spans="1:2" x14ac:dyDescent="0.3">
      <c r="A715" s="7" t="s">
        <v>1472</v>
      </c>
      <c r="B715" s="7" t="s">
        <v>1473</v>
      </c>
    </row>
    <row r="716" spans="1:2" x14ac:dyDescent="0.3">
      <c r="A716" s="7" t="s">
        <v>1474</v>
      </c>
      <c r="B716" s="7" t="s">
        <v>1475</v>
      </c>
    </row>
    <row r="717" spans="1:2" x14ac:dyDescent="0.3">
      <c r="A717" s="7" t="s">
        <v>1476</v>
      </c>
      <c r="B717" s="7" t="s">
        <v>1477</v>
      </c>
    </row>
    <row r="718" spans="1:2" x14ac:dyDescent="0.3">
      <c r="A718" s="7" t="s">
        <v>1478</v>
      </c>
      <c r="B718" s="7" t="s">
        <v>1479</v>
      </c>
    </row>
    <row r="719" spans="1:2" x14ac:dyDescent="0.3">
      <c r="A719" s="7" t="s">
        <v>1480</v>
      </c>
      <c r="B719" s="7" t="s">
        <v>1481</v>
      </c>
    </row>
    <row r="720" spans="1:2" x14ac:dyDescent="0.3">
      <c r="A720" s="7" t="s">
        <v>1482</v>
      </c>
      <c r="B720" s="7" t="s">
        <v>1483</v>
      </c>
    </row>
    <row r="721" spans="1:2" x14ac:dyDescent="0.3">
      <c r="A721" s="7" t="s">
        <v>1484</v>
      </c>
      <c r="B721" s="7" t="s">
        <v>273</v>
      </c>
    </row>
    <row r="722" spans="1:2" x14ac:dyDescent="0.3">
      <c r="A722" s="7" t="s">
        <v>1485</v>
      </c>
      <c r="B722" s="7" t="s">
        <v>1486</v>
      </c>
    </row>
    <row r="723" spans="1:2" x14ac:dyDescent="0.3">
      <c r="A723" s="7" t="s">
        <v>1487</v>
      </c>
      <c r="B723" s="7" t="s">
        <v>1488</v>
      </c>
    </row>
    <row r="724" spans="1:2" x14ac:dyDescent="0.3">
      <c r="A724" s="7" t="s">
        <v>1489</v>
      </c>
      <c r="B724" s="7" t="s">
        <v>1490</v>
      </c>
    </row>
    <row r="725" spans="1:2" x14ac:dyDescent="0.3">
      <c r="A725" s="7" t="s">
        <v>1491</v>
      </c>
      <c r="B725" s="7" t="s">
        <v>1492</v>
      </c>
    </row>
    <row r="726" spans="1:2" x14ac:dyDescent="0.3">
      <c r="A726" s="7" t="s">
        <v>1493</v>
      </c>
      <c r="B726" s="7" t="s">
        <v>788</v>
      </c>
    </row>
    <row r="727" spans="1:2" x14ac:dyDescent="0.3">
      <c r="A727" s="7" t="s">
        <v>1494</v>
      </c>
      <c r="B727" s="7" t="s">
        <v>1495</v>
      </c>
    </row>
    <row r="728" spans="1:2" x14ac:dyDescent="0.3">
      <c r="A728" s="7" t="s">
        <v>1496</v>
      </c>
      <c r="B728" s="7" t="s">
        <v>1497</v>
      </c>
    </row>
    <row r="729" spans="1:2" x14ac:dyDescent="0.3">
      <c r="A729" s="7" t="s">
        <v>1498</v>
      </c>
      <c r="B729" s="7" t="s">
        <v>1499</v>
      </c>
    </row>
    <row r="730" spans="1:2" x14ac:dyDescent="0.3">
      <c r="A730" s="7" t="s">
        <v>1500</v>
      </c>
      <c r="B730" s="7" t="s">
        <v>1501</v>
      </c>
    </row>
    <row r="731" spans="1:2" x14ac:dyDescent="0.3">
      <c r="A731" s="7" t="s">
        <v>1502</v>
      </c>
      <c r="B731" s="7" t="s">
        <v>1503</v>
      </c>
    </row>
    <row r="732" spans="1:2" x14ac:dyDescent="0.3">
      <c r="A732" s="7" t="s">
        <v>1504</v>
      </c>
      <c r="B732" s="7" t="s">
        <v>1505</v>
      </c>
    </row>
    <row r="733" spans="1:2" x14ac:dyDescent="0.3">
      <c r="A733" s="7" t="s">
        <v>1506</v>
      </c>
      <c r="B733" s="7" t="s">
        <v>1507</v>
      </c>
    </row>
    <row r="734" spans="1:2" x14ac:dyDescent="0.3">
      <c r="A734" s="7" t="s">
        <v>1508</v>
      </c>
      <c r="B734" s="7" t="s">
        <v>1509</v>
      </c>
    </row>
    <row r="735" spans="1:2" x14ac:dyDescent="0.3">
      <c r="A735" s="7" t="s">
        <v>1510</v>
      </c>
      <c r="B735" s="7" t="s">
        <v>1511</v>
      </c>
    </row>
    <row r="736" spans="1:2" x14ac:dyDescent="0.3">
      <c r="A736" s="7" t="s">
        <v>1512</v>
      </c>
      <c r="B736" s="7" t="s">
        <v>1513</v>
      </c>
    </row>
    <row r="737" spans="1:2" x14ac:dyDescent="0.3">
      <c r="A737" s="7" t="s">
        <v>1514</v>
      </c>
      <c r="B737" s="7" t="s">
        <v>1515</v>
      </c>
    </row>
    <row r="738" spans="1:2" x14ac:dyDescent="0.3">
      <c r="A738" s="7" t="s">
        <v>1516</v>
      </c>
      <c r="B738" s="7" t="s">
        <v>1517</v>
      </c>
    </row>
    <row r="739" spans="1:2" x14ac:dyDescent="0.3">
      <c r="A739" s="7" t="s">
        <v>1518</v>
      </c>
      <c r="B739" s="7" t="s">
        <v>1519</v>
      </c>
    </row>
    <row r="740" spans="1:2" x14ac:dyDescent="0.3">
      <c r="A740" s="7" t="s">
        <v>1520</v>
      </c>
      <c r="B740" s="7" t="s">
        <v>223</v>
      </c>
    </row>
    <row r="741" spans="1:2" x14ac:dyDescent="0.3">
      <c r="A741" s="7" t="s">
        <v>1521</v>
      </c>
      <c r="B741" s="7" t="s">
        <v>1522</v>
      </c>
    </row>
    <row r="742" spans="1:2" x14ac:dyDescent="0.3">
      <c r="A742" s="7" t="s">
        <v>1523</v>
      </c>
      <c r="B742" s="7" t="s">
        <v>1524</v>
      </c>
    </row>
    <row r="743" spans="1:2" x14ac:dyDescent="0.3">
      <c r="A743" s="7" t="s">
        <v>1525</v>
      </c>
      <c r="B743" s="7" t="s">
        <v>1526</v>
      </c>
    </row>
    <row r="744" spans="1:2" x14ac:dyDescent="0.3">
      <c r="A744" s="7" t="s">
        <v>1527</v>
      </c>
      <c r="B744" s="7" t="s">
        <v>1344</v>
      </c>
    </row>
    <row r="745" spans="1:2" x14ac:dyDescent="0.3">
      <c r="A745" s="7" t="s">
        <v>1528</v>
      </c>
      <c r="B745" s="7" t="s">
        <v>1529</v>
      </c>
    </row>
    <row r="746" spans="1:2" x14ac:dyDescent="0.3">
      <c r="A746" s="7" t="s">
        <v>1530</v>
      </c>
      <c r="B746" s="7" t="s">
        <v>1531</v>
      </c>
    </row>
    <row r="747" spans="1:2" x14ac:dyDescent="0.3">
      <c r="A747" s="7" t="s">
        <v>1532</v>
      </c>
      <c r="B747" s="7" t="s">
        <v>1533</v>
      </c>
    </row>
    <row r="748" spans="1:2" x14ac:dyDescent="0.3">
      <c r="A748" s="7" t="s">
        <v>1534</v>
      </c>
      <c r="B748" s="7" t="s">
        <v>818</v>
      </c>
    </row>
    <row r="749" spans="1:2" x14ac:dyDescent="0.3">
      <c r="A749" s="7" t="s">
        <v>1535</v>
      </c>
      <c r="B749" s="7" t="s">
        <v>1536</v>
      </c>
    </row>
    <row r="750" spans="1:2" x14ac:dyDescent="0.3">
      <c r="A750" s="7" t="s">
        <v>1537</v>
      </c>
      <c r="B750" s="7" t="s">
        <v>1538</v>
      </c>
    </row>
    <row r="751" spans="1:2" x14ac:dyDescent="0.3">
      <c r="A751" s="7" t="s">
        <v>1539</v>
      </c>
      <c r="B751" s="7" t="s">
        <v>1540</v>
      </c>
    </row>
    <row r="752" spans="1:2" x14ac:dyDescent="0.3">
      <c r="A752" s="7" t="s">
        <v>1541</v>
      </c>
      <c r="B752" s="7" t="s">
        <v>1542</v>
      </c>
    </row>
    <row r="753" spans="1:2" x14ac:dyDescent="0.3">
      <c r="A753" s="7" t="s">
        <v>1543</v>
      </c>
      <c r="B753" s="7" t="s">
        <v>1544</v>
      </c>
    </row>
    <row r="754" spans="1:2" x14ac:dyDescent="0.3">
      <c r="A754" s="7" t="s">
        <v>1545</v>
      </c>
      <c r="B754" s="7" t="s">
        <v>1546</v>
      </c>
    </row>
    <row r="755" spans="1:2" x14ac:dyDescent="0.3">
      <c r="A755" s="7" t="s">
        <v>1547</v>
      </c>
      <c r="B755" s="7" t="s">
        <v>1548</v>
      </c>
    </row>
    <row r="756" spans="1:2" x14ac:dyDescent="0.3">
      <c r="A756" s="7" t="s">
        <v>1549</v>
      </c>
      <c r="B756" s="7" t="s">
        <v>1550</v>
      </c>
    </row>
    <row r="757" spans="1:2" x14ac:dyDescent="0.3">
      <c r="A757" s="7" t="s">
        <v>1551</v>
      </c>
      <c r="B757" s="7" t="s">
        <v>1503</v>
      </c>
    </row>
    <row r="758" spans="1:2" x14ac:dyDescent="0.3">
      <c r="A758" s="7" t="s">
        <v>1552</v>
      </c>
      <c r="B758" s="7" t="s">
        <v>1553</v>
      </c>
    </row>
    <row r="759" spans="1:2" x14ac:dyDescent="0.3">
      <c r="A759" s="7" t="s">
        <v>1554</v>
      </c>
      <c r="B759" s="7" t="s">
        <v>1555</v>
      </c>
    </row>
    <row r="760" spans="1:2" x14ac:dyDescent="0.3">
      <c r="A760" s="7" t="s">
        <v>1556</v>
      </c>
      <c r="B760" s="7" t="s">
        <v>1557</v>
      </c>
    </row>
    <row r="761" spans="1:2" x14ac:dyDescent="0.3">
      <c r="A761" s="7" t="s">
        <v>1558</v>
      </c>
      <c r="B761" s="7" t="s">
        <v>1559</v>
      </c>
    </row>
    <row r="762" spans="1:2" x14ac:dyDescent="0.3">
      <c r="A762" s="7" t="s">
        <v>1560</v>
      </c>
      <c r="B762" s="7" t="s">
        <v>992</v>
      </c>
    </row>
    <row r="763" spans="1:2" x14ac:dyDescent="0.3">
      <c r="A763" s="7" t="s">
        <v>1561</v>
      </c>
      <c r="B763" s="7" t="s">
        <v>1562</v>
      </c>
    </row>
    <row r="764" spans="1:2" x14ac:dyDescent="0.3">
      <c r="A764" s="7" t="s">
        <v>1563</v>
      </c>
      <c r="B764" s="7" t="s">
        <v>1564</v>
      </c>
    </row>
    <row r="765" spans="1:2" x14ac:dyDescent="0.3">
      <c r="A765" s="7" t="s">
        <v>1565</v>
      </c>
      <c r="B765" s="7" t="s">
        <v>1566</v>
      </c>
    </row>
    <row r="766" spans="1:2" x14ac:dyDescent="0.3">
      <c r="A766" s="7" t="s">
        <v>1567</v>
      </c>
      <c r="B766" s="7" t="s">
        <v>1568</v>
      </c>
    </row>
    <row r="767" spans="1:2" x14ac:dyDescent="0.3">
      <c r="A767" s="7" t="s">
        <v>1569</v>
      </c>
      <c r="B767" s="7" t="s">
        <v>1570</v>
      </c>
    </row>
    <row r="768" spans="1:2" x14ac:dyDescent="0.3">
      <c r="A768" s="7" t="s">
        <v>1571</v>
      </c>
      <c r="B768" s="7" t="s">
        <v>1572</v>
      </c>
    </row>
    <row r="769" spans="1:2" x14ac:dyDescent="0.3">
      <c r="A769" s="7" t="s">
        <v>1573</v>
      </c>
      <c r="B769" s="7" t="s">
        <v>867</v>
      </c>
    </row>
    <row r="770" spans="1:2" x14ac:dyDescent="0.3">
      <c r="A770" s="7" t="s">
        <v>1574</v>
      </c>
      <c r="B770" s="7" t="s">
        <v>1575</v>
      </c>
    </row>
    <row r="771" spans="1:2" x14ac:dyDescent="0.3">
      <c r="A771" s="7" t="s">
        <v>1576</v>
      </c>
      <c r="B771" s="7" t="s">
        <v>235</v>
      </c>
    </row>
    <row r="772" spans="1:2" x14ac:dyDescent="0.3">
      <c r="A772" s="7" t="s">
        <v>1577</v>
      </c>
      <c r="B772" s="7" t="s">
        <v>1578</v>
      </c>
    </row>
    <row r="773" spans="1:2" x14ac:dyDescent="0.3">
      <c r="A773" s="7" t="s">
        <v>1579</v>
      </c>
      <c r="B773" s="7" t="s">
        <v>1580</v>
      </c>
    </row>
    <row r="774" spans="1:2" x14ac:dyDescent="0.3">
      <c r="A774" s="7" t="s">
        <v>1581</v>
      </c>
      <c r="B774" s="7" t="s">
        <v>1582</v>
      </c>
    </row>
    <row r="775" spans="1:2" x14ac:dyDescent="0.3">
      <c r="A775" s="7" t="s">
        <v>1583</v>
      </c>
      <c r="B775" s="7" t="s">
        <v>1584</v>
      </c>
    </row>
    <row r="776" spans="1:2" x14ac:dyDescent="0.3">
      <c r="A776" s="7" t="s">
        <v>1585</v>
      </c>
      <c r="B776" s="7" t="s">
        <v>1586</v>
      </c>
    </row>
    <row r="777" spans="1:2" x14ac:dyDescent="0.3">
      <c r="A777" s="7" t="s">
        <v>1587</v>
      </c>
      <c r="B777" s="7" t="s">
        <v>1588</v>
      </c>
    </row>
    <row r="778" spans="1:2" x14ac:dyDescent="0.3">
      <c r="A778" s="7" t="s">
        <v>1589</v>
      </c>
      <c r="B778" s="7" t="s">
        <v>1590</v>
      </c>
    </row>
    <row r="779" spans="1:2" x14ac:dyDescent="0.3">
      <c r="A779" s="7" t="s">
        <v>1591</v>
      </c>
      <c r="B779" s="7" t="s">
        <v>1592</v>
      </c>
    </row>
    <row r="780" spans="1:2" x14ac:dyDescent="0.3">
      <c r="A780" s="7" t="s">
        <v>1593</v>
      </c>
      <c r="B780" s="7" t="s">
        <v>1594</v>
      </c>
    </row>
    <row r="781" spans="1:2" x14ac:dyDescent="0.3">
      <c r="A781" s="7" t="s">
        <v>1595</v>
      </c>
      <c r="B781" s="7" t="s">
        <v>1596</v>
      </c>
    </row>
    <row r="782" spans="1:2" x14ac:dyDescent="0.3">
      <c r="A782" s="7" t="s">
        <v>1597</v>
      </c>
      <c r="B782" s="7" t="s">
        <v>1598</v>
      </c>
    </row>
    <row r="783" spans="1:2" x14ac:dyDescent="0.3">
      <c r="A783" s="7" t="s">
        <v>1599</v>
      </c>
      <c r="B783" s="7" t="s">
        <v>1600</v>
      </c>
    </row>
    <row r="784" spans="1:2" x14ac:dyDescent="0.3">
      <c r="A784" s="7" t="s">
        <v>1601</v>
      </c>
      <c r="B784" s="7" t="s">
        <v>1134</v>
      </c>
    </row>
    <row r="785" spans="1:2" x14ac:dyDescent="0.3">
      <c r="A785" s="7" t="s">
        <v>1602</v>
      </c>
      <c r="B785" s="7" t="s">
        <v>1603</v>
      </c>
    </row>
    <row r="786" spans="1:2" x14ac:dyDescent="0.3">
      <c r="A786" s="7" t="s">
        <v>1604</v>
      </c>
      <c r="B786" s="7" t="s">
        <v>1605</v>
      </c>
    </row>
    <row r="787" spans="1:2" x14ac:dyDescent="0.3">
      <c r="A787" s="7" t="s">
        <v>1606</v>
      </c>
      <c r="B787" s="7" t="s">
        <v>1607</v>
      </c>
    </row>
    <row r="788" spans="1:2" x14ac:dyDescent="0.3">
      <c r="A788" s="7" t="s">
        <v>1608</v>
      </c>
      <c r="B788" s="7" t="s">
        <v>1609</v>
      </c>
    </row>
    <row r="789" spans="1:2" x14ac:dyDescent="0.3">
      <c r="A789" s="7" t="s">
        <v>1610</v>
      </c>
      <c r="B789" s="7" t="s">
        <v>1611</v>
      </c>
    </row>
    <row r="790" spans="1:2" x14ac:dyDescent="0.3">
      <c r="A790" s="7" t="s">
        <v>1612</v>
      </c>
      <c r="B790" s="7" t="s">
        <v>1613</v>
      </c>
    </row>
    <row r="791" spans="1:2" x14ac:dyDescent="0.3">
      <c r="A791" s="7" t="s">
        <v>1614</v>
      </c>
      <c r="B791" s="7" t="s">
        <v>1615</v>
      </c>
    </row>
    <row r="792" spans="1:2" x14ac:dyDescent="0.3">
      <c r="A792" s="7" t="s">
        <v>1616</v>
      </c>
      <c r="B792" s="7" t="s">
        <v>1617</v>
      </c>
    </row>
    <row r="793" spans="1:2" x14ac:dyDescent="0.3">
      <c r="A793" s="7" t="s">
        <v>1618</v>
      </c>
      <c r="B793" s="7" t="s">
        <v>1619</v>
      </c>
    </row>
    <row r="794" spans="1:2" x14ac:dyDescent="0.3">
      <c r="A794" s="7" t="s">
        <v>1620</v>
      </c>
      <c r="B794" s="7" t="s">
        <v>1266</v>
      </c>
    </row>
    <row r="795" spans="1:2" x14ac:dyDescent="0.3">
      <c r="A795" s="7" t="s">
        <v>1621</v>
      </c>
      <c r="B795" s="7" t="s">
        <v>1622</v>
      </c>
    </row>
    <row r="796" spans="1:2" x14ac:dyDescent="0.3">
      <c r="A796" s="7" t="s">
        <v>1623</v>
      </c>
      <c r="B796" s="7" t="s">
        <v>1624</v>
      </c>
    </row>
    <row r="797" spans="1:2" x14ac:dyDescent="0.3">
      <c r="A797" s="7" t="s">
        <v>1625</v>
      </c>
      <c r="B797" s="7" t="s">
        <v>291</v>
      </c>
    </row>
    <row r="798" spans="1:2" x14ac:dyDescent="0.3">
      <c r="A798" s="7" t="s">
        <v>1626</v>
      </c>
      <c r="B798" s="7" t="s">
        <v>1627</v>
      </c>
    </row>
    <row r="799" spans="1:2" x14ac:dyDescent="0.3">
      <c r="A799" s="7" t="s">
        <v>1628</v>
      </c>
      <c r="B799" s="7" t="s">
        <v>1629</v>
      </c>
    </row>
    <row r="800" spans="1:2" x14ac:dyDescent="0.3">
      <c r="A800" s="7" t="s">
        <v>1630</v>
      </c>
      <c r="B800" s="7" t="s">
        <v>1631</v>
      </c>
    </row>
    <row r="801" spans="1:2" x14ac:dyDescent="0.3">
      <c r="A801" s="7" t="s">
        <v>1632</v>
      </c>
      <c r="B801" s="7" t="s">
        <v>1633</v>
      </c>
    </row>
    <row r="802" spans="1:2" x14ac:dyDescent="0.3">
      <c r="A802" s="7" t="s">
        <v>1634</v>
      </c>
      <c r="B802" s="7" t="s">
        <v>1635</v>
      </c>
    </row>
    <row r="803" spans="1:2" x14ac:dyDescent="0.3">
      <c r="A803" s="7" t="s">
        <v>1636</v>
      </c>
      <c r="B803" s="7" t="s">
        <v>1637</v>
      </c>
    </row>
    <row r="804" spans="1:2" x14ac:dyDescent="0.3">
      <c r="A804" s="7" t="s">
        <v>1638</v>
      </c>
      <c r="B804" s="7" t="s">
        <v>1639</v>
      </c>
    </row>
    <row r="805" spans="1:2" x14ac:dyDescent="0.3">
      <c r="A805" s="7" t="s">
        <v>1640</v>
      </c>
      <c r="B805" s="7" t="s">
        <v>1641</v>
      </c>
    </row>
    <row r="806" spans="1:2" x14ac:dyDescent="0.3">
      <c r="A806" s="7" t="s">
        <v>1642</v>
      </c>
      <c r="B806" s="7" t="s">
        <v>1643</v>
      </c>
    </row>
    <row r="807" spans="1:2" x14ac:dyDescent="0.3">
      <c r="A807" s="7" t="s">
        <v>1644</v>
      </c>
      <c r="B807" s="7" t="s">
        <v>1645</v>
      </c>
    </row>
    <row r="808" spans="1:2" x14ac:dyDescent="0.3">
      <c r="A808" s="7" t="s">
        <v>1646</v>
      </c>
      <c r="B808" s="7" t="s">
        <v>1647</v>
      </c>
    </row>
    <row r="809" spans="1:2" x14ac:dyDescent="0.3">
      <c r="A809" s="7" t="s">
        <v>1648</v>
      </c>
      <c r="B809" s="7" t="s">
        <v>1649</v>
      </c>
    </row>
    <row r="810" spans="1:2" x14ac:dyDescent="0.3">
      <c r="A810" s="7" t="s">
        <v>1650</v>
      </c>
      <c r="B810" s="7" t="s">
        <v>1651</v>
      </c>
    </row>
    <row r="811" spans="1:2" x14ac:dyDescent="0.3">
      <c r="A811" s="7" t="s">
        <v>1652</v>
      </c>
      <c r="B811" s="7" t="s">
        <v>1289</v>
      </c>
    </row>
    <row r="812" spans="1:2" x14ac:dyDescent="0.3">
      <c r="A812" s="7" t="s">
        <v>1653</v>
      </c>
      <c r="B812" s="7" t="s">
        <v>1654</v>
      </c>
    </row>
    <row r="813" spans="1:2" x14ac:dyDescent="0.3">
      <c r="A813" s="7" t="s">
        <v>1655</v>
      </c>
      <c r="B813" s="7" t="s">
        <v>470</v>
      </c>
    </row>
    <row r="814" spans="1:2" x14ac:dyDescent="0.3">
      <c r="A814" s="7" t="s">
        <v>1656</v>
      </c>
      <c r="B814" s="7" t="s">
        <v>1657</v>
      </c>
    </row>
    <row r="815" spans="1:2" x14ac:dyDescent="0.3">
      <c r="A815" s="7" t="s">
        <v>1658</v>
      </c>
      <c r="B815" s="7" t="s">
        <v>1659</v>
      </c>
    </row>
    <row r="816" spans="1:2" x14ac:dyDescent="0.3">
      <c r="A816" s="7" t="s">
        <v>1660</v>
      </c>
      <c r="B816" s="7" t="s">
        <v>1661</v>
      </c>
    </row>
    <row r="817" spans="1:2" x14ac:dyDescent="0.3">
      <c r="A817" s="7" t="s">
        <v>1662</v>
      </c>
      <c r="B817" s="7" t="s">
        <v>1663</v>
      </c>
    </row>
    <row r="818" spans="1:2" x14ac:dyDescent="0.3">
      <c r="A818" s="7" t="s">
        <v>1664</v>
      </c>
      <c r="B818" s="7" t="s">
        <v>490</v>
      </c>
    </row>
    <row r="819" spans="1:2" x14ac:dyDescent="0.3">
      <c r="A819" s="7" t="s">
        <v>1665</v>
      </c>
      <c r="B819" s="7" t="s">
        <v>1666</v>
      </c>
    </row>
    <row r="820" spans="1:2" x14ac:dyDescent="0.3">
      <c r="A820" s="7" t="s">
        <v>1667</v>
      </c>
      <c r="B820" s="7" t="s">
        <v>1668</v>
      </c>
    </row>
    <row r="821" spans="1:2" x14ac:dyDescent="0.3">
      <c r="A821" s="7" t="s">
        <v>1669</v>
      </c>
      <c r="B821" s="7" t="s">
        <v>1670</v>
      </c>
    </row>
    <row r="822" spans="1:2" x14ac:dyDescent="0.3">
      <c r="A822" s="7" t="s">
        <v>1671</v>
      </c>
      <c r="B822" s="7" t="s">
        <v>1672</v>
      </c>
    </row>
    <row r="823" spans="1:2" x14ac:dyDescent="0.3">
      <c r="A823" s="7" t="s">
        <v>1673</v>
      </c>
      <c r="B823" s="7" t="s">
        <v>1674</v>
      </c>
    </row>
    <row r="824" spans="1:2" x14ac:dyDescent="0.3">
      <c r="A824" s="7" t="s">
        <v>1675</v>
      </c>
      <c r="B824" s="7" t="s">
        <v>1676</v>
      </c>
    </row>
    <row r="825" spans="1:2" x14ac:dyDescent="0.3">
      <c r="A825" s="7" t="s">
        <v>1677</v>
      </c>
      <c r="B825" s="7" t="s">
        <v>1678</v>
      </c>
    </row>
    <row r="826" spans="1:2" x14ac:dyDescent="0.3">
      <c r="A826" s="7" t="s">
        <v>1679</v>
      </c>
      <c r="B826" s="7" t="s">
        <v>1680</v>
      </c>
    </row>
    <row r="827" spans="1:2" x14ac:dyDescent="0.3">
      <c r="A827" s="7" t="s">
        <v>1681</v>
      </c>
      <c r="B827" s="7" t="s">
        <v>1682</v>
      </c>
    </row>
    <row r="828" spans="1:2" x14ac:dyDescent="0.3">
      <c r="A828" s="7" t="s">
        <v>1683</v>
      </c>
      <c r="B828" s="7" t="s">
        <v>1684</v>
      </c>
    </row>
    <row r="829" spans="1:2" x14ac:dyDescent="0.3">
      <c r="A829" s="7" t="s">
        <v>1685</v>
      </c>
      <c r="B829" s="7" t="s">
        <v>1686</v>
      </c>
    </row>
    <row r="830" spans="1:2" x14ac:dyDescent="0.3">
      <c r="A830" s="7" t="s">
        <v>1687</v>
      </c>
      <c r="B830" s="7" t="s">
        <v>1688</v>
      </c>
    </row>
    <row r="831" spans="1:2" x14ac:dyDescent="0.3">
      <c r="A831" s="7" t="s">
        <v>1689</v>
      </c>
      <c r="B831" s="7" t="s">
        <v>1690</v>
      </c>
    </row>
    <row r="832" spans="1:2" x14ac:dyDescent="0.3">
      <c r="A832" s="7" t="s">
        <v>1691</v>
      </c>
      <c r="B832" s="7" t="s">
        <v>1692</v>
      </c>
    </row>
    <row r="833" spans="1:2" x14ac:dyDescent="0.3">
      <c r="A833" s="7" t="s">
        <v>1693</v>
      </c>
      <c r="B833" s="7" t="s">
        <v>1694</v>
      </c>
    </row>
    <row r="834" spans="1:2" x14ac:dyDescent="0.3">
      <c r="A834" s="7" t="s">
        <v>1695</v>
      </c>
      <c r="B834" s="7" t="s">
        <v>1696</v>
      </c>
    </row>
    <row r="835" spans="1:2" x14ac:dyDescent="0.3">
      <c r="A835" s="7" t="s">
        <v>1697</v>
      </c>
      <c r="B835" s="7" t="s">
        <v>1698</v>
      </c>
    </row>
    <row r="836" spans="1:2" x14ac:dyDescent="0.3">
      <c r="A836" s="7" t="s">
        <v>1699</v>
      </c>
      <c r="B836" s="7" t="s">
        <v>1700</v>
      </c>
    </row>
    <row r="837" spans="1:2" x14ac:dyDescent="0.3">
      <c r="A837" s="7" t="s">
        <v>1701</v>
      </c>
      <c r="B837" s="7" t="s">
        <v>1702</v>
      </c>
    </row>
    <row r="838" spans="1:2" x14ac:dyDescent="0.3">
      <c r="A838" s="7" t="s">
        <v>1703</v>
      </c>
      <c r="B838" s="7" t="s">
        <v>1704</v>
      </c>
    </row>
    <row r="839" spans="1:2" x14ac:dyDescent="0.3">
      <c r="A839" s="7" t="s">
        <v>1705</v>
      </c>
      <c r="B839" s="7" t="s">
        <v>1706</v>
      </c>
    </row>
    <row r="840" spans="1:2" x14ac:dyDescent="0.3">
      <c r="A840" s="7" t="s">
        <v>1707</v>
      </c>
      <c r="B840" s="7" t="s">
        <v>1708</v>
      </c>
    </row>
    <row r="841" spans="1:2" x14ac:dyDescent="0.3">
      <c r="A841" s="7" t="s">
        <v>1709</v>
      </c>
      <c r="B841" s="7" t="s">
        <v>1710</v>
      </c>
    </row>
    <row r="842" spans="1:2" x14ac:dyDescent="0.3">
      <c r="A842" s="7" t="s">
        <v>1711</v>
      </c>
      <c r="B842" s="7" t="s">
        <v>1712</v>
      </c>
    </row>
    <row r="843" spans="1:2" x14ac:dyDescent="0.3">
      <c r="A843" s="7" t="s">
        <v>1713</v>
      </c>
      <c r="B843" s="7" t="s">
        <v>1714</v>
      </c>
    </row>
    <row r="844" spans="1:2" x14ac:dyDescent="0.3">
      <c r="A844" s="7" t="s">
        <v>1715</v>
      </c>
      <c r="B844" s="7" t="s">
        <v>1716</v>
      </c>
    </row>
    <row r="845" spans="1:2" x14ac:dyDescent="0.3">
      <c r="A845" s="7" t="s">
        <v>1717</v>
      </c>
      <c r="B845" s="7" t="s">
        <v>1718</v>
      </c>
    </row>
    <row r="846" spans="1:2" x14ac:dyDescent="0.3">
      <c r="A846" s="7" t="s">
        <v>1719</v>
      </c>
      <c r="B846" s="7" t="s">
        <v>1720</v>
      </c>
    </row>
    <row r="847" spans="1:2" x14ac:dyDescent="0.3">
      <c r="A847" s="7" t="s">
        <v>1721</v>
      </c>
      <c r="B847" s="7" t="s">
        <v>1722</v>
      </c>
    </row>
    <row r="848" spans="1:2" x14ac:dyDescent="0.3">
      <c r="A848" s="7" t="s">
        <v>1723</v>
      </c>
      <c r="B848" s="7" t="s">
        <v>1724</v>
      </c>
    </row>
    <row r="849" spans="1:2" x14ac:dyDescent="0.3">
      <c r="A849" s="7" t="s">
        <v>1725</v>
      </c>
      <c r="B849" s="7" t="s">
        <v>1726</v>
      </c>
    </row>
    <row r="850" spans="1:2" x14ac:dyDescent="0.3">
      <c r="A850" s="7" t="s">
        <v>1727</v>
      </c>
      <c r="B850" s="7" t="s">
        <v>1728</v>
      </c>
    </row>
    <row r="851" spans="1:2" x14ac:dyDescent="0.3">
      <c r="A851" s="7" t="s">
        <v>1729</v>
      </c>
      <c r="B851" s="7" t="s">
        <v>1730</v>
      </c>
    </row>
    <row r="852" spans="1:2" x14ac:dyDescent="0.3">
      <c r="A852" s="7" t="s">
        <v>1731</v>
      </c>
      <c r="B852" s="7" t="s">
        <v>1732</v>
      </c>
    </row>
    <row r="853" spans="1:2" x14ac:dyDescent="0.3">
      <c r="A853" s="7" t="s">
        <v>1733</v>
      </c>
      <c r="B853" s="7" t="s">
        <v>1734</v>
      </c>
    </row>
    <row r="854" spans="1:2" x14ac:dyDescent="0.3">
      <c r="A854" s="7" t="s">
        <v>1735</v>
      </c>
      <c r="B854" s="7" t="s">
        <v>93</v>
      </c>
    </row>
    <row r="855" spans="1:2" x14ac:dyDescent="0.3">
      <c r="A855" s="7" t="s">
        <v>1736</v>
      </c>
      <c r="B855" s="7" t="s">
        <v>1228</v>
      </c>
    </row>
    <row r="856" spans="1:2" x14ac:dyDescent="0.3">
      <c r="A856" s="7" t="s">
        <v>1737</v>
      </c>
      <c r="B856" s="7" t="s">
        <v>1738</v>
      </c>
    </row>
    <row r="857" spans="1:2" x14ac:dyDescent="0.3">
      <c r="A857" s="7" t="s">
        <v>1739</v>
      </c>
      <c r="B857" s="7" t="s">
        <v>1740</v>
      </c>
    </row>
    <row r="858" spans="1:2" x14ac:dyDescent="0.3">
      <c r="A858" s="7" t="s">
        <v>1741</v>
      </c>
      <c r="B858" s="7" t="s">
        <v>1742</v>
      </c>
    </row>
    <row r="859" spans="1:2" x14ac:dyDescent="0.3">
      <c r="A859" s="7" t="s">
        <v>1743</v>
      </c>
      <c r="B859" s="7" t="s">
        <v>1744</v>
      </c>
    </row>
    <row r="860" spans="1:2" x14ac:dyDescent="0.3">
      <c r="A860" s="7" t="s">
        <v>1745</v>
      </c>
      <c r="B860" s="7" t="s">
        <v>1746</v>
      </c>
    </row>
    <row r="861" spans="1:2" x14ac:dyDescent="0.3">
      <c r="A861" s="7" t="s">
        <v>1747</v>
      </c>
      <c r="B861" s="7" t="s">
        <v>1748</v>
      </c>
    </row>
    <row r="862" spans="1:2" x14ac:dyDescent="0.3">
      <c r="A862" s="7" t="s">
        <v>1749</v>
      </c>
      <c r="B862" s="7" t="s">
        <v>1750</v>
      </c>
    </row>
    <row r="863" spans="1:2" x14ac:dyDescent="0.3">
      <c r="A863" s="7" t="s">
        <v>1751</v>
      </c>
      <c r="B863" s="7" t="s">
        <v>1752</v>
      </c>
    </row>
    <row r="864" spans="1:2" x14ac:dyDescent="0.3">
      <c r="A864" s="7" t="s">
        <v>1753</v>
      </c>
      <c r="B864" s="7" t="s">
        <v>1754</v>
      </c>
    </row>
    <row r="865" spans="1:2" x14ac:dyDescent="0.3">
      <c r="A865" s="7" t="s">
        <v>1755</v>
      </c>
      <c r="B865" s="7" t="s">
        <v>1756</v>
      </c>
    </row>
    <row r="866" spans="1:2" x14ac:dyDescent="0.3">
      <c r="A866" s="7" t="s">
        <v>1757</v>
      </c>
      <c r="B866" s="7" t="s">
        <v>1758</v>
      </c>
    </row>
    <row r="867" spans="1:2" x14ac:dyDescent="0.3">
      <c r="A867" s="7" t="s">
        <v>1759</v>
      </c>
      <c r="B867" s="7" t="s">
        <v>1760</v>
      </c>
    </row>
    <row r="868" spans="1:2" x14ac:dyDescent="0.3">
      <c r="A868" s="7" t="s">
        <v>1761</v>
      </c>
      <c r="B868" s="7" t="s">
        <v>1762</v>
      </c>
    </row>
    <row r="869" spans="1:2" x14ac:dyDescent="0.3">
      <c r="A869" s="7" t="s">
        <v>1763</v>
      </c>
      <c r="B869" s="7" t="s">
        <v>169</v>
      </c>
    </row>
    <row r="870" spans="1:2" x14ac:dyDescent="0.3">
      <c r="A870" s="7" t="s">
        <v>1764</v>
      </c>
      <c r="B870" s="7" t="s">
        <v>1765</v>
      </c>
    </row>
    <row r="871" spans="1:2" x14ac:dyDescent="0.3">
      <c r="A871" s="7" t="s">
        <v>1766</v>
      </c>
      <c r="B871" s="7" t="s">
        <v>1767</v>
      </c>
    </row>
    <row r="872" spans="1:2" x14ac:dyDescent="0.3">
      <c r="A872" s="7" t="s">
        <v>1768</v>
      </c>
      <c r="B872" s="7" t="s">
        <v>1769</v>
      </c>
    </row>
    <row r="873" spans="1:2" x14ac:dyDescent="0.3">
      <c r="A873" s="7" t="s">
        <v>1770</v>
      </c>
      <c r="B873" s="7" t="s">
        <v>1771</v>
      </c>
    </row>
    <row r="874" spans="1:2" x14ac:dyDescent="0.3">
      <c r="A874" s="7" t="s">
        <v>1772</v>
      </c>
      <c r="B874" s="7" t="s">
        <v>1773</v>
      </c>
    </row>
    <row r="875" spans="1:2" x14ac:dyDescent="0.3">
      <c r="A875" s="7" t="s">
        <v>1774</v>
      </c>
      <c r="B875" s="7" t="s">
        <v>1775</v>
      </c>
    </row>
    <row r="876" spans="1:2" x14ac:dyDescent="0.3">
      <c r="A876" s="7" t="s">
        <v>1776</v>
      </c>
      <c r="B876" s="7" t="s">
        <v>1777</v>
      </c>
    </row>
    <row r="877" spans="1:2" x14ac:dyDescent="0.3">
      <c r="A877" s="7" t="s">
        <v>1778</v>
      </c>
      <c r="B877" s="7" t="s">
        <v>245</v>
      </c>
    </row>
    <row r="878" spans="1:2" x14ac:dyDescent="0.3">
      <c r="A878" s="7" t="s">
        <v>1779</v>
      </c>
      <c r="B878" s="7" t="s">
        <v>1780</v>
      </c>
    </row>
    <row r="879" spans="1:2" x14ac:dyDescent="0.3">
      <c r="A879" s="7" t="s">
        <v>1781</v>
      </c>
      <c r="B879" s="7" t="s">
        <v>1698</v>
      </c>
    </row>
    <row r="880" spans="1:2" x14ac:dyDescent="0.3">
      <c r="A880" s="7" t="s">
        <v>1782</v>
      </c>
      <c r="B880" s="7" t="s">
        <v>1783</v>
      </c>
    </row>
    <row r="881" spans="1:2" x14ac:dyDescent="0.3">
      <c r="A881" s="7" t="s">
        <v>1784</v>
      </c>
      <c r="B881" s="7" t="s">
        <v>1785</v>
      </c>
    </row>
    <row r="882" spans="1:2" x14ac:dyDescent="0.3">
      <c r="A882" s="7" t="s">
        <v>1786</v>
      </c>
      <c r="B882" s="7" t="s">
        <v>1787</v>
      </c>
    </row>
    <row r="883" spans="1:2" x14ac:dyDescent="0.3">
      <c r="A883" s="7" t="s">
        <v>1788</v>
      </c>
      <c r="B883" s="7" t="s">
        <v>179</v>
      </c>
    </row>
    <row r="884" spans="1:2" x14ac:dyDescent="0.3">
      <c r="A884" s="7" t="s">
        <v>1789</v>
      </c>
      <c r="B884" s="7" t="s">
        <v>617</v>
      </c>
    </row>
    <row r="885" spans="1:2" x14ac:dyDescent="0.3">
      <c r="A885" s="7" t="s">
        <v>1790</v>
      </c>
      <c r="B885" s="7" t="s">
        <v>1791</v>
      </c>
    </row>
    <row r="886" spans="1:2" x14ac:dyDescent="0.3">
      <c r="A886" s="7" t="s">
        <v>1792</v>
      </c>
      <c r="B886" s="7" t="s">
        <v>1793</v>
      </c>
    </row>
    <row r="887" spans="1:2" x14ac:dyDescent="0.3">
      <c r="A887" s="7" t="s">
        <v>1794</v>
      </c>
      <c r="B887" s="7" t="s">
        <v>1795</v>
      </c>
    </row>
    <row r="888" spans="1:2" x14ac:dyDescent="0.3">
      <c r="A888" s="7" t="s">
        <v>1796</v>
      </c>
      <c r="B888" s="7" t="s">
        <v>1797</v>
      </c>
    </row>
    <row r="889" spans="1:2" x14ac:dyDescent="0.3">
      <c r="A889" s="7" t="s">
        <v>1798</v>
      </c>
      <c r="B889" s="7" t="s">
        <v>1799</v>
      </c>
    </row>
    <row r="890" spans="1:2" x14ac:dyDescent="0.3">
      <c r="A890" s="7" t="s">
        <v>1800</v>
      </c>
      <c r="B890" s="7" t="s">
        <v>1801</v>
      </c>
    </row>
    <row r="891" spans="1:2" x14ac:dyDescent="0.3">
      <c r="A891" s="7" t="s">
        <v>1802</v>
      </c>
      <c r="B891" s="7" t="s">
        <v>1803</v>
      </c>
    </row>
    <row r="892" spans="1:2" x14ac:dyDescent="0.3">
      <c r="A892" s="7" t="s">
        <v>1804</v>
      </c>
      <c r="B892" s="7" t="s">
        <v>1805</v>
      </c>
    </row>
    <row r="893" spans="1:2" x14ac:dyDescent="0.3">
      <c r="A893" s="7" t="s">
        <v>1806</v>
      </c>
      <c r="B893" s="7" t="s">
        <v>1807</v>
      </c>
    </row>
    <row r="894" spans="1:2" x14ac:dyDescent="0.3">
      <c r="A894" s="7" t="s">
        <v>1808</v>
      </c>
      <c r="B894" s="7" t="s">
        <v>1809</v>
      </c>
    </row>
    <row r="895" spans="1:2" x14ac:dyDescent="0.3">
      <c r="A895" s="7" t="s">
        <v>1810</v>
      </c>
      <c r="B895" s="7" t="s">
        <v>1811</v>
      </c>
    </row>
    <row r="896" spans="1:2" x14ac:dyDescent="0.3">
      <c r="A896" s="7" t="s">
        <v>1812</v>
      </c>
      <c r="B896" s="7" t="s">
        <v>1813</v>
      </c>
    </row>
    <row r="897" spans="1:2" x14ac:dyDescent="0.3">
      <c r="A897" s="7" t="s">
        <v>1814</v>
      </c>
      <c r="B897" s="7" t="s">
        <v>1815</v>
      </c>
    </row>
    <row r="898" spans="1:2" x14ac:dyDescent="0.3">
      <c r="A898" s="7" t="s">
        <v>1816</v>
      </c>
      <c r="B898" s="7" t="s">
        <v>1817</v>
      </c>
    </row>
    <row r="899" spans="1:2" x14ac:dyDescent="0.3">
      <c r="A899" s="7" t="s">
        <v>1818</v>
      </c>
      <c r="B899" s="7" t="s">
        <v>1819</v>
      </c>
    </row>
    <row r="900" spans="1:2" x14ac:dyDescent="0.3">
      <c r="A900" s="7" t="s">
        <v>1820</v>
      </c>
      <c r="B900" s="7" t="s">
        <v>1821</v>
      </c>
    </row>
    <row r="901" spans="1:2" x14ac:dyDescent="0.3">
      <c r="A901" s="7" t="s">
        <v>1822</v>
      </c>
      <c r="B901" s="7" t="s">
        <v>925</v>
      </c>
    </row>
    <row r="902" spans="1:2" x14ac:dyDescent="0.3">
      <c r="A902" s="7" t="s">
        <v>1823</v>
      </c>
      <c r="B902" s="7" t="s">
        <v>1824</v>
      </c>
    </row>
    <row r="903" spans="1:2" x14ac:dyDescent="0.3">
      <c r="A903" s="7" t="s">
        <v>1825</v>
      </c>
      <c r="B903" s="7" t="s">
        <v>1826</v>
      </c>
    </row>
    <row r="904" spans="1:2" x14ac:dyDescent="0.3">
      <c r="A904" s="7" t="s">
        <v>1827</v>
      </c>
      <c r="B904" s="7" t="s">
        <v>1828</v>
      </c>
    </row>
    <row r="905" spans="1:2" x14ac:dyDescent="0.3">
      <c r="A905" s="7" t="s">
        <v>1829</v>
      </c>
      <c r="B905" s="7" t="s">
        <v>1830</v>
      </c>
    </row>
    <row r="906" spans="1:2" x14ac:dyDescent="0.3">
      <c r="A906" s="7" t="s">
        <v>1831</v>
      </c>
      <c r="B906" s="7" t="s">
        <v>253</v>
      </c>
    </row>
    <row r="907" spans="1:2" x14ac:dyDescent="0.3">
      <c r="A907" s="7" t="s">
        <v>1832</v>
      </c>
      <c r="B907" s="7" t="s">
        <v>1833</v>
      </c>
    </row>
    <row r="908" spans="1:2" x14ac:dyDescent="0.3">
      <c r="A908" s="7" t="s">
        <v>1834</v>
      </c>
      <c r="B908" s="7" t="s">
        <v>1835</v>
      </c>
    </row>
    <row r="909" spans="1:2" x14ac:dyDescent="0.3">
      <c r="A909" s="7" t="s">
        <v>1836</v>
      </c>
      <c r="B909" s="7" t="s">
        <v>1837</v>
      </c>
    </row>
    <row r="910" spans="1:2" x14ac:dyDescent="0.3">
      <c r="A910" s="7" t="s">
        <v>1838</v>
      </c>
      <c r="B910" s="7" t="s">
        <v>1839</v>
      </c>
    </row>
    <row r="911" spans="1:2" x14ac:dyDescent="0.3">
      <c r="A911" s="7" t="s">
        <v>1840</v>
      </c>
      <c r="B911" s="7" t="s">
        <v>1841</v>
      </c>
    </row>
    <row r="912" spans="1:2" x14ac:dyDescent="0.3">
      <c r="A912" s="7" t="s">
        <v>1842</v>
      </c>
      <c r="B912" s="7" t="s">
        <v>1843</v>
      </c>
    </row>
    <row r="913" spans="1:2" x14ac:dyDescent="0.3">
      <c r="A913" s="7" t="s">
        <v>1844</v>
      </c>
      <c r="B913" s="7" t="s">
        <v>1845</v>
      </c>
    </row>
    <row r="914" spans="1:2" x14ac:dyDescent="0.3">
      <c r="A914" s="7" t="s">
        <v>1846</v>
      </c>
      <c r="B914" s="7" t="s">
        <v>1847</v>
      </c>
    </row>
    <row r="915" spans="1:2" x14ac:dyDescent="0.3">
      <c r="A915" s="7" t="s">
        <v>1848</v>
      </c>
      <c r="B915" s="7" t="s">
        <v>157</v>
      </c>
    </row>
    <row r="916" spans="1:2" x14ac:dyDescent="0.3">
      <c r="A916" s="7" t="s">
        <v>1849</v>
      </c>
      <c r="B916" s="7" t="s">
        <v>1850</v>
      </c>
    </row>
    <row r="917" spans="1:2" x14ac:dyDescent="0.3">
      <c r="A917" s="7" t="s">
        <v>1851</v>
      </c>
      <c r="B917" s="7" t="s">
        <v>1852</v>
      </c>
    </row>
    <row r="918" spans="1:2" x14ac:dyDescent="0.3">
      <c r="A918" s="7" t="s">
        <v>1853</v>
      </c>
      <c r="B918" s="7" t="s">
        <v>1854</v>
      </c>
    </row>
    <row r="919" spans="1:2" x14ac:dyDescent="0.3">
      <c r="A919" s="7" t="s">
        <v>1855</v>
      </c>
      <c r="B919" s="7" t="s">
        <v>1856</v>
      </c>
    </row>
    <row r="920" spans="1:2" x14ac:dyDescent="0.3">
      <c r="A920" s="7" t="s">
        <v>1857</v>
      </c>
      <c r="B920" s="7" t="s">
        <v>1858</v>
      </c>
    </row>
    <row r="921" spans="1:2" x14ac:dyDescent="0.3">
      <c r="A921" s="7" t="s">
        <v>1859</v>
      </c>
      <c r="B921" s="7" t="s">
        <v>1860</v>
      </c>
    </row>
    <row r="922" spans="1:2" x14ac:dyDescent="0.3">
      <c r="A922" s="7" t="s">
        <v>1861</v>
      </c>
      <c r="B922" s="7" t="s">
        <v>1862</v>
      </c>
    </row>
    <row r="923" spans="1:2" x14ac:dyDescent="0.3">
      <c r="A923" s="7" t="s">
        <v>1863</v>
      </c>
      <c r="B923" s="7" t="s">
        <v>1864</v>
      </c>
    </row>
    <row r="924" spans="1:2" x14ac:dyDescent="0.3">
      <c r="A924" s="7" t="s">
        <v>1865</v>
      </c>
      <c r="B924" s="7" t="s">
        <v>1866</v>
      </c>
    </row>
    <row r="925" spans="1:2" x14ac:dyDescent="0.3">
      <c r="A925" s="7" t="s">
        <v>1867</v>
      </c>
      <c r="B925" s="7" t="s">
        <v>1868</v>
      </c>
    </row>
    <row r="926" spans="1:2" x14ac:dyDescent="0.3">
      <c r="A926" s="7" t="s">
        <v>1869</v>
      </c>
      <c r="B926" s="7" t="s">
        <v>1870</v>
      </c>
    </row>
    <row r="927" spans="1:2" x14ac:dyDescent="0.3">
      <c r="A927" s="7" t="s">
        <v>1871</v>
      </c>
      <c r="B927" s="7" t="s">
        <v>1872</v>
      </c>
    </row>
    <row r="928" spans="1:2" x14ac:dyDescent="0.3">
      <c r="A928" s="7" t="s">
        <v>1873</v>
      </c>
      <c r="B928" s="7" t="s">
        <v>1874</v>
      </c>
    </row>
    <row r="929" spans="1:2" x14ac:dyDescent="0.3">
      <c r="A929" s="7" t="s">
        <v>1875</v>
      </c>
      <c r="B929" s="7" t="s">
        <v>221</v>
      </c>
    </row>
    <row r="930" spans="1:2" x14ac:dyDescent="0.3">
      <c r="A930" s="7" t="s">
        <v>1876</v>
      </c>
      <c r="B930" s="7" t="s">
        <v>1877</v>
      </c>
    </row>
    <row r="931" spans="1:2" x14ac:dyDescent="0.3">
      <c r="A931" s="7" t="s">
        <v>1878</v>
      </c>
      <c r="B931" s="7" t="s">
        <v>1879</v>
      </c>
    </row>
    <row r="932" spans="1:2" x14ac:dyDescent="0.3">
      <c r="A932" s="7" t="s">
        <v>1880</v>
      </c>
      <c r="B932" s="7" t="s">
        <v>1881</v>
      </c>
    </row>
    <row r="933" spans="1:2" x14ac:dyDescent="0.3">
      <c r="A933" s="7" t="s">
        <v>1882</v>
      </c>
      <c r="B933" s="7" t="s">
        <v>1883</v>
      </c>
    </row>
    <row r="934" spans="1:2" x14ac:dyDescent="0.3">
      <c r="A934" s="7" t="s">
        <v>1884</v>
      </c>
      <c r="B934" s="7" t="s">
        <v>1885</v>
      </c>
    </row>
    <row r="935" spans="1:2" x14ac:dyDescent="0.3">
      <c r="A935" s="7" t="s">
        <v>1886</v>
      </c>
      <c r="B935" s="7" t="s">
        <v>161</v>
      </c>
    </row>
    <row r="936" spans="1:2" x14ac:dyDescent="0.3">
      <c r="A936" s="7" t="s">
        <v>1887</v>
      </c>
      <c r="B936" s="7" t="s">
        <v>1888</v>
      </c>
    </row>
    <row r="937" spans="1:2" x14ac:dyDescent="0.3">
      <c r="A937" s="7" t="s">
        <v>1889</v>
      </c>
      <c r="B937" s="7" t="s">
        <v>1780</v>
      </c>
    </row>
    <row r="938" spans="1:2" x14ac:dyDescent="0.3">
      <c r="A938" s="7" t="s">
        <v>1890</v>
      </c>
      <c r="B938" s="7" t="s">
        <v>1891</v>
      </c>
    </row>
    <row r="939" spans="1:2" x14ac:dyDescent="0.3">
      <c r="A939" s="7" t="s">
        <v>1892</v>
      </c>
      <c r="B939" s="7" t="s">
        <v>1893</v>
      </c>
    </row>
    <row r="940" spans="1:2" x14ac:dyDescent="0.3">
      <c r="A940" s="7" t="s">
        <v>1894</v>
      </c>
      <c r="B940" s="7" t="s">
        <v>1280</v>
      </c>
    </row>
    <row r="941" spans="1:2" x14ac:dyDescent="0.3">
      <c r="A941" s="7" t="s">
        <v>1895</v>
      </c>
      <c r="B941" s="7" t="s">
        <v>1896</v>
      </c>
    </row>
    <row r="942" spans="1:2" x14ac:dyDescent="0.3">
      <c r="A942" s="7" t="s">
        <v>1897</v>
      </c>
      <c r="B942" s="7" t="s">
        <v>1898</v>
      </c>
    </row>
    <row r="943" spans="1:2" x14ac:dyDescent="0.3">
      <c r="A943" s="7" t="s">
        <v>1899</v>
      </c>
      <c r="B943" s="7" t="s">
        <v>1900</v>
      </c>
    </row>
    <row r="944" spans="1:2" x14ac:dyDescent="0.3">
      <c r="A944" s="7" t="s">
        <v>1901</v>
      </c>
      <c r="B944" s="7" t="s">
        <v>1902</v>
      </c>
    </row>
    <row r="945" spans="1:2" x14ac:dyDescent="0.3">
      <c r="A945" s="7" t="s">
        <v>1903</v>
      </c>
      <c r="B945" s="7" t="s">
        <v>1904</v>
      </c>
    </row>
    <row r="946" spans="1:2" x14ac:dyDescent="0.3">
      <c r="A946" s="7" t="s">
        <v>1905</v>
      </c>
      <c r="B946" s="7" t="s">
        <v>1906</v>
      </c>
    </row>
    <row r="947" spans="1:2" x14ac:dyDescent="0.3">
      <c r="A947" s="7" t="s">
        <v>1907</v>
      </c>
      <c r="B947" s="7" t="s">
        <v>1908</v>
      </c>
    </row>
    <row r="948" spans="1:2" x14ac:dyDescent="0.3">
      <c r="A948" s="7" t="s">
        <v>1909</v>
      </c>
      <c r="B948" s="7" t="s">
        <v>1910</v>
      </c>
    </row>
    <row r="949" spans="1:2" x14ac:dyDescent="0.3">
      <c r="A949" s="7" t="s">
        <v>1911</v>
      </c>
      <c r="B949" s="7" t="s">
        <v>1912</v>
      </c>
    </row>
    <row r="950" spans="1:2" x14ac:dyDescent="0.3">
      <c r="A950" s="7" t="s">
        <v>1913</v>
      </c>
      <c r="B950" s="7" t="s">
        <v>1914</v>
      </c>
    </row>
    <row r="951" spans="1:2" x14ac:dyDescent="0.3">
      <c r="A951" s="7" t="s">
        <v>1915</v>
      </c>
      <c r="B951" s="7" t="s">
        <v>1916</v>
      </c>
    </row>
    <row r="952" spans="1:2" x14ac:dyDescent="0.3">
      <c r="A952" s="7" t="s">
        <v>1917</v>
      </c>
      <c r="B952" s="7" t="s">
        <v>1918</v>
      </c>
    </row>
    <row r="953" spans="1:2" x14ac:dyDescent="0.3">
      <c r="A953" s="7" t="s">
        <v>1919</v>
      </c>
      <c r="B953" s="7" t="s">
        <v>1920</v>
      </c>
    </row>
    <row r="954" spans="1:2" x14ac:dyDescent="0.3">
      <c r="A954" s="7" t="s">
        <v>1921</v>
      </c>
      <c r="B954" s="7" t="s">
        <v>450</v>
      </c>
    </row>
    <row r="955" spans="1:2" x14ac:dyDescent="0.3">
      <c r="A955" s="7" t="s">
        <v>1922</v>
      </c>
      <c r="B955" s="7" t="s">
        <v>1923</v>
      </c>
    </row>
    <row r="956" spans="1:2" x14ac:dyDescent="0.3">
      <c r="A956" s="7" t="s">
        <v>1924</v>
      </c>
      <c r="B956" s="7" t="s">
        <v>265</v>
      </c>
    </row>
    <row r="957" spans="1:2" x14ac:dyDescent="0.3">
      <c r="A957" s="7" t="s">
        <v>1925</v>
      </c>
      <c r="B957" s="7" t="s">
        <v>1926</v>
      </c>
    </row>
    <row r="958" spans="1:2" x14ac:dyDescent="0.3">
      <c r="A958" s="7" t="s">
        <v>1927</v>
      </c>
      <c r="B958" s="7" t="s">
        <v>1928</v>
      </c>
    </row>
    <row r="959" spans="1:2" x14ac:dyDescent="0.3">
      <c r="A959" s="7" t="s">
        <v>1929</v>
      </c>
      <c r="B959" s="7" t="s">
        <v>1930</v>
      </c>
    </row>
    <row r="960" spans="1:2" x14ac:dyDescent="0.3">
      <c r="A960" s="7" t="s">
        <v>1931</v>
      </c>
      <c r="B960" s="7" t="s">
        <v>1932</v>
      </c>
    </row>
    <row r="961" spans="1:2" x14ac:dyDescent="0.3">
      <c r="A961" s="7" t="s">
        <v>1933</v>
      </c>
      <c r="B961" s="7" t="s">
        <v>1934</v>
      </c>
    </row>
    <row r="962" spans="1:2" x14ac:dyDescent="0.3">
      <c r="A962" s="7" t="s">
        <v>1935</v>
      </c>
      <c r="B962" s="7" t="s">
        <v>1936</v>
      </c>
    </row>
    <row r="963" spans="1:2" x14ac:dyDescent="0.3">
      <c r="A963" s="7" t="s">
        <v>1937</v>
      </c>
      <c r="B963" s="7" t="s">
        <v>1938</v>
      </c>
    </row>
    <row r="964" spans="1:2" x14ac:dyDescent="0.3">
      <c r="A964" s="7" t="s">
        <v>1939</v>
      </c>
      <c r="B964" s="7" t="s">
        <v>1940</v>
      </c>
    </row>
    <row r="965" spans="1:2" x14ac:dyDescent="0.3">
      <c r="A965" s="7" t="s">
        <v>1941</v>
      </c>
      <c r="B965" s="7" t="s">
        <v>1942</v>
      </c>
    </row>
    <row r="966" spans="1:2" x14ac:dyDescent="0.3">
      <c r="A966" s="7" t="s">
        <v>1943</v>
      </c>
      <c r="B966" s="7" t="s">
        <v>1944</v>
      </c>
    </row>
    <row r="967" spans="1:2" x14ac:dyDescent="0.3">
      <c r="A967" s="7" t="s">
        <v>1945</v>
      </c>
      <c r="B967" s="7" t="s">
        <v>1946</v>
      </c>
    </row>
    <row r="968" spans="1:2" x14ac:dyDescent="0.3">
      <c r="A968" s="7" t="s">
        <v>1947</v>
      </c>
      <c r="B968" s="7" t="s">
        <v>1948</v>
      </c>
    </row>
    <row r="969" spans="1:2" x14ac:dyDescent="0.3">
      <c r="A969" s="7" t="s">
        <v>1949</v>
      </c>
      <c r="B969" s="7" t="s">
        <v>1950</v>
      </c>
    </row>
    <row r="970" spans="1:2" x14ac:dyDescent="0.3">
      <c r="A970" s="7" t="s">
        <v>1951</v>
      </c>
      <c r="B970" s="7" t="s">
        <v>1952</v>
      </c>
    </row>
    <row r="971" spans="1:2" x14ac:dyDescent="0.3">
      <c r="A971" s="7" t="s">
        <v>1953</v>
      </c>
      <c r="B971" s="7" t="s">
        <v>1954</v>
      </c>
    </row>
    <row r="972" spans="1:2" x14ac:dyDescent="0.3">
      <c r="A972" s="7" t="s">
        <v>1955</v>
      </c>
      <c r="B972" s="7" t="s">
        <v>241</v>
      </c>
    </row>
    <row r="973" spans="1:2" x14ac:dyDescent="0.3">
      <c r="A973" s="7" t="s">
        <v>1956</v>
      </c>
      <c r="B973" s="7" t="s">
        <v>1957</v>
      </c>
    </row>
    <row r="974" spans="1:2" x14ac:dyDescent="0.3">
      <c r="A974" s="7" t="s">
        <v>1958</v>
      </c>
      <c r="B974" s="7" t="s">
        <v>1959</v>
      </c>
    </row>
    <row r="975" spans="1:2" x14ac:dyDescent="0.3">
      <c r="A975" s="7" t="s">
        <v>1960</v>
      </c>
      <c r="B975" s="7" t="s">
        <v>1961</v>
      </c>
    </row>
    <row r="976" spans="1:2" x14ac:dyDescent="0.3">
      <c r="A976" s="7" t="s">
        <v>1962</v>
      </c>
      <c r="B976" s="7" t="s">
        <v>1963</v>
      </c>
    </row>
    <row r="977" spans="1:2" x14ac:dyDescent="0.3">
      <c r="A977" s="7" t="s">
        <v>1964</v>
      </c>
      <c r="B977" s="7" t="s">
        <v>1965</v>
      </c>
    </row>
    <row r="978" spans="1:2" x14ac:dyDescent="0.3">
      <c r="A978" s="7" t="s">
        <v>1966</v>
      </c>
      <c r="B978" s="7" t="s">
        <v>798</v>
      </c>
    </row>
    <row r="979" spans="1:2" x14ac:dyDescent="0.3">
      <c r="A979" s="7" t="s">
        <v>1967</v>
      </c>
      <c r="B979" s="7" t="s">
        <v>327</v>
      </c>
    </row>
    <row r="980" spans="1:2" x14ac:dyDescent="0.3">
      <c r="A980" s="7" t="s">
        <v>1968</v>
      </c>
      <c r="B980" s="7" t="s">
        <v>927</v>
      </c>
    </row>
    <row r="981" spans="1:2" x14ac:dyDescent="0.3">
      <c r="A981" s="7" t="s">
        <v>1969</v>
      </c>
      <c r="B981" s="7" t="s">
        <v>1970</v>
      </c>
    </row>
    <row r="982" spans="1:2" x14ac:dyDescent="0.3">
      <c r="A982" s="7" t="s">
        <v>1971</v>
      </c>
      <c r="B982" s="7" t="s">
        <v>1972</v>
      </c>
    </row>
    <row r="983" spans="1:2" x14ac:dyDescent="0.3">
      <c r="A983" s="7" t="s">
        <v>1973</v>
      </c>
      <c r="B983" s="7" t="s">
        <v>1220</v>
      </c>
    </row>
    <row r="984" spans="1:2" x14ac:dyDescent="0.3">
      <c r="A984" s="7" t="s">
        <v>1974</v>
      </c>
      <c r="B984" s="7" t="s">
        <v>1975</v>
      </c>
    </row>
    <row r="985" spans="1:2" x14ac:dyDescent="0.3">
      <c r="A985" s="7" t="s">
        <v>1976</v>
      </c>
      <c r="B985" s="7" t="s">
        <v>1977</v>
      </c>
    </row>
    <row r="986" spans="1:2" x14ac:dyDescent="0.3">
      <c r="A986" s="7" t="s">
        <v>1978</v>
      </c>
      <c r="B986" s="7" t="s">
        <v>1979</v>
      </c>
    </row>
    <row r="987" spans="1:2" x14ac:dyDescent="0.3">
      <c r="A987" s="7" t="s">
        <v>1980</v>
      </c>
      <c r="B987" s="7" t="s">
        <v>1981</v>
      </c>
    </row>
    <row r="988" spans="1:2" x14ac:dyDescent="0.3">
      <c r="A988" s="7" t="s">
        <v>1982</v>
      </c>
      <c r="B988" s="7" t="s">
        <v>1983</v>
      </c>
    </row>
    <row r="989" spans="1:2" x14ac:dyDescent="0.3">
      <c r="A989" s="7" t="s">
        <v>1984</v>
      </c>
      <c r="B989" s="7" t="s">
        <v>968</v>
      </c>
    </row>
    <row r="990" spans="1:2" x14ac:dyDescent="0.3">
      <c r="A990" s="7" t="s">
        <v>1985</v>
      </c>
      <c r="B990" s="7" t="s">
        <v>1986</v>
      </c>
    </row>
    <row r="991" spans="1:2" x14ac:dyDescent="0.3">
      <c r="A991" s="7" t="s">
        <v>1987</v>
      </c>
      <c r="B991" s="7" t="s">
        <v>1988</v>
      </c>
    </row>
    <row r="992" spans="1:2" x14ac:dyDescent="0.3">
      <c r="A992" s="7" t="s">
        <v>1989</v>
      </c>
      <c r="B992" s="7" t="s">
        <v>1990</v>
      </c>
    </row>
    <row r="993" spans="1:2" x14ac:dyDescent="0.3">
      <c r="A993" s="7" t="s">
        <v>1991</v>
      </c>
      <c r="B993" s="7" t="s">
        <v>1992</v>
      </c>
    </row>
    <row r="994" spans="1:2" x14ac:dyDescent="0.3">
      <c r="A994" s="7" t="s">
        <v>1993</v>
      </c>
      <c r="B994" s="7" t="s">
        <v>942</v>
      </c>
    </row>
    <row r="995" spans="1:2" x14ac:dyDescent="0.3">
      <c r="A995" s="7" t="s">
        <v>1994</v>
      </c>
      <c r="B995" s="7" t="s">
        <v>1995</v>
      </c>
    </row>
    <row r="996" spans="1:2" x14ac:dyDescent="0.3">
      <c r="A996" s="7" t="s">
        <v>1996</v>
      </c>
      <c r="B996" s="7" t="s">
        <v>1997</v>
      </c>
    </row>
    <row r="997" spans="1:2" x14ac:dyDescent="0.3">
      <c r="A997" s="7" t="s">
        <v>1998</v>
      </c>
      <c r="B997" s="7" t="s">
        <v>1999</v>
      </c>
    </row>
    <row r="998" spans="1:2" x14ac:dyDescent="0.3">
      <c r="A998" s="7" t="s">
        <v>2000</v>
      </c>
      <c r="B998" s="7" t="s">
        <v>942</v>
      </c>
    </row>
    <row r="999" spans="1:2" x14ac:dyDescent="0.3">
      <c r="A999" s="7" t="s">
        <v>2001</v>
      </c>
      <c r="B999" s="7" t="s">
        <v>2002</v>
      </c>
    </row>
    <row r="1000" spans="1:2" x14ac:dyDescent="0.3">
      <c r="A1000" s="7" t="s">
        <v>2003</v>
      </c>
      <c r="B1000" s="7" t="s">
        <v>2004</v>
      </c>
    </row>
    <row r="1001" spans="1:2" x14ac:dyDescent="0.3">
      <c r="A1001" s="7" t="s">
        <v>2005</v>
      </c>
      <c r="B1001" s="7" t="s">
        <v>2006</v>
      </c>
    </row>
    <row r="1002" spans="1:2" x14ac:dyDescent="0.3">
      <c r="A1002" s="7" t="s">
        <v>2007</v>
      </c>
      <c r="B1002" s="7" t="s">
        <v>2008</v>
      </c>
    </row>
    <row r="1003" spans="1:2" x14ac:dyDescent="0.3">
      <c r="A1003" s="7" t="s">
        <v>2009</v>
      </c>
      <c r="B1003" s="7" t="s">
        <v>2010</v>
      </c>
    </row>
    <row r="1004" spans="1:2" x14ac:dyDescent="0.3">
      <c r="A1004" s="7" t="s">
        <v>2011</v>
      </c>
      <c r="B1004" s="7" t="s">
        <v>2012</v>
      </c>
    </row>
    <row r="1005" spans="1:2" x14ac:dyDescent="0.3">
      <c r="A1005" s="7" t="s">
        <v>2013</v>
      </c>
      <c r="B1005" s="7" t="s">
        <v>2014</v>
      </c>
    </row>
    <row r="1006" spans="1:2" x14ac:dyDescent="0.3">
      <c r="A1006" s="7" t="s">
        <v>2015</v>
      </c>
      <c r="B1006" s="7" t="s">
        <v>2016</v>
      </c>
    </row>
    <row r="1007" spans="1:2" x14ac:dyDescent="0.3">
      <c r="A1007" s="7" t="s">
        <v>2017</v>
      </c>
      <c r="B1007" s="7" t="s">
        <v>2018</v>
      </c>
    </row>
    <row r="1008" spans="1:2" x14ac:dyDescent="0.3">
      <c r="A1008" s="7" t="s">
        <v>2019</v>
      </c>
      <c r="B1008" s="7" t="s">
        <v>2020</v>
      </c>
    </row>
    <row r="1009" spans="1:2" x14ac:dyDescent="0.3">
      <c r="A1009" s="7" t="s">
        <v>2021</v>
      </c>
      <c r="B1009" s="7" t="s">
        <v>617</v>
      </c>
    </row>
    <row r="1010" spans="1:2" x14ac:dyDescent="0.3">
      <c r="A1010" s="7" t="s">
        <v>2022</v>
      </c>
      <c r="B1010" s="7" t="s">
        <v>2023</v>
      </c>
    </row>
    <row r="1011" spans="1:2" x14ac:dyDescent="0.3">
      <c r="A1011" s="7" t="s">
        <v>2024</v>
      </c>
      <c r="B1011" s="7" t="s">
        <v>2025</v>
      </c>
    </row>
    <row r="1012" spans="1:2" x14ac:dyDescent="0.3">
      <c r="A1012" s="7" t="s">
        <v>2026</v>
      </c>
      <c r="B1012" s="7" t="s">
        <v>2027</v>
      </c>
    </row>
    <row r="1013" spans="1:2" x14ac:dyDescent="0.3">
      <c r="A1013" s="7" t="s">
        <v>2028</v>
      </c>
      <c r="B1013" s="7" t="s">
        <v>2029</v>
      </c>
    </row>
    <row r="1014" spans="1:2" x14ac:dyDescent="0.3">
      <c r="A1014" s="7" t="s">
        <v>2030</v>
      </c>
      <c r="B1014" s="7" t="s">
        <v>2031</v>
      </c>
    </row>
    <row r="1015" spans="1:2" x14ac:dyDescent="0.3">
      <c r="A1015" s="7" t="s">
        <v>2032</v>
      </c>
      <c r="B1015" s="7" t="s">
        <v>2033</v>
      </c>
    </row>
    <row r="1016" spans="1:2" x14ac:dyDescent="0.3">
      <c r="A1016" s="7" t="s">
        <v>2034</v>
      </c>
      <c r="B1016" s="7" t="s">
        <v>165</v>
      </c>
    </row>
    <row r="1017" spans="1:2" x14ac:dyDescent="0.3">
      <c r="A1017" s="7" t="s">
        <v>2035</v>
      </c>
      <c r="B1017" s="7" t="s">
        <v>2036</v>
      </c>
    </row>
    <row r="1018" spans="1:2" x14ac:dyDescent="0.3">
      <c r="A1018" s="7" t="s">
        <v>2037</v>
      </c>
      <c r="B1018" s="7" t="s">
        <v>2038</v>
      </c>
    </row>
    <row r="1019" spans="1:2" x14ac:dyDescent="0.3">
      <c r="A1019" s="7" t="s">
        <v>2039</v>
      </c>
      <c r="B1019" s="7" t="s">
        <v>231</v>
      </c>
    </row>
    <row r="1020" spans="1:2" x14ac:dyDescent="0.3">
      <c r="A1020" s="7" t="s">
        <v>2040</v>
      </c>
      <c r="B1020" s="7" t="s">
        <v>2041</v>
      </c>
    </row>
    <row r="1021" spans="1:2" x14ac:dyDescent="0.3">
      <c r="A1021" s="7" t="s">
        <v>2042</v>
      </c>
      <c r="B1021" s="7" t="s">
        <v>2043</v>
      </c>
    </row>
    <row r="1022" spans="1:2" x14ac:dyDescent="0.3">
      <c r="A1022" s="7" t="s">
        <v>2044</v>
      </c>
      <c r="B1022" s="7" t="s">
        <v>2045</v>
      </c>
    </row>
    <row r="1023" spans="1:2" x14ac:dyDescent="0.3">
      <c r="A1023" s="7" t="s">
        <v>2046</v>
      </c>
      <c r="B1023" s="7" t="s">
        <v>2047</v>
      </c>
    </row>
    <row r="1024" spans="1:2" x14ac:dyDescent="0.3">
      <c r="A1024" s="7" t="s">
        <v>2048</v>
      </c>
      <c r="B1024" s="7" t="s">
        <v>2049</v>
      </c>
    </row>
    <row r="1025" spans="1:2" x14ac:dyDescent="0.3">
      <c r="A1025" s="7" t="s">
        <v>2050</v>
      </c>
      <c r="B1025" s="7" t="s">
        <v>2051</v>
      </c>
    </row>
    <row r="1026" spans="1:2" x14ac:dyDescent="0.3">
      <c r="A1026" s="7" t="s">
        <v>2052</v>
      </c>
      <c r="B1026" s="7" t="s">
        <v>2053</v>
      </c>
    </row>
    <row r="1027" spans="1:2" x14ac:dyDescent="0.3">
      <c r="A1027" s="7" t="s">
        <v>2054</v>
      </c>
      <c r="B1027" s="7" t="s">
        <v>2055</v>
      </c>
    </row>
    <row r="1028" spans="1:2" x14ac:dyDescent="0.3">
      <c r="A1028" s="7" t="s">
        <v>2056</v>
      </c>
      <c r="B1028" s="7" t="s">
        <v>2057</v>
      </c>
    </row>
    <row r="1029" spans="1:2" x14ac:dyDescent="0.3">
      <c r="A1029" s="7" t="s">
        <v>2058</v>
      </c>
      <c r="B1029" s="7" t="s">
        <v>2059</v>
      </c>
    </row>
    <row r="1030" spans="1:2" x14ac:dyDescent="0.3">
      <c r="A1030" s="7" t="s">
        <v>2060</v>
      </c>
      <c r="B1030" s="7" t="s">
        <v>2061</v>
      </c>
    </row>
    <row r="1031" spans="1:2" x14ac:dyDescent="0.3">
      <c r="A1031" s="7" t="s">
        <v>2062</v>
      </c>
      <c r="B1031" s="7" t="s">
        <v>2063</v>
      </c>
    </row>
    <row r="1032" spans="1:2" x14ac:dyDescent="0.3">
      <c r="A1032" s="7" t="s">
        <v>2064</v>
      </c>
      <c r="B1032" s="7" t="s">
        <v>2065</v>
      </c>
    </row>
    <row r="1033" spans="1:2" x14ac:dyDescent="0.3">
      <c r="A1033" s="7" t="s">
        <v>2066</v>
      </c>
      <c r="B1033" s="7" t="s">
        <v>2067</v>
      </c>
    </row>
    <row r="1034" spans="1:2" x14ac:dyDescent="0.3">
      <c r="A1034" s="7" t="s">
        <v>2068</v>
      </c>
      <c r="B1034" s="7" t="s">
        <v>2069</v>
      </c>
    </row>
    <row r="1035" spans="1:2" x14ac:dyDescent="0.3">
      <c r="A1035" s="7" t="s">
        <v>2070</v>
      </c>
      <c r="B1035" s="7" t="s">
        <v>2071</v>
      </c>
    </row>
    <row r="1036" spans="1:2" x14ac:dyDescent="0.3">
      <c r="A1036" s="7" t="s">
        <v>2072</v>
      </c>
      <c r="B1036" s="7" t="s">
        <v>2073</v>
      </c>
    </row>
    <row r="1037" spans="1:2" x14ac:dyDescent="0.3">
      <c r="A1037" s="7" t="s">
        <v>2074</v>
      </c>
      <c r="B1037" s="7" t="s">
        <v>2075</v>
      </c>
    </row>
    <row r="1038" spans="1:2" x14ac:dyDescent="0.3">
      <c r="A1038" s="7" t="s">
        <v>2076</v>
      </c>
      <c r="B1038" s="7" t="s">
        <v>2077</v>
      </c>
    </row>
    <row r="1039" spans="1:2" x14ac:dyDescent="0.3">
      <c r="A1039" s="7" t="s">
        <v>2078</v>
      </c>
      <c r="B1039" s="7" t="s">
        <v>2079</v>
      </c>
    </row>
    <row r="1040" spans="1:2" x14ac:dyDescent="0.3">
      <c r="A1040" s="7" t="s">
        <v>2080</v>
      </c>
      <c r="B1040" s="7" t="s">
        <v>2081</v>
      </c>
    </row>
    <row r="1041" spans="1:2" x14ac:dyDescent="0.3">
      <c r="A1041" s="7" t="s">
        <v>2082</v>
      </c>
      <c r="B1041" s="7" t="s">
        <v>2083</v>
      </c>
    </row>
    <row r="1042" spans="1:2" x14ac:dyDescent="0.3">
      <c r="A1042" s="7" t="s">
        <v>2084</v>
      </c>
      <c r="B1042" s="7" t="s">
        <v>2085</v>
      </c>
    </row>
    <row r="1043" spans="1:2" x14ac:dyDescent="0.3">
      <c r="A1043" s="7" t="s">
        <v>2086</v>
      </c>
      <c r="B1043" s="7" t="s">
        <v>2087</v>
      </c>
    </row>
    <row r="1044" spans="1:2" x14ac:dyDescent="0.3">
      <c r="A1044" s="7" t="s">
        <v>2088</v>
      </c>
      <c r="B1044" s="7" t="s">
        <v>2089</v>
      </c>
    </row>
    <row r="1045" spans="1:2" x14ac:dyDescent="0.3">
      <c r="A1045" s="7" t="s">
        <v>2090</v>
      </c>
      <c r="B1045" s="7" t="s">
        <v>2091</v>
      </c>
    </row>
    <row r="1046" spans="1:2" x14ac:dyDescent="0.3">
      <c r="A1046" s="7" t="s">
        <v>2092</v>
      </c>
      <c r="B1046" s="7" t="s">
        <v>2093</v>
      </c>
    </row>
    <row r="1047" spans="1:2" x14ac:dyDescent="0.3">
      <c r="A1047" s="7" t="s">
        <v>2094</v>
      </c>
      <c r="B1047" s="7" t="s">
        <v>2095</v>
      </c>
    </row>
    <row r="1048" spans="1:2" x14ac:dyDescent="0.3">
      <c r="A1048" s="7" t="s">
        <v>2096</v>
      </c>
      <c r="B1048" s="7" t="s">
        <v>2097</v>
      </c>
    </row>
    <row r="1049" spans="1:2" x14ac:dyDescent="0.3">
      <c r="A1049" s="7" t="s">
        <v>2098</v>
      </c>
      <c r="B1049" s="7" t="s">
        <v>2099</v>
      </c>
    </row>
    <row r="1050" spans="1:2" x14ac:dyDescent="0.3">
      <c r="A1050" s="7" t="s">
        <v>2100</v>
      </c>
      <c r="B1050" s="7" t="s">
        <v>2101</v>
      </c>
    </row>
    <row r="1051" spans="1:2" x14ac:dyDescent="0.3">
      <c r="A1051" s="7" t="s">
        <v>2102</v>
      </c>
      <c r="B1051" s="7" t="s">
        <v>2103</v>
      </c>
    </row>
    <row r="1052" spans="1:2" x14ac:dyDescent="0.3">
      <c r="A1052" s="7" t="s">
        <v>2104</v>
      </c>
      <c r="B1052" s="7" t="s">
        <v>247</v>
      </c>
    </row>
    <row r="1053" spans="1:2" x14ac:dyDescent="0.3">
      <c r="A1053" s="7" t="s">
        <v>2105</v>
      </c>
      <c r="B1053" s="7" t="s">
        <v>2106</v>
      </c>
    </row>
    <row r="1054" spans="1:2" x14ac:dyDescent="0.3">
      <c r="A1054" s="7" t="s">
        <v>2107</v>
      </c>
      <c r="B1054" s="7" t="s">
        <v>2108</v>
      </c>
    </row>
    <row r="1055" spans="1:2" x14ac:dyDescent="0.3">
      <c r="A1055" s="7" t="s">
        <v>2109</v>
      </c>
      <c r="B1055" s="7" t="s">
        <v>2110</v>
      </c>
    </row>
    <row r="1056" spans="1:2" x14ac:dyDescent="0.3">
      <c r="A1056" s="7" t="s">
        <v>2111</v>
      </c>
      <c r="B1056" s="7" t="s">
        <v>2112</v>
      </c>
    </row>
    <row r="1057" spans="1:2" x14ac:dyDescent="0.3">
      <c r="A1057" s="7" t="s">
        <v>2113</v>
      </c>
      <c r="B1057" s="7" t="s">
        <v>2114</v>
      </c>
    </row>
    <row r="1058" spans="1:2" x14ac:dyDescent="0.3">
      <c r="A1058" s="7" t="s">
        <v>2115</v>
      </c>
      <c r="B1058" s="7" t="s">
        <v>2116</v>
      </c>
    </row>
    <row r="1059" spans="1:2" x14ac:dyDescent="0.3">
      <c r="A1059" s="7" t="s">
        <v>2117</v>
      </c>
      <c r="B1059" s="7" t="s">
        <v>2118</v>
      </c>
    </row>
    <row r="1060" spans="1:2" x14ac:dyDescent="0.3">
      <c r="A1060" s="7" t="s">
        <v>2119</v>
      </c>
      <c r="B1060" s="7" t="s">
        <v>2120</v>
      </c>
    </row>
    <row r="1061" spans="1:2" x14ac:dyDescent="0.3">
      <c r="A1061" s="7" t="s">
        <v>2121</v>
      </c>
      <c r="B1061" s="7" t="s">
        <v>2122</v>
      </c>
    </row>
    <row r="1062" spans="1:2" x14ac:dyDescent="0.3">
      <c r="A1062" s="7" t="s">
        <v>2123</v>
      </c>
      <c r="B1062" s="7" t="s">
        <v>2124</v>
      </c>
    </row>
    <row r="1063" spans="1:2" x14ac:dyDescent="0.3">
      <c r="A1063" s="7" t="s">
        <v>2125</v>
      </c>
      <c r="B1063" s="7" t="s">
        <v>2126</v>
      </c>
    </row>
    <row r="1064" spans="1:2" x14ac:dyDescent="0.3">
      <c r="A1064" s="7" t="s">
        <v>2127</v>
      </c>
      <c r="B1064" s="7" t="s">
        <v>2128</v>
      </c>
    </row>
    <row r="1065" spans="1:2" x14ac:dyDescent="0.3">
      <c r="A1065" s="7" t="s">
        <v>2129</v>
      </c>
      <c r="B1065" s="7" t="s">
        <v>2130</v>
      </c>
    </row>
    <row r="1066" spans="1:2" x14ac:dyDescent="0.3">
      <c r="A1066" s="7" t="s">
        <v>2131</v>
      </c>
      <c r="B1066" s="7" t="s">
        <v>2132</v>
      </c>
    </row>
    <row r="1067" spans="1:2" x14ac:dyDescent="0.3">
      <c r="A1067" s="7" t="s">
        <v>2133</v>
      </c>
      <c r="B1067" s="7" t="s">
        <v>2134</v>
      </c>
    </row>
    <row r="1068" spans="1:2" x14ac:dyDescent="0.3">
      <c r="A1068" s="7" t="s">
        <v>2135</v>
      </c>
      <c r="B1068" s="7" t="s">
        <v>2136</v>
      </c>
    </row>
    <row r="1069" spans="1:2" x14ac:dyDescent="0.3">
      <c r="A1069" s="7" t="s">
        <v>2137</v>
      </c>
      <c r="B1069" s="7" t="s">
        <v>2138</v>
      </c>
    </row>
    <row r="1070" spans="1:2" x14ac:dyDescent="0.3">
      <c r="A1070" s="7" t="s">
        <v>2139</v>
      </c>
      <c r="B1070" s="7" t="s">
        <v>2140</v>
      </c>
    </row>
    <row r="1071" spans="1:2" x14ac:dyDescent="0.3">
      <c r="A1071" s="7" t="s">
        <v>2141</v>
      </c>
      <c r="B1071" s="7" t="s">
        <v>2142</v>
      </c>
    </row>
    <row r="1072" spans="1:2" x14ac:dyDescent="0.3">
      <c r="A1072" s="7" t="s">
        <v>2143</v>
      </c>
      <c r="B1072" s="7" t="s">
        <v>2144</v>
      </c>
    </row>
    <row r="1073" spans="1:2" x14ac:dyDescent="0.3">
      <c r="A1073" s="7" t="s">
        <v>2145</v>
      </c>
      <c r="B1073" s="7" t="s">
        <v>2146</v>
      </c>
    </row>
    <row r="1074" spans="1:2" x14ac:dyDescent="0.3">
      <c r="A1074" s="7" t="s">
        <v>2147</v>
      </c>
      <c r="B1074" s="7" t="s">
        <v>2148</v>
      </c>
    </row>
    <row r="1075" spans="1:2" x14ac:dyDescent="0.3">
      <c r="A1075" s="7" t="s">
        <v>2149</v>
      </c>
      <c r="B1075" s="7" t="s">
        <v>2150</v>
      </c>
    </row>
    <row r="1076" spans="1:2" x14ac:dyDescent="0.3">
      <c r="A1076" s="7" t="s">
        <v>2151</v>
      </c>
      <c r="B1076" s="7" t="s">
        <v>1553</v>
      </c>
    </row>
    <row r="1077" spans="1:2" x14ac:dyDescent="0.3">
      <c r="A1077" s="7" t="s">
        <v>2152</v>
      </c>
      <c r="B1077" s="7" t="s">
        <v>2153</v>
      </c>
    </row>
    <row r="1078" spans="1:2" x14ac:dyDescent="0.3">
      <c r="A1078" s="7" t="s">
        <v>2154</v>
      </c>
      <c r="B1078" s="7" t="s">
        <v>165</v>
      </c>
    </row>
    <row r="1079" spans="1:2" x14ac:dyDescent="0.3">
      <c r="A1079" s="7" t="s">
        <v>2155</v>
      </c>
      <c r="B1079" s="7" t="s">
        <v>2156</v>
      </c>
    </row>
    <row r="1080" spans="1:2" x14ac:dyDescent="0.3">
      <c r="A1080" s="7" t="s">
        <v>2157</v>
      </c>
      <c r="B1080" s="7" t="s">
        <v>2158</v>
      </c>
    </row>
    <row r="1081" spans="1:2" x14ac:dyDescent="0.3">
      <c r="A1081" s="7" t="s">
        <v>2159</v>
      </c>
      <c r="B1081" s="7" t="s">
        <v>2160</v>
      </c>
    </row>
    <row r="1082" spans="1:2" x14ac:dyDescent="0.3">
      <c r="A1082" s="7" t="s">
        <v>2161</v>
      </c>
      <c r="B1082" s="7" t="s">
        <v>2162</v>
      </c>
    </row>
    <row r="1083" spans="1:2" x14ac:dyDescent="0.3">
      <c r="A1083" s="7" t="s">
        <v>2163</v>
      </c>
      <c r="B1083" s="7" t="s">
        <v>2164</v>
      </c>
    </row>
    <row r="1084" spans="1:2" x14ac:dyDescent="0.3">
      <c r="A1084" s="7" t="s">
        <v>2165</v>
      </c>
      <c r="B1084" s="7" t="s">
        <v>215</v>
      </c>
    </row>
    <row r="1085" spans="1:2" x14ac:dyDescent="0.3">
      <c r="A1085" s="7" t="s">
        <v>2166</v>
      </c>
      <c r="B1085" s="7" t="s">
        <v>927</v>
      </c>
    </row>
    <row r="1086" spans="1:2" x14ac:dyDescent="0.3">
      <c r="A1086" s="7" t="s">
        <v>2167</v>
      </c>
      <c r="B1086" s="7" t="s">
        <v>2168</v>
      </c>
    </row>
    <row r="1087" spans="1:2" x14ac:dyDescent="0.3">
      <c r="A1087" s="7" t="s">
        <v>2169</v>
      </c>
      <c r="B1087" s="7" t="s">
        <v>2170</v>
      </c>
    </row>
    <row r="1088" spans="1:2" x14ac:dyDescent="0.3">
      <c r="A1088" s="7" t="s">
        <v>2171</v>
      </c>
      <c r="B1088" s="7" t="s">
        <v>2172</v>
      </c>
    </row>
    <row r="1089" spans="1:2" x14ac:dyDescent="0.3">
      <c r="A1089" s="7" t="s">
        <v>2173</v>
      </c>
      <c r="B1089" s="7" t="s">
        <v>2174</v>
      </c>
    </row>
    <row r="1090" spans="1:2" x14ac:dyDescent="0.3">
      <c r="A1090" s="7" t="s">
        <v>2175</v>
      </c>
      <c r="B1090" s="7" t="s">
        <v>231</v>
      </c>
    </row>
    <row r="1091" spans="1:2" x14ac:dyDescent="0.3">
      <c r="A1091" s="7" t="s">
        <v>2176</v>
      </c>
      <c r="B1091" s="7" t="s">
        <v>81</v>
      </c>
    </row>
    <row r="1092" spans="1:2" x14ac:dyDescent="0.3">
      <c r="A1092" s="7" t="s">
        <v>2177</v>
      </c>
      <c r="B1092" s="7" t="s">
        <v>2178</v>
      </c>
    </row>
    <row r="1093" spans="1:2" x14ac:dyDescent="0.3">
      <c r="A1093" s="7" t="s">
        <v>2179</v>
      </c>
      <c r="B1093" s="7" t="s">
        <v>2180</v>
      </c>
    </row>
    <row r="1094" spans="1:2" x14ac:dyDescent="0.3">
      <c r="A1094" s="7" t="s">
        <v>2181</v>
      </c>
      <c r="B1094" s="7" t="s">
        <v>2182</v>
      </c>
    </row>
    <row r="1095" spans="1:2" x14ac:dyDescent="0.3">
      <c r="A1095" s="7" t="s">
        <v>2183</v>
      </c>
      <c r="B1095" s="7" t="s">
        <v>2184</v>
      </c>
    </row>
    <row r="1096" spans="1:2" x14ac:dyDescent="0.3">
      <c r="A1096" s="7" t="s">
        <v>2185</v>
      </c>
      <c r="B1096" s="7" t="s">
        <v>2186</v>
      </c>
    </row>
    <row r="1097" spans="1:2" x14ac:dyDescent="0.3">
      <c r="A1097" s="7" t="s">
        <v>2187</v>
      </c>
      <c r="B1097" s="7" t="s">
        <v>2188</v>
      </c>
    </row>
    <row r="1098" spans="1:2" x14ac:dyDescent="0.3">
      <c r="A1098" s="7" t="s">
        <v>2189</v>
      </c>
      <c r="B1098" s="7" t="s">
        <v>2190</v>
      </c>
    </row>
    <row r="1099" spans="1:2" x14ac:dyDescent="0.3">
      <c r="A1099" s="7" t="s">
        <v>2191</v>
      </c>
      <c r="B1099" s="7" t="s">
        <v>2192</v>
      </c>
    </row>
    <row r="1100" spans="1:2" x14ac:dyDescent="0.3">
      <c r="A1100" s="7" t="s">
        <v>2193</v>
      </c>
      <c r="B1100" s="7" t="s">
        <v>2194</v>
      </c>
    </row>
    <row r="1101" spans="1:2" x14ac:dyDescent="0.3">
      <c r="A1101" s="7" t="s">
        <v>2195</v>
      </c>
      <c r="B1101" s="7" t="s">
        <v>2196</v>
      </c>
    </row>
    <row r="1102" spans="1:2" x14ac:dyDescent="0.3">
      <c r="A1102" s="7" t="s">
        <v>2197</v>
      </c>
      <c r="B1102" s="7" t="s">
        <v>377</v>
      </c>
    </row>
    <row r="1103" spans="1:2" x14ac:dyDescent="0.3">
      <c r="A1103" s="7" t="s">
        <v>2198</v>
      </c>
      <c r="B1103" s="7" t="s">
        <v>2199</v>
      </c>
    </row>
    <row r="1104" spans="1:2" x14ac:dyDescent="0.3">
      <c r="A1104" s="7" t="s">
        <v>2200</v>
      </c>
      <c r="B1104" s="7" t="s">
        <v>2201</v>
      </c>
    </row>
    <row r="1105" spans="1:2" x14ac:dyDescent="0.3">
      <c r="A1105" s="7" t="s">
        <v>2202</v>
      </c>
      <c r="B1105" s="7" t="s">
        <v>2203</v>
      </c>
    </row>
    <row r="1106" spans="1:2" x14ac:dyDescent="0.3">
      <c r="A1106" s="7" t="s">
        <v>2204</v>
      </c>
      <c r="B1106" s="7" t="s">
        <v>2205</v>
      </c>
    </row>
    <row r="1107" spans="1:2" x14ac:dyDescent="0.3">
      <c r="A1107" s="7" t="s">
        <v>2206</v>
      </c>
      <c r="B1107" s="7" t="s">
        <v>2207</v>
      </c>
    </row>
    <row r="1108" spans="1:2" x14ac:dyDescent="0.3">
      <c r="A1108" s="7" t="s">
        <v>2208</v>
      </c>
      <c r="B1108" s="7" t="s">
        <v>2209</v>
      </c>
    </row>
    <row r="1109" spans="1:2" x14ac:dyDescent="0.3">
      <c r="A1109" s="7" t="s">
        <v>2210</v>
      </c>
      <c r="B1109" s="7" t="s">
        <v>2211</v>
      </c>
    </row>
    <row r="1110" spans="1:2" x14ac:dyDescent="0.3">
      <c r="A1110" s="7" t="s">
        <v>2212</v>
      </c>
      <c r="B1110" s="7" t="s">
        <v>2213</v>
      </c>
    </row>
    <row r="1111" spans="1:2" x14ac:dyDescent="0.3">
      <c r="A1111" s="7" t="s">
        <v>2214</v>
      </c>
      <c r="B1111" s="7" t="s">
        <v>2215</v>
      </c>
    </row>
    <row r="1112" spans="1:2" x14ac:dyDescent="0.3">
      <c r="A1112" s="7" t="s">
        <v>2216</v>
      </c>
      <c r="B1112" s="7" t="s">
        <v>2217</v>
      </c>
    </row>
    <row r="1113" spans="1:2" x14ac:dyDescent="0.3">
      <c r="A1113" s="7" t="s">
        <v>2218</v>
      </c>
      <c r="B1113" s="7" t="s">
        <v>2219</v>
      </c>
    </row>
    <row r="1114" spans="1:2" x14ac:dyDescent="0.3">
      <c r="A1114" s="7" t="s">
        <v>2220</v>
      </c>
      <c r="B1114" s="7" t="s">
        <v>2221</v>
      </c>
    </row>
    <row r="1115" spans="1:2" x14ac:dyDescent="0.3">
      <c r="A1115" s="7" t="s">
        <v>2222</v>
      </c>
      <c r="B1115" s="7" t="s">
        <v>2223</v>
      </c>
    </row>
    <row r="1116" spans="1:2" x14ac:dyDescent="0.3">
      <c r="A1116" s="7" t="s">
        <v>2224</v>
      </c>
      <c r="B1116" s="7" t="s">
        <v>2225</v>
      </c>
    </row>
    <row r="1117" spans="1:2" x14ac:dyDescent="0.3">
      <c r="A1117" s="7" t="s">
        <v>2226</v>
      </c>
      <c r="B1117" s="7" t="s">
        <v>2227</v>
      </c>
    </row>
    <row r="1118" spans="1:2" x14ac:dyDescent="0.3">
      <c r="A1118" s="7" t="s">
        <v>2228</v>
      </c>
      <c r="B1118" s="7" t="s">
        <v>2229</v>
      </c>
    </row>
    <row r="1119" spans="1:2" x14ac:dyDescent="0.3">
      <c r="A1119" s="7" t="s">
        <v>2230</v>
      </c>
      <c r="B1119" s="7" t="s">
        <v>2231</v>
      </c>
    </row>
    <row r="1120" spans="1:2" x14ac:dyDescent="0.3">
      <c r="A1120" s="7" t="s">
        <v>2232</v>
      </c>
      <c r="B1120" s="7" t="s">
        <v>2233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PFE5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Leidy Silva Quiroga</cp:lastModifiedBy>
  <dcterms:created xsi:type="dcterms:W3CDTF">2015-06-05T18:19:34Z</dcterms:created>
  <dcterms:modified xsi:type="dcterms:W3CDTF">2025-08-29T02:22:19Z</dcterms:modified>
</cp:coreProperties>
</file>